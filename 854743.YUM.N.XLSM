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360" windowWidth="20730" windowHeight="11520" tabRatio="768" firstSheet="1" activeTab="1"/>
  </bookViews>
  <sheets>
    <sheet name="__FDSCACHE__" sheetId="49" state="veryHidden" r:id="rId1"/>
    <sheet name="ImportantDisclosures" sheetId="108" r:id="rId2"/>
    <sheet name="Intro" sheetId="95" r:id="rId3"/>
    <sheet name="IS " sheetId="1" r:id="rId4"/>
    <sheet name="BS" sheetId="8" r:id="rId5"/>
    <sheet name="CF" sheetId="98" r:id="rId6"/>
    <sheet name="IndexInformation" sheetId="109" r:id="rId7"/>
    <sheet name="ModPubIndex" sheetId="110" r:id="rId8"/>
    <sheet name="MW-Cache" sheetId="51" state="veryHidden" r:id="rId9"/>
    <sheet name="__APW_ACTIVE_FIELD_RESTORE__" sheetId="46" state="veryHidden" r:id="rId10"/>
  </sheets>
  <externalReferences>
    <externalReference r:id="rId11"/>
  </externalReferences>
  <definedNames>
    <definedName name="__FDS_HYPERLINK_TOGGLE_STATE__" hidden="1">"ON"</definedName>
    <definedName name="__FDS_UNIQUE_RANGE_ID_GENERATOR_COUNTER" hidden="1">1</definedName>
    <definedName name="_1__FDSAUDITLINK__" hidden="1">{"fdsup://directions/FAT Viewer?action=UPDATE&amp;creator=factset&amp;DYN_ARGS=TRUE&amp;DOC_NAME=FAT:FQL_AUDITING_CLIENT_TEMPLATE.FAT&amp;display_string=Audit&amp;VAR:KEY=VEDQDYPIFC&amp;VAR:QUERY=RkZfREVCVChRVFIsMCk=&amp;WINDOW=FIRST_POPUP&amp;HEIGHT=450&amp;WIDTH=450&amp;START_MAXIMIZED=FALSE&amp;VA","R:CALENDAR=US&amp;VAR:SYMBOL=689721&amp;VAR:INDEX=0"}</definedName>
    <definedName name="_10__FDSAUDITLINK__" hidden="1">{"fdsup://directions/FAT Viewer?action=UPDATE&amp;creator=factset&amp;DYN_ARGS=TRUE&amp;DOC_NAME=FAT:FQL_AUDITING_CLIENT_TEMPLATE.FAT&amp;display_string=Audit&amp;VAR:KEY=DAJSTQPEHW&amp;VAR:QUERY=RkZfSU5WRVNUX0xUKFFUUiwwKQ==&amp;WINDOW=FIRST_POPUP&amp;HEIGHT=450&amp;WIDTH=450&amp;START_MAXIMIZED=","FALSE&amp;VAR:CALENDAR=US&amp;VAR:SYMBOL=677172&amp;VAR:INDEX=0"}</definedName>
    <definedName name="_100__FDSAUDITLINK__" hidden="1">{"fdsup://directions/FAT Viewer?action=UPDATE&amp;creator=factset&amp;DYN_ARGS=TRUE&amp;DOC_NAME=FAT:FQL_AUDITING_CLIENT_TEMPLATE.FAT&amp;display_string=Audit&amp;VAR:KEY=HKDMXMDGLS&amp;VAR:QUERY=RkZfSU5WRVNUX0xUKFFUUiwwKQ==&amp;WINDOW=FIRST_POPUP&amp;HEIGHT=450&amp;WIDTH=450&amp;START_MAXIMIZED=","FALSE&amp;VAR:CALENDAR=US&amp;VAR:SYMBOL=MTSN&amp;VAR:INDEX=0"}</definedName>
    <definedName name="_101__FDSAUDITLINK__" hidden="1">{"fdsup://directions/FAT Viewer?action=UPDATE&amp;creator=factset&amp;DYN_ARGS=TRUE&amp;DOC_NAME=FAT:FQL_AUDITING_CLIENT_TEMPLATE.FAT&amp;display_string=Audit&amp;VAR:KEY=BARODKLAHW&amp;VAR:QUERY=RkZfREVCVChRVFIsMCk=&amp;WINDOW=FIRST_POPUP&amp;HEIGHT=450&amp;WIDTH=450&amp;START_MAXIMIZED=FALSE&amp;VA","R:CALENDAR=US&amp;VAR:SYMBOL=LRCX&amp;VAR:INDEX=0"}</definedName>
    <definedName name="_102__FDSAUDITLINK__" hidden="1">{"fdsup://directions/FAT Viewer?action=UPDATE&amp;creator=factset&amp;DYN_ARGS=TRUE&amp;DOC_NAME=FAT:FQL_AUDITING_CLIENT_TEMPLATE.FAT&amp;display_string=Audit&amp;VAR:KEY=BCFALGLEFC&amp;VAR:QUERY=RkZfSU5WRVNUX0xUKFFUUiwwKQ==&amp;WINDOW=FIRST_POPUP&amp;HEIGHT=450&amp;WIDTH=450&amp;START_MAXIMIZED=","FALSE&amp;VAR:CALENDAR=US&amp;VAR:SYMBOL=LRCX&amp;VAR:INDEX=0"}</definedName>
    <definedName name="_103__FDSAUDITLINK__" hidden="1">{"fdsup://directions/FAT Viewer?action=UPDATE&amp;creator=factset&amp;DYN_ARGS=TRUE&amp;DOC_NAME=FAT:FQL_AUDITING_CLIENT_TEMPLATE.FAT&amp;display_string=Audit&amp;VAR:KEY=JGHKLKZYRI&amp;VAR:QUERY=RkZfREVCVChRVFIsMCk=&amp;WINDOW=FIRST_POPUP&amp;HEIGHT=450&amp;WIDTH=450&amp;START_MAXIMIZED=FALSE&amp;VA","R:CALENDAR=US&amp;VAR:SYMBOL=KLAC&amp;VAR:INDEX=0"}</definedName>
    <definedName name="_104__FDSAUDITLINK__" hidden="1">{"fdsup://directions/FAT Viewer?action=UPDATE&amp;creator=factset&amp;DYN_ARGS=TRUE&amp;DOC_NAME=FAT:FQL_AUDITING_CLIENT_TEMPLATE.FAT&amp;display_string=Audit&amp;VAR:KEY=FWDSHCJWVI&amp;VAR:QUERY=RkZfSU5WRVNUX0xUKFFUUiwwKQ==&amp;WINDOW=FIRST_POPUP&amp;HEIGHT=450&amp;WIDTH=450&amp;START_MAXIMIZED=","FALSE&amp;VAR:CALENDAR=US&amp;VAR:SYMBOL=KLAC&amp;VAR:INDEX=0"}</definedName>
    <definedName name="_105__FDSAUDITLINK__" hidden="1">{"fdsup://directions/FAT Viewer?action=UPDATE&amp;creator=factset&amp;DYN_ARGS=TRUE&amp;DOC_NAME=FAT:FQL_AUDITING_CLIENT_TEMPLATE.FAT&amp;display_string=Audit&amp;VAR:KEY=XKXIXGZGTU&amp;VAR:QUERY=RkZfREVCVChRVFIsMCk=&amp;WINDOW=FIRST_POPUP&amp;HEIGHT=450&amp;WIDTH=450&amp;START_MAXIMIZED=FALSE&amp;VA","R:CALENDAR=US&amp;VAR:SYMBOL=594936&amp;VAR:INDEX=0"}</definedName>
    <definedName name="_106__FDSAUDITLINK__" hidden="1">{"fdsup://directions/FAT Viewer?action=UPDATE&amp;creator=factset&amp;DYN_ARGS=TRUE&amp;DOC_NAME=FAT:FQL_AUDITING_CLIENT_TEMPLATE.FAT&amp;display_string=Audit&amp;VAR:KEY=FCTAHMZWNQ&amp;VAR:QUERY=RkZfSU5WRVNUX0xUKFFUUiwwKQ==&amp;WINDOW=FIRST_POPUP&amp;HEIGHT=450&amp;WIDTH=450&amp;START_MAXIMIZED=","FALSE&amp;VAR:CALENDAR=US&amp;VAR:SYMBOL=594936&amp;VAR:INDEX=0"}</definedName>
    <definedName name="_107__FDSAUDITLINK__" hidden="1">{"fdsup://directions/FAT Viewer?action=UPDATE&amp;creator=factset&amp;DYN_ARGS=TRUE&amp;DOC_NAME=FAT:FQL_AUDITING_CLIENT_TEMPLATE.FAT&amp;display_string=Audit&amp;VAR:KEY=XURKFQPCHW&amp;VAR:QUERY=RkZfREVCVChRVFIsMCk=&amp;WINDOW=FIRST_POPUP&amp;HEIGHT=450&amp;WIDTH=450&amp;START_MAXIMIZED=FALSE&amp;VA","R:CALENDAR=US&amp;VAR:SYMBOL=516529&amp;VAR:INDEX=0"}</definedName>
    <definedName name="_108__FDSAUDITLINK__" hidden="1">{"fdsup://directions/FAT Viewer?action=UPDATE&amp;creator=factset&amp;DYN_ARGS=TRUE&amp;DOC_NAME=FAT:FQL_AUDITING_CLIENT_TEMPLATE.FAT&amp;display_string=Audit&amp;VAR:KEY=HWVENCVQZU&amp;VAR:QUERY=RkZfSU5WRVNUX0xUKFFUUiwwKQ==&amp;WINDOW=FIRST_POPUP&amp;HEIGHT=450&amp;WIDTH=450&amp;START_MAXIMIZED=","FALSE&amp;VAR:CALENDAR=US&amp;VAR:SYMBOL=516529&amp;VAR:INDEX=0"}</definedName>
    <definedName name="_109__FDSAUDITLINK__" hidden="1">{"fdsup://directions/FAT Viewer?action=UPDATE&amp;creator=factset&amp;DYN_ARGS=TRUE&amp;DOC_NAME=FAT:FQL_AUDITING_CLIENT_TEMPLATE.FAT&amp;display_string=Audit&amp;VAR:KEY=VKPANEBEHW&amp;VAR:QUERY=RkZfREVCVChRVFIsMCk=&amp;WINDOW=FIRST_POPUP&amp;HEIGHT=450&amp;WIDTH=450&amp;START_MAXIMIZED=FALSE&amp;VA","R:CALENDAR=US&amp;VAR:SYMBOL=AMAT&amp;VAR:INDEX=0"}</definedName>
    <definedName name="_11__FDSAUDITLINK__" hidden="1">{"fdsup://Directions/FactSet Auditing Viewer?action=AUDIT_VALUE&amp;DB=129&amp;ID1=677172&amp;VALUEID=02001&amp;SDATE=201102&amp;PERIODTYPE=QTR_STD&amp;SCFT=3&amp;window=popup_no_bar&amp;width=385&amp;height=120&amp;START_MAXIMIZED=FALSE&amp;creator=factset&amp;display_string=Audit"}</definedName>
    <definedName name="_110__FDSAUDITLINK__" hidden="1">{"fdsup://directions/FAT Viewer?action=UPDATE&amp;creator=factset&amp;DYN_ARGS=TRUE&amp;DOC_NAME=FAT:FQL_AUDITING_CLIENT_TEMPLATE.FAT&amp;display_string=Audit&amp;VAR:KEY=ZWZSTQDGFY&amp;VAR:QUERY=RkZfSU5WRVNUX0xUKFFUUiwwKQ==&amp;WINDOW=FIRST_POPUP&amp;HEIGHT=450&amp;WIDTH=450&amp;START_MAXIMIZED=","FALSE&amp;VAR:CALENDAR=US&amp;VAR:SYMBOL=AMAT&amp;VAR:INDEX=0"}</definedName>
    <definedName name="_111__FDSAUDITLINK__" hidden="1">{"fdsup://directions/FAT Viewer?action=UPDATE&amp;creator=factset&amp;DYN_ARGS=TRUE&amp;DOC_NAME=FAT:FQL_AUDITING_CLIENT_TEMPLATE.FAT&amp;display_string=Audit&amp;VAR:KEY=HOXUHGTKFA&amp;VAR:QUERY=RkZfREVCVChRVFIsMCk=&amp;WINDOW=FIRST_POPUP&amp;HEIGHT=450&amp;WIDTH=450&amp;START_MAXIMIZED=FALSE&amp;VA","R:CALENDAR=US&amp;VAR:SYMBOL=546834&amp;VAR:INDEX=0"}</definedName>
    <definedName name="_112__FDSAUDITLINK__" hidden="1">{"fdsup://directions/FAT Viewer?action=UPDATE&amp;creator=factset&amp;DYN_ARGS=TRUE&amp;DOC_NAME=FAT:FQL_AUDITING_CLIENT_TEMPLATE.FAT&amp;display_string=Audit&amp;VAR:KEY=PEZCBYLCJE&amp;VAR:QUERY=RkZfSU5WRVNUX0xUKFFUUiwwKQ==&amp;WINDOW=FIRST_POPUP&amp;HEIGHT=450&amp;WIDTH=450&amp;START_MAXIMIZED=","FALSE&amp;VAR:CALENDAR=US&amp;VAR:SYMBOL=546834&amp;VAR:INDEX=0"}</definedName>
    <definedName name="_113__FDSAUDITLINK__" hidden="1">{"fdsup://directions/FAT Viewer?action=UPDATE&amp;creator=factset&amp;DYN_ARGS=TRUE&amp;DOC_NAME=FAT:FQL_AUDITING_CLIENT_TEMPLATE.FAT&amp;display_string=Audit&amp;VAR:KEY=FCRKLIFMXI&amp;VAR:QUERY=RkZfREVCVChRVFIsMCk=&amp;WINDOW=FIRST_POPUP&amp;HEIGHT=450&amp;WIDTH=450&amp;START_MAXIMIZED=FALSE&amp;VA","R:CALENDAR=US&amp;VAR:SYMBOL=VECO&amp;VAR:INDEX=0"}</definedName>
    <definedName name="_114__FDSAUDITLINK__" hidden="1">{"fdsup://Directions/FactSet Auditing Viewer?action=AUDIT_VALUE&amp;DB=129&amp;ID1=92241710&amp;VALUEID=02001&amp;SDATE=201102&amp;PERIODTYPE=QTR_STD&amp;SCFT=3&amp;window=popup_no_bar&amp;width=385&amp;height=120&amp;START_MAXIMIZED=FALSE&amp;creator=factset&amp;display_string=Audit"}</definedName>
    <definedName name="_115__FDSAUDITLINK__" hidden="1">{"fdsup://directions/FAT Viewer?action=UPDATE&amp;creator=factset&amp;DYN_ARGS=TRUE&amp;DOC_NAME=FAT:FQL_AUDITING_CLIENT_TEMPLATE.FAT&amp;display_string=Audit&amp;VAR:KEY=DGNOTGHKJC&amp;VAR:QUERY=RkZfREVCVChRVFIsMCk=&amp;WINDOW=FIRST_POPUP&amp;HEIGHT=450&amp;WIDTH=450&amp;START_MAXIMIZED=FALSE&amp;VA","R:CALENDAR=US&amp;VAR:SYMBOL=UTEK&amp;VAR:INDEX=0"}</definedName>
    <definedName name="_116__FDSAUDITLINK__" hidden="1">{"fdsup://directions/FAT Viewer?action=UPDATE&amp;creator=factset&amp;DYN_ARGS=TRUE&amp;DOC_NAME=FAT:FQL_AUDITING_CLIENT_TEMPLATE.FAT&amp;display_string=Audit&amp;VAR:KEY=FCBGFOHUVY&amp;VAR:QUERY=RkZfSU5WRVNUX0xUKFFUUiwwKQ==&amp;WINDOW=FIRST_POPUP&amp;HEIGHT=450&amp;WIDTH=450&amp;START_MAXIMIZED=","FALSE&amp;VAR:CALENDAR=US&amp;VAR:SYMBOL=UTEK&amp;VAR:INDEX=0"}</definedName>
    <definedName name="_117__FDSAUDITLINK__" hidden="1">{"fdsup://directions/FAT Viewer?action=UPDATE&amp;creator=factset&amp;DYN_ARGS=TRUE&amp;DOC_NAME=FAT:FQL_AUDITING_CLIENT_TEMPLATE.FAT&amp;display_string=Audit&amp;VAR:KEY=GPCLORWZUT&amp;VAR:QUERY=RkZfREVCVChRVFIsMCk=&amp;WINDOW=FIRST_POPUP&amp;HEIGHT=450&amp;WIDTH=450&amp;START_MAXIMIZED=FALSE&amp;VA","R:CALENDAR=US&amp;VAR:SYMBOL=546834&amp;VAR:INDEX=0"}</definedName>
    <definedName name="_118__FDSAUDITLINK__" hidden="1">{"fdsup://directions/FAT Viewer?action=UPDATE&amp;creator=factset&amp;DYN_ARGS=TRUE&amp;DOC_NAME=FAT:FQL_AUDITING_CLIENT_TEMPLATE.FAT&amp;display_string=Audit&amp;VAR:KEY=GNOXWTSTUL&amp;VAR:QUERY=RkZfSU5WRVNUX0xUKFFUUiwwKQ==&amp;WINDOW=FIRST_POPUP&amp;HEIGHT=450&amp;WIDTH=450&amp;START_MAXIMIZED=","FALSE&amp;VAR:CALENDAR=US&amp;VAR:SYMBOL=546834&amp;VAR:INDEX=0"}</definedName>
    <definedName name="_119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12__FDSAUDITLINK__" hidden="1">{"fdsup://directions/FAT Viewer?action=UPDATE&amp;creator=factset&amp;DYN_ARGS=TRUE&amp;DOC_NAME=FAT:FQL_AUDITING_CLIENT_TEMPLATE.FAT&amp;display_string=Audit&amp;VAR:KEY=RQJKFMLUTK&amp;VAR:QUERY=RkZfREVCVChRVFIsMCk=&amp;WINDOW=FIRST_POPUP&amp;HEIGHT=450&amp;WIDTH=450&amp;START_MAXIMIZED=FALSE&amp;VA","R:CALENDAR=US&amp;VAR:SYMBOL=MU&amp;VAR:INDEX=0"}</definedName>
    <definedName name="_120__FDSAUDITLINK__" hidden="1">{"fdsup://directions/FAT Viewer?action=UPDATE&amp;creator=factset&amp;DYN_ARGS=TRUE&amp;DOC_NAME=FAT:FQL_AUDITING_CLIENT_TEMPLATE.FAT&amp;display_string=Audit&amp;VAR:KEY=EVWBSTSFWT&amp;VAR:QUERY=RkZfREVCVChRVFIsMCk=&amp;WINDOW=FIRST_POPUP&amp;HEIGHT=450&amp;WIDTH=450&amp;START_MAXIMIZED=FALSE&amp;VA","R:CALENDAR=US&amp;VAR:SYMBOL=VECO&amp;VAR:INDEX=0"}</definedName>
    <definedName name="_121__FDSAUDITLINK__" hidden="1">{"fdsup://directions/FAT Viewer?action=UPDATE&amp;creator=factset&amp;DYN_ARGS=TRUE&amp;DOC_NAME=FAT:FQL_AUDITING_CLIENT_TEMPLATE.FAT&amp;display_string=Audit&amp;VAR:KEY=SJMPORYBQJ&amp;VAR:QUERY=RkZfSU5WRVNUX0xUKFFUUiwwKQ==&amp;WINDOW=FIRST_POPUP&amp;HEIGHT=450&amp;WIDTH=450&amp;START_MAXIMIZED=","FALSE&amp;VAR:CALENDAR=US&amp;VAR:SYMBOL=VECO&amp;VAR:INDEX=0"}</definedName>
    <definedName name="_122__FDSAUDITLINK__" hidden="1">{"fdsup://directions/FAT Viewer?action=UPDATE&amp;creator=factset&amp;DYN_ARGS=TRUE&amp;DOC_NAME=FAT:FQL_AUDITING_CLIENT_TEMPLATE.FAT&amp;display_string=Audit&amp;VAR:KEY=YRGRKZYBIZ&amp;VAR:QUERY=RkZfREVCVChRVFIsMCk=&amp;WINDOW=FIRST_POPUP&amp;HEIGHT=450&amp;WIDTH=450&amp;START_MAXIMIZED=FALSE&amp;VA","R:CALENDAR=US&amp;VAR:SYMBOL=UTEK&amp;VAR:INDEX=0"}</definedName>
    <definedName name="_123__FDSAUDITLINK__" hidden="1">{"fdsup://directions/FAT Viewer?action=UPDATE&amp;creator=factset&amp;DYN_ARGS=TRUE&amp;DOC_NAME=FAT:FQL_AUDITING_CLIENT_TEMPLATE.FAT&amp;display_string=Audit&amp;VAR:KEY=MTUFEPSHWL&amp;VAR:QUERY=RkZfSU5WRVNUX0xUKFFUUiwwKQ==&amp;WINDOW=FIRST_POPUP&amp;HEIGHT=450&amp;WIDTH=450&amp;START_MAXIMIZED=","FALSE&amp;VAR:CALENDAR=US&amp;VAR:SYMBOL=UTEK&amp;VAR:INDEX=0"}</definedName>
    <definedName name="_124__FDSAUDITLINK__" hidden="1">{"fdsup://Directions/FactSet Auditing Viewer?action=AUDIT_VALUE&amp;DB=129&amp;ID1=90403410&amp;VALUEID=02001&amp;SDATE=201102&amp;PERIODTYPE=QTR_STD&amp;SCFT=3&amp;window=popup_no_bar&amp;width=385&amp;height=120&amp;START_MAXIMIZED=FALSE&amp;creator=factset&amp;display_string=Audit"}</definedName>
    <definedName name="_125__FDSAUDITLINK__" hidden="1">{"fdsup://directions/FAT Viewer?action=UPDATE&amp;creator=factset&amp;DYN_ARGS=TRUE&amp;DOC_NAME=FAT:FQL_AUDITING_CLIENT_TEMPLATE.FAT&amp;display_string=Audit&amp;VAR:KEY=CJSJKBOHWJ&amp;VAR:QUERY=RkZfREVCVChRVFIsMCk=&amp;WINDOW=FIRST_POPUP&amp;HEIGHT=450&amp;WIDTH=450&amp;START_MAXIMIZED=FALSE&amp;VA","R:CALENDAR=US&amp;VAR:SYMBOL=TER&amp;VAR:INDEX=0"}</definedName>
    <definedName name="_126__FDSAUDITLINK__" hidden="1">{"fdsup://directions/FAT Viewer?action=UPDATE&amp;creator=factset&amp;DYN_ARGS=TRUE&amp;DOC_NAME=FAT:FQL_AUDITING_CLIENT_TEMPLATE.FAT&amp;display_string=Audit&amp;VAR:KEY=CNIXOXQTEN&amp;VAR:QUERY=RkZfSU5WRVNUX0xUKFFUUiwwKQ==&amp;WINDOW=FIRST_POPUP&amp;HEIGHT=450&amp;WIDTH=450&amp;START_MAXIMIZED=","FALSE&amp;VAR:CALENDAR=US&amp;VAR:SYMBOL=TER&amp;VAR:INDEX=0"}</definedName>
    <definedName name="_127__FDSAUDITLINK__" hidden="1">{"fdsup://directions/FAT Viewer?action=UPDATE&amp;creator=factset&amp;DYN_ARGS=TRUE&amp;DOC_NAME=FAT:FQL_AUDITING_CLIENT_TEMPLATE.FAT&amp;display_string=Audit&amp;VAR:KEY=EDMVQRIDEZ&amp;VAR:QUERY=RkZfREVCVChRVFIsMCk=&amp;WINDOW=FIRST_POPUP&amp;HEIGHT=450&amp;WIDTH=450&amp;START_MAXIMIZED=FALSE&amp;VA","R:CALENDAR=US&amp;VAR:SYMBOL=KLIC&amp;VAR:INDEX=0"}</definedName>
    <definedName name="_128__FDSAUDITLINK__" hidden="1">{"fdsup://directions/FAT Viewer?action=UPDATE&amp;creator=factset&amp;DYN_ARGS=TRUE&amp;DOC_NAME=FAT:FQL_AUDITING_CLIENT_TEMPLATE.FAT&amp;display_string=Audit&amp;VAR:KEY=UXQBSXMFSP&amp;VAR:QUERY=RkZfSU5WRVNUX0xUKFFUUiwwKQ==&amp;WINDOW=FIRST_POPUP&amp;HEIGHT=450&amp;WIDTH=450&amp;START_MAXIMIZED=","FALSE&amp;VAR:CALENDAR=US&amp;VAR:SYMBOL=KLIC&amp;VAR:INDEX=0"}</definedName>
    <definedName name="_129__FDSAUDITLINK__" hidden="1">{"fdsup://Directions/FactSet Auditing Viewer?action=AUDIT_VALUE&amp;DB=129&amp;ID1=50124210&amp;VALUEID=02001&amp;SDATE=201103&amp;PERIODTYPE=QTR_STD&amp;SCFT=3&amp;window=popup_no_bar&amp;width=385&amp;height=120&amp;START_MAXIMIZED=FALSE&amp;creator=factset&amp;display_string=Audit"}</definedName>
    <definedName name="_13__FDSAUDITLINK__" hidden="1">{"fdsup://directions/FAT Viewer?action=UPDATE&amp;creator=factset&amp;DYN_ARGS=TRUE&amp;DOC_NAME=FAT:FQL_AUDITING_CLIENT_TEMPLATE.FAT&amp;display_string=Audit&amp;VAR:KEY=BCZUBWBQVC&amp;VAR:QUERY=RkZfSU5WRVNUX0xUKFFUUiwwKQ==&amp;WINDOW=FIRST_POPUP&amp;HEIGHT=450&amp;WIDTH=450&amp;START_MAXIMIZED=","FALSE&amp;VAR:CALENDAR=US&amp;VAR:SYMBOL=MU&amp;VAR:INDEX=0"}</definedName>
    <definedName name="_130__FDSAUDITLINK__" hidden="1">{"fdsup://directions/FAT Viewer?action=UPDATE&amp;creator=factset&amp;DYN_ARGS=TRUE&amp;DOC_NAME=FAT:FQL_AUDITING_CLIENT_TEMPLATE.FAT&amp;display_string=Audit&amp;VAR:KEY=UDOBILGHIV&amp;VAR:QUERY=RkZfREVCVChRVFIsMCk=&amp;WINDOW=FIRST_POPUP&amp;HEIGHT=450&amp;WIDTH=450&amp;START_MAXIMIZED=FALSE&amp;VA","R:CALENDAR=US&amp;VAR:SYMBOL=WFR&amp;VAR:INDEX=0"}</definedName>
    <definedName name="_131__FDSAUDITLINK__" hidden="1">{"fdsup://directions/FAT Viewer?action=UPDATE&amp;creator=factset&amp;DYN_ARGS=TRUE&amp;DOC_NAME=FAT:FQL_AUDITING_CLIENT_TEMPLATE.FAT&amp;display_string=Audit&amp;VAR:KEY=MZSNGJKPOD&amp;VAR:QUERY=RkZfSU5WRVNUX0xUKFFUUiwwKQ==&amp;WINDOW=FIRST_POPUP&amp;HEIGHT=450&amp;WIDTH=450&amp;START_MAXIMIZED=","FALSE&amp;VAR:CALENDAR=US&amp;VAR:SYMBOL=WFR&amp;VAR:INDEX=0"}</definedName>
    <definedName name="_132__FDSAUDITLINK__" hidden="1">{"fdsup://directions/FAT Viewer?action=UPDATE&amp;creator=factset&amp;DYN_ARGS=TRUE&amp;DOC_NAME=FAT:FQL_AUDITING_CLIENT_TEMPLATE.FAT&amp;display_string=Audit&amp;VAR:KEY=UTOXOJQNGN&amp;VAR:QUERY=RkZfREVCVChRVFIsMCk=&amp;WINDOW=FIRST_POPUP&amp;HEIGHT=450&amp;WIDTH=450&amp;START_MAXIMIZED=FALSE&amp;VA","R:CALENDAR=US&amp;VAR:SYMBOL=ENTG&amp;VAR:INDEX=0"}</definedName>
    <definedName name="_133__FDSAUDITLINK__" hidden="1">{"fdsup://directions/FAT Viewer?action=UPDATE&amp;creator=factset&amp;DYN_ARGS=TRUE&amp;DOC_NAME=FAT:FQL_AUDITING_CLIENT_TEMPLATE.FAT&amp;display_string=Audit&amp;VAR:KEY=QNUZWTARGP&amp;VAR:QUERY=RkZfSU5WRVNUX0xUKFFUUiwwKQ==&amp;WINDOW=FIRST_POPUP&amp;HEIGHT=450&amp;WIDTH=450&amp;START_MAXIMIZED=","FALSE&amp;VAR:CALENDAR=US&amp;VAR:SYMBOL=ENTG&amp;VAR:INDEX=0"}</definedName>
    <definedName name="_134__FDSAUDITLINK__" hidden="1">{"fdsup://directions/FAT Viewer?action=UPDATE&amp;creator=factset&amp;DYN_ARGS=TRUE&amp;DOC_NAME=FAT:FQL_AUDITING_CLIENT_TEMPLATE.FAT&amp;display_string=Audit&amp;VAR:KEY=UTOXOJQNGN&amp;VAR:QUERY=RkZfREVCVChRVFIsMCk=&amp;WINDOW=FIRST_POPUP&amp;HEIGHT=450&amp;WIDTH=450&amp;START_MAXIMIZED=FALSE&amp;VA","R:CALENDAR=US&amp;VAR:SYMBOL=ENTG&amp;VAR:INDEX=0"}</definedName>
    <definedName name="_135__FDSAUDITLINK__" hidden="1">{"fdsup://directions/FAT Viewer?action=UPDATE&amp;creator=factset&amp;DYN_ARGS=TRUE&amp;DOC_NAME=FAT:FQL_AUDITING_CLIENT_TEMPLATE.FAT&amp;display_string=Audit&amp;VAR:KEY=QNUZWTARGP&amp;VAR:QUERY=RkZfSU5WRVNUX0xUKFFUUiwwKQ==&amp;WINDOW=FIRST_POPUP&amp;HEIGHT=450&amp;WIDTH=450&amp;START_MAXIMIZED=","FALSE&amp;VAR:CALENDAR=US&amp;VAR:SYMBOL=ENTG&amp;VAR:INDEX=0"}</definedName>
    <definedName name="_136__FDSAUDITLINK__" hidden="1">{"fdsup://directions/FAT Viewer?action=UPDATE&amp;creator=factset&amp;DYN_ARGS=TRUE&amp;DOC_NAME=FAT:FQL_AUDITING_CLIENT_TEMPLATE.FAT&amp;display_string=Audit&amp;VAR:KEY=UHSRSHANKH&amp;VAR:QUERY=RkZfREVCVChRVFIsMCk=&amp;WINDOW=FIRST_POPUP&amp;HEIGHT=450&amp;WIDTH=450&amp;START_MAXIMIZED=FALSE&amp;VA","R:CALENDAR=US&amp;VAR:SYMBOL=CCMP&amp;VAR:INDEX=0"}</definedName>
    <definedName name="_137__FDSAUDITLINK__" hidden="1">{"fdsup://directions/FAT Viewer?action=UPDATE&amp;creator=factset&amp;DYN_ARGS=TRUE&amp;DOC_NAME=FAT:FQL_AUDITING_CLIENT_TEMPLATE.FAT&amp;display_string=Audit&amp;VAR:KEY=WTCNGVITMF&amp;VAR:QUERY=RkZfSU5WRVNUX0xUKFFUUiwwKQ==&amp;WINDOW=FIRST_POPUP&amp;HEIGHT=450&amp;WIDTH=450&amp;START_MAXIMIZED=","FALSE&amp;VAR:CALENDAR=US&amp;VAR:SYMBOL=CCMP&amp;VAR:INDEX=0"}</definedName>
    <definedName name="_138__FDSAUDITLINK__" hidden="1">{"fdsup://directions/FAT Viewer?action=UPDATE&amp;creator=factset&amp;DYN_ARGS=TRUE&amp;DOC_NAME=FAT:FQL_AUDITING_CLIENT_TEMPLATE.FAT&amp;display_string=Audit&amp;VAR:KEY=UHSRSHANKH&amp;VAR:QUERY=RkZfREVCVChRVFIsMCk=&amp;WINDOW=FIRST_POPUP&amp;HEIGHT=450&amp;WIDTH=450&amp;START_MAXIMIZED=FALSE&amp;VA","R:CALENDAR=US&amp;VAR:SYMBOL=CCMP&amp;VAR:INDEX=0"}</definedName>
    <definedName name="_139__FDSAUDITLINK__" hidden="1">{"fdsup://directions/FAT Viewer?action=UPDATE&amp;creator=factset&amp;DYN_ARGS=TRUE&amp;DOC_NAME=FAT:FQL_AUDITING_CLIENT_TEMPLATE.FAT&amp;display_string=Audit&amp;VAR:KEY=WTCNGVITMF&amp;VAR:QUERY=RkZfSU5WRVNUX0xUKFFUUiwwKQ==&amp;WINDOW=FIRST_POPUP&amp;HEIGHT=450&amp;WIDTH=450&amp;START_MAXIMIZED=","FALSE&amp;VAR:CALENDAR=US&amp;VAR:SYMBOL=CCMP&amp;VAR:INDEX=0"}</definedName>
    <definedName name="_14__FDSAUDITLINK__" hidden="1">{"fdsup://Directions/FactSet Auditing Viewer?action=AUDIT_VALUE&amp;DB=129&amp;ID1=59511210&amp;VALUEID=02001&amp;SDATE=201104&amp;PERIODTYPE=QTR_STD&amp;SCFT=3&amp;window=popup_no_bar&amp;width=385&amp;height=120&amp;START_MAXIMIZED=FALSE&amp;creator=factset&amp;display_string=Audit"}</definedName>
    <definedName name="_140__FDSAUDITLINK__" hidden="1">{"fdsup://directions/FAT Viewer?action=UPDATE&amp;creator=factset&amp;DYN_ARGS=TRUE&amp;DOC_NAME=FAT:FQL_AUDITING_CLIENT_TEMPLATE.FAT&amp;display_string=Audit&amp;VAR:KEY=ODGNKDMPWZ&amp;VAR:QUERY=RkZfREVCVChRVFIsMCk=&amp;WINDOW=FIRST_POPUP&amp;HEIGHT=450&amp;WIDTH=450&amp;START_MAXIMIZED=FALSE&amp;VA","R:CALENDAR=US&amp;VAR:SYMBOL=ATMI&amp;VAR:INDEX=0"}</definedName>
    <definedName name="_141__FDSAUDITLINK__" hidden="1">{"fdsup://directions/FAT Viewer?action=UPDATE&amp;creator=factset&amp;DYN_ARGS=TRUE&amp;DOC_NAME=FAT:FQL_AUDITING_CLIENT_TEMPLATE.FAT&amp;display_string=Audit&amp;VAR:KEY=UBIJEPIJMN&amp;VAR:QUERY=RkZfSU5WRVNUX0xUKFFUUiwwKQ==&amp;WINDOW=FIRST_POPUP&amp;HEIGHT=450&amp;WIDTH=450&amp;START_MAXIMIZED=","FALSE&amp;VAR:CALENDAR=US&amp;VAR:SYMBOL=ATMI&amp;VAR:INDEX=0"}</definedName>
    <definedName name="_142__FDSAUDITLINK__" hidden="1">{"fdsup://directions/FAT Viewer?action=UPDATE&amp;creator=factset&amp;DYN_ARGS=TRUE&amp;DOC_NAME=FAT:FQL_AUDITING_CLIENT_TEMPLATE.FAT&amp;display_string=Audit&amp;VAR:KEY=ODGNKDMPWZ&amp;VAR:QUERY=RkZfREVCVChRVFIsMCk=&amp;WINDOW=FIRST_POPUP&amp;HEIGHT=450&amp;WIDTH=450&amp;START_MAXIMIZED=FALSE&amp;VA","R:CALENDAR=US&amp;VAR:SYMBOL=ATMI&amp;VAR:INDEX=0"}</definedName>
    <definedName name="_143__FDSAUDITLINK__" hidden="1">{"fdsup://directions/FAT Viewer?action=UPDATE&amp;creator=factset&amp;DYN_ARGS=TRUE&amp;DOC_NAME=FAT:FQL_AUDITING_CLIENT_TEMPLATE.FAT&amp;display_string=Audit&amp;VAR:KEY=UBIJEPIJMN&amp;VAR:QUERY=RkZfSU5WRVNUX0xUKFFUUiwwKQ==&amp;WINDOW=FIRST_POPUP&amp;HEIGHT=450&amp;WIDTH=450&amp;START_MAXIMIZED=","FALSE&amp;VAR:CALENDAR=US&amp;VAR:SYMBOL=ATMI&amp;VAR:INDEX=0"}</definedName>
    <definedName name="_144__FDSAUDITLINK__" hidden="1">{"fdsup://directions/FAT Viewer?action=UPDATE&amp;creator=factset&amp;DYN_ARGS=TRUE&amp;DOC_NAME=FAT:FQL_AUDITING_CLIENT_TEMPLATE.FAT&amp;display_string=Audit&amp;VAR:KEY=GFKLAHMJQP&amp;VAR:QUERY=RkZfREVCVChRVFIsMCk=&amp;WINDOW=FIRST_POPUP&amp;HEIGHT=450&amp;WIDTH=450&amp;START_MAXIMIZED=FALSE&amp;VA","R:CALENDAR=US&amp;VAR:SYMBOL=MKSI&amp;VAR:INDEX=0"}</definedName>
    <definedName name="_145__FDSAUDITLINK__" hidden="1">{"fdsup://directions/FAT Viewer?action=UPDATE&amp;creator=factset&amp;DYN_ARGS=TRUE&amp;DOC_NAME=FAT:FQL_AUDITING_CLIENT_TEMPLATE.FAT&amp;display_string=Audit&amp;VAR:KEY=KFIJYDUBML&amp;VAR:QUERY=RkZfSU5WRVNUX0xUKFFUUiwwKQ==&amp;WINDOW=FIRST_POPUP&amp;HEIGHT=450&amp;WIDTH=450&amp;START_MAXIMIZED=","FALSE&amp;VAR:CALENDAR=US&amp;VAR:SYMBOL=MKSI&amp;VAR:INDEX=0"}</definedName>
    <definedName name="_146__FDSAUDITLINK__" hidden="1">{"fdsup://directions/FAT Viewer?action=UPDATE&amp;creator=factset&amp;DYN_ARGS=TRUE&amp;DOC_NAME=FAT:FQL_AUDITING_CLIENT_TEMPLATE.FAT&amp;display_string=Audit&amp;VAR:KEY=QXMFURYBQF&amp;VAR:QUERY=RkZfREVCVChRVFIsMCk=&amp;WINDOW=FIRST_POPUP&amp;HEIGHT=450&amp;WIDTH=450&amp;START_MAXIMIZED=FALSE&amp;VA","R:CALENDAR=US&amp;VAR:SYMBOL=CYMI&amp;VAR:INDEX=0"}</definedName>
    <definedName name="_147__FDSAUDITLINK__" hidden="1">{"fdsup://directions/FAT Viewer?action=UPDATE&amp;creator=factset&amp;DYN_ARGS=TRUE&amp;DOC_NAME=FAT:FQL_AUDITING_CLIENT_TEMPLATE.FAT&amp;display_string=Audit&amp;VAR:KEY=QBKJAXATSD&amp;VAR:QUERY=RkZfSU5WRVNUX0xUKFFUUiwwKQ==&amp;WINDOW=FIRST_POPUP&amp;HEIGHT=450&amp;WIDTH=450&amp;START_MAXIMIZED=","FALSE&amp;VAR:CALENDAR=US&amp;VAR:SYMBOL=CYMI&amp;VAR:INDEX=0"}</definedName>
    <definedName name="_148__FDSAUDITLINK__" hidden="1">{"fdsup://directions/FAT Viewer?action=UPDATE&amp;creator=factset&amp;DYN_ARGS=TRUE&amp;DOC_NAME=FAT:FQL_AUDITING_CLIENT_TEMPLATE.FAT&amp;display_string=Audit&amp;VAR:KEY=MHMZEZIJKL&amp;VAR:QUERY=RkZfREVCVChRVFIsMCk=&amp;WINDOW=FIRST_POPUP&amp;HEIGHT=450&amp;WIDTH=450&amp;START_MAXIMIZED=FALSE&amp;VA","R:CALENDAR=US&amp;VAR:SYMBOL=BRKS&amp;VAR:INDEX=0"}</definedName>
    <definedName name="_149__FDSAUDITLINK__" hidden="1">{"fdsup://directions/FAT Viewer?action=UPDATE&amp;creator=factset&amp;DYN_ARGS=TRUE&amp;DOC_NAME=FAT:FQL_AUDITING_CLIENT_TEMPLATE.FAT&amp;display_string=Audit&amp;VAR:KEY=YHILABGZOJ&amp;VAR:QUERY=RkZfSU5WRVNUX0xUKFFUUiwwKQ==&amp;WINDOW=FIRST_POPUP&amp;HEIGHT=450&amp;WIDTH=450&amp;START_MAXIMIZED=","FALSE&amp;VAR:CALENDAR=US&amp;VAR:SYMBOL=BRKS&amp;VAR:INDEX=0"}</definedName>
    <definedName name="_15__FDSAUDITLINK__" hidden="1">{"fdsup://directions/FAT Viewer?action=UPDATE&amp;creator=factset&amp;DYN_ARGS=TRUE&amp;DOC_NAME=FAT:FQL_AUDITING_CLIENT_TEMPLATE.FAT&amp;display_string=Audit&amp;VAR:KEY=NYZKPURCZO&amp;VAR:QUERY=RkZfREVCVChRVFIsMCk=&amp;WINDOW=FIRST_POPUP&amp;HEIGHT=450&amp;WIDTH=450&amp;START_MAXIMIZED=FALSE&amp;VA","R:CALENDAR=US&amp;VAR:SYMBOL=657410&amp;VAR:INDEX=0"}</definedName>
    <definedName name="_150__FDSAUDITLINK__" hidden="1">{"fdsup://Directions/FactSet Auditing Viewer?action=AUDIT_VALUE&amp;DB=129&amp;ID1=11434010&amp;VALUEID=02001&amp;SDATE=201103&amp;PERIODTYPE=QTR_STD&amp;SCFT=3&amp;window=popup_no_bar&amp;width=385&amp;height=120&amp;START_MAXIMIZED=FALSE&amp;creator=factset&amp;display_string=Audit"}</definedName>
    <definedName name="_151__FDSAUDITLINK__" hidden="1">{"fdsup://directions/FAT Viewer?action=UPDATE&amp;creator=factset&amp;DYN_ARGS=TRUE&amp;DOC_NAME=FAT:FQL_AUDITING_CLIENT_TEMPLATE.FAT&amp;display_string=Audit&amp;VAR:KEY=UHIXYRKRMD&amp;VAR:QUERY=RkZfREVCVChRVFIsMCk=&amp;WINDOW=FIRST_POPUP&amp;HEIGHT=450&amp;WIDTH=450&amp;START_MAXIMIZED=FALSE&amp;VA","R:CALENDAR=US&amp;VAR:SYMBOL=AEIS&amp;VAR:INDEX=0"}</definedName>
    <definedName name="_152__FDSAUDITLINK__" hidden="1">{"fdsup://directions/FAT Viewer?action=UPDATE&amp;creator=factset&amp;DYN_ARGS=TRUE&amp;DOC_NAME=FAT:FQL_AUDITING_CLIENT_TEMPLATE.FAT&amp;display_string=Audit&amp;VAR:KEY=MVGVIDQBOB&amp;VAR:QUERY=RkZfSU5WRVNUX0xUKFFUUiwwKQ==&amp;WINDOW=FIRST_POPUP&amp;HEIGHT=450&amp;WIDTH=450&amp;START_MAXIMIZED=","FALSE&amp;VAR:CALENDAR=US&amp;VAR:SYMBOL=AEIS&amp;VAR:INDEX=0"}</definedName>
    <definedName name="_153__FDSAUDITLINK__" hidden="1">{"fdsup://directions/FAT Viewer?action=UPDATE&amp;creator=factset&amp;DYN_ARGS=TRUE&amp;DOC_NAME=FAT:FQL_AUDITING_CLIENT_TEMPLATE.FAT&amp;display_string=Audit&amp;VAR:KEY=GDYRMVYXAB&amp;VAR:QUERY=RkZfREVCVChRVFIsMCk=&amp;WINDOW=FIRST_POPUP&amp;HEIGHT=450&amp;WIDTH=450&amp;START_MAXIMIZED=FALSE&amp;VA","R:CALENDAR=US&amp;VAR:SYMBOL=VSEA&amp;VAR:INDEX=0"}</definedName>
    <definedName name="_154__FDSAUDITLINK__" hidden="1">{"fdsup://directions/FAT Viewer?action=UPDATE&amp;creator=factset&amp;DYN_ARGS=TRUE&amp;DOC_NAME=FAT:FQL_AUDITING_CLIENT_TEMPLATE.FAT&amp;display_string=Audit&amp;VAR:KEY=AJSBQTENQX&amp;VAR:QUERY=RkZfSU5WRVNUX0xUKFFUUiwwKQ==&amp;WINDOW=FIRST_POPUP&amp;HEIGHT=450&amp;WIDTH=450&amp;START_MAXIMIZED=","FALSE&amp;VAR:CALENDAR=US&amp;VAR:SYMBOL=VSEA&amp;VAR:INDEX=0"}</definedName>
    <definedName name="_155__FDSAUDITLINK__" hidden="1">{"fdsup://Directions/FactSet Auditing Viewer?action=AUDIT_VALUE&amp;DB=129&amp;ID1=92220710&amp;VALUEID=02001&amp;SDATE=201103&amp;PERIODTYPE=QTR_STD&amp;SCFT=3&amp;window=popup_no_bar&amp;width=385&amp;height=120&amp;START_MAXIMIZED=FALSE&amp;creator=factset&amp;display_string=Audit"}</definedName>
    <definedName name="_156__FDSAUDITLINK__" hidden="1">{"fdsup://directions/FAT Viewer?action=UPDATE&amp;creator=factset&amp;DYN_ARGS=TRUE&amp;DOC_NAME=FAT:FQL_AUDITING_CLIENT_TEMPLATE.FAT&amp;display_string=Audit&amp;VAR:KEY=YZIXQPSHAB&amp;VAR:QUERY=RkZfREVCVChRVFIsMCk=&amp;WINDOW=FIRST_POPUP&amp;HEIGHT=450&amp;WIDTH=450&amp;START_MAXIMIZED=FALSE&amp;VA","R:CALENDAR=US&amp;VAR:SYMBOL=RTEC&amp;VAR:INDEX=0"}</definedName>
    <definedName name="_157__FDSAUDITLINK__" hidden="1">{"fdsup://directions/FAT Viewer?action=UPDATE&amp;creator=factset&amp;DYN_ARGS=TRUE&amp;DOC_NAME=FAT:FQL_AUDITING_CLIENT_TEMPLATE.FAT&amp;display_string=Audit&amp;VAR:KEY=IXQJUXINUR&amp;VAR:QUERY=RkZfSU5WRVNUX0xUKFFUUiwwKQ==&amp;WINDOW=FIRST_POPUP&amp;HEIGHT=450&amp;WIDTH=450&amp;START_MAXIMIZED=","FALSE&amp;VAR:CALENDAR=US&amp;VAR:SYMBOL=RTEC&amp;VAR:INDEX=0"}</definedName>
    <definedName name="_158__FDSAUDITLINK__" hidden="1">{"fdsup://Directions/FactSet Auditing Viewer?action=AUDIT_VALUE&amp;DB=129&amp;ID1=78127010&amp;VALUEID=02001&amp;SDATE=201102&amp;PERIODTYPE=QTR_STD&amp;SCFT=3&amp;window=popup_no_bar&amp;width=385&amp;height=120&amp;START_MAXIMIZED=FALSE&amp;creator=factset&amp;display_string=Audit"}</definedName>
    <definedName name="_159__FDSAUDITLINK__" hidden="1">{"fdsup://directions/FAT Viewer?action=UPDATE&amp;creator=factset&amp;DYN_ARGS=TRUE&amp;DOC_NAME=FAT:FQL_AUDITING_CLIENT_TEMPLATE.FAT&amp;display_string=Audit&amp;VAR:KEY=QFOFMLKRUF&amp;VAR:QUERY=RkZfREVCVChRVFIsMCk=&amp;WINDOW=FIRST_POPUP&amp;HEIGHT=450&amp;WIDTH=450&amp;START_MAXIMIZED=FALSE&amp;VA","R:CALENDAR=US&amp;VAR:SYMBOL=NVLS&amp;VAR:INDEX=0"}</definedName>
    <definedName name="_16__FDSAUDITLINK__" hidden="1">{"fdsup://directions/FAT Viewer?action=UPDATE&amp;creator=factset&amp;DYN_ARGS=TRUE&amp;DOC_NAME=FAT:FQL_AUDITING_CLIENT_TEMPLATE.FAT&amp;display_string=Audit&amp;VAR:KEY=RIPWVERADI&amp;VAR:QUERY=RkZfSU5WRVNUX0xUKFFUUiwwKQ==&amp;WINDOW=FIRST_POPUP&amp;HEIGHT=450&amp;WIDTH=450&amp;START_MAXIMIZED=","FALSE&amp;VAR:CALENDAR=US&amp;VAR:SYMBOL=657410&amp;VAR:INDEX=0"}</definedName>
    <definedName name="_160__FDSAUDITLINK__" hidden="1">{"fdsup://directions/FAT Viewer?action=UPDATE&amp;creator=factset&amp;DYN_ARGS=TRUE&amp;DOC_NAME=FAT:FQL_AUDITING_CLIENT_TEMPLATE.FAT&amp;display_string=Audit&amp;VAR:KEY=CJQXGHEVUD&amp;VAR:QUERY=RkZfSU5WRVNUX0xUKFFUUiwwKQ==&amp;WINDOW=FIRST_POPUP&amp;HEIGHT=450&amp;WIDTH=450&amp;START_MAXIMIZED=","FALSE&amp;VAR:CALENDAR=US&amp;VAR:SYMBOL=NVLS&amp;VAR:INDEX=0"}</definedName>
    <definedName name="_161__FDSAUDITLINK__" hidden="1">{"fdsup://directions/FAT Viewer?action=UPDATE&amp;creator=factset&amp;DYN_ARGS=TRUE&amp;DOC_NAME=FAT:FQL_AUDITING_CLIENT_TEMPLATE.FAT&amp;display_string=Audit&amp;VAR:KEY=WLIVMRCFAP&amp;VAR:QUERY=RkZfREVCVChRVFIsMCk=&amp;WINDOW=FIRST_POPUP&amp;HEIGHT=450&amp;WIDTH=450&amp;START_MAXIMIZED=FALSE&amp;VA","R:CALENDAR=US&amp;VAR:SYMBOL=MTSN&amp;VAR:INDEX=0"}</definedName>
    <definedName name="_162__FDSAUDITLINK__" hidden="1">{"fdsup://directions/FAT Viewer?action=UPDATE&amp;creator=factset&amp;DYN_ARGS=TRUE&amp;DOC_NAME=FAT:FQL_AUDITING_CLIENT_TEMPLATE.FAT&amp;display_string=Audit&amp;VAR:KEY=EVMVOHGBIZ&amp;VAR:QUERY=RkZfSU5WRVNUX0xUKFFUUiwwKQ==&amp;WINDOW=FIRST_POPUP&amp;HEIGHT=450&amp;WIDTH=450&amp;START_MAXIMIZED=","FALSE&amp;VAR:CALENDAR=US&amp;VAR:SYMBOL=MTSN&amp;VAR:INDEX=0"}</definedName>
    <definedName name="_163__FDSAUDITLINK__" hidden="1">{"fdsup://Directions/FactSet Auditing Viewer?action=AUDIT_VALUE&amp;DB=129&amp;ID1=57722310&amp;VALUEID=02001&amp;SDATE=201102&amp;PERIODTYPE=QTR_STD&amp;SCFT=3&amp;window=popup_no_bar&amp;width=385&amp;height=120&amp;START_MAXIMIZED=FALSE&amp;creator=factset&amp;display_string=Audit"}</definedName>
    <definedName name="_164__FDSAUDITLINK__" hidden="1">{"fdsup://directions/FAT Viewer?action=UPDATE&amp;creator=factset&amp;DYN_ARGS=TRUE&amp;DOC_NAME=FAT:FQL_AUDITING_CLIENT_TEMPLATE.FAT&amp;display_string=Audit&amp;VAR:KEY=IRIHABKTUL&amp;VAR:QUERY=RkZfREVCVChRVFIsMCk=&amp;WINDOW=FIRST_POPUP&amp;HEIGHT=450&amp;WIDTH=450&amp;START_MAXIMIZED=FALSE&amp;VA","R:CALENDAR=US&amp;VAR:SYMBOL=LRCX&amp;VAR:INDEX=0"}</definedName>
    <definedName name="_165__FDSAUDITLINK__" hidden="1">{"fdsup://directions/FAT Viewer?action=UPDATE&amp;creator=factset&amp;DYN_ARGS=TRUE&amp;DOC_NAME=FAT:FQL_AUDITING_CLIENT_TEMPLATE.FAT&amp;display_string=Audit&amp;VAR:KEY=WBAFEFUVWF&amp;VAR:QUERY=RkZfSU5WRVNUX0xUKFFUUiwwKQ==&amp;WINDOW=FIRST_POPUP&amp;HEIGHT=450&amp;WIDTH=450&amp;START_MAXIMIZED=","FALSE&amp;VAR:CALENDAR=US&amp;VAR:SYMBOL=LRCX&amp;VAR:INDEX=0"}</definedName>
    <definedName name="_166__FDSAUDITLINK__" hidden="1">{"fdsup://Directions/FactSet Auditing Viewer?action=AUDIT_VALUE&amp;DB=129&amp;ID1=51280710&amp;VALUEID=02001&amp;SDATE=201104&amp;PERIODTYPE=QTR_STD&amp;SCFT=3&amp;window=popup_no_bar&amp;width=385&amp;height=120&amp;START_MAXIMIZED=FALSE&amp;creator=factset&amp;display_string=Audit"}</definedName>
    <definedName name="_167__FDSAUDITLINK__" hidden="1">{"fdsup://directions/FAT Viewer?action=UPDATE&amp;creator=factset&amp;DYN_ARGS=TRUE&amp;DOC_NAME=FAT:FQL_AUDITING_CLIENT_TEMPLATE.FAT&amp;display_string=Audit&amp;VAR:KEY=IRCVSZSDQL&amp;VAR:QUERY=RkZfREVCVChRVFIsMCk=&amp;WINDOW=FIRST_POPUP&amp;HEIGHT=450&amp;WIDTH=450&amp;START_MAXIMIZED=FALSE&amp;VA","R:CALENDAR=US&amp;VAR:SYMBOL=KLAC&amp;VAR:INDEX=0"}</definedName>
    <definedName name="_168__FDSAUDITLINK__" hidden="1">{"fdsup://directions/FAT Viewer?action=UPDATE&amp;creator=factset&amp;DYN_ARGS=TRUE&amp;DOC_NAME=FAT:FQL_AUDITING_CLIENT_TEMPLATE.FAT&amp;display_string=Audit&amp;VAR:KEY=MJGFGPCLWT&amp;VAR:QUERY=RkZfSU5WRVNUX0xUKFFUUiwwKQ==&amp;WINDOW=FIRST_POPUP&amp;HEIGHT=450&amp;WIDTH=450&amp;START_MAXIMIZED=","FALSE&amp;VAR:CALENDAR=US&amp;VAR:SYMBOL=KLAC&amp;VAR:INDEX=0"}</definedName>
    <definedName name="_169__FDSAUDITLINK__" hidden="1">{"fdsup://Directions/FactSet Auditing Viewer?action=AUDIT_VALUE&amp;DB=129&amp;ID1=48248010&amp;VALUEID=02001&amp;SDATE=201104&amp;PERIODTYPE=QTR_STD&amp;SCFT=3&amp;window=popup_no_bar&amp;width=385&amp;height=120&amp;START_MAXIMIZED=FALSE&amp;creator=factset&amp;display_string=Audit"}</definedName>
    <definedName name="_17__FDSAUDITLINK__" hidden="1">{"fdsup://Directions/FactSet Auditing Viewer?action=AUDIT_VALUE&amp;DB=129&amp;ID1=657410&amp;VALUEID=02001&amp;SDATE=201102&amp;PERIODTYPE=QTR_STD&amp;SCFT=3&amp;window=popup_no_bar&amp;width=385&amp;height=120&amp;START_MAXIMIZED=FALSE&amp;creator=factset&amp;display_string=Audit"}</definedName>
    <definedName name="_170__FDSAUDITLINK__" hidden="1">{"fdsup://directions/FAT Viewer?action=UPDATE&amp;creator=factset&amp;DYN_ARGS=TRUE&amp;DOC_NAME=FAT:FQL_AUDITING_CLIENT_TEMPLATE.FAT&amp;display_string=Audit&amp;VAR:KEY=MZGJOZALUD&amp;VAR:QUERY=RkZfREVCVChRVFIsMCk=&amp;WINDOW=FIRST_POPUP&amp;HEIGHT=450&amp;WIDTH=450&amp;START_MAXIMIZED=FALSE&amp;VA","R:CALENDAR=US&amp;VAR:SYMBOL=594936&amp;VAR:INDEX=0"}</definedName>
    <definedName name="_171__FDSAUDITLINK__" hidden="1">{"fdsup://directions/FAT Viewer?action=UPDATE&amp;creator=factset&amp;DYN_ARGS=TRUE&amp;DOC_NAME=FAT:FQL_AUDITING_CLIENT_TEMPLATE.FAT&amp;display_string=Audit&amp;VAR:KEY=WVYLUNMVED&amp;VAR:QUERY=RkZfSU5WRVNUX0xUKFFUUiwwKQ==&amp;WINDOW=FIRST_POPUP&amp;HEIGHT=450&amp;WIDTH=450&amp;START_MAXIMIZED=","FALSE&amp;VAR:CALENDAR=US&amp;VAR:SYMBOL=594936&amp;VAR:INDEX=0"}</definedName>
    <definedName name="_172__FDSAUDITLINK__" hidden="1">{"fdsup://Directions/FactSet Auditing Viewer?action=AUDIT_VALUE&amp;DB=129&amp;ID1=594936&amp;VALUEID=02001&amp;SDATE=201102&amp;PERIODTYPE=QTR_STD&amp;SCFT=3&amp;window=popup_no_bar&amp;width=385&amp;height=120&amp;START_MAXIMIZED=FALSE&amp;creator=factset&amp;display_string=Audit"}</definedName>
    <definedName name="_173__FDSAUDITLINK__" hidden="1">{"fdsup://directions/FAT Viewer?action=UPDATE&amp;creator=factset&amp;DYN_ARGS=TRUE&amp;DOC_NAME=FAT:FQL_AUDITING_CLIENT_TEMPLATE.FAT&amp;display_string=Audit&amp;VAR:KEY=AZOZALQNAV&amp;VAR:QUERY=RkZfREVCVChRVFIsMCk=&amp;WINDOW=FIRST_POPUP&amp;HEIGHT=450&amp;WIDTH=450&amp;START_MAXIMIZED=FALSE&amp;VA","R:CALENDAR=US&amp;VAR:SYMBOL=516529&amp;VAR:INDEX=0"}</definedName>
    <definedName name="_174__FDSAUDITLINK__" hidden="1">{"fdsup://directions/FAT Viewer?action=UPDATE&amp;creator=factset&amp;DYN_ARGS=TRUE&amp;DOC_NAME=FAT:FQL_AUDITING_CLIENT_TEMPLATE.FAT&amp;display_string=Audit&amp;VAR:KEY=GTGPIVARIL&amp;VAR:QUERY=RkZfSU5WRVNUX0xUKFFUUiwwKQ==&amp;WINDOW=FIRST_POPUP&amp;HEIGHT=450&amp;WIDTH=450&amp;START_MAXIMIZED=","FALSE&amp;VAR:CALENDAR=US&amp;VAR:SYMBOL=516529&amp;VAR:INDEX=0"}</definedName>
    <definedName name="_175__FDSAUDITLINK__" hidden="1">{"fdsup://directions/FAT Viewer?action=UPDATE&amp;creator=factset&amp;DYN_ARGS=TRUE&amp;DOC_NAME=FAT:FQL_AUDITING_CLIENT_TEMPLATE.FAT&amp;display_string=Audit&amp;VAR:KEY=ILEVYPYXYB&amp;VAR:QUERY=RkZfREVCVChRVFIsMCk=&amp;WINDOW=FIRST_POPUP&amp;HEIGHT=450&amp;WIDTH=450&amp;START_MAXIMIZED=FALSE&amp;VA","R:CALENDAR=US&amp;VAR:SYMBOL=AMAT&amp;VAR:INDEX=0"}</definedName>
    <definedName name="_176__FDSAUDITLINK__" hidden="1">{"fdsup://directions/FAT Viewer?action=UPDATE&amp;creator=factset&amp;DYN_ARGS=TRUE&amp;DOC_NAME=FAT:FQL_AUDITING_CLIENT_TEMPLATE.FAT&amp;display_string=Audit&amp;VAR:KEY=CDYFOHAVSV&amp;VAR:QUERY=RkZfSU5WRVNUX0xUKFFUUiwwKQ==&amp;WINDOW=FIRST_POPUP&amp;HEIGHT=450&amp;WIDTH=450&amp;START_MAXIMIZED=","FALSE&amp;VAR:CALENDAR=US&amp;VAR:SYMBOL=AMAT&amp;VAR:INDEX=0"}</definedName>
    <definedName name="_177__FDSAUDITLINK__" hidden="1">{"fdsup://Directions/FactSet Auditing Viewer?action=AUDIT_VALUE&amp;DB=129&amp;ID1=03822210&amp;VALUEID=02001&amp;SDATE=201103&amp;PERIODTYPE=QTR_STD&amp;SCFT=3&amp;window=popup_no_bar&amp;width=385&amp;height=120&amp;START_MAXIMIZED=FALSE&amp;creator=factset&amp;display_string=Audit"}</definedName>
    <definedName name="_178__FDSAUDITLINK__" hidden="1">{"fdsup://directions/FAT Viewer?action=UPDATE&amp;creator=factset&amp;DYN_ARGS=TRUE&amp;DOC_NAME=FAT:FQL_AUDITING_CLIENT_TEMPLATE.FAT&amp;display_string=Audit&amp;VAR:KEY=ILEVYPYXYB&amp;VAR:QUERY=RkZfREVCVChRVFIsMCk=&amp;WINDOW=FIRST_POPUP&amp;HEIGHT=450&amp;WIDTH=450&amp;START_MAXIMIZED=FALSE&amp;VA","R:CALENDAR=US&amp;VAR:SYMBOL=AMAT&amp;VAR:INDEX=0"}</definedName>
    <definedName name="_179__FDSAUDITLINK__" hidden="1">{"fdsup://directions/FAT Viewer?action=UPDATE&amp;creator=factset&amp;DYN_ARGS=TRUE&amp;DOC_NAME=FAT:FQL_AUDITING_CLIENT_TEMPLATE.FAT&amp;display_string=Audit&amp;VAR:KEY=CDYFOHAVSV&amp;VAR:QUERY=RkZfSU5WRVNUX0xUKFFUUiwwKQ==&amp;WINDOW=FIRST_POPUP&amp;HEIGHT=450&amp;WIDTH=450&amp;START_MAXIMIZED=","FALSE&amp;VAR:CALENDAR=US&amp;VAR:SYMBOL=AMAT&amp;VAR:INDEX=0"}</definedName>
    <definedName name="_18__FDSAUDITLINK__" hidden="1">{"fdsup://directions/FAT Viewer?action=UPDATE&amp;creator=factset&amp;DYN_ARGS=TRUE&amp;DOC_NAME=FAT:FQL_AUDITING_CLIENT_TEMPLATE.FAT&amp;display_string=Audit&amp;VAR:KEY=JMTIBGBMFO&amp;VAR:QUERY=RkZfREVCVChRVFIsMCk=&amp;WINDOW=FIRST_POPUP&amp;HEIGHT=450&amp;WIDTH=450&amp;START_MAXIMIZED=FALSE&amp;VA","R:CALENDAR=US&amp;VAR:SYMBOL=645026&amp;VAR:INDEX=0"}</definedName>
    <definedName name="_180__FDSAUDITLINK__" hidden="1">{"fdsup://directions/FAT Viewer?action=UPDATE&amp;creator=factset&amp;DYN_ARGS=TRUE&amp;DOC_NAME=FAT:FQL_AUDITING_CLIENT_TEMPLATE.FAT&amp;display_string=Audit&amp;VAR:KEY=ILEVYPYXYB&amp;VAR:QUERY=RkZfREVCVChRVFIsMCk=&amp;WINDOW=FIRST_POPUP&amp;HEIGHT=450&amp;WIDTH=450&amp;START_MAXIMIZED=FALSE&amp;VA","R:CALENDAR=US&amp;VAR:SYMBOL=AMAT&amp;VAR:INDEX=0"}</definedName>
    <definedName name="_181__FDSAUDITLINK__" hidden="1">{"fdsup://Directions/FactSet Auditing Viewer?action=AUDIT_VALUE&amp;DB=129&amp;ID1=03822210&amp;VALUEID=02001&amp;SDATE=201103&amp;PERIODTYPE=QTR_STD&amp;SCFT=3&amp;window=popup_no_bar&amp;width=385&amp;height=120&amp;START_MAXIMIZED=FALSE&amp;creator=factset&amp;display_string=Audit"}</definedName>
    <definedName name="_182__FDSAUDITLINK__" hidden="1">{"fdsup://directions/FAT Viewer?action=UPDATE&amp;creator=factset&amp;DYN_ARGS=TRUE&amp;DOC_NAME=FAT:FQL_AUDITING_CLIENT_TEMPLATE.FAT&amp;display_string=Audit&amp;VAR:KEY=AZOZALQNAV&amp;VAR:QUERY=RkZfREVCVChRVFIsMCk=&amp;WINDOW=FIRST_POPUP&amp;HEIGHT=450&amp;WIDTH=450&amp;START_MAXIMIZED=FALSE&amp;VA","R:CALENDAR=US&amp;VAR:SYMBOL=516529&amp;VAR:INDEX=0"}</definedName>
    <definedName name="_183__FDSAUDITLINK__" hidden="1">{"fdsup://Directions/FactSet Auditing Viewer?action=AUDIT_VALUE&amp;DB=129&amp;ID1=516529&amp;VALUEID=02001&amp;SDATE=201102&amp;PERIODTYPE=QTR_STD&amp;SCFT=3&amp;window=popup_no_bar&amp;width=385&amp;height=120&amp;START_MAXIMIZED=FALSE&amp;creator=factset&amp;display_string=Audit"}</definedName>
    <definedName name="_184__FDSAUDITLINK__" hidden="1">{"fdsup://Directions/FactSet Auditing Viewer?action=AUDIT_VALUE&amp;DB=129&amp;ID1=22544710&amp;VALUEID=02001&amp;SDATE=201104&amp;PERIODTYPE=QTR_STD&amp;SCFT=3&amp;window=popup_no_bar&amp;width=385&amp;height=120&amp;START_MAXIMIZED=FALSE&amp;creator=factset&amp;display_string=Audit"}</definedName>
    <definedName name="_185__FDSAUDITLINK__" hidden="1">{"fdsup://directions/FAT Viewer?action=UPDATE&amp;creator=factset&amp;DYN_ARGS=TRUE&amp;DOC_NAME=FAT:FQL_AUDITING_CLIENT_TEMPLATE.FAT&amp;display_string=Audit&amp;VAR:KEY=NWBCDANUJS&amp;VAR:QUERY=RkZfREVCVChRVFIsMCk=&amp;WINDOW=FIRST_POPUP&amp;HEIGHT=450&amp;WIDTH=450&amp;START_MAXIMIZED=FALSE&amp;VA","R:CALENDAR=US&amp;VAR:SYMBOL=546834&amp;VAR:INDEX=0"}</definedName>
    <definedName name="_186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187__FDSAUDITLINK__" hidden="1">{"fdsup://directions/FAT Viewer?action=UPDATE&amp;creator=factset&amp;DYN_ARGS=TRUE&amp;DOC_NAME=FAT:FQL_AUDITING_CLIENT_TEMPLATE.FAT&amp;display_string=Audit&amp;VAR:KEY=JQVOXSJKTY&amp;VAR:QUERY=RkZfREVCVChRVFIsMCk=&amp;WINDOW=FIRST_POPUP&amp;HEIGHT=450&amp;WIDTH=450&amp;START_MAXIMIZED=FALSE&amp;VA","R:CALENDAR=US&amp;VAR:SYMBOL=VECO&amp;VAR:INDEX=0"}</definedName>
    <definedName name="_188__FDSAUDITLINK__" hidden="1">{"fdsup://directions/FAT Viewer?action=UPDATE&amp;creator=factset&amp;DYN_ARGS=TRUE&amp;DOC_NAME=FAT:FQL_AUDITING_CLIENT_TEMPLATE.FAT&amp;display_string=Audit&amp;VAR:KEY=JYBSHGPCHU&amp;VAR:QUERY=RkZfSU5WRVNUX0xUKFFUUiwwKQ==&amp;WINDOW=FIRST_POPUP&amp;HEIGHT=450&amp;WIDTH=450&amp;START_MAXIMIZED=","FALSE&amp;VAR:CALENDAR=US&amp;VAR:SYMBOL=VECO&amp;VAR:INDEX=0"}</definedName>
    <definedName name="_189__FDSAUDITLINK__" hidden="1">{"fdsup://directions/FAT Viewer?action=UPDATE&amp;creator=factset&amp;DYN_ARGS=TRUE&amp;DOC_NAME=FAT:FQL_AUDITING_CLIENT_TEMPLATE.FAT&amp;display_string=Audit&amp;VAR:KEY=RELAHKLKNI&amp;VAR:QUERY=RkZfSU5WRVNUX0xUKFFUUiwwKQ==&amp;WINDOW=FIRST_POPUP&amp;HEIGHT=450&amp;WIDTH=450&amp;START_MAXIMIZED=","FALSE&amp;VAR:CALENDAR=FIVEDAY&amp;VAR:SYMBOL=594936&amp;VAR:INDEX=0"}</definedName>
    <definedName name="_19__FDSAUDITLINK__" hidden="1">{"fdsup://directions/FAT Viewer?action=UPDATE&amp;creator=factset&amp;DYN_ARGS=TRUE&amp;DOC_NAME=FAT:FQL_AUDITING_CLIENT_TEMPLATE.FAT&amp;display_string=Audit&amp;VAR:KEY=DYNAFORYDK&amp;VAR:QUERY=RkZfSU5WRVNUX0xUKFFUUiwwKQ==&amp;WINDOW=FIRST_POPUP&amp;HEIGHT=450&amp;WIDTH=450&amp;START_MAXIMIZED=","FALSE&amp;VAR:CALENDAR=US&amp;VAR:SYMBOL=645026&amp;VAR:INDEX=0"}</definedName>
    <definedName name="_190__FDSAUDITLINK__" hidden="1">{"fdsup://directions/FAT Viewer?action=UPDATE&amp;creator=factset&amp;DYN_ARGS=TRUE&amp;DOC_NAME=FAT:FQL_AUDITING_CLIENT_TEMPLATE.FAT&amp;display_string=Audit&amp;VAR:KEY=BSNYLGNITI&amp;VAR:QUERY=RkZfREVCVChRVFIsMCk=&amp;WINDOW=FIRST_POPUP&amp;HEIGHT=450&amp;WIDTH=450&amp;START_MAXIMIZED=FALSE&amp;VA","R:CALENDAR=FIVEDAY&amp;VAR:SYMBOL=516529&amp;VAR:INDEX=0"}</definedName>
    <definedName name="_191__FDSAUDITLINK__" hidden="1">{"fdsup://directions/FAT Viewer?action=UPDATE&amp;creator=factset&amp;DYN_ARGS=TRUE&amp;DOC_NAME=FAT:FQL_AUDITING_CLIENT_TEMPLATE.FAT&amp;display_string=Audit&amp;VAR:KEY=RIJOFKPEBQ&amp;VAR:QUERY=RkZfSU5WRVNUX0xUKFFUUiwwKQ==&amp;WINDOW=FIRST_POPUP&amp;HEIGHT=450&amp;WIDTH=450&amp;START_MAXIMIZED=","FALSE&amp;VAR:CALENDAR=FIVEDAY&amp;VAR:SYMBOL=516529&amp;VAR:INDEX=0"}</definedName>
    <definedName name="_192__FDSAUDITLINK__" hidden="1">{"fdsup://directions/FAT Viewer?action=UPDATE&amp;creator=factset&amp;DYN_ARGS=TRUE&amp;DOC_NAME=FAT:FQL_AUDITING_CLIENT_TEMPLATE.FAT&amp;display_string=Audit&amp;VAR:KEY=HYNKXMFQHG&amp;VAR:QUERY=RkZfREVCVChRVFIsMCk=&amp;WINDOW=FIRST_POPUP&amp;HEIGHT=450&amp;WIDTH=450&amp;START_MAXIMIZED=FALSE&amp;VA","R:CALENDAR=FIVEDAY&amp;VAR:SYMBOL=AMAT&amp;VAR:INDEX=0"}</definedName>
    <definedName name="_193__FDSAUDITLINK__" hidden="1">{"fdsup://directions/FAT Viewer?action=UPDATE&amp;creator=factset&amp;DYN_ARGS=TRUE&amp;DOC_NAME=FAT:FQL_AUDITING_CLIENT_TEMPLATE.FAT&amp;display_string=Audit&amp;VAR:KEY=HGDSHGBQHY&amp;VAR:QUERY=RkZfSU5WRVNUX0xUKFFUUiwwKQ==&amp;WINDOW=FIRST_POPUP&amp;HEIGHT=450&amp;WIDTH=450&amp;START_MAXIMIZED=","FALSE&amp;VAR:CALENDAR=FIVEDAY&amp;VAR:SYMBOL=AMAT&amp;VAR:INDEX=0"}</definedName>
    <definedName name="_194__FDSAUDITLINK__" hidden="1">{"fdsup://directions/FAT Viewer?action=UPDATE&amp;creator=factset&amp;DYN_ARGS=TRUE&amp;DOC_NAME=FAT:FQL_AUDITING_CLIENT_TEMPLATE.FAT&amp;display_string=Audit&amp;VAR:KEY=XGJAVGXYBM&amp;VAR:QUERY=RkZfREVCVChRVFIsMCk=&amp;WINDOW=FIRST_POPUP&amp;HEIGHT=450&amp;WIDTH=450&amp;START_MAXIMIZED=FALSE&amp;VA","R:CALENDAR=FIVEDAY&amp;VAR:SYMBOL=689721&amp;VAR:INDEX=0"}</definedName>
    <definedName name="_195__FDSAUDITLINK__" hidden="1">{"fdsup://directions/FAT Viewer?action=UPDATE&amp;creator=factset&amp;DYN_ARGS=TRUE&amp;DOC_NAME=FAT:FQL_AUDITING_CLIENT_TEMPLATE.FAT&amp;display_string=Audit&amp;VAR:KEY=LQPORIJCDC&amp;VAR:QUERY=RkZfSU5WRVNUX0xUKFFUUiwwKQ==&amp;WINDOW=FIRST_POPUP&amp;HEIGHT=450&amp;WIDTH=450&amp;START_MAXIMIZED=","FALSE&amp;VAR:CALENDAR=FIVEDAY&amp;VAR:SYMBOL=689721&amp;VAR:INDEX=0"}</definedName>
    <definedName name="_196__FDSAUDITLINK__" hidden="1">{"fdsup://Directions/FactSet Auditing Viewer?action=AUDIT_VALUE&amp;DB=129&amp;ID1=689721&amp;VALUEID=02001&amp;SDATE=201101&amp;PERIODTYPE=QTR_STD&amp;SCFT=3&amp;window=popup_no_bar&amp;width=385&amp;height=120&amp;START_MAXIMIZED=FALSE&amp;creator=factset&amp;display_string=Audit"}</definedName>
    <definedName name="_197__FDSAUDITLINK__" hidden="1">{"fdsup://directions/FAT Viewer?action=UPDATE&amp;creator=factset&amp;DYN_ARGS=TRUE&amp;DOC_NAME=FAT:FQL_AUDITING_CLIENT_TEMPLATE.FAT&amp;display_string=Audit&amp;VAR:KEY=BYJIVETELG&amp;VAR:QUERY=RkZfREVCVChRVFIsMCk=&amp;WINDOW=FIRST_POPUP&amp;HEIGHT=450&amp;WIDTH=450&amp;START_MAXIMIZED=FALSE&amp;VA","R:CALENDAR=FIVEDAY&amp;VAR:SYMBOL=CODE&amp;VAR:INDEX=0"}</definedName>
    <definedName name="_198__FDSAUDITLINK__" hidden="1">{"fdsup://directions/FAT Viewer?action=UPDATE&amp;creator=factset&amp;DYN_ARGS=TRUE&amp;DOC_NAME=FAT:FQL_AUDITING_CLIENT_TEMPLATE.FAT&amp;display_string=Audit&amp;VAR:KEY=RYTYHSBKPM&amp;VAR:QUERY=RkZfSU5WRVNUX0xUKFFUUiwwKQ==&amp;WINDOW=FIRST_POPUP&amp;HEIGHT=450&amp;WIDTH=450&amp;START_MAXIMIZED=","FALSE&amp;VAR:CALENDAR=FIVEDAY&amp;VAR:SYMBOL=CODE&amp;VAR:INDEX=0"}</definedName>
    <definedName name="_199__FDSAUDITLINK__" hidden="1">{"fdsup://directions/FAT Viewer?action=UPDATE&amp;creator=factset&amp;DYN_ARGS=TRUE&amp;DOC_NAME=FAT:FQL_AUDITING_CLIENT_TEMPLATE.FAT&amp;display_string=Audit&amp;VAR:KEY=BGVATMBYBC&amp;VAR:QUERY=RkZfREVCVChRVFIsMCk=&amp;WINDOW=FIRST_POPUP&amp;HEIGHT=450&amp;WIDTH=450&amp;START_MAXIMIZED=FALSE&amp;VA","R:CALENDAR=FIVEDAY&amp;VAR:SYMBOL=SNDK&amp;VAR:INDEX=0"}</definedName>
    <definedName name="_2__FDSAUDITLINK__" hidden="1">{"fdsup://directions/FAT Viewer?action=UPDATE&amp;creator=factset&amp;DYN_ARGS=TRUE&amp;DOC_NAME=FAT:FQL_AUDITING_CLIENT_TEMPLATE.FAT&amp;display_string=Audit&amp;VAR:KEY=HKRIBWLGVG&amp;VAR:QUERY=RkZfSU5WRVNUX0xUKFFUUiwwKQ==&amp;WINDOW=FIRST_POPUP&amp;HEIGHT=450&amp;WIDTH=450&amp;START_MAXIMIZED=","FALSE&amp;VAR:CALENDAR=US&amp;VAR:SYMBOL=689721&amp;VAR:INDEX=0"}</definedName>
    <definedName name="_20__FDSAUDITLINK__" hidden="1">{"fdsup://Directions/FactSet Auditing Viewer?action=AUDIT_VALUE&amp;DB=129&amp;ID1=645026&amp;VALUEID=02001&amp;SDATE=201102&amp;PERIODTYPE=QTR_STD&amp;SCFT=3&amp;window=popup_no_bar&amp;width=385&amp;height=120&amp;START_MAXIMIZED=FALSE&amp;creator=factset&amp;display_string=Audit"}</definedName>
    <definedName name="_200__FDSAUDITLINK__" hidden="1">{"fdsup://directions/FAT Viewer?action=UPDATE&amp;creator=factset&amp;DYN_ARGS=TRUE&amp;DOC_NAME=FAT:FQL_AUDITING_CLIENT_TEMPLATE.FAT&amp;display_string=Audit&amp;VAR:KEY=XWFUNABOTW&amp;VAR:QUERY=RkZfSU5WRVNUX0xUKFFUUiwwKQ==&amp;WINDOW=FIRST_POPUP&amp;HEIGHT=450&amp;WIDTH=450&amp;START_MAXIMIZED=","FALSE&amp;VAR:CALENDAR=FIVEDAY&amp;VAR:SYMBOL=SNDK&amp;VAR:INDEX=0"}</definedName>
    <definedName name="_201__FDSAUDITLINK__" hidden="1">{"fdsup://Directions/FactSet Auditing Viewer?action=AUDIT_VALUE&amp;DB=129&amp;ID1=80004C10&amp;VALUEID=02001&amp;SDATE=201102&amp;PERIODTYPE=QTR_STD&amp;SCFT=3&amp;window=popup_no_bar&amp;width=385&amp;height=120&amp;START_MAXIMIZED=FALSE&amp;creator=factset&amp;display_string=Audit"}</definedName>
    <definedName name="_202__FDSAUDITLINK__" hidden="1">{"fdsup://directions/FAT Viewer?action=UPDATE&amp;creator=factset&amp;DYN_ARGS=TRUE&amp;DOC_NAME=FAT:FQL_AUDITING_CLIENT_TEMPLATE.FAT&amp;display_string=Audit&amp;VAR:KEY=HOXWLMJYXW&amp;VAR:QUERY=RkZfREVCVChRVFIsMCk=&amp;WINDOW=FIRST_POPUP&amp;HEIGHT=450&amp;WIDTH=450&amp;START_MAXIMIZED=FALSE&amp;VA","R:CALENDAR=FIVEDAY&amp;VAR:SYMBOL=677172&amp;VAR:INDEX=0"}</definedName>
    <definedName name="_203__FDSAUDITLINK__" hidden="1">{"fdsup://directions/FAT Viewer?action=UPDATE&amp;creator=factset&amp;DYN_ARGS=TRUE&amp;DOC_NAME=FAT:FQL_AUDITING_CLIENT_TEMPLATE.FAT&amp;display_string=Audit&amp;VAR:KEY=DUPYTKLIHI&amp;VAR:QUERY=RkZfSU5WRVNUX0xUKFFUUiwwKQ==&amp;WINDOW=FIRST_POPUP&amp;HEIGHT=450&amp;WIDTH=450&amp;START_MAXIMIZED=","FALSE&amp;VAR:CALENDAR=FIVEDAY&amp;VAR:SYMBOL=677172&amp;VAR:INDEX=0"}</definedName>
    <definedName name="_204__FDSAUDITLINK__" hidden="1">{"fdsup://Directions/FactSet Auditing Viewer?action=AUDIT_VALUE&amp;DB=129&amp;ID1=677172&amp;VALUEID=02001&amp;SDATE=201101&amp;PERIODTYPE=QTR_STD&amp;SCFT=3&amp;window=popup_no_bar&amp;width=385&amp;height=120&amp;START_MAXIMIZED=FALSE&amp;creator=factset&amp;display_string=Audit"}</definedName>
    <definedName name="_205__FDSAUDITLINK__" hidden="1">{"fdsup://directions/FAT Viewer?action=UPDATE&amp;creator=factset&amp;DYN_ARGS=TRUE&amp;DOC_NAME=FAT:FQL_AUDITING_CLIENT_TEMPLATE.FAT&amp;display_string=Audit&amp;VAR:KEY=LYRUTSXCTW&amp;VAR:QUERY=RkZfREVCVChRVFIsMCk=&amp;WINDOW=FIRST_POPUP&amp;HEIGHT=450&amp;WIDTH=450&amp;START_MAXIMIZED=FALSE&amp;VA","R:CALENDAR=FIVEDAY&amp;VAR:SYMBOL=MU&amp;VAR:INDEX=0"}</definedName>
    <definedName name="_206__FDSAUDITLINK__" hidden="1">{"fdsup://directions/FAT Viewer?action=UPDATE&amp;creator=factset&amp;DYN_ARGS=TRUE&amp;DOC_NAME=FAT:FQL_AUDITING_CLIENT_TEMPLATE.FAT&amp;display_string=Audit&amp;VAR:KEY=JKFIBMJUFG&amp;VAR:QUERY=RkZfSU5WRVNUX0xUKFFUUiwwKQ==&amp;WINDOW=FIRST_POPUP&amp;HEIGHT=450&amp;WIDTH=450&amp;START_MAXIMIZED=","FALSE&amp;VAR:CALENDAR=FIVEDAY&amp;VAR:SYMBOL=MU&amp;VAR:INDEX=0"}</definedName>
    <definedName name="_207__FDSAUDITLINK__" hidden="1">{"fdsup://Directions/FactSet Auditing Viewer?action=AUDIT_VALUE&amp;DB=129&amp;ID1=59511210&amp;VALUEID=02001&amp;SDATE=201103&amp;PERIODTYPE=QTR_STD&amp;SCFT=3&amp;window=popup_no_bar&amp;width=385&amp;height=120&amp;START_MAXIMIZED=FALSE&amp;creator=factset&amp;display_string=Audit"}</definedName>
    <definedName name="_208__FDSAUDITLINK__" hidden="1">{"fdsup://directions/FAT Viewer?action=UPDATE&amp;creator=factset&amp;DYN_ARGS=TRUE&amp;DOC_NAME=FAT:FQL_AUDITING_CLIENT_TEMPLATE.FAT&amp;display_string=Audit&amp;VAR:KEY=HWHCJQNAZM&amp;VAR:QUERY=RkZfREVCVChRVFIsMCk=&amp;WINDOW=FIRST_POPUP&amp;HEIGHT=450&amp;WIDTH=450&amp;START_MAXIMIZED=FALSE&amp;VA","R:CALENDAR=FIVEDAY&amp;VAR:SYMBOL=657410&amp;VAR:INDEX=0"}</definedName>
    <definedName name="_209__FDSAUDITLINK__" hidden="1">{"fdsup://directions/FAT Viewer?action=UPDATE&amp;creator=factset&amp;DYN_ARGS=TRUE&amp;DOC_NAME=FAT:FQL_AUDITING_CLIENT_TEMPLATE.FAT&amp;display_string=Audit&amp;VAR:KEY=PSNWZYFWLO&amp;VAR:QUERY=RkZfSU5WRVNUX0xUKFFUUiwwKQ==&amp;WINDOW=FIRST_POPUP&amp;HEIGHT=450&amp;WIDTH=450&amp;START_MAXIMIZED=","FALSE&amp;VAR:CALENDAR=FIVEDAY&amp;VAR:SYMBOL=657410&amp;VAR:INDEX=0"}</definedName>
    <definedName name="_21__FDSAUDITLINK__" hidden="1">{"fdsup://directions/FAT Viewer?action=UPDATE&amp;creator=factset&amp;DYN_ARGS=TRUE&amp;DOC_NAME=FAT:FQL_AUDITING_CLIENT_TEMPLATE.FAT&amp;display_string=Audit&amp;VAR:KEY=HCDSXEXSDY&amp;VAR:QUERY=RkZfREVCVChRVFIsMCk=&amp;WINDOW=FIRST_POPUP&amp;HEIGHT=450&amp;WIDTH=450&amp;START_MAXIMIZED=FALSE&amp;VA","R:CALENDAR=US&amp;VAR:SYMBOL=B035F6&amp;VAR:INDEX=0"}</definedName>
    <definedName name="_210__FDSAUDITLINK__" hidden="1">{"fdsup://Directions/FactSet Auditing Viewer?action=AUDIT_VALUE&amp;DB=129&amp;ID1=657410&amp;VALUEID=02001&amp;SDATE=201101&amp;PERIODTYPE=QTR_STD&amp;SCFT=3&amp;window=popup_no_bar&amp;width=385&amp;height=120&amp;START_MAXIMIZED=FALSE&amp;creator=factset&amp;display_string=Audit"}</definedName>
    <definedName name="_211__FDSAUDITLINK__" hidden="1">{"fdsup://directions/FAT Viewer?action=UPDATE&amp;creator=factset&amp;DYN_ARGS=TRUE&amp;DOC_NAME=FAT:FQL_AUDITING_CLIENT_TEMPLATE.FAT&amp;display_string=Audit&amp;VAR:KEY=FWHMHKNSTU&amp;VAR:QUERY=RkZfREVCVChRVFIsMCk=&amp;WINDOW=FIRST_POPUP&amp;HEIGHT=450&amp;WIDTH=450&amp;START_MAXIMIZED=FALSE&amp;VA","R:CALENDAR=FIVEDAY&amp;VAR:SYMBOL=645026&amp;VAR:INDEX=0"}</definedName>
    <definedName name="_212__FDSAUDITLINK__" hidden="1">{"fdsup://directions/FAT Viewer?action=UPDATE&amp;creator=factset&amp;DYN_ARGS=TRUE&amp;DOC_NAME=FAT:FQL_AUDITING_CLIENT_TEMPLATE.FAT&amp;display_string=Audit&amp;VAR:KEY=LIPARYJUVA&amp;VAR:QUERY=RkZfSU5WRVNUX0xUKFFUUiwwKQ==&amp;WINDOW=FIRST_POPUP&amp;HEIGHT=450&amp;WIDTH=450&amp;START_MAXIMIZED=","FALSE&amp;VAR:CALENDAR=FIVEDAY&amp;VAR:SYMBOL=645026&amp;VAR:INDEX=0"}</definedName>
    <definedName name="_213__FDSAUDITLINK__" hidden="1">{"fdsup://Directions/FactSet Auditing Viewer?action=AUDIT_VALUE&amp;DB=129&amp;ID1=645026&amp;VALUEID=02001&amp;SDATE=201102&amp;PERIODTYPE=QTR_STD&amp;SCFT=3&amp;window=popup_no_bar&amp;width=385&amp;height=120&amp;START_MAXIMIZED=FALSE&amp;creator=factset&amp;display_string=Audit"}</definedName>
    <definedName name="_214__FDSAUDITLINK__" hidden="1">{"fdsup://directions/FAT Viewer?action=UPDATE&amp;creator=factset&amp;DYN_ARGS=TRUE&amp;DOC_NAME=FAT:FQL_AUDITING_CLIENT_TEMPLATE.FAT&amp;display_string=Audit&amp;VAR:KEY=PQXOZQHUDM&amp;VAR:QUERY=RkZfREVCVChRVFIsMCk=&amp;WINDOW=FIRST_POPUP&amp;HEIGHT=450&amp;WIDTH=450&amp;START_MAXIMIZED=FALSE&amp;VA","R:CALENDAR=FIVEDAY&amp;VAR:SYMBOL=B035F6&amp;VAR:INDEX=0"}</definedName>
    <definedName name="_215__FDSAUDITLINK__" hidden="1">{"fdsup://directions/FAT Viewer?action=UPDATE&amp;creator=factset&amp;DYN_ARGS=TRUE&amp;DOC_NAME=FAT:FQL_AUDITING_CLIENT_TEMPLATE.FAT&amp;display_string=Audit&amp;VAR:KEY=XGXOVADELM&amp;VAR:QUERY=RkZfSU5WRVNUX0xUKFFUUiwwKQ==&amp;WINDOW=FIRST_POPUP&amp;HEIGHT=450&amp;WIDTH=450&amp;START_MAXIMIZED=","FALSE&amp;VAR:CALENDAR=FIVEDAY&amp;VAR:SYMBOL=B035F6&amp;VAR:INDEX=0"}</definedName>
    <definedName name="_216__FDSAUDITLINK__" hidden="1">{"fdsup://Directions/FactSet Auditing Viewer?action=AUDIT_VALUE&amp;DB=129&amp;ID1=B035F6&amp;VALUEID=02001&amp;SDATE=201101&amp;PERIODTYPE=QTR_STD&amp;SCFT=3&amp;window=popup_no_bar&amp;width=385&amp;height=120&amp;START_MAXIMIZED=FALSE&amp;creator=factset&amp;display_string=Audit"}</definedName>
    <definedName name="_217__FDSAUDITLINK__" hidden="1">{"fdsup://directions/FAT Viewer?action=UPDATE&amp;creator=factset&amp;DYN_ARGS=TRUE&amp;DOC_NAME=FAT:FQL_AUDITING_CLIENT_TEMPLATE.FAT&amp;display_string=Audit&amp;VAR:KEY=BKHAHQJWTG&amp;VAR:QUERY=RkZfREVCVChRVFIsMCk=&amp;WINDOW=FIRST_POPUP&amp;HEIGHT=450&amp;WIDTH=450&amp;START_MAXIMIZED=FALSE&amp;VA","R:CALENDAR=FIVEDAY&amp;VAR:SYMBOL=696651&amp;VAR:INDEX=0"}</definedName>
    <definedName name="_218__FDSAUDITLINK__" hidden="1">{"fdsup://directions/FAT Viewer?action=UPDATE&amp;creator=factset&amp;DYN_ARGS=TRUE&amp;DOC_NAME=FAT:FQL_AUDITING_CLIENT_TEMPLATE.FAT&amp;display_string=Audit&amp;VAR:KEY=XOBIXOPMZA&amp;VAR:QUERY=RkZfSU5WRVNUX0xUKFFUUiwwKQ==&amp;WINDOW=FIRST_POPUP&amp;HEIGHT=450&amp;WIDTH=450&amp;START_MAXIMIZED=","FALSE&amp;VAR:CALENDAR=FIVEDAY&amp;VAR:SYMBOL=696651&amp;VAR:INDEX=0"}</definedName>
    <definedName name="_219__FDSAUDITLINK__" hidden="1">{"fdsup://directions/FAT Viewer?action=UPDATE&amp;creator=factset&amp;DYN_ARGS=TRUE&amp;DOC_NAME=FAT:FQL_AUDITING_CLIENT_TEMPLATE.FAT&amp;display_string=Audit&amp;VAR:KEY=FYVEFGXWNO&amp;VAR:QUERY=RkZfREVCVChRVFIsMCk=&amp;WINDOW=FIRST_POPUP&amp;HEIGHT=450&amp;WIDTH=450&amp;START_MAXIMIZED=FALSE&amp;VA","R:CALENDAR=FIVEDAY&amp;VAR:SYMBOL=615629&amp;VAR:INDEX=0"}</definedName>
    <definedName name="_22__FDSAUDITLINK__" hidden="1">{"fdsup://directions/FAT Viewer?action=UPDATE&amp;creator=factset&amp;DYN_ARGS=TRUE&amp;DOC_NAME=FAT:FQL_AUDITING_CLIENT_TEMPLATE.FAT&amp;display_string=Audit&amp;VAR:KEY=FOLOXSXGPE&amp;VAR:QUERY=RkZfSU5WRVNUX0xUKFFUUiwwKQ==&amp;WINDOW=FIRST_POPUP&amp;HEIGHT=450&amp;WIDTH=450&amp;START_MAXIMIZED=","FALSE&amp;VAR:CALENDAR=US&amp;VAR:SYMBOL=B035F6&amp;VAR:INDEX=0"}</definedName>
    <definedName name="_220__FDSAUDITLINK__" hidden="1">{"fdsup://directions/FAT Viewer?action=UPDATE&amp;creator=factset&amp;DYN_ARGS=TRUE&amp;DOC_NAME=FAT:FQL_AUDITING_CLIENT_TEMPLATE.FAT&amp;display_string=Audit&amp;VAR:KEY=PGVGRMLUJI&amp;VAR:QUERY=RkZfSU5WRVNUX0xUKFFUUiwwKQ==&amp;WINDOW=FIRST_POPUP&amp;HEIGHT=450&amp;WIDTH=450&amp;START_MAXIMIZED=","FALSE&amp;VAR:CALENDAR=FIVEDAY&amp;VAR:SYMBOL=615629&amp;VAR:INDEX=0"}</definedName>
    <definedName name="_221__FDSAUDITLINK__" hidden="1">{"fdsup://Directions/FactSet Auditing Viewer?action=AUDIT_VALUE&amp;DB=129&amp;ID1=615629&amp;VALUEID=02001&amp;SDATE=201101&amp;PERIODTYPE=QTR_STD&amp;SCFT=3&amp;window=popup_no_bar&amp;width=385&amp;height=120&amp;START_MAXIMIZED=FALSE&amp;creator=factset&amp;display_string=Audit"}</definedName>
    <definedName name="_222__FDSAUDITLINK__" hidden="1">{"fdsup://directions/FAT Viewer?action=UPDATE&amp;creator=factset&amp;DYN_ARGS=TRUE&amp;DOC_NAME=FAT:FQL_AUDITING_CLIENT_TEMPLATE.FAT&amp;display_string=Audit&amp;VAR:KEY=FKRILMJABS&amp;VAR:QUERY=RkZfREVCVChRVFIsMCk=&amp;WINDOW=FIRST_POPUP&amp;HEIGHT=450&amp;WIDTH=450&amp;START_MAXIMIZED=FALSE&amp;VA","R:CALENDAR=FIVEDAY&amp;VAR:SYMBOL=610899&amp;VAR:INDEX=0"}</definedName>
    <definedName name="_223__FDSAUDITLINK__" hidden="1">{"fdsup://directions/FAT Viewer?action=UPDATE&amp;creator=factset&amp;DYN_ARGS=TRUE&amp;DOC_NAME=FAT:FQL_AUDITING_CLIENT_TEMPLATE.FAT&amp;display_string=Audit&amp;VAR:KEY=NGRCRWBOTG&amp;VAR:QUERY=RkZfSU5WRVNUX0xUKFFUUiwwKQ==&amp;WINDOW=FIRST_POPUP&amp;HEIGHT=450&amp;WIDTH=450&amp;START_MAXIMIZED=","FALSE&amp;VAR:CALENDAR=FIVEDAY&amp;VAR:SYMBOL=610899&amp;VAR:INDEX=0"}</definedName>
    <definedName name="_224__FDSAUDITLINK__" hidden="1">{"fdsup://directions/FAT Viewer?action=UPDATE&amp;creator=factset&amp;DYN_ARGS=TRUE&amp;DOC_NAME=FAT:FQL_AUDITING_CLIENT_TEMPLATE.FAT&amp;display_string=Audit&amp;VAR:KEY=HKZOPSNIPW&amp;VAR:QUERY=RkZfREVCVChRVFIsMCk=&amp;WINDOW=FIRST_POPUP&amp;HEIGHT=450&amp;WIDTH=450&amp;START_MAXIMIZED=FALSE&amp;VA","R:CALENDAR=FIVEDAY&amp;VAR:SYMBOL=628360&amp;VAR:INDEX=0"}</definedName>
    <definedName name="_225__FDSAUDITLINK__" hidden="1">{"fdsup://directions/FAT Viewer?action=UPDATE&amp;creator=factset&amp;DYN_ARGS=TRUE&amp;DOC_NAME=FAT:FQL_AUDITING_CLIENT_TEMPLATE.FAT&amp;display_string=Audit&amp;VAR:KEY=XYVGBWLCLK&amp;VAR:QUERY=RkZfSU5WRVNUX0xUKFFUUiwwKQ==&amp;WINDOW=FIRST_POPUP&amp;HEIGHT=450&amp;WIDTH=450&amp;START_MAXIMIZED=","FALSE&amp;VAR:CALENDAR=FIVEDAY&amp;VAR:SYMBOL=628360&amp;VAR:INDEX=0"}</definedName>
    <definedName name="_226__FDSAUDITLINK__" hidden="1">{"fdsup://Directions/FactSet Auditing Viewer?action=AUDIT_VALUE&amp;DB=129&amp;ID1=628360&amp;VALUEID=02001&amp;SDATE=201101&amp;PERIODTYPE=QTR_STD&amp;SCFT=3&amp;window=popup_no_bar&amp;width=385&amp;height=120&amp;START_MAXIMIZED=FALSE&amp;creator=factset&amp;display_string=Audit"}</definedName>
    <definedName name="_227__FDSAUDITLINK__" hidden="1">{"fdsup://directions/FAT Viewer?action=UPDATE&amp;creator=factset&amp;DYN_ARGS=TRUE&amp;DOC_NAME=FAT:FQL_AUDITING_CLIENT_TEMPLATE.FAT&amp;display_string=Audit&amp;VAR:KEY=TWJOZSNAJA&amp;VAR:QUERY=RkZfREVCVChRVFIsMCk=&amp;WINDOW=FIRST_POPUP&amp;HEIGHT=450&amp;WIDTH=450&amp;START_MAXIMIZED=FALSE&amp;VA","R:CALENDAR=FIVEDAY&amp;VAR:SYMBOL=B071G3&amp;VAR:INDEX=0"}</definedName>
    <definedName name="_228__FDSAUDITLINK__" hidden="1">{"fdsup://directions/FAT Viewer?action=UPDATE&amp;creator=factset&amp;DYN_ARGS=TRUE&amp;DOC_NAME=FAT:FQL_AUDITING_CLIENT_TEMPLATE.FAT&amp;display_string=Audit&amp;VAR:KEY=NQXIXKLILY&amp;VAR:QUERY=RkZfSU5WRVNUX0xUKFFUUiwwKQ==&amp;WINDOW=FIRST_POPUP&amp;HEIGHT=450&amp;WIDTH=450&amp;START_MAXIMIZED=","FALSE&amp;VAR:CALENDAR=FIVEDAY&amp;VAR:SYMBOL=B071G3&amp;VAR:INDEX=0"}</definedName>
    <definedName name="_229__FDSAUDITLINK__" hidden="1">{"fdsup://Directions/FactSet Auditing Viewer?action=AUDIT_VALUE&amp;DB=129&amp;ID1=B071G3&amp;VALUEID=02001&amp;SDATE=201101&amp;PERIODTYPE=QTR_STD&amp;SCFT=3&amp;window=popup_no_bar&amp;width=385&amp;height=120&amp;START_MAXIMIZED=FALSE&amp;creator=factset&amp;display_string=Audit"}</definedName>
    <definedName name="_23__FDSAUDITLINK__" hidden="1">{"fdsup://Directions/FactSet Auditing Viewer?action=AUDIT_VALUE&amp;DB=129&amp;ID1=B035F6&amp;VALUEID=02001&amp;SDATE=201101&amp;PERIODTYPE=QTR_STD&amp;SCFT=3&amp;window=popup_no_bar&amp;width=385&amp;height=120&amp;START_MAXIMIZED=FALSE&amp;creator=factset&amp;display_string=Audit"}</definedName>
    <definedName name="_230__FDSAUDITLINK__" hidden="1">{"fdsup://directions/FAT Viewer?action=UPDATE&amp;creator=factset&amp;DYN_ARGS=TRUE&amp;DOC_NAME=FAT:FQL_AUDITING_CLIENT_TEMPLATE.FAT&amp;display_string=Audit&amp;VAR:KEY=BOTOJQZCTG&amp;VAR:QUERY=RkZfREVCVChRVFIsMCk=&amp;WINDOW=FIRST_POPUP&amp;HEIGHT=450&amp;WIDTH=450&amp;START_MAXIMIZED=FALSE&amp;VA","R:CALENDAR=FIVEDAY&amp;VAR:SYMBOL=546834&amp;VAR:INDEX=0"}</definedName>
    <definedName name="_231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232__FDSAUDITLINK__" hidden="1">{"fdsup://directions/FAT Viewer?action=UPDATE&amp;creator=factset&amp;DYN_ARGS=TRUE&amp;DOC_NAME=FAT:FQL_AUDITING_CLIENT_TEMPLATE.FAT&amp;display_string=Audit&amp;VAR:KEY=BOTOJQZCTG&amp;VAR:QUERY=RkZfREVCVChRVFIsMCk=&amp;WINDOW=FIRST_POPUP&amp;HEIGHT=450&amp;WIDTH=450&amp;START_MAXIMIZED=FALSE&amp;VA","R:CALENDAR=FIVEDAY&amp;VAR:SYMBOL=546834&amp;VAR:INDEX=0"}</definedName>
    <definedName name="_233__FDSAUDITLINK__" hidden="1">{"fdsup://directions/FAT Viewer?action=UPDATE&amp;creator=factset&amp;DYN_ARGS=TRUE&amp;DOC_NAME=FAT:FQL_AUDITING_CLIENT_TEMPLATE.FAT&amp;display_string=Audit&amp;VAR:KEY=NYTKJIBERQ&amp;VAR:QUERY=RkZfSU5WRVNUX0xUKFFUUiwwKQ==&amp;WINDOW=FIRST_POPUP&amp;HEIGHT=450&amp;WIDTH=450&amp;START_MAXIMIZED=","FALSE&amp;VAR:CALENDAR=FIVEDAY&amp;VAR:SYMBOL=546834&amp;VAR:INDEX=0"}</definedName>
    <definedName name="_234__FDSAUDITLINK__" hidden="1">{"fdsup://directions/FAT Viewer?action=UPDATE&amp;creator=factset&amp;DYN_ARGS=TRUE&amp;DOC_NAME=FAT:FQL_AUDITING_CLIENT_TEMPLATE.FAT&amp;display_string=Audit&amp;VAR:KEY=HEJSJGNOBC&amp;VAR:QUERY=RkZfREVCVChRVFIsMCk=&amp;WINDOW=FIRST_POPUP&amp;HEIGHT=450&amp;WIDTH=450&amp;START_MAXIMIZED=FALSE&amp;VA","R:CALENDAR=FIVEDAY&amp;VAR:SYMBOL=VECO&amp;VAR:INDEX=0"}</definedName>
    <definedName name="_235__FDSAUDITLINK__" hidden="1">{"fdsup://Directions/FactSet Auditing Viewer?action=AUDIT_VALUE&amp;DB=129&amp;ID1=92241710&amp;VALUEID=02001&amp;SDATE=201102&amp;PERIODTYPE=QTR_STD&amp;SCFT=3&amp;window=popup_no_bar&amp;width=385&amp;height=120&amp;START_MAXIMIZED=FALSE&amp;creator=factset&amp;display_string=Audit"}</definedName>
    <definedName name="_236__FDSAUDITLINK__" hidden="1">{"fdsup://directions/FAT Viewer?action=UPDATE&amp;creator=factset&amp;DYN_ARGS=TRUE&amp;DOC_NAME=FAT:FQL_AUDITING_CLIENT_TEMPLATE.FAT&amp;display_string=Audit&amp;VAR:KEY=BSNYLGNITI&amp;VAR:QUERY=RkZfREVCVChRVFIsMCk=&amp;WINDOW=FIRST_POPUP&amp;HEIGHT=450&amp;WIDTH=450&amp;START_MAXIMIZED=FALSE&amp;VA","R:CALENDAR=FIVEDAY&amp;VAR:SYMBOL=516529&amp;VAR:INDEX=0"}</definedName>
    <definedName name="_237__FDSAUDITLINK__" hidden="1">{"fdsup://Directions/FactSet Auditing Viewer?action=AUDIT_VALUE&amp;DB=129&amp;ID1=516529&amp;VALUEID=02001&amp;SDATE=201102&amp;PERIODTYPE=QTR_STD&amp;SCFT=3&amp;window=popup_no_bar&amp;width=385&amp;height=120&amp;START_MAXIMIZED=FALSE&amp;creator=factset&amp;display_string=Audit"}</definedName>
    <definedName name="_238__FDSAUDITLINK__" hidden="1">{"fdsup://directions/FAT Viewer?action=UPDATE&amp;creator=factset&amp;DYN_ARGS=TRUE&amp;DOC_NAME=FAT:FQL_AUDITING_CLIENT_TEMPLATE.FAT&amp;display_string=Audit&amp;VAR:KEY=HYNKXMFQHG&amp;VAR:QUERY=RkZfREVCVChRVFIsMCk=&amp;WINDOW=FIRST_POPUP&amp;HEIGHT=450&amp;WIDTH=450&amp;START_MAXIMIZED=FALSE&amp;VA","R:CALENDAR=FIVEDAY&amp;VAR:SYMBOL=AMAT&amp;VAR:INDEX=0"}</definedName>
    <definedName name="_239__FDSAUDITLINK__" hidden="1">{"fdsup://Directions/FactSet Auditing Viewer?action=AUDIT_VALUE&amp;DB=129&amp;ID1=03822210&amp;VALUEID=02001&amp;SDATE=201102&amp;PERIODTYPE=QTR_STD&amp;SCFT=3&amp;window=popup_no_bar&amp;width=385&amp;height=120&amp;START_MAXIMIZED=FALSE&amp;creator=factset&amp;display_string=Audit"}</definedName>
    <definedName name="_24__FDSAUDITLINK__" hidden="1">{"fdsup://directions/FAT Viewer?action=UPDATE&amp;creator=factset&amp;DYN_ARGS=TRUE&amp;DOC_NAME=FAT:FQL_AUDITING_CLIENT_TEMPLATE.FAT&amp;display_string=Audit&amp;VAR:KEY=FSFIVKZCVC&amp;VAR:QUERY=RkZfREVCVChRVFIsMCk=&amp;WINDOW=FIRST_POPUP&amp;HEIGHT=450&amp;WIDTH=450&amp;START_MAXIMIZED=FALSE&amp;VA","R:CALENDAR=US&amp;VAR:SYMBOL=696651&amp;VAR:INDEX=0"}</definedName>
    <definedName name="_240__FDSAUDITLINK__" hidden="1">{"fdsup://directions/FAT Viewer?action=UPDATE&amp;creator=factset&amp;DYN_ARGS=TRUE&amp;DOC_NAME=FAT:FQL_AUDITING_CLIENT_TEMPLATE.FAT&amp;display_string=Audit&amp;VAR:KEY=JETALGBQZY&amp;VAR:QUERY=RkZfREVCVChRVFIsMCk=&amp;WINDOW=FIRST_POPUP&amp;HEIGHT=450&amp;WIDTH=450&amp;START_MAXIMIZED=FALSE&amp;VA","R:CALENDAR=FIVEDAY&amp;VAR:SYMBOL=NVLS&amp;VAR:INDEX=0"}</definedName>
    <definedName name="_241__FDSAUDITLINK__" hidden="1">{"fdsup://Directions/FactSet Auditing Viewer?action=AUDIT_VALUE&amp;DB=129&amp;ID1=67000810&amp;VALUEID=02001&amp;SDATE=201102&amp;PERIODTYPE=QTR_STD&amp;SCFT=3&amp;window=popup_no_bar&amp;width=385&amp;height=120&amp;START_MAXIMIZED=FALSE&amp;creator=factset&amp;display_string=Audit"}</definedName>
    <definedName name="_242__FDSAUDITLINK__" hidden="1">{"fdsup://directions/FAT Viewer?action=UPDATE&amp;creator=factset&amp;DYN_ARGS=TRUE&amp;DOC_NAME=FAT:FQL_AUDITING_CLIENT_TEMPLATE.FAT&amp;display_string=Audit&amp;VAR:KEY=ZYFCVCNEXK&amp;VAR:QUERY=RkZfREVCVChRVFIsMCk=&amp;WINDOW=FIRST_POPUP&amp;HEIGHT=450&amp;WIDTH=450&amp;START_MAXIMIZED=FALSE&amp;VA","R:CALENDAR=FIVEDAY&amp;VAR:SYMBOL=MTSN&amp;VAR:INDEX=0"}</definedName>
    <definedName name="_243__FDSAUDITLINK__" hidden="1">{"fdsup://directions/FAT Viewer?action=UPDATE&amp;creator=factset&amp;DYN_ARGS=TRUE&amp;DOC_NAME=FAT:FQL_AUDITING_CLIENT_TEMPLATE.FAT&amp;display_string=Audit&amp;VAR:KEY=JAXADCJYNG&amp;VAR:QUERY=RkZfSU5WRVNUX0xUKFFUUiwwKQ==&amp;WINDOW=FIRST_POPUP&amp;HEIGHT=450&amp;WIDTH=450&amp;START_MAXIMIZED=","FALSE&amp;VAR:CALENDAR=FIVEDAY&amp;VAR:SYMBOL=MTSN&amp;VAR:INDEX=0"}</definedName>
    <definedName name="_244__FDSAUDITLINK__" hidden="1">{"fdsup://directions/FAT Viewer?action=UPDATE&amp;creator=factset&amp;DYN_ARGS=TRUE&amp;DOC_NAME=FAT:FQL_AUDITING_CLIENT_TEMPLATE.FAT&amp;display_string=Audit&amp;VAR:KEY=XWPKZATSDM&amp;VAR:QUERY=RkZfREVCVChRVFIsMCk=&amp;WINDOW=FIRST_POPUP&amp;HEIGHT=450&amp;WIDTH=450&amp;START_MAXIMIZED=FALSE&amp;VA","R:CALENDAR=FIVEDAY&amp;VAR:SYMBOL=LRCX&amp;VAR:INDEX=0"}</definedName>
    <definedName name="_245__FDSAUDITLINK__" hidden="1">{"fdsup://Directions/FactSet Auditing Viewer?action=AUDIT_VALUE&amp;DB=129&amp;ID1=51280710&amp;VALUEID=02001&amp;SDATE=201104&amp;PERIODTYPE=QTR_STD&amp;SCFT=3&amp;window=popup_no_bar&amp;width=385&amp;height=120&amp;START_MAXIMIZED=FALSE&amp;creator=factset&amp;display_string=Audit"}</definedName>
    <definedName name="_246__FDSAUDITLINK__" hidden="1">{"fdsup://directions/FAT Viewer?action=UPDATE&amp;creator=factset&amp;DYN_ARGS=TRUE&amp;DOC_NAME=FAT:FQL_AUDITING_CLIENT_TEMPLATE.FAT&amp;display_string=Audit&amp;VAR:KEY=NSLMHKNEDI&amp;VAR:QUERY=RkZfREVCVChRVFIsMCk=&amp;WINDOW=FIRST_POPUP&amp;HEIGHT=450&amp;WIDTH=450&amp;START_MAXIMIZED=FALSE&amp;VA","R:CALENDAR=FIVEDAY&amp;VAR:SYMBOL=VSEA&amp;VAR:INDEX=0"}</definedName>
    <definedName name="_247__FDSAUDITLINK__" hidden="1">{"fdsup://Directions/FactSet Auditing Viewer?action=AUDIT_VALUE&amp;DB=129&amp;ID1=92220710&amp;VALUEID=02001&amp;SDATE=201103&amp;PERIODTYPE=QTR_STD&amp;SCFT=3&amp;window=popup_no_bar&amp;width=385&amp;height=120&amp;START_MAXIMIZED=FALSE&amp;creator=factset&amp;display_string=Audit"}</definedName>
    <definedName name="_248__FDSAUDITLINK__" hidden="1">{"fdsup://directions/FAT Viewer?action=UPDATE&amp;creator=factset&amp;DYN_ARGS=TRUE&amp;DOC_NAME=FAT:FQL_AUDITING_CLIENT_TEMPLATE.FAT&amp;display_string=Audit&amp;VAR:KEY=TSXSLAVWNQ&amp;VAR:QUERY=RkZfREVCVChRVFIsMCk=&amp;WINDOW=FIRST_POPUP&amp;HEIGHT=450&amp;WIDTH=450&amp;START_MAXIMIZED=FALSE&amp;VA","R:CALENDAR=FIVEDAY&amp;VAR:SYMBOL=RTEC&amp;VAR:INDEX=0"}</definedName>
    <definedName name="_249__FDSAUDITLINK__" hidden="1">{"fdsup://Directions/FactSet Auditing Viewer?action=AUDIT_VALUE&amp;DB=129&amp;ID1=78127010&amp;VALUEID=02001&amp;SDATE=201102&amp;PERIODTYPE=QTR_STD&amp;SCFT=3&amp;window=popup_no_bar&amp;width=385&amp;height=120&amp;START_MAXIMIZED=FALSE&amp;creator=factset&amp;display_string=Audit"}</definedName>
    <definedName name="_25__FDSAUDITLINK__" hidden="1">{"fdsup://directions/FAT Viewer?action=UPDATE&amp;creator=factset&amp;DYN_ARGS=TRUE&amp;DOC_NAME=FAT:FQL_AUDITING_CLIENT_TEMPLATE.FAT&amp;display_string=Audit&amp;VAR:KEY=BWJOHMTGNA&amp;VAR:QUERY=RkZfSU5WRVNUX0xUKFFUUiwwKQ==&amp;WINDOW=FIRST_POPUP&amp;HEIGHT=450&amp;WIDTH=450&amp;START_MAXIMIZED=","FALSE&amp;VAR:CALENDAR=US&amp;VAR:SYMBOL=696651&amp;VAR:INDEX=0"}</definedName>
    <definedName name="_250__FDSAUDITLINK__" hidden="1">{"fdsup://directions/FAT Viewer?action=UPDATE&amp;creator=factset&amp;DYN_ARGS=TRUE&amp;DOC_NAME=FAT:FQL_AUDITING_CLIENT_TEMPLATE.FAT&amp;display_string=Audit&amp;VAR:KEY=ZGLSFAJQJQ&amp;VAR:QUERY=RkZfREVCVChRVFIsMCk=&amp;WINDOW=FIRST_POPUP&amp;HEIGHT=450&amp;WIDTH=450&amp;START_MAXIMIZED=FALSE&amp;VA","R:CALENDAR=FIVEDAY&amp;VAR:SYMBOL=KLIC&amp;VAR:INDEX=0"}</definedName>
    <definedName name="_251__FDSAUDITLINK__" hidden="1">{"fdsup://directions/FAT Viewer?action=UPDATE&amp;creator=factset&amp;DYN_ARGS=TRUE&amp;DOC_NAME=FAT:FQL_AUDITING_CLIENT_TEMPLATE.FAT&amp;display_string=Audit&amp;VAR:KEY=HGZWXKREDU&amp;VAR:QUERY=RkZfSU5WRVNUX0xUKFFUUiwwKQ==&amp;WINDOW=FIRST_POPUP&amp;HEIGHT=450&amp;WIDTH=450&amp;START_MAXIMIZED=","FALSE&amp;VAR:CALENDAR=FIVEDAY&amp;VAR:SYMBOL=KLIC&amp;VAR:INDEX=0"}</definedName>
    <definedName name="_252__FDSAUDITLINK__" hidden="1">{"fdsup://directions/FAT Viewer?action=UPDATE&amp;creator=factset&amp;DYN_ARGS=TRUE&amp;DOC_NAME=FAT:FQL_AUDITING_CLIENT_TEMPLATE.FAT&amp;display_string=Audit&amp;VAR:KEY=TELYZSVYPE&amp;VAR:QUERY=RkZfREVCVChRVFIsMCk=&amp;WINDOW=FIRST_POPUP&amp;HEIGHT=450&amp;WIDTH=450&amp;START_MAXIMIZED=FALSE&amp;VA","R:CALENDAR=FIVEDAY&amp;VAR:SYMBOL=UTEK&amp;VAR:INDEX=0"}</definedName>
    <definedName name="_253__FDSAUDITLINK__" hidden="1">{"fdsup://directions/FAT Viewer?action=UPDATE&amp;creator=factset&amp;DYN_ARGS=TRUE&amp;DOC_NAME=FAT:FQL_AUDITING_CLIENT_TEMPLATE.FAT&amp;display_string=Audit&amp;VAR:KEY=RQTCVQHCBA&amp;VAR:QUERY=RkZfSU5WRVNUX0xUKFFUUiwwKQ==&amp;WINDOW=FIRST_POPUP&amp;HEIGHT=450&amp;WIDTH=450&amp;START_MAXIMIZED=","FALSE&amp;VAR:CALENDAR=FIVEDAY&amp;VAR:SYMBOL=UTEK&amp;VAR:INDEX=0"}</definedName>
    <definedName name="_254__FDSAUDITLINK__" hidden="1">{"fdsup://directions/FAT Viewer?action=UPDATE&amp;creator=factset&amp;DYN_ARGS=TRUE&amp;DOC_NAME=FAT:FQL_AUDITING_CLIENT_TEMPLATE.FAT&amp;display_string=Audit&amp;VAR:KEY=HURUHGBQZU&amp;VAR:QUERY=RkZfREVCVChRVFIsMCk=&amp;WINDOW=FIRST_POPUP&amp;HEIGHT=450&amp;WIDTH=450&amp;START_MAXIMIZED=FALSE&amp;VA","R:CALENDAR=FIVEDAY&amp;VAR:SYMBOL=FORM&amp;VAR:INDEX=0"}</definedName>
    <definedName name="_255__FDSAUDITLINK__" hidden="1">{"fdsup://directions/FAT Viewer?action=UPDATE&amp;creator=factset&amp;DYN_ARGS=TRUE&amp;DOC_NAME=FAT:FQL_AUDITING_CLIENT_TEMPLATE.FAT&amp;display_string=Audit&amp;VAR:KEY=RKNEJCJUVW&amp;VAR:QUERY=RkZfSU5WRVNUX0xUKFFUUiwwKQ==&amp;WINDOW=FIRST_POPUP&amp;HEIGHT=450&amp;WIDTH=450&amp;START_MAXIMIZED=","FALSE&amp;VAR:CALENDAR=FIVEDAY&amp;VAR:SYMBOL=FORM&amp;VAR:INDEX=0"}</definedName>
    <definedName name="_256__FDSAUDITLINK__" hidden="1">{"fdsup://directions/FAT Viewer?action=UPDATE&amp;creator=factset&amp;DYN_ARGS=TRUE&amp;DOC_NAME=FAT:FQL_AUDITING_CLIENT_TEMPLATE.FAT&amp;display_string=Audit&amp;VAR:KEY=LEJUFCPGFS&amp;VAR:QUERY=RkZfREVCVChRVFIsMCk=&amp;WINDOW=FIRST_POPUP&amp;HEIGHT=450&amp;WIDTH=450&amp;START_MAXIMIZED=FALSE&amp;VA","R:CALENDAR=FIVEDAY&amp;VAR:SYMBOL=PLAB&amp;VAR:INDEX=0"}</definedName>
    <definedName name="_257__FDSAUDITLINK__" hidden="1">{"fdsup://directions/FAT Viewer?action=UPDATE&amp;creator=factset&amp;DYN_ARGS=TRUE&amp;DOC_NAME=FAT:FQL_AUDITING_CLIENT_TEMPLATE.FAT&amp;display_string=Audit&amp;VAR:KEY=HQFWJGZMFQ&amp;VAR:QUERY=RkZfSU5WRVNUX0xUKFFUUiwwKQ==&amp;WINDOW=FIRST_POPUP&amp;HEIGHT=450&amp;WIDTH=450&amp;START_MAXIMIZED=","FALSE&amp;VAR:CALENDAR=FIVEDAY&amp;VAR:SYMBOL=PLAB&amp;VAR:INDEX=0"}</definedName>
    <definedName name="_258__FDSAUDITLINK__" hidden="1">{"fdsup://directions/FAT Viewer?action=UPDATE&amp;creator=factset&amp;DYN_ARGS=TRUE&amp;DOC_NAME=FAT:FQL_AUDITING_CLIENT_TEMPLATE.FAT&amp;display_string=Audit&amp;VAR:KEY=HIRSDMTKPO&amp;VAR:QUERY=RkZfREVCVChRVFIsMCk=&amp;WINDOW=FIRST_POPUP&amp;HEIGHT=450&amp;WIDTH=450&amp;START_MAXIMIZED=FALSE&amp;VA","R:CALENDAR=FIVEDAY&amp;VAR:SYMBOL=CREE&amp;VAR:INDEX=0"}</definedName>
    <definedName name="_259__FDSAUDITLINK__" hidden="1">{"fdsup://directions/FAT Viewer?action=UPDATE&amp;creator=factset&amp;DYN_ARGS=TRUE&amp;DOC_NAME=FAT:FQL_AUDITING_CLIENT_TEMPLATE.FAT&amp;display_string=Audit&amp;VAR:KEY=VWVQPQZYXU&amp;VAR:QUERY=RkZfSU5WRVNUX0xUKFFUUiwwKQ==&amp;WINDOW=FIRST_POPUP&amp;HEIGHT=450&amp;WIDTH=450&amp;START_MAXIMIZED=","FALSE&amp;VAR:CALENDAR=FIVEDAY&amp;VAR:SYMBOL=CREE&amp;VAR:INDEX=0"}</definedName>
    <definedName name="_26__FDSAUDITLINK__" hidden="1">{"fdsup://Directions/FactSet Auditing Viewer?action=AUDIT_VALUE&amp;DB=129&amp;ID1=696651&amp;VALUEID=02001&amp;SDATE=201102&amp;PERIODTYPE=QTR_STD&amp;SCFT=3&amp;window=popup_no_bar&amp;width=385&amp;height=120&amp;START_MAXIMIZED=FALSE&amp;creator=factset&amp;display_string=Audit"}</definedName>
    <definedName name="_260__FDSAUDITLINK__" hidden="1">{"fdsup://directions/FAT Viewer?action=UPDATE&amp;creator=factset&amp;DYN_ARGS=TRUE&amp;DOC_NAME=FAT:FQL_AUDITING_CLIENT_TEMPLATE.FAT&amp;display_string=Audit&amp;VAR:KEY=BOTOJQZCTG&amp;VAR:QUERY=RkZfREVCVChRVFIsMCk=&amp;WINDOW=FIRST_POPUP&amp;HEIGHT=450&amp;WIDTH=450&amp;START_MAXIMIZED=FALSE&amp;VA","R:CALENDAR=FIVEDAY&amp;VAR:SYMBOL=546834&amp;VAR:INDEX=0"}</definedName>
    <definedName name="_261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262__FDSAUDITLINK__" hidden="1">{"fdsup://directions/FAT Viewer?action=UPDATE&amp;creator=factset&amp;DYN_ARGS=TRUE&amp;DOC_NAME=FAT:FQL_AUDITING_CLIENT_TEMPLATE.FAT&amp;display_string=Audit&amp;VAR:KEY=HEJSJGNOBC&amp;VAR:QUERY=RkZfREVCVChRVFIsMCk=&amp;WINDOW=FIRST_POPUP&amp;HEIGHT=450&amp;WIDTH=450&amp;START_MAXIMIZED=FALSE&amp;VA","R:CALENDAR=FIVEDAY&amp;VAR:SYMBOL=VECO&amp;VAR:INDEX=0"}</definedName>
    <definedName name="_263__FDSAUDITLINK__" hidden="1">{"fdsup://directions/FAT Viewer?action=UPDATE&amp;creator=factset&amp;DYN_ARGS=TRUE&amp;DOC_NAME=FAT:FQL_AUDITING_CLIENT_TEMPLATE.FAT&amp;display_string=Audit&amp;VAR:KEY=FERCPEXILW&amp;VAR:QUERY=RkZfSU5WRVNUX0xUKFFUUiwwKQ==&amp;WINDOW=FIRST_POPUP&amp;HEIGHT=450&amp;WIDTH=450&amp;START_MAXIMIZED=","FALSE&amp;VAR:CALENDAR=FIVEDAY&amp;VAR:SYMBOL=VECO&amp;VAR:INDEX=0"}</definedName>
    <definedName name="_264__FDSAUDITLINK__" hidden="1">{"fdsup://directions/FAT Viewer?action=UPDATE&amp;creator=factset&amp;DYN_ARGS=TRUE&amp;DOC_NAME=FAT:FQL_AUDITING_CLIENT_TEMPLATE.FAT&amp;display_string=Audit&amp;VAR:KEY=TELYZSVYPE&amp;VAR:QUERY=RkZfREVCVChRVFIsMCk=&amp;WINDOW=FIRST_POPUP&amp;HEIGHT=450&amp;WIDTH=450&amp;START_MAXIMIZED=FALSE&amp;VA","R:CALENDAR=FIVEDAY&amp;VAR:SYMBOL=UTEK&amp;VAR:INDEX=0"}</definedName>
    <definedName name="_265__FDSAUDITLINK__" hidden="1">{"fdsup://Directions/FactSet Auditing Viewer?action=AUDIT_VALUE&amp;DB=129&amp;ID1=90403410&amp;VALUEID=02001&amp;SDATE=201102&amp;PERIODTYPE=QTR_STD&amp;SCFT=3&amp;window=popup_no_bar&amp;width=385&amp;height=120&amp;START_MAXIMIZED=FALSE&amp;creator=factset&amp;display_string=Audit"}</definedName>
    <definedName name="_266__FDSAUDITLINK__" hidden="1">{"fdsup://directions/FAT Viewer?action=UPDATE&amp;creator=factset&amp;DYN_ARGS=TRUE&amp;DOC_NAME=FAT:FQL_AUDITING_CLIENT_TEMPLATE.FAT&amp;display_string=Audit&amp;VAR:KEY=TITKFCBQBG&amp;VAR:QUERY=RkZfREVCVChRVFIsMCk=&amp;WINDOW=FIRST_POPUP&amp;HEIGHT=450&amp;WIDTH=450&amp;START_MAXIMIZED=FALSE&amp;VA","R:CALENDAR=FIVEDAY&amp;VAR:SYMBOL=TER&amp;VAR:INDEX=0"}</definedName>
    <definedName name="_267__FDSAUDITLINK__" hidden="1">{"fdsup://directions/FAT Viewer?action=UPDATE&amp;creator=factset&amp;DYN_ARGS=TRUE&amp;DOC_NAME=FAT:FQL_AUDITING_CLIENT_TEMPLATE.FAT&amp;display_string=Audit&amp;VAR:KEY=VINADGHCXQ&amp;VAR:QUERY=RkZfSU5WRVNUX0xUKFFUUiwwKQ==&amp;WINDOW=FIRST_POPUP&amp;HEIGHT=450&amp;WIDTH=450&amp;START_MAXIMIZED=","FALSE&amp;VAR:CALENDAR=FIVEDAY&amp;VAR:SYMBOL=TER&amp;VAR:INDEX=0"}</definedName>
    <definedName name="_268__FDSAUDITLINK__" hidden="1">{"fdsup://directions/FAT Viewer?action=UPDATE&amp;creator=factset&amp;DYN_ARGS=TRUE&amp;DOC_NAME=FAT:FQL_AUDITING_CLIENT_TEMPLATE.FAT&amp;display_string=Audit&amp;VAR:KEY=ZGLSFAJQJQ&amp;VAR:QUERY=RkZfREVCVChRVFIsMCk=&amp;WINDOW=FIRST_POPUP&amp;HEIGHT=450&amp;WIDTH=450&amp;START_MAXIMIZED=FALSE&amp;VA","R:CALENDAR=FIVEDAY&amp;VAR:SYMBOL=KLIC&amp;VAR:INDEX=0"}</definedName>
    <definedName name="_269__FDSAUDITLINK__" hidden="1">{"fdsup://Directions/FactSet Auditing Viewer?action=AUDIT_VALUE&amp;DB=129&amp;ID1=50124210&amp;VALUEID=02001&amp;SDATE=201103&amp;PERIODTYPE=QTR_STD&amp;SCFT=3&amp;window=popup_no_bar&amp;width=385&amp;height=120&amp;START_MAXIMIZED=FALSE&amp;creator=factset&amp;display_string=Audit"}</definedName>
    <definedName name="_27__FDSAUDITLINK__" hidden="1">{"fdsup://directions/FAT Viewer?action=UPDATE&amp;creator=factset&amp;DYN_ARGS=TRUE&amp;DOC_NAME=FAT:FQL_AUDITING_CLIENT_TEMPLATE.FAT&amp;display_string=Audit&amp;VAR:KEY=VULIJYHQFI&amp;VAR:QUERY=RkZfREVCVChRVFIsMCk=&amp;WINDOW=FIRST_POPUP&amp;HEIGHT=450&amp;WIDTH=450&amp;START_MAXIMIZED=FALSE&amp;VA","R:CALENDAR=US&amp;VAR:SYMBOL=615629&amp;VAR:INDEX=0"}</definedName>
    <definedName name="_270__FDSAUDITLINK__" hidden="1">{"fdsup://directions/FAT Viewer?action=UPDATE&amp;creator=factset&amp;DYN_ARGS=TRUE&amp;DOC_NAME=FAT:FQL_AUDITING_CLIENT_TEMPLATE.FAT&amp;display_string=Audit&amp;VAR:KEY=ZSZWTWPIFM&amp;VAR:QUERY=RkZfREVCVChRVFIsMCk=&amp;WINDOW=FIRST_POPUP&amp;HEIGHT=450&amp;WIDTH=450&amp;START_MAXIMIZED=FALSE&amp;VA","R:CALENDAR=FIVEDAY&amp;VAR:SYMBOL=WFR&amp;VAR:INDEX=0"}</definedName>
    <definedName name="_271__FDSAUDITLINK__" hidden="1">{"fdsup://directions/FAT Viewer?action=UPDATE&amp;creator=factset&amp;DYN_ARGS=TRUE&amp;DOC_NAME=FAT:FQL_AUDITING_CLIENT_TEMPLATE.FAT&amp;display_string=Audit&amp;VAR:KEY=DWBWXURETM&amp;VAR:QUERY=RkZfSU5WRVNUX0xUKFFUUiwwKQ==&amp;WINDOW=FIRST_POPUP&amp;HEIGHT=450&amp;WIDTH=450&amp;START_MAXIMIZED=","FALSE&amp;VAR:CALENDAR=FIVEDAY&amp;VAR:SYMBOL=WFR&amp;VAR:INDEX=0"}</definedName>
    <definedName name="_272__FDSAUDITLINK__" hidden="1">{"fdsup://directions/FAT Viewer?action=UPDATE&amp;creator=factset&amp;DYN_ARGS=TRUE&amp;DOC_NAME=FAT:FQL_AUDITING_CLIENT_TEMPLATE.FAT&amp;display_string=Audit&amp;VAR:KEY=VYBOFOPCDY&amp;VAR:QUERY=RkZfREVCVChRVFIsMCk=&amp;WINDOW=FIRST_POPUP&amp;HEIGHT=450&amp;WIDTH=450&amp;START_MAXIMIZED=FALSE&amp;VA","R:CALENDAR=FIVEDAY&amp;VAR:SYMBOL=ENTG&amp;VAR:INDEX=0"}</definedName>
    <definedName name="_273__FDSAUDITLINK__" hidden="1">{"fdsup://directions/FAT Viewer?action=UPDATE&amp;creator=factset&amp;DYN_ARGS=TRUE&amp;DOC_NAME=FAT:FQL_AUDITING_CLIENT_TEMPLATE.FAT&amp;display_string=Audit&amp;VAR:KEY=LOXYBUFSZU&amp;VAR:QUERY=RkZfSU5WRVNUX0xUKFFUUiwwKQ==&amp;WINDOW=FIRST_POPUP&amp;HEIGHT=450&amp;WIDTH=450&amp;START_MAXIMIZED=","FALSE&amp;VAR:CALENDAR=FIVEDAY&amp;VAR:SYMBOL=ENTG&amp;VAR:INDEX=0"}</definedName>
    <definedName name="_274__FDSAUDITLINK__" hidden="1">{"fdsup://directions/FAT Viewer?action=UPDATE&amp;creator=factset&amp;DYN_ARGS=TRUE&amp;DOC_NAME=FAT:FQL_AUDITING_CLIENT_TEMPLATE.FAT&amp;display_string=Audit&amp;VAR:KEY=FWJARUJEXY&amp;VAR:QUERY=RkZfREVCVChRVFIsMCk=&amp;WINDOW=FIRST_POPUP&amp;HEIGHT=450&amp;WIDTH=450&amp;START_MAXIMIZED=FALSE&amp;VA","R:CALENDAR=FIVEDAY&amp;VAR:SYMBOL=CCMP&amp;VAR:INDEX=0"}</definedName>
    <definedName name="_275__FDSAUDITLINK__" hidden="1">{"fdsup://directions/FAT Viewer?action=UPDATE&amp;creator=factset&amp;DYN_ARGS=TRUE&amp;DOC_NAME=FAT:FQL_AUDITING_CLIENT_TEMPLATE.FAT&amp;display_string=Audit&amp;VAR:KEY=PMPWPKJONS&amp;VAR:QUERY=RkZfSU5WRVNUX0xUKFFUUiwwKQ==&amp;WINDOW=FIRST_POPUP&amp;HEIGHT=450&amp;WIDTH=450&amp;START_MAXIMIZED=","FALSE&amp;VAR:CALENDAR=FIVEDAY&amp;VAR:SYMBOL=CCMP&amp;VAR:INDEX=0"}</definedName>
    <definedName name="_276__FDSAUDITLINK__" hidden="1">{"fdsup://directions/FAT Viewer?action=UPDATE&amp;creator=factset&amp;DYN_ARGS=TRUE&amp;DOC_NAME=FAT:FQL_AUDITING_CLIENT_TEMPLATE.FAT&amp;display_string=Audit&amp;VAR:KEY=VIRSXENOLK&amp;VAR:QUERY=RkZfREVCVChRVFIsMCk=&amp;WINDOW=FIRST_POPUP&amp;HEIGHT=450&amp;WIDTH=450&amp;START_MAXIMIZED=FALSE&amp;VA","R:CALENDAR=FIVEDAY&amp;VAR:SYMBOL=ATMI&amp;VAR:INDEX=0"}</definedName>
    <definedName name="_277__FDSAUDITLINK__" hidden="1">{"fdsup://directions/FAT Viewer?action=UPDATE&amp;creator=factset&amp;DYN_ARGS=TRUE&amp;DOC_NAME=FAT:FQL_AUDITING_CLIENT_TEMPLATE.FAT&amp;display_string=Audit&amp;VAR:KEY=FYZWJABWDC&amp;VAR:QUERY=RkZfSU5WRVNUX0xUKFFUUiwwKQ==&amp;WINDOW=FIRST_POPUP&amp;HEIGHT=450&amp;WIDTH=450&amp;START_MAXIMIZED=","FALSE&amp;VAR:CALENDAR=FIVEDAY&amp;VAR:SYMBOL=ATMI&amp;VAR:INDEX=0"}</definedName>
    <definedName name="_278__FDSAUDITLINK__" hidden="1">{"fdsup://directions/FAT Viewer?action=UPDATE&amp;creator=factset&amp;DYN_ARGS=TRUE&amp;DOC_NAME=FAT:FQL_AUDITING_CLIENT_TEMPLATE.FAT&amp;display_string=Audit&amp;VAR:KEY=XYBUJURQLK&amp;VAR:QUERY=RkZfREVCVChRVFIsMCk=&amp;WINDOW=FIRST_POPUP&amp;HEIGHT=450&amp;WIDTH=450&amp;START_MAXIMIZED=FALSE&amp;VA","R:CALENDAR=FIVEDAY&amp;VAR:SYMBOL=MKSI&amp;VAR:INDEX=0"}</definedName>
    <definedName name="_279__FDSAUDITLINK__" hidden="1">{"fdsup://directions/FAT Viewer?action=UPDATE&amp;creator=factset&amp;DYN_ARGS=TRUE&amp;DOC_NAME=FAT:FQL_AUDITING_CLIENT_TEMPLATE.FAT&amp;display_string=Audit&amp;VAR:KEY=HKJQFEHWNM&amp;VAR:QUERY=RkZfSU5WRVNUX0xUKFFUUiwwKQ==&amp;WINDOW=FIRST_POPUP&amp;HEIGHT=450&amp;WIDTH=450&amp;START_MAXIMIZED=","FALSE&amp;VAR:CALENDAR=FIVEDAY&amp;VAR:SYMBOL=MKSI&amp;VAR:INDEX=0"}</definedName>
    <definedName name="_28__FDSAUDITLINK__" hidden="1">{"fdsup://directions/FAT Viewer?action=UPDATE&amp;creator=factset&amp;DYN_ARGS=TRUE&amp;DOC_NAME=FAT:FQL_AUDITING_CLIENT_TEMPLATE.FAT&amp;display_string=Audit&amp;VAR:KEY=RMRUDUHOBA&amp;VAR:QUERY=RkZfSU5WRVNUX0xUKFFUUiwwKQ==&amp;WINDOW=FIRST_POPUP&amp;HEIGHT=450&amp;WIDTH=450&amp;START_MAXIMIZED=","FALSE&amp;VAR:CALENDAR=US&amp;VAR:SYMBOL=615629&amp;VAR:INDEX=0"}</definedName>
    <definedName name="_280__FDSAUDITLINK__" hidden="1">{"fdsup://directions/FAT Viewer?action=UPDATE&amp;creator=factset&amp;DYN_ARGS=TRUE&amp;DOC_NAME=FAT:FQL_AUDITING_CLIENT_TEMPLATE.FAT&amp;display_string=Audit&amp;VAR:KEY=RQHENMZQTO&amp;VAR:QUERY=RkZfREVCVChRVFIsMCk=&amp;WINDOW=FIRST_POPUP&amp;HEIGHT=450&amp;WIDTH=450&amp;START_MAXIMIZED=FALSE&amp;VA","R:CALENDAR=FIVEDAY&amp;VAR:SYMBOL=CYMI&amp;VAR:INDEX=0"}</definedName>
    <definedName name="_281__FDSAUDITLINK__" hidden="1">{"fdsup://directions/FAT Viewer?action=UPDATE&amp;creator=factset&amp;DYN_ARGS=TRUE&amp;DOC_NAME=FAT:FQL_AUDITING_CLIENT_TEMPLATE.FAT&amp;display_string=Audit&amp;VAR:KEY=XOBEBAVIPK&amp;VAR:QUERY=RkZfSU5WRVNUX0xUKFFUUiwwKQ==&amp;WINDOW=FIRST_POPUP&amp;HEIGHT=450&amp;WIDTH=450&amp;START_MAXIMIZED=","FALSE&amp;VAR:CALENDAR=FIVEDAY&amp;VAR:SYMBOL=CYMI&amp;VAR:INDEX=0"}</definedName>
    <definedName name="_282__FDSAUDITLINK__" hidden="1">{"fdsup://directions/FAT Viewer?action=UPDATE&amp;creator=factset&amp;DYN_ARGS=TRUE&amp;DOC_NAME=FAT:FQL_AUDITING_CLIENT_TEMPLATE.FAT&amp;display_string=Audit&amp;VAR:KEY=XGXILOBCRU&amp;VAR:QUERY=RkZfREVCVChRVFIsMCk=&amp;WINDOW=FIRST_POPUP&amp;HEIGHT=450&amp;WIDTH=450&amp;START_MAXIMIZED=FALSE&amp;VA","R:CALENDAR=FIVEDAY&amp;VAR:SYMBOL=BRKS&amp;VAR:INDEX=0"}</definedName>
    <definedName name="_283__FDSAUDITLINK__" hidden="1">{"fdsup://Directions/FactSet Auditing Viewer?action=AUDIT_VALUE&amp;DB=129&amp;ID1=11434010&amp;VALUEID=02001&amp;SDATE=201103&amp;PERIODTYPE=QTR_STD&amp;SCFT=3&amp;window=popup_no_bar&amp;width=385&amp;height=120&amp;START_MAXIMIZED=FALSE&amp;creator=factset&amp;display_string=Audit"}</definedName>
    <definedName name="_284__FDSAUDITLINK__" hidden="1">{"fdsup://directions/FAT Viewer?action=UPDATE&amp;creator=factset&amp;DYN_ARGS=TRUE&amp;DOC_NAME=FAT:FQL_AUDITING_CLIENT_TEMPLATE.FAT&amp;display_string=Audit&amp;VAR:KEY=ZONOXATULC&amp;VAR:QUERY=RkZfREVCVChRVFIsMCk=&amp;WINDOW=FIRST_POPUP&amp;HEIGHT=450&amp;WIDTH=450&amp;START_MAXIMIZED=FALSE&amp;VA","R:CALENDAR=FIVEDAY&amp;VAR:SYMBOL=AEIS&amp;VAR:INDEX=0"}</definedName>
    <definedName name="_285__FDSAUDITLINK__" hidden="1">{"fdsup://directions/FAT Viewer?action=UPDATE&amp;creator=factset&amp;DYN_ARGS=TRUE&amp;DOC_NAME=FAT:FQL_AUDITING_CLIENT_TEMPLATE.FAT&amp;display_string=Audit&amp;VAR:KEY=HOFQTYROFY&amp;VAR:QUERY=RkZfSU5WRVNUX0xUKFFUUiwwKQ==&amp;WINDOW=FIRST_POPUP&amp;HEIGHT=450&amp;WIDTH=450&amp;START_MAXIMIZED=","FALSE&amp;VAR:CALENDAR=FIVEDAY&amp;VAR:SYMBOL=AEIS&amp;VAR:INDEX=0"}</definedName>
    <definedName name="_286__FDSAUDITLINK__" hidden="1">{"fdsup://directions/FAT Viewer?action=UPDATE&amp;creator=factset&amp;DYN_ARGS=TRUE&amp;DOC_NAME=FAT:FQL_AUDITING_CLIENT_TEMPLATE.FAT&amp;display_string=Audit&amp;VAR:KEY=TSXSLAVWNQ&amp;VAR:QUERY=RkZfREVCVChRVFIsMCk=&amp;WINDOW=FIRST_POPUP&amp;HEIGHT=450&amp;WIDTH=450&amp;START_MAXIMIZED=FALSE&amp;VA","R:CALENDAR=FIVEDAY&amp;VAR:SYMBOL=RTEC&amp;VAR:INDEX=0"}</definedName>
    <definedName name="_287__FDSAUDITLINK__" hidden="1">{"fdsup://directions/FAT Viewer?action=UPDATE&amp;creator=factset&amp;DYN_ARGS=TRUE&amp;DOC_NAME=FAT:FQL_AUDITING_CLIENT_TEMPLATE.FAT&amp;display_string=Audit&amp;VAR:KEY=RKJSVQZKZY&amp;VAR:QUERY=RkZfSU5WRVNUX0xUKFFUUiwwKQ==&amp;WINDOW=FIRST_POPUP&amp;HEIGHT=450&amp;WIDTH=450&amp;START_MAXIMIZED=","FALSE&amp;VAR:CALENDAR=FIVEDAY&amp;VAR:SYMBOL=RTEC&amp;VAR:INDEX=0"}</definedName>
    <definedName name="_288__FDSAUDITLINK__" hidden="1">{"fdsup://directions/FAT Viewer?action=UPDATE&amp;creator=factset&amp;DYN_ARGS=TRUE&amp;DOC_NAME=FAT:FQL_AUDITING_CLIENT_TEMPLATE.FAT&amp;display_string=Audit&amp;VAR:KEY=JETALGBQZY&amp;VAR:QUERY=RkZfREVCVChRVFIsMCk=&amp;WINDOW=FIRST_POPUP&amp;HEIGHT=450&amp;WIDTH=450&amp;START_MAXIMIZED=FALSE&amp;VA","R:CALENDAR=FIVEDAY&amp;VAR:SYMBOL=NVLS&amp;VAR:INDEX=0"}</definedName>
    <definedName name="_289__FDSAUDITLINK__" hidden="1">{"fdsup://directions/FAT Viewer?action=UPDATE&amp;creator=factset&amp;DYN_ARGS=TRUE&amp;DOC_NAME=FAT:FQL_AUDITING_CLIENT_TEMPLATE.FAT&amp;display_string=Audit&amp;VAR:KEY=LEXSRWVMBM&amp;VAR:QUERY=RkZfSU5WRVNUX0xUKFFUUiwwKQ==&amp;WINDOW=FIRST_POPUP&amp;HEIGHT=450&amp;WIDTH=450&amp;START_MAXIMIZED=","FALSE&amp;VAR:CALENDAR=FIVEDAY&amp;VAR:SYMBOL=NVLS&amp;VAR:INDEX=0"}</definedName>
    <definedName name="_29__FDSAUDITLINK__" hidden="1">{"fdsup://Directions/FactSet Auditing Viewer?action=AUDIT_VALUE&amp;DB=129&amp;ID1=615629&amp;VALUEID=02001&amp;SDATE=201101&amp;PERIODTYPE=QTR_STD&amp;SCFT=3&amp;window=popup_no_bar&amp;width=385&amp;height=120&amp;START_MAXIMIZED=FALSE&amp;creator=factset&amp;display_string=Audit"}</definedName>
    <definedName name="_290__FDSAUDITLINK__" hidden="1">{"fdsup://directions/FAT Viewer?action=UPDATE&amp;creator=factset&amp;DYN_ARGS=TRUE&amp;DOC_NAME=FAT:FQL_AUDITING_CLIENT_TEMPLATE.FAT&amp;display_string=Audit&amp;VAR:KEY=XWPKZATSDM&amp;VAR:QUERY=RkZfREVCVChRVFIsMCk=&amp;WINDOW=FIRST_POPUP&amp;HEIGHT=450&amp;WIDTH=450&amp;START_MAXIMIZED=FALSE&amp;VA","R:CALENDAR=FIVEDAY&amp;VAR:SYMBOL=LRCX&amp;VAR:INDEX=0"}</definedName>
    <definedName name="_291__FDSAUDITLINK__" hidden="1">{"fdsup://directions/FAT Viewer?action=UPDATE&amp;creator=factset&amp;DYN_ARGS=TRUE&amp;DOC_NAME=FAT:FQL_AUDITING_CLIENT_TEMPLATE.FAT&amp;display_string=Audit&amp;VAR:KEY=HGPYZCLQLS&amp;VAR:QUERY=RkZfSU5WRVNUX0xUKFFUUiwwKQ==&amp;WINDOW=FIRST_POPUP&amp;HEIGHT=450&amp;WIDTH=450&amp;START_MAXIMIZED=","FALSE&amp;VAR:CALENDAR=FIVEDAY&amp;VAR:SYMBOL=LRCX&amp;VAR:INDEX=0"}</definedName>
    <definedName name="_292__FDSAUDITLINK__" hidden="1">{"fdsup://directions/FAT Viewer?action=UPDATE&amp;creator=factset&amp;DYN_ARGS=TRUE&amp;DOC_NAME=FAT:FQL_AUDITING_CLIENT_TEMPLATE.FAT&amp;display_string=Audit&amp;VAR:KEY=PSBSLAFGJY&amp;VAR:QUERY=RkZfREVCVChRVFIsMCk=&amp;WINDOW=FIRST_POPUP&amp;HEIGHT=450&amp;WIDTH=450&amp;START_MAXIMIZED=FALSE&amp;VA","R:CALENDAR=FIVEDAY&amp;VAR:SYMBOL=KLAC&amp;VAR:INDEX=0"}</definedName>
    <definedName name="_293__FDSAUDITLINK__" hidden="1">{"fdsup://Directions/FactSet Auditing Viewer?action=AUDIT_VALUE&amp;DB=129&amp;ID1=48248010&amp;VALUEID=02001&amp;SDATE=201104&amp;PERIODTYPE=QTR_STD&amp;SCFT=3&amp;window=popup_no_bar&amp;width=385&amp;height=120&amp;START_MAXIMIZED=FALSE&amp;creator=factset&amp;display_string=Audit"}</definedName>
    <definedName name="_294__FDSAUDITLINK__" hidden="1">{"fdsup://directions/FAT Viewer?action=UPDATE&amp;creator=factset&amp;DYN_ARGS=TRUE&amp;DOC_NAME=FAT:FQL_AUDITING_CLIENT_TEMPLATE.FAT&amp;display_string=Audit&amp;VAR:KEY=RCFQRMFMHM&amp;VAR:QUERY=RkZfREVCVChRVFIsMCk=&amp;WINDOW=FIRST_POPUP&amp;HEIGHT=450&amp;WIDTH=450&amp;START_MAXIMIZED=FALSE&amp;VA","R:CALENDAR=FIVEDAY&amp;VAR:SYMBOL=594936&amp;VAR:INDEX=0"}</definedName>
    <definedName name="_295__FDSAUDITLINK__" hidden="1">{"fdsup://Directions/FactSet Auditing Viewer?action=AUDIT_VALUE&amp;DB=129&amp;ID1=594936&amp;VALUEID=02001&amp;SDATE=201102&amp;PERIODTYPE=QTR_STD&amp;SCFT=3&amp;window=popup_no_bar&amp;width=385&amp;height=120&amp;START_MAXIMIZED=FALSE&amp;creator=factset&amp;display_string=Audit"}</definedName>
    <definedName name="_296__FDSAUDITLINK__" hidden="1">{"fdsup://directions/FAT Viewer?action=UPDATE&amp;creator=factset&amp;DYN_ARGS=TRUE&amp;DOC_NAME=FAT:FQL_AUDITING_CLIENT_TEMPLATE.FAT&amp;display_string=Audit&amp;VAR:KEY=BSNYLGNITI&amp;VAR:QUERY=RkZfREVCVChRVFIsMCk=&amp;WINDOW=FIRST_POPUP&amp;HEIGHT=450&amp;WIDTH=450&amp;START_MAXIMIZED=FALSE&amp;VA","R:CALENDAR=FIVEDAY&amp;VAR:SYMBOL=516529&amp;VAR:INDEX=0"}</definedName>
    <definedName name="_297__FDSAUDITLINK__" hidden="1">{"fdsup://directions/FAT Viewer?action=UPDATE&amp;creator=factset&amp;DYN_ARGS=TRUE&amp;DOC_NAME=FAT:FQL_AUDITING_CLIENT_TEMPLATE.FAT&amp;display_string=Audit&amp;VAR:KEY=RIJOFKPEBQ&amp;VAR:QUERY=RkZfSU5WRVNUX0xUKFFUUiwwKQ==&amp;WINDOW=FIRST_POPUP&amp;HEIGHT=450&amp;WIDTH=450&amp;START_MAXIMIZED=","FALSE&amp;VAR:CALENDAR=FIVEDAY&amp;VAR:SYMBOL=516529&amp;VAR:INDEX=0"}</definedName>
    <definedName name="_298__FDSAUDITLINK__" hidden="1">{"fdsup://directions/FAT Viewer?action=UPDATE&amp;creator=factset&amp;DYN_ARGS=TRUE&amp;DOC_NAME=FAT:FQL_AUDITING_CLIENT_TEMPLATE.FAT&amp;display_string=Audit&amp;VAR:KEY=HIRSDMTKPO&amp;VAR:QUERY=RkZfREVCVChRVFIsMCk=&amp;WINDOW=FIRST_POPUP&amp;HEIGHT=450&amp;WIDTH=450&amp;START_MAXIMIZED=FALSE&amp;VA","R:CALENDAR=FIVEDAY&amp;VAR:SYMBOL=CREE&amp;VAR:INDEX=0"}</definedName>
    <definedName name="_299__FDSAUDITLINK__" hidden="1">{"fdsup://directions/FAT Viewer?action=UPDATE&amp;creator=factset&amp;DYN_ARGS=TRUE&amp;DOC_NAME=FAT:FQL_AUDITING_CLIENT_TEMPLATE.FAT&amp;display_string=Audit&amp;VAR:KEY=BOTOJQZCTG&amp;VAR:QUERY=RkZfREVCVChRVFIsMCk=&amp;WINDOW=FIRST_POPUP&amp;HEIGHT=450&amp;WIDTH=450&amp;START_MAXIMIZED=FALSE&amp;VA","R:CALENDAR=FIVEDAY&amp;VAR:SYMBOL=546834&amp;VAR:INDEX=0"}</definedName>
    <definedName name="_3__FDSAUDITLINK__" hidden="1">{"fdsup://Directions/FactSet Auditing Viewer?action=AUDIT_VALUE&amp;DB=129&amp;ID1=689721&amp;VALUEID=02001&amp;SDATE=201101&amp;PERIODTYPE=QTR_STD&amp;SCFT=3&amp;window=popup_no_bar&amp;width=385&amp;height=120&amp;START_MAXIMIZED=FALSE&amp;creator=factset&amp;display_string=Audit"}</definedName>
    <definedName name="_30__FDSAUDITLINK__" hidden="1">{"fdsup://directions/FAT Viewer?action=UPDATE&amp;creator=factset&amp;DYN_ARGS=TRUE&amp;DOC_NAME=FAT:FQL_AUDITING_CLIENT_TEMPLATE.FAT&amp;display_string=Audit&amp;VAR:KEY=HYVURWTUNY&amp;VAR:QUERY=RkZfREVCVChRVFIsMCk=&amp;WINDOW=FIRST_POPUP&amp;HEIGHT=450&amp;WIDTH=450&amp;START_MAXIMIZED=FALSE&amp;VA","R:CALENDAR=US&amp;VAR:SYMBOL=610899&amp;VAR:INDEX=0"}</definedName>
    <definedName name="_300__FDSAUDITLINK__" hidden="1">{"fdsup://directions/FAT Viewer?action=UPDATE&amp;creator=factset&amp;DYN_ARGS=TRUE&amp;DOC_NAME=FAT:FQL_AUDITING_CLIENT_TEMPLATE.FAT&amp;display_string=Audit&amp;VAR:KEY=NYTKJIBERQ&amp;VAR:QUERY=RkZfSU5WRVNUX0xUKFFUUiwwKQ==&amp;WINDOW=FIRST_POPUP&amp;HEIGHT=450&amp;WIDTH=450&amp;START_MAXIMIZED=","FALSE&amp;VAR:CALENDAR=FIVEDAY&amp;VAR:SYMBOL=546834&amp;VAR:INDEX=0"}</definedName>
    <definedName name="_301__FDSAUDITLINK__" hidden="1">{"fdsup://directions/FAT Viewer?action=UPDATE&amp;creator=factset&amp;DYN_ARGS=TRUE&amp;DOC_NAME=FAT:FQL_AUDITING_CLIENT_TEMPLATE.FAT&amp;display_string=Audit&amp;VAR:KEY=HEJSJGNOBC&amp;VAR:QUERY=RkZfREVCVChRVFIsMCk=&amp;WINDOW=FIRST_POPUP&amp;HEIGHT=450&amp;WIDTH=450&amp;START_MAXIMIZED=FALSE&amp;VA","R:CALENDAR=FIVEDAY&amp;VAR:SYMBOL=VECO&amp;VAR:INDEX=0"}</definedName>
    <definedName name="_302__FDSAUDITLINK__" hidden="1">{"fdsup://Directions/FactSet Auditing Viewer?action=AUDIT_VALUE&amp;DB=129&amp;ID1=92241710&amp;VALUEID=02001&amp;SDATE=201102&amp;PERIODTYPE=QTR_STD&amp;SCFT=3&amp;window=popup_no_bar&amp;width=385&amp;height=120&amp;START_MAXIMIZED=FALSE&amp;creator=factset&amp;display_string=Audit"}</definedName>
    <definedName name="_303__FDSAUDITLINK__" hidden="1">{"fdsup://directions/FAT Viewer?action=UPDATE&amp;creator=factset&amp;DYN_ARGS=TRUE&amp;DOC_NAME=FAT:FQL_AUDITING_CLIENT_TEMPLATE.FAT&amp;display_string=Audit&amp;VAR:KEY=TSXSLAVWNQ&amp;VAR:QUERY=RkZfREVCVChRVFIsMCk=&amp;WINDOW=FIRST_POPUP&amp;HEIGHT=450&amp;WIDTH=450&amp;START_MAXIMIZED=FALSE&amp;VA","R:CALENDAR=FIVEDAY&amp;VAR:SYMBOL=RTEC&amp;VAR:INDEX=0"}</definedName>
    <definedName name="_304__FDSAUDITLINK__" hidden="1">{"fdsup://Directions/FactSet Auditing Viewer?action=AUDIT_VALUE&amp;DB=129&amp;ID1=78127010&amp;VALUEID=02001&amp;SDATE=201102&amp;PERIODTYPE=QTR_STD&amp;SCFT=3&amp;window=popup_no_bar&amp;width=385&amp;height=120&amp;START_MAXIMIZED=FALSE&amp;creator=factset&amp;display_string=Audit"}</definedName>
    <definedName name="_305__FDSAUDITLINK__" hidden="1">{"fdsup://directions/FAT Viewer?action=UPDATE&amp;creator=factset&amp;DYN_ARGS=TRUE&amp;DOC_NAME=FAT:FQL_AUDITING_CLIENT_TEMPLATE.FAT&amp;display_string=Audit&amp;VAR:KEY=LEJUFCPGFS&amp;VAR:QUERY=RkZfREVCVChRVFIsMCk=&amp;WINDOW=FIRST_POPUP&amp;HEIGHT=450&amp;WIDTH=450&amp;START_MAXIMIZED=FALSE&amp;VA","R:CALENDAR=FIVEDAY&amp;VAR:SYMBOL=PLAB&amp;VAR:INDEX=0"}</definedName>
    <definedName name="_306__FDSAUDITLINK__" hidden="1">{"fdsup://Directions/FactSet Auditing Viewer?action=AUDIT_VALUE&amp;DB=129&amp;ID1=71940510&amp;VALUEID=02001&amp;SDATE=201103&amp;PERIODTYPE=QTR_STD&amp;SCFT=3&amp;window=popup_no_bar&amp;width=385&amp;height=120&amp;START_MAXIMIZED=FALSE&amp;creator=factset&amp;display_string=Audit"}</definedName>
    <definedName name="_307__FDSAUDITLINK__" hidden="1">{"fdsup://directions/FAT Viewer?action=UPDATE&amp;creator=factset&amp;DYN_ARGS=TRUE&amp;DOC_NAME=FAT:FQL_AUDITING_CLIENT_TEMPLATE.FAT&amp;display_string=Audit&amp;VAR:KEY=HURUHGBQZU&amp;VAR:QUERY=RkZfREVCVChRVFIsMCk=&amp;WINDOW=FIRST_POPUP&amp;HEIGHT=450&amp;WIDTH=450&amp;START_MAXIMIZED=FALSE&amp;VA","R:CALENDAR=FIVEDAY&amp;VAR:SYMBOL=FORM&amp;VAR:INDEX=0"}</definedName>
    <definedName name="_308__FDSAUDITLINK__" hidden="1">{"fdsup://Directions/FactSet Auditing Viewer?action=AUDIT_VALUE&amp;DB=129&amp;ID1=34637510&amp;VALUEID=02001&amp;SDATE=201102&amp;PERIODTYPE=QTR_STD&amp;SCFT=3&amp;window=popup_no_bar&amp;width=385&amp;height=120&amp;START_MAXIMIZED=FALSE&amp;creator=factset&amp;display_string=Audit"}</definedName>
    <definedName name="_309__FDSAUDITLINK__" hidden="1">{"fdsup://directions/FAT Viewer?action=UPDATE&amp;creator=factset&amp;DYN_ARGS=TRUE&amp;DOC_NAME=FAT:FQL_AUDITING_CLIENT_TEMPLATE.FAT&amp;display_string=Audit&amp;VAR:KEY=LEJUFCPGFS&amp;VAR:QUERY=RkZfREVCVChRVFIsMCk=&amp;WINDOW=FIRST_POPUP&amp;HEIGHT=450&amp;WIDTH=450&amp;START_MAXIMIZED=FALSE&amp;VA","R:CALENDAR=FIVEDAY&amp;VAR:SYMBOL=PLAB&amp;VAR:INDEX=0"}</definedName>
    <definedName name="_31__FDSAUDITLINK__" hidden="1">{"fdsup://directions/FAT Viewer?action=UPDATE&amp;creator=factset&amp;DYN_ARGS=TRUE&amp;DOC_NAME=FAT:FQL_AUDITING_CLIENT_TEMPLATE.FAT&amp;display_string=Audit&amp;VAR:KEY=HCBYDYTCVI&amp;VAR:QUERY=RkZfSU5WRVNUX0xUKFFUUiwwKQ==&amp;WINDOW=FIRST_POPUP&amp;HEIGHT=450&amp;WIDTH=450&amp;START_MAXIMIZED=","FALSE&amp;VAR:CALENDAR=US&amp;VAR:SYMBOL=610899&amp;VAR:INDEX=0"}</definedName>
    <definedName name="_310__FDSAUDITLINK__" hidden="1">{"fdsup://directions/FAT Viewer?action=UPDATE&amp;creator=factset&amp;DYN_ARGS=TRUE&amp;DOC_NAME=FAT:FQL_AUDITING_CLIENT_TEMPLATE.FAT&amp;display_string=Audit&amp;VAR:KEY=HQFWJGZMFQ&amp;VAR:QUERY=RkZfSU5WRVNUX0xUKFFUUiwwKQ==&amp;WINDOW=FIRST_POPUP&amp;HEIGHT=450&amp;WIDTH=450&amp;START_MAXIMIZED=","FALSE&amp;VAR:CALENDAR=FIVEDAY&amp;VAR:SYMBOL=PLAB&amp;VAR:INDEX=0"}</definedName>
    <definedName name="_311__FDSAUDITLINK__" hidden="1">{"fdsup://directions/FAT Viewer?action=UPDATE&amp;creator=factset&amp;DYN_ARGS=TRUE&amp;DOC_NAME=FAT:FQL_AUDITING_CLIENT_TEMPLATE.FAT&amp;display_string=Audit&amp;VAR:KEY=HIRSDMTKPO&amp;VAR:QUERY=RkZfREVCVChRVFIsMCk=&amp;WINDOW=FIRST_POPUP&amp;HEIGHT=450&amp;WIDTH=450&amp;START_MAXIMIZED=FALSE&amp;VA","R:CALENDAR=FIVEDAY&amp;VAR:SYMBOL=CREE&amp;VAR:INDEX=0"}</definedName>
    <definedName name="_312__FDSAUDITLINK__" hidden="1">{"fdsup://directions/FAT Viewer?action=UPDATE&amp;creator=factset&amp;DYN_ARGS=TRUE&amp;DOC_NAME=FAT:FQL_AUDITING_CLIENT_TEMPLATE.FAT&amp;display_string=Audit&amp;VAR:KEY=VWVQPQZYXU&amp;VAR:QUERY=RkZfSU5WRVNUX0xUKFFUUiwwKQ==&amp;WINDOW=FIRST_POPUP&amp;HEIGHT=450&amp;WIDTH=450&amp;START_MAXIMIZED=","FALSE&amp;VAR:CALENDAR=FIVEDAY&amp;VAR:SYMBOL=CREE&amp;VAR:INDEX=0"}</definedName>
    <definedName name="_313__FDSAUDITLINK__" hidden="1">{"fdsup://directions/FAT Viewer?action=UPDATE&amp;creator=factset&amp;DYN_ARGS=TRUE&amp;DOC_NAME=FAT:FQL_AUDITING_CLIENT_TEMPLATE.FAT&amp;display_string=Audit&amp;VAR:KEY=BOTOJQZCTG&amp;VAR:QUERY=RkZfREVCVChRVFIsMCk=&amp;WINDOW=FIRST_POPUP&amp;HEIGHT=450&amp;WIDTH=450&amp;START_MAXIMIZED=FALSE&amp;VA","R:CALENDAR=FIVEDAY&amp;VAR:SYMBOL=546834&amp;VAR:INDEX=0"}</definedName>
    <definedName name="_314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315__FDSAUDITLINK__" hidden="1">{"fdsup://directions/FAT Viewer?action=UPDATE&amp;creator=factset&amp;DYN_ARGS=TRUE&amp;DOC_NAME=FAT:FQL_AUDITING_CLIENT_TEMPLATE.FAT&amp;display_string=Audit&amp;VAR:KEY=HEJSJGNOBC&amp;VAR:QUERY=RkZfREVCVChRVFIsMCk=&amp;WINDOW=FIRST_POPUP&amp;HEIGHT=450&amp;WIDTH=450&amp;START_MAXIMIZED=FALSE&amp;VA","R:CALENDAR=FIVEDAY&amp;VAR:SYMBOL=VECO&amp;VAR:INDEX=0"}</definedName>
    <definedName name="_316__FDSAUDITLINK__" hidden="1">{"fdsup://directions/FAT Viewer?action=UPDATE&amp;creator=factset&amp;DYN_ARGS=TRUE&amp;DOC_NAME=FAT:FQL_AUDITING_CLIENT_TEMPLATE.FAT&amp;display_string=Audit&amp;VAR:KEY=FERCPEXILW&amp;VAR:QUERY=RkZfSU5WRVNUX0xUKFFUUiwwKQ==&amp;WINDOW=FIRST_POPUP&amp;HEIGHT=450&amp;WIDTH=450&amp;START_MAXIMIZED=","FALSE&amp;VAR:CALENDAR=FIVEDAY&amp;VAR:SYMBOL=VECO&amp;VAR:INDEX=0"}</definedName>
    <definedName name="_317__FDSAUDITLINK__" hidden="1">{"fdsup://directions/FAT Viewer?action=UPDATE&amp;creator=factset&amp;DYN_ARGS=TRUE&amp;DOC_NAME=FAT:FQL_AUDITING_CLIENT_TEMPLATE.FAT&amp;display_string=Audit&amp;VAR:KEY=TELYZSVYPE&amp;VAR:QUERY=RkZfREVCVChRVFIsMCk=&amp;WINDOW=FIRST_POPUP&amp;HEIGHT=450&amp;WIDTH=450&amp;START_MAXIMIZED=FALSE&amp;VA","R:CALENDAR=FIVEDAY&amp;VAR:SYMBOL=UTEK&amp;VAR:INDEX=0"}</definedName>
    <definedName name="_318__FDSAUDITLINK__" hidden="1">{"fdsup://directions/FAT Viewer?action=UPDATE&amp;creator=factset&amp;DYN_ARGS=TRUE&amp;DOC_NAME=FAT:FQL_AUDITING_CLIENT_TEMPLATE.FAT&amp;display_string=Audit&amp;VAR:KEY=RQTCVQHCBA&amp;VAR:QUERY=RkZfSU5WRVNUX0xUKFFUUiwwKQ==&amp;WINDOW=FIRST_POPUP&amp;HEIGHT=450&amp;WIDTH=450&amp;START_MAXIMIZED=","FALSE&amp;VAR:CALENDAR=FIVEDAY&amp;VAR:SYMBOL=UTEK&amp;VAR:INDEX=0"}</definedName>
    <definedName name="_319__FDSAUDITLINK__" hidden="1">{"fdsup://directions/FAT Viewer?action=UPDATE&amp;creator=factset&amp;DYN_ARGS=TRUE&amp;DOC_NAME=FAT:FQL_AUDITING_CLIENT_TEMPLATE.FAT&amp;display_string=Audit&amp;VAR:KEY=TITKFCBQBG&amp;VAR:QUERY=RkZfREVCVChRVFIsMCk=&amp;WINDOW=FIRST_POPUP&amp;HEIGHT=450&amp;WIDTH=450&amp;START_MAXIMIZED=FALSE&amp;VA","R:CALENDAR=FIVEDAY&amp;VAR:SYMBOL=TER&amp;VAR:INDEX=0"}</definedName>
    <definedName name="_32__FDSAUDITLINK__" hidden="1">{"fdsup://Directions/FactSet Auditing Viewer?action=AUDIT_VALUE&amp;DB=129&amp;ID1=610899&amp;VALUEID=02001&amp;SDATE=201102&amp;PERIODTYPE=QTR_STD&amp;SCFT=3&amp;window=popup_no_bar&amp;width=385&amp;height=120&amp;START_MAXIMIZED=FALSE&amp;creator=factset&amp;display_string=Audit"}</definedName>
    <definedName name="_320__FDSAUDITLINK__" hidden="1">{"fdsup://directions/FAT Viewer?action=UPDATE&amp;creator=factset&amp;DYN_ARGS=TRUE&amp;DOC_NAME=FAT:FQL_AUDITING_CLIENT_TEMPLATE.FAT&amp;display_string=Audit&amp;VAR:KEY=VINADGHCXQ&amp;VAR:QUERY=RkZfSU5WRVNUX0xUKFFUUiwwKQ==&amp;WINDOW=FIRST_POPUP&amp;HEIGHT=450&amp;WIDTH=450&amp;START_MAXIMIZED=","FALSE&amp;VAR:CALENDAR=FIVEDAY&amp;VAR:SYMBOL=TER&amp;VAR:INDEX=0"}</definedName>
    <definedName name="_321__FDSAUDITLINK__" hidden="1">{"fdsup://directions/FAT Viewer?action=UPDATE&amp;creator=factset&amp;DYN_ARGS=TRUE&amp;DOC_NAME=FAT:FQL_AUDITING_CLIENT_TEMPLATE.FAT&amp;display_string=Audit&amp;VAR:KEY=ZGLSFAJQJQ&amp;VAR:QUERY=RkZfREVCVChRVFIsMCk=&amp;WINDOW=FIRST_POPUP&amp;HEIGHT=450&amp;WIDTH=450&amp;START_MAXIMIZED=FALSE&amp;VA","R:CALENDAR=FIVEDAY&amp;VAR:SYMBOL=KLIC&amp;VAR:INDEX=0"}</definedName>
    <definedName name="_322__FDSAUDITLINK__" hidden="1">{"fdsup://directions/FAT Viewer?action=UPDATE&amp;creator=factset&amp;DYN_ARGS=TRUE&amp;DOC_NAME=FAT:FQL_AUDITING_CLIENT_TEMPLATE.FAT&amp;display_string=Audit&amp;VAR:KEY=HGZWXKREDU&amp;VAR:QUERY=RkZfSU5WRVNUX0xUKFFUUiwwKQ==&amp;WINDOW=FIRST_POPUP&amp;HEIGHT=450&amp;WIDTH=450&amp;START_MAXIMIZED=","FALSE&amp;VAR:CALENDAR=FIVEDAY&amp;VAR:SYMBOL=KLIC&amp;VAR:INDEX=0"}</definedName>
    <definedName name="_323__FDSAUDITLINK__" hidden="1">{"fdsup://directions/FAT Viewer?action=UPDATE&amp;creator=factset&amp;DYN_ARGS=TRUE&amp;DOC_NAME=FAT:FQL_AUDITING_CLIENT_TEMPLATE.FAT&amp;display_string=Audit&amp;VAR:KEY=ZSZWTWPIFM&amp;VAR:QUERY=RkZfREVCVChRVFIsMCk=&amp;WINDOW=FIRST_POPUP&amp;HEIGHT=450&amp;WIDTH=450&amp;START_MAXIMIZED=FALSE&amp;VA","R:CALENDAR=FIVEDAY&amp;VAR:SYMBOL=WFR&amp;VAR:INDEX=0"}</definedName>
    <definedName name="_324__FDSAUDITLINK__" hidden="1">{"fdsup://Directions/FactSet Auditing Viewer?action=AUDIT_VALUE&amp;DB=129&amp;ID1=55271510&amp;VALUEID=02001&amp;SDATE=201102&amp;PERIODTYPE=QTR_STD&amp;SCFT=3&amp;window=popup_no_bar&amp;width=385&amp;height=120&amp;START_MAXIMIZED=FALSE&amp;creator=factset&amp;display_string=Audit"}</definedName>
    <definedName name="_325__FDSAUDITLINK__" hidden="1">{"fdsup://directions/FAT Viewer?action=UPDATE&amp;creator=factset&amp;DYN_ARGS=TRUE&amp;DOC_NAME=FAT:FQL_AUDITING_CLIENT_TEMPLATE.FAT&amp;display_string=Audit&amp;VAR:KEY=VYBOFOPCDY&amp;VAR:QUERY=RkZfREVCVChRVFIsMCk=&amp;WINDOW=FIRST_POPUP&amp;HEIGHT=450&amp;WIDTH=450&amp;START_MAXIMIZED=FALSE&amp;VA","R:CALENDAR=FIVEDAY&amp;VAR:SYMBOL=ENTG&amp;VAR:INDEX=0"}</definedName>
    <definedName name="_326__FDSAUDITLINK__" hidden="1">{"fdsup://Directions/FactSet Auditing Viewer?action=AUDIT_VALUE&amp;DB=129&amp;ID1=29362U10&amp;VALUEID=02001&amp;SDATE=201102&amp;PERIODTYPE=QTR_STD&amp;SCFT=3&amp;window=popup_no_bar&amp;width=385&amp;height=120&amp;START_MAXIMIZED=FALSE&amp;creator=factset&amp;display_string=Audit"}</definedName>
    <definedName name="_327__FDSAUDITLINK__" hidden="1">{"fdsup://directions/FAT Viewer?action=UPDATE&amp;creator=factset&amp;DYN_ARGS=TRUE&amp;DOC_NAME=FAT:FQL_AUDITING_CLIENT_TEMPLATE.FAT&amp;display_string=Audit&amp;VAR:KEY=FWJARUJEXY&amp;VAR:QUERY=RkZfREVCVChRVFIsMCk=&amp;WINDOW=FIRST_POPUP&amp;HEIGHT=450&amp;WIDTH=450&amp;START_MAXIMIZED=FALSE&amp;VA","R:CALENDAR=FIVEDAY&amp;VAR:SYMBOL=CCMP&amp;VAR:INDEX=0"}</definedName>
    <definedName name="_328__FDSAUDITLINK__" hidden="1">{"fdsup://Directions/FactSet Auditing Viewer?action=AUDIT_VALUE&amp;DB=129&amp;ID1=12709P10&amp;VALUEID=02001&amp;SDATE=201103&amp;PERIODTYPE=QTR_STD&amp;SCFT=3&amp;window=popup_no_bar&amp;width=385&amp;height=120&amp;START_MAXIMIZED=FALSE&amp;creator=factset&amp;display_string=Audit"}</definedName>
    <definedName name="_329__FDSAUDITLINK__" hidden="1">{"fdsup://directions/FAT Viewer?action=UPDATE&amp;creator=factset&amp;DYN_ARGS=TRUE&amp;DOC_NAME=FAT:FQL_AUDITING_CLIENT_TEMPLATE.FAT&amp;display_string=Audit&amp;VAR:KEY=VIRSXENOLK&amp;VAR:QUERY=RkZfREVCVChRVFIsMCk=&amp;WINDOW=FIRST_POPUP&amp;HEIGHT=450&amp;WIDTH=450&amp;START_MAXIMIZED=FALSE&amp;VA","R:CALENDAR=FIVEDAY&amp;VAR:SYMBOL=ATMI&amp;VAR:INDEX=0"}</definedName>
    <definedName name="_33__FDSAUDITLINK__" hidden="1">{"fdsup://directions/FAT Viewer?action=UPDATE&amp;creator=factset&amp;DYN_ARGS=TRUE&amp;DOC_NAME=FAT:FQL_AUDITING_CLIENT_TEMPLATE.FAT&amp;display_string=Audit&amp;VAR:KEY=ZKJYVMVATE&amp;VAR:QUERY=RkZfREVCVChRVFIsMCk=&amp;WINDOW=FIRST_POPUP&amp;HEIGHT=450&amp;WIDTH=450&amp;START_MAXIMIZED=FALSE&amp;VA","R:CALENDAR=US&amp;VAR:SYMBOL=628360&amp;VAR:INDEX=0"}</definedName>
    <definedName name="_330__FDSAUDITLINK__" hidden="1">{"fdsup://Directions/FactSet Auditing Viewer?action=AUDIT_VALUE&amp;DB=129&amp;ID1=00207R10&amp;VALUEID=02001&amp;SDATE=201102&amp;PERIODTYPE=QTR_STD&amp;SCFT=3&amp;window=popup_no_bar&amp;width=385&amp;height=120&amp;START_MAXIMIZED=FALSE&amp;creator=factset&amp;display_string=Audit"}</definedName>
    <definedName name="_331__FDSAUDITLINK__" hidden="1">{"fdsup://directions/FAT Viewer?action=UPDATE&amp;creator=factset&amp;DYN_ARGS=TRUE&amp;DOC_NAME=FAT:FQL_AUDITING_CLIENT_TEMPLATE.FAT&amp;display_string=Audit&amp;VAR:KEY=XYBUJURQLK&amp;VAR:QUERY=RkZfREVCVChRVFIsMCk=&amp;WINDOW=FIRST_POPUP&amp;HEIGHT=450&amp;WIDTH=450&amp;START_MAXIMIZED=FALSE&amp;VA","R:CALENDAR=FIVEDAY&amp;VAR:SYMBOL=MKSI&amp;VAR:INDEX=0"}</definedName>
    <definedName name="_332__FDSAUDITLINK__" hidden="1">{"fdsup://Directions/FactSet Auditing Viewer?action=AUDIT_VALUE&amp;DB=129&amp;ID1=55306N10&amp;VALUEID=02001&amp;SDATE=201102&amp;PERIODTYPE=QTR_STD&amp;SCFT=3&amp;window=popup_no_bar&amp;width=385&amp;height=120&amp;START_MAXIMIZED=FALSE&amp;creator=factset&amp;display_string=Audit"}</definedName>
    <definedName name="_333__FDSAUDITLINK__" hidden="1">{"fdsup://directions/FAT Viewer?action=UPDATE&amp;creator=factset&amp;DYN_ARGS=TRUE&amp;DOC_NAME=FAT:FQL_AUDITING_CLIENT_TEMPLATE.FAT&amp;display_string=Audit&amp;VAR:KEY=RQHENMZQTO&amp;VAR:QUERY=RkZfREVCVChRVFIsMCk=&amp;WINDOW=FIRST_POPUP&amp;HEIGHT=450&amp;WIDTH=450&amp;START_MAXIMIZED=FALSE&amp;VA","R:CALENDAR=FIVEDAY&amp;VAR:SYMBOL=CYMI&amp;VAR:INDEX=0"}</definedName>
    <definedName name="_334__FDSAUDITLINK__" hidden="1">{"fdsup://Directions/FactSet Auditing Viewer?action=AUDIT_VALUE&amp;DB=129&amp;ID1=23257210&amp;VALUEID=02001&amp;SDATE=201102&amp;PERIODTYPE=QTR_STD&amp;SCFT=3&amp;window=popup_no_bar&amp;width=385&amp;height=120&amp;START_MAXIMIZED=FALSE&amp;creator=factset&amp;display_string=Audit"}</definedName>
    <definedName name="_335__FDSAUDITLINK__" hidden="1">{"fdsup://directions/FAT Viewer?action=UPDATE&amp;creator=factset&amp;DYN_ARGS=TRUE&amp;DOC_NAME=FAT:FQL_AUDITING_CLIENT_TEMPLATE.FAT&amp;display_string=Audit&amp;VAR:KEY=XGXILOBCRU&amp;VAR:QUERY=RkZfREVCVChRVFIsMCk=&amp;WINDOW=FIRST_POPUP&amp;HEIGHT=450&amp;WIDTH=450&amp;START_MAXIMIZED=FALSE&amp;VA","R:CALENDAR=FIVEDAY&amp;VAR:SYMBOL=BRKS&amp;VAR:INDEX=0"}</definedName>
    <definedName name="_336__FDSAUDITLINK__" hidden="1">{"fdsup://directions/FAT Viewer?action=UPDATE&amp;creator=factset&amp;DYN_ARGS=TRUE&amp;DOC_NAME=FAT:FQL_AUDITING_CLIENT_TEMPLATE.FAT&amp;display_string=Audit&amp;VAR:KEY=HOPWHWXMDM&amp;VAR:QUERY=RkZfSU5WRVNUX0xUKFFUUiwwKQ==&amp;WINDOW=FIRST_POPUP&amp;HEIGHT=450&amp;WIDTH=450&amp;START_MAXIMIZED=","FALSE&amp;VAR:CALENDAR=FIVEDAY&amp;VAR:SYMBOL=BRKS&amp;VAR:INDEX=0"}</definedName>
    <definedName name="_337__FDSAUDITLINK__" hidden="1">{"fdsup://directions/FAT Viewer?action=UPDATE&amp;creator=factset&amp;DYN_ARGS=TRUE&amp;DOC_NAME=FAT:FQL_AUDITING_CLIENT_TEMPLATE.FAT&amp;display_string=Audit&amp;VAR:KEY=ZONOXATULC&amp;VAR:QUERY=RkZfREVCVChRVFIsMCk=&amp;WINDOW=FIRST_POPUP&amp;HEIGHT=450&amp;WIDTH=450&amp;START_MAXIMIZED=FALSE&amp;VA","R:CALENDAR=FIVEDAY&amp;VAR:SYMBOL=AEIS&amp;VAR:INDEX=0"}</definedName>
    <definedName name="_338__FDSAUDITLINK__" hidden="1">{"fdsup://Directions/FactSet Auditing Viewer?action=AUDIT_VALUE&amp;DB=129&amp;ID1=00797310&amp;VALUEID=02001&amp;SDATE=201102&amp;PERIODTYPE=QTR_STD&amp;SCFT=3&amp;window=popup_no_bar&amp;width=385&amp;height=120&amp;START_MAXIMIZED=FALSE&amp;creator=factset&amp;display_string=Audit"}</definedName>
    <definedName name="_339__FDSAUDITLINK__" hidden="1">{"fdsup://directions/FAT Viewer?action=UPDATE&amp;creator=factset&amp;DYN_ARGS=TRUE&amp;DOC_NAME=FAT:FQL_AUDITING_CLIENT_TEMPLATE.FAT&amp;display_string=Audit&amp;VAR:KEY=NSLMHKNEDI&amp;VAR:QUERY=RkZfREVCVChRVFIsMCk=&amp;WINDOW=FIRST_POPUP&amp;HEIGHT=450&amp;WIDTH=450&amp;START_MAXIMIZED=FALSE&amp;VA","R:CALENDAR=FIVEDAY&amp;VAR:SYMBOL=VSEA&amp;VAR:INDEX=0"}</definedName>
    <definedName name="_34__FDSAUDITLINK__" hidden="1">{"fdsup://directions/FAT Viewer?action=UPDATE&amp;creator=factset&amp;DYN_ARGS=TRUE&amp;DOC_NAME=FAT:FQL_AUDITING_CLIENT_TEMPLATE.FAT&amp;display_string=Audit&amp;VAR:KEY=BYVKFOXWBA&amp;VAR:QUERY=RkZfSU5WRVNUX0xUKFFUUiwwKQ==&amp;WINDOW=FIRST_POPUP&amp;HEIGHT=450&amp;WIDTH=450&amp;START_MAXIMIZED=","FALSE&amp;VAR:CALENDAR=US&amp;VAR:SYMBOL=628360&amp;VAR:INDEX=0"}</definedName>
    <definedName name="_340__FDSAUDITLINK__" hidden="1">{"fdsup://directions/FAT Viewer?action=UPDATE&amp;creator=factset&amp;DYN_ARGS=TRUE&amp;DOC_NAME=FAT:FQL_AUDITING_CLIENT_TEMPLATE.FAT&amp;display_string=Audit&amp;VAR:KEY=BQPOZYXCBO&amp;VAR:QUERY=RkZfSU5WRVNUX0xUKFFUUiwwKQ==&amp;WINDOW=FIRST_POPUP&amp;HEIGHT=450&amp;WIDTH=450&amp;START_MAXIMIZED=","FALSE&amp;VAR:CALENDAR=FIVEDAY&amp;VAR:SYMBOL=VSEA&amp;VAR:INDEX=0"}</definedName>
    <definedName name="_341__FDSAUDITLINK__" hidden="1">{"fdsup://directions/FAT Viewer?action=UPDATE&amp;creator=factset&amp;DYN_ARGS=TRUE&amp;DOC_NAME=FAT:FQL_AUDITING_CLIENT_TEMPLATE.FAT&amp;display_string=Audit&amp;VAR:KEY=TSXSLAVWNQ&amp;VAR:QUERY=RkZfREVCVChRVFIsMCk=&amp;WINDOW=FIRST_POPUP&amp;HEIGHT=450&amp;WIDTH=450&amp;START_MAXIMIZED=FALSE&amp;VA","R:CALENDAR=FIVEDAY&amp;VAR:SYMBOL=RTEC&amp;VAR:INDEX=0"}</definedName>
    <definedName name="_342__FDSAUDITLINK__" hidden="1">{"fdsup://directions/FAT Viewer?action=UPDATE&amp;creator=factset&amp;DYN_ARGS=TRUE&amp;DOC_NAME=FAT:FQL_AUDITING_CLIENT_TEMPLATE.FAT&amp;display_string=Audit&amp;VAR:KEY=RKJSVQZKZY&amp;VAR:QUERY=RkZfSU5WRVNUX0xUKFFUUiwwKQ==&amp;WINDOW=FIRST_POPUP&amp;HEIGHT=450&amp;WIDTH=450&amp;START_MAXIMIZED=","FALSE&amp;VAR:CALENDAR=FIVEDAY&amp;VAR:SYMBOL=RTEC&amp;VAR:INDEX=0"}</definedName>
    <definedName name="_343__FDSAUDITLINK__" hidden="1">{"fdsup://directions/FAT Viewer?action=UPDATE&amp;creator=factset&amp;DYN_ARGS=TRUE&amp;DOC_NAME=FAT:FQL_AUDITING_CLIENT_TEMPLATE.FAT&amp;display_string=Audit&amp;VAR:KEY=JETALGBQZY&amp;VAR:QUERY=RkZfREVCVChRVFIsMCk=&amp;WINDOW=FIRST_POPUP&amp;HEIGHT=450&amp;WIDTH=450&amp;START_MAXIMIZED=FALSE&amp;VA","R:CALENDAR=FIVEDAY&amp;VAR:SYMBOL=NVLS&amp;VAR:INDEX=0"}</definedName>
    <definedName name="_344__FDSAUDITLINK__" hidden="1">{"fdsup://Directions/FactSet Auditing Viewer?action=AUDIT_VALUE&amp;DB=129&amp;ID1=67000810&amp;VALUEID=02001&amp;SDATE=201102&amp;PERIODTYPE=QTR_STD&amp;SCFT=3&amp;window=popup_no_bar&amp;width=385&amp;height=120&amp;START_MAXIMIZED=FALSE&amp;creator=factset&amp;display_string=Audit"}</definedName>
    <definedName name="_345__FDSAUDITLINK__" hidden="1">{"fdsup://directions/FAT Viewer?action=UPDATE&amp;creator=factset&amp;DYN_ARGS=TRUE&amp;DOC_NAME=FAT:FQL_AUDITING_CLIENT_TEMPLATE.FAT&amp;display_string=Audit&amp;VAR:KEY=ZYFCVCNEXK&amp;VAR:QUERY=RkZfREVCVChRVFIsMCk=&amp;WINDOW=FIRST_POPUP&amp;HEIGHT=450&amp;WIDTH=450&amp;START_MAXIMIZED=FALSE&amp;VA","R:CALENDAR=FIVEDAY&amp;VAR:SYMBOL=MTSN&amp;VAR:INDEX=0"}</definedName>
    <definedName name="_346__FDSAUDITLINK__" hidden="1">{"fdsup://Directions/FactSet Auditing Viewer?action=AUDIT_VALUE&amp;DB=129&amp;ID1=57722310&amp;VALUEID=02001&amp;SDATE=201102&amp;PERIODTYPE=QTR_STD&amp;SCFT=3&amp;window=popup_no_bar&amp;width=385&amp;height=120&amp;START_MAXIMIZED=FALSE&amp;creator=factset&amp;display_string=Audit"}</definedName>
    <definedName name="_347__FDSAUDITLINK__" hidden="1">{"fdsup://directions/FAT Viewer?action=UPDATE&amp;creator=factset&amp;DYN_ARGS=TRUE&amp;DOC_NAME=FAT:FQL_AUDITING_CLIENT_TEMPLATE.FAT&amp;display_string=Audit&amp;VAR:KEY=XWPKZATSDM&amp;VAR:QUERY=RkZfREVCVChRVFIsMCk=&amp;WINDOW=FIRST_POPUP&amp;HEIGHT=450&amp;WIDTH=450&amp;START_MAXIMIZED=FALSE&amp;VA","R:CALENDAR=FIVEDAY&amp;VAR:SYMBOL=LRCX&amp;VAR:INDEX=0"}</definedName>
    <definedName name="_348__FDSAUDITLINK__" hidden="1">{"fdsup://Directions/FactSet Auditing Viewer?action=AUDIT_VALUE&amp;DB=129&amp;ID1=51280710&amp;VALUEID=02001&amp;SDATE=201104&amp;PERIODTYPE=QTR_STD&amp;SCFT=3&amp;window=popup_no_bar&amp;width=385&amp;height=120&amp;START_MAXIMIZED=FALSE&amp;creator=factset&amp;display_string=Audit"}</definedName>
    <definedName name="_349__FDSAUDITLINK__" hidden="1">{"fdsup://directions/FAT Viewer?action=UPDATE&amp;creator=factset&amp;DYN_ARGS=TRUE&amp;DOC_NAME=FAT:FQL_AUDITING_CLIENT_TEMPLATE.FAT&amp;display_string=Audit&amp;VAR:KEY=PSBSLAFGJY&amp;VAR:QUERY=RkZfREVCVChRVFIsMCk=&amp;WINDOW=FIRST_POPUP&amp;HEIGHT=450&amp;WIDTH=450&amp;START_MAXIMIZED=FALSE&amp;VA","R:CALENDAR=FIVEDAY&amp;VAR:SYMBOL=KLAC&amp;VAR:INDEX=0"}</definedName>
    <definedName name="_35__FDSAUDITLINK__" hidden="1">{"fdsup://Directions/FactSet Auditing Viewer?action=AUDIT_VALUE&amp;DB=129&amp;ID1=628360&amp;VALUEID=02001&amp;SDATE=201102&amp;PERIODTYPE=QTR_STD&amp;SCFT=3&amp;window=popup_no_bar&amp;width=385&amp;height=120&amp;START_MAXIMIZED=FALSE&amp;creator=factset&amp;display_string=Audit"}</definedName>
    <definedName name="_350__FDSAUDITLINK__" hidden="1">{"fdsup://directions/FAT Viewer?action=UPDATE&amp;creator=factset&amp;DYN_ARGS=TRUE&amp;DOC_NAME=FAT:FQL_AUDITING_CLIENT_TEMPLATE.FAT&amp;display_string=Audit&amp;VAR:KEY=ZQJAPMJWXE&amp;VAR:QUERY=RkZfSU5WRVNUX0xUKFFUUiwwKQ==&amp;WINDOW=FIRST_POPUP&amp;HEIGHT=450&amp;WIDTH=450&amp;START_MAXIMIZED=","FALSE&amp;VAR:CALENDAR=FIVEDAY&amp;VAR:SYMBOL=KLAC&amp;VAR:INDEX=0"}</definedName>
    <definedName name="_351__FDSAUDITLINK__" hidden="1">{"fdsup://directions/FAT Viewer?action=UPDATE&amp;creator=factset&amp;DYN_ARGS=TRUE&amp;DOC_NAME=FAT:FQL_AUDITING_CLIENT_TEMPLATE.FAT&amp;display_string=Audit&amp;VAR:KEY=RCFQRMFMHM&amp;VAR:QUERY=RkZfREVCVChRVFIsMCk=&amp;WINDOW=FIRST_POPUP&amp;HEIGHT=450&amp;WIDTH=450&amp;START_MAXIMIZED=FALSE&amp;VA","R:CALENDAR=FIVEDAY&amp;VAR:SYMBOL=594936&amp;VAR:INDEX=0"}</definedName>
    <definedName name="_352__FDSAUDITLINK__" hidden="1">{"fdsup://directions/FAT Viewer?action=UPDATE&amp;creator=factset&amp;DYN_ARGS=TRUE&amp;DOC_NAME=FAT:FQL_AUDITING_CLIENT_TEMPLATE.FAT&amp;display_string=Audit&amp;VAR:KEY=RELAHKLKNI&amp;VAR:QUERY=RkZfSU5WRVNUX0xUKFFUUiwwKQ==&amp;WINDOW=FIRST_POPUP&amp;HEIGHT=450&amp;WIDTH=450&amp;START_MAXIMIZED=","FALSE&amp;VAR:CALENDAR=FIVEDAY&amp;VAR:SYMBOL=594936&amp;VAR:INDEX=0"}</definedName>
    <definedName name="_353__FDSAUDITLINK__" hidden="1">{"fdsup://directions/FAT Viewer?action=UPDATE&amp;creator=factset&amp;DYN_ARGS=TRUE&amp;DOC_NAME=FAT:FQL_AUDITING_CLIENT_TEMPLATE.FAT&amp;display_string=Audit&amp;VAR:KEY=BSNYLGNITI&amp;VAR:QUERY=RkZfREVCVChRVFIsMCk=&amp;WINDOW=FIRST_POPUP&amp;HEIGHT=450&amp;WIDTH=450&amp;START_MAXIMIZED=FALSE&amp;VA","R:CALENDAR=FIVEDAY&amp;VAR:SYMBOL=516529&amp;VAR:INDEX=0"}</definedName>
    <definedName name="_354__FDSAUDITLINK__" hidden="1">{"fdsup://Directions/FactSet Auditing Viewer?action=AUDIT_VALUE&amp;DB=129&amp;ID1=516529&amp;VALUEID=02001&amp;SDATE=201102&amp;PERIODTYPE=QTR_STD&amp;SCFT=3&amp;window=popup_no_bar&amp;width=385&amp;height=120&amp;START_MAXIMIZED=FALSE&amp;creator=factset&amp;display_string=Audit"}</definedName>
    <definedName name="_355__FDSAUDITLINK__" hidden="1">{"fdsup://directions/FAT Viewer?action=UPDATE&amp;creator=factset&amp;DYN_ARGS=TRUE&amp;DOC_NAME=FAT:FQL_AUDITING_CLIENT_TEMPLATE.FAT&amp;display_string=Audit&amp;VAR:KEY=HYNKXMFQHG&amp;VAR:QUERY=RkZfREVCVChRVFIsMCk=&amp;WINDOW=FIRST_POPUP&amp;HEIGHT=450&amp;WIDTH=450&amp;START_MAXIMIZED=FALSE&amp;VA","R:CALENDAR=FIVEDAY&amp;VAR:SYMBOL=AMAT&amp;VAR:INDEX=0"}</definedName>
    <definedName name="_356__FDSAUDITLINK__" hidden="1">{"fdsup://directions/FAT Viewer?action=UPDATE&amp;creator=factset&amp;DYN_ARGS=TRUE&amp;DOC_NAME=FAT:FQL_AUDITING_CLIENT_TEMPLATE.FAT&amp;display_string=Audit&amp;VAR:KEY=HGDSHGBQHY&amp;VAR:QUERY=RkZfSU5WRVNUX0xUKFFUUiwwKQ==&amp;WINDOW=FIRST_POPUP&amp;HEIGHT=450&amp;WIDTH=450&amp;START_MAXIMIZED=","FALSE&amp;VAR:CALENDAR=FIVEDAY&amp;VAR:SYMBOL=AMAT&amp;VAR:INDEX=0"}</definedName>
    <definedName name="_357__FDSAUDITLINK__" hidden="1">{"fdsup://directions/FAT Viewer?action=UPDATE&amp;creator=factset&amp;DYN_ARGS=TRUE&amp;DOC_NAME=FAT:FQL_AUDITING_CLIENT_TEMPLATE.FAT&amp;display_string=Audit&amp;VAR:KEY=ZYFCVCNEXK&amp;VAR:QUERY=RkZfREVCVChRVFIsMCk=&amp;WINDOW=FIRST_POPUP&amp;HEIGHT=450&amp;WIDTH=450&amp;START_MAXIMIZED=FALSE&amp;VA","R:CALENDAR=FIVEDAY&amp;VAR:SYMBOL=MTSN&amp;VAR:INDEX=0"}</definedName>
    <definedName name="_358__FDSAUDITLINK__" hidden="1">{"fdsup://directions/FAT Viewer?action=UPDATE&amp;creator=factset&amp;DYN_ARGS=TRUE&amp;DOC_NAME=FAT:FQL_AUDITING_CLIENT_TEMPLATE.FAT&amp;display_string=Audit&amp;VAR:KEY=JAXADCJYNG&amp;VAR:QUERY=RkZfSU5WRVNUX0xUKFFUUiwwKQ==&amp;WINDOW=FIRST_POPUP&amp;HEIGHT=450&amp;WIDTH=450&amp;START_MAXIMIZED=","FALSE&amp;VAR:CALENDAR=FIVEDAY&amp;VAR:SYMBOL=MTSN&amp;VAR:INDEX=0"}</definedName>
    <definedName name="_359__FDSAUDITLINK__" hidden="1">{"fdsup://directions/FAT Viewer?action=UPDATE&amp;creator=factset&amp;DYN_ARGS=TRUE&amp;DOC_NAME=FAT:FQL_AUDITING_CLIENT_TEMPLATE.FAT&amp;display_string=Audit&amp;VAR:KEY=DSNSFADABQ&amp;VAR:QUERY=RkZfREVCVChRVFIsMCk=&amp;WINDOW=FIRST_POPUP&amp;HEIGHT=450&amp;WIDTH=450&amp;START_MAXIMIZED=FALSE&amp;VA","R:CALENDAR=FIVEDAY&amp;VAR:SYMBOL=FORM&amp;VAR:INDEX=0"}</definedName>
    <definedName name="_36__FDSAUDITLINK__" hidden="1">{"fdsup://directions/FAT Viewer?action=UPDATE&amp;creator=factset&amp;DYN_ARGS=TRUE&amp;DOC_NAME=FAT:FQL_AUDITING_CLIENT_TEMPLATE.FAT&amp;display_string=Audit&amp;VAR:KEY=FORSHKJGXC&amp;VAR:QUERY=RkZfREVCVChRVFIsMCk=&amp;WINDOW=FIRST_POPUP&amp;HEIGHT=450&amp;WIDTH=450&amp;START_MAXIMIZED=FALSE&amp;VA","R:CALENDAR=US&amp;VAR:SYMBOL=B071G3&amp;VAR:INDEX=0"}</definedName>
    <definedName name="_360__FDSAUDITLINK__" hidden="1">{"fdsup://directions/FAT Viewer?action=UPDATE&amp;creator=factset&amp;DYN_ARGS=TRUE&amp;DOC_NAME=FAT:FQL_AUDITING_CLIENT_TEMPLATE.FAT&amp;display_string=Audit&amp;VAR:KEY=XMHSFAPGJE&amp;VAR:QUERY=RkZfSU5WRVNUX0xUKFFUUiwwKQ==&amp;WINDOW=FIRST_POPUP&amp;HEIGHT=450&amp;WIDTH=450&amp;START_MAXIMIZED=","FALSE&amp;VAR:CALENDAR=FIVEDAY&amp;VAR:SYMBOL=FORM&amp;VAR:INDEX=0"}</definedName>
    <definedName name="_361__FDSAUDITLINK__" hidden="1">{"fdsup://directions/FAT Viewer?action=UPDATE&amp;creator=factset&amp;DYN_ARGS=TRUE&amp;DOC_NAME=FAT:FQL_AUDITING_CLIENT_TEMPLATE.FAT&amp;display_string=Audit&amp;VAR:KEY=TMNMFADUVQ&amp;VAR:QUERY=RkZfREVCVChRVFIsMCk=&amp;WINDOW=FIRST_POPUP&amp;HEIGHT=450&amp;WIDTH=450&amp;START_MAXIMIZED=FALSE&amp;VA","R:CALENDAR=FIVEDAY&amp;VAR:SYMBOL=PLAB&amp;VAR:INDEX=0"}</definedName>
    <definedName name="_362__FDSAUDITLINK__" hidden="1">{"fdsup://directions/FAT Viewer?action=UPDATE&amp;creator=factset&amp;DYN_ARGS=TRUE&amp;DOC_NAME=FAT:FQL_AUDITING_CLIENT_TEMPLATE.FAT&amp;display_string=Audit&amp;VAR:KEY=JCZWPCRUBU&amp;VAR:QUERY=RkZfSU5WRVNUX0xUKFFUUiwwKQ==&amp;WINDOW=FIRST_POPUP&amp;HEIGHT=450&amp;WIDTH=450&amp;START_MAXIMIZED=","FALSE&amp;VAR:CALENDAR=FIVEDAY&amp;VAR:SYMBOL=PLAB&amp;VAR:INDEX=0"}</definedName>
    <definedName name="_363__FDSAUDITLINK__" hidden="1">{"fdsup://Directions/FactSet Auditing Viewer?action=AUDIT_VALUE&amp;DB=129&amp;ID1=71940510&amp;VALUEID=02001&amp;SDATE=201103&amp;PERIODTYPE=QTR_STD&amp;SCFT=3&amp;window=popup_no_bar&amp;width=385&amp;height=120&amp;START_MAXIMIZED=FALSE&amp;creator=factset&amp;display_string=Audit"}</definedName>
    <definedName name="_364__FDSAUDITLINK__" hidden="1">{"fdsup://directions/FAT Viewer?action=UPDATE&amp;creator=factset&amp;DYN_ARGS=TRUE&amp;DOC_NAME=FAT:FQL_AUDITING_CLIENT_TEMPLATE.FAT&amp;display_string=Audit&amp;VAR:KEY=RGHYHGRCZK&amp;VAR:QUERY=RkZfREVCVChRVFIsMCk=&amp;WINDOW=FIRST_POPUP&amp;HEIGHT=450&amp;WIDTH=450&amp;START_MAXIMIZED=FALSE&amp;VA","R:CALENDAR=FIVEDAY&amp;VAR:SYMBOL=CREE&amp;VAR:INDEX=0"}</definedName>
    <definedName name="_365__FDSAUDITLINK__" hidden="1">{"fdsup://directions/FAT Viewer?action=UPDATE&amp;creator=factset&amp;DYN_ARGS=TRUE&amp;DOC_NAME=FAT:FQL_AUDITING_CLIENT_TEMPLATE.FAT&amp;display_string=Audit&amp;VAR:KEY=TSDOVUJGZY&amp;VAR:QUERY=RkZfSU5WRVNUX0xUKFFUUiwwKQ==&amp;WINDOW=FIRST_POPUP&amp;HEIGHT=450&amp;WIDTH=450&amp;START_MAXIMIZED=","FALSE&amp;VAR:CALENDAR=FIVEDAY&amp;VAR:SYMBOL=CREE&amp;VAR:INDEX=0"}</definedName>
    <definedName name="_366__FDSAUDITLINK__" hidden="1">{"fdsup://directions/FAT Viewer?action=UPDATE&amp;creator=factset&amp;DYN_ARGS=TRUE&amp;DOC_NAME=FAT:FQL_AUDITING_CLIENT_TEMPLATE.FAT&amp;display_string=Audit&amp;VAR:KEY=JOTITULQBY&amp;VAR:QUERY=RkZfREVCVChRVFIsMCk=&amp;WINDOW=FIRST_POPUP&amp;HEIGHT=450&amp;WIDTH=450&amp;START_MAXIMIZED=FALSE&amp;VA","R:CALENDAR=FIVEDAY&amp;VAR:SYMBOL=546834&amp;VAR:INDEX=0"}</definedName>
    <definedName name="_367__FDSAUDITLINK__" hidden="1">{"fdsup://directions/FAT Viewer?action=UPDATE&amp;creator=factset&amp;DYN_ARGS=TRUE&amp;DOC_NAME=FAT:FQL_AUDITING_CLIENT_TEMPLATE.FAT&amp;display_string=Audit&amp;VAR:KEY=FIZINMLSPI&amp;VAR:QUERY=RkZfSU5WRVNUX0xUKFFUUiwwKQ==&amp;WINDOW=FIRST_POPUP&amp;HEIGHT=450&amp;WIDTH=450&amp;START_MAXIMIZED=","FALSE&amp;VAR:CALENDAR=FIVEDAY&amp;VAR:SYMBOL=546834&amp;VAR:INDEX=0"}</definedName>
    <definedName name="_368__FDSAUDITLINK__" hidden="1">{"fdsup://directions/FAT Viewer?action=UPDATE&amp;creator=factset&amp;DYN_ARGS=TRUE&amp;DOC_NAME=FAT:FQL_AUDITING_CLIENT_TEMPLATE.FAT&amp;display_string=Audit&amp;VAR:KEY=FCTGPOTMFC&amp;VAR:QUERY=RkZfREVCVChRVFIsMCk=&amp;WINDOW=FIRST_POPUP&amp;HEIGHT=450&amp;WIDTH=450&amp;START_MAXIMIZED=FALSE&amp;VA","R:CALENDAR=FIVEDAY&amp;VAR:SYMBOL=VECO&amp;VAR:INDEX=0"}</definedName>
    <definedName name="_369__FDSAUDITLINK__" hidden="1">{"fdsup://directions/FAT Viewer?action=UPDATE&amp;creator=factset&amp;DYN_ARGS=TRUE&amp;DOC_NAME=FAT:FQL_AUDITING_CLIENT_TEMPLATE.FAT&amp;display_string=Audit&amp;VAR:KEY=XGBWFINATY&amp;VAR:QUERY=RkZfSU5WRVNUX0xUKFFUUiwwKQ==&amp;WINDOW=FIRST_POPUP&amp;HEIGHT=450&amp;WIDTH=450&amp;START_MAXIMIZED=","FALSE&amp;VAR:CALENDAR=FIVEDAY&amp;VAR:SYMBOL=VECO&amp;VAR:INDEX=0"}</definedName>
    <definedName name="_37__FDSAUDITLINK__" hidden="1">{"fdsup://directions/FAT Viewer?action=UPDATE&amp;creator=factset&amp;DYN_ARGS=TRUE&amp;DOC_NAME=FAT:FQL_AUDITING_CLIENT_TEMPLATE.FAT&amp;display_string=Audit&amp;VAR:KEY=BKBENMNWFC&amp;VAR:QUERY=RkZfSU5WRVNUX0xUKFFUUiwwKQ==&amp;WINDOW=FIRST_POPUP&amp;HEIGHT=450&amp;WIDTH=450&amp;START_MAXIMIZED=","FALSE&amp;VAR:CALENDAR=US&amp;VAR:SYMBOL=B071G3&amp;VAR:INDEX=0"}</definedName>
    <definedName name="_370__FDSAUDITLINK__" hidden="1">{"fdsup://Directions/FactSet Auditing Viewer?action=AUDIT_VALUE&amp;DB=129&amp;ID1=92241710&amp;VALUEID=02001&amp;SDATE=201102&amp;PERIODTYPE=QTR_STD&amp;SCFT=3&amp;window=popup_no_bar&amp;width=385&amp;height=120&amp;START_MAXIMIZED=FALSE&amp;creator=factset&amp;display_string=Audit"}</definedName>
    <definedName name="_371__FDSAUDITLINK__" hidden="1">{"fdsup://directions/FAT Viewer?action=UPDATE&amp;creator=factset&amp;DYN_ARGS=TRUE&amp;DOC_NAME=FAT:FQL_AUDITING_CLIENT_TEMPLATE.FAT&amp;display_string=Audit&amp;VAR:KEY=NAXMTGNAPU&amp;VAR:QUERY=RkZfREVCVChRVFIsMCk=&amp;WINDOW=FIRST_POPUP&amp;HEIGHT=450&amp;WIDTH=450&amp;START_MAXIMIZED=FALSE&amp;VA","R:CALENDAR=FIVEDAY&amp;VAR:SYMBOL=UTEK&amp;VAR:INDEX=0"}</definedName>
    <definedName name="_372__FDSAUDITLINK__" hidden="1">{"fdsup://directions/FAT Viewer?action=UPDATE&amp;creator=factset&amp;DYN_ARGS=TRUE&amp;DOC_NAME=FAT:FQL_AUDITING_CLIENT_TEMPLATE.FAT&amp;display_string=Audit&amp;VAR:KEY=JKNCJKPCNW&amp;VAR:QUERY=RkZfSU5WRVNUX0xUKFFUUiwwKQ==&amp;WINDOW=FIRST_POPUP&amp;HEIGHT=450&amp;WIDTH=450&amp;START_MAXIMIZED=","FALSE&amp;VAR:CALENDAR=FIVEDAY&amp;VAR:SYMBOL=UTEK&amp;VAR:INDEX=0"}</definedName>
    <definedName name="_373__FDSAUDITLINK__" hidden="1">{"fdsup://Directions/FactSet Auditing Viewer?action=AUDIT_VALUE&amp;DB=129&amp;ID1=90403410&amp;VALUEID=02001&amp;SDATE=201102&amp;PERIODTYPE=QTR_STD&amp;SCFT=3&amp;window=popup_no_bar&amp;width=385&amp;height=120&amp;START_MAXIMIZED=FALSE&amp;creator=factset&amp;display_string=Audit"}</definedName>
    <definedName name="_374__FDSAUDITLINK__" hidden="1">{"fdsup://directions/FAT Viewer?action=UPDATE&amp;creator=factset&amp;DYN_ARGS=TRUE&amp;DOC_NAME=FAT:FQL_AUDITING_CLIENT_TEMPLATE.FAT&amp;display_string=Audit&amp;VAR:KEY=ZMBABIDQJA&amp;VAR:QUERY=RkZfREVCVChRVFIsMCk=&amp;WINDOW=FIRST_POPUP&amp;HEIGHT=450&amp;WIDTH=450&amp;START_MAXIMIZED=FALSE&amp;VA","R:CALENDAR=FIVEDAY&amp;VAR:SYMBOL=TER&amp;VAR:INDEX=0"}</definedName>
    <definedName name="_375__FDSAUDITLINK__" hidden="1">{"fdsup://directions/FAT Viewer?action=UPDATE&amp;creator=factset&amp;DYN_ARGS=TRUE&amp;DOC_NAME=FAT:FQL_AUDITING_CLIENT_TEMPLATE.FAT&amp;display_string=Audit&amp;VAR:KEY=ZEXSTQNUPG&amp;VAR:QUERY=RkZfSU5WRVNUX0xUKFFUUiwwKQ==&amp;WINDOW=FIRST_POPUP&amp;HEIGHT=450&amp;WIDTH=450&amp;START_MAXIMIZED=","FALSE&amp;VAR:CALENDAR=FIVEDAY&amp;VAR:SYMBOL=TER&amp;VAR:INDEX=0"}</definedName>
    <definedName name="_376__FDSAUDITLINK__" hidden="1">{"fdsup://directions/FAT Viewer?action=UPDATE&amp;creator=factset&amp;DYN_ARGS=TRUE&amp;DOC_NAME=FAT:FQL_AUDITING_CLIENT_TEMPLATE.FAT&amp;display_string=Audit&amp;VAR:KEY=FSFQFUBMLS&amp;VAR:QUERY=RkZfREVCVChRVFIsMCk=&amp;WINDOW=FIRST_POPUP&amp;HEIGHT=450&amp;WIDTH=450&amp;START_MAXIMIZED=FALSE&amp;VA","R:CALENDAR=FIVEDAY&amp;VAR:SYMBOL=KLIC&amp;VAR:INDEX=0"}</definedName>
    <definedName name="_377__FDSAUDITLINK__" hidden="1">{"fdsup://directions/FAT Viewer?action=UPDATE&amp;creator=factset&amp;DYN_ARGS=TRUE&amp;DOC_NAME=FAT:FQL_AUDITING_CLIENT_TEMPLATE.FAT&amp;display_string=Audit&amp;VAR:KEY=HKDGTGTYPA&amp;VAR:QUERY=RkZfSU5WRVNUX0xUKFFUUiwwKQ==&amp;WINDOW=FIRST_POPUP&amp;HEIGHT=450&amp;WIDTH=450&amp;START_MAXIMIZED=","FALSE&amp;VAR:CALENDAR=FIVEDAY&amp;VAR:SYMBOL=KLIC&amp;VAR:INDEX=0"}</definedName>
    <definedName name="_378__FDSAUDITLINK__" hidden="1">{"fdsup://Directions/FactSet Auditing Viewer?action=AUDIT_VALUE&amp;DB=129&amp;ID1=50124210&amp;VALUEID=02001&amp;SDATE=201103&amp;PERIODTYPE=QTR_STD&amp;SCFT=3&amp;window=popup_no_bar&amp;width=385&amp;height=120&amp;START_MAXIMIZED=FALSE&amp;creator=factset&amp;display_string=Audit"}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PIFWJSLEVW&amp;VAR:QUERY=RkZfREVCVChRVFIsMCk=&amp;WINDOW=FIRST_POPUP&amp;HEIGHT=450&amp;WIDTH=450&amp;START_MAXIMIZED=FALSE&amp;VA","R:CALENDAR=FIVEDAY&amp;VAR:SYMBOL=WFR&amp;VAR:INDEX=0"}</definedName>
    <definedName name="_38__FDSAUDITLINK__" hidden="1">{"fdsup://Directions/FactSet Auditing Viewer?action=AUDIT_VALUE&amp;DB=129&amp;ID1=B071G3&amp;VALUEID=02001&amp;SDATE=201102&amp;PERIODTYPE=QTR_STD&amp;SCFT=3&amp;window=popup_no_bar&amp;width=385&amp;height=120&amp;START_MAXIMIZED=FALSE&amp;creator=factset&amp;display_string=Audit"}</definedName>
    <definedName name="_380__FDSAUDITLINK__" hidden="1">{"fdsup://directions/FAT Viewer?action=UPDATE&amp;creator=factset&amp;DYN_ARGS=TRUE&amp;DOC_NAME=FAT:FQL_AUDITING_CLIENT_TEMPLATE.FAT&amp;display_string=Audit&amp;VAR:KEY=JCVOZQBEBO&amp;VAR:QUERY=RkZfSU5WRVNUX0xUKFFUUiwwKQ==&amp;WINDOW=FIRST_POPUP&amp;HEIGHT=450&amp;WIDTH=450&amp;START_MAXIMIZED=","FALSE&amp;VAR:CALENDAR=FIVEDAY&amp;VAR:SYMBOL=WFR&amp;VAR:INDEX=0"}</definedName>
    <definedName name="_381__FDSAUDITLINK__" hidden="1">{"fdsup://directions/FAT Viewer?action=UPDATE&amp;creator=factset&amp;DYN_ARGS=TRUE&amp;DOC_NAME=FAT:FQL_AUDITING_CLIENT_TEMPLATE.FAT&amp;display_string=Audit&amp;VAR:KEY=BCLSVOXMJK&amp;VAR:QUERY=RkZfREVCVChRVFIsMCk=&amp;WINDOW=FIRST_POPUP&amp;HEIGHT=450&amp;WIDTH=450&amp;START_MAXIMIZED=FALSE&amp;VA","R:CALENDAR=FIVEDAY&amp;VAR:SYMBOL=ENTG&amp;VAR:INDEX=0"}</definedName>
    <definedName name="_382__FDSAUDITLINK__" hidden="1">{"fdsup://directions/FAT Viewer?action=UPDATE&amp;creator=factset&amp;DYN_ARGS=TRUE&amp;DOC_NAME=FAT:FQL_AUDITING_CLIENT_TEMPLATE.FAT&amp;display_string=Audit&amp;VAR:KEY=VQDWDUNGHM&amp;VAR:QUERY=RkZfSU5WRVNUX0xUKFFUUiwwKQ==&amp;WINDOW=FIRST_POPUP&amp;HEIGHT=450&amp;WIDTH=450&amp;START_MAXIMIZED=","FALSE&amp;VAR:CALENDAR=FIVEDAY&amp;VAR:SYMBOL=ENTG&amp;VAR:INDEX=0"}</definedName>
    <definedName name="_383__FDSAUDITLINK__" hidden="1">{"fdsup://directions/FAT Viewer?action=UPDATE&amp;creator=factset&amp;DYN_ARGS=TRUE&amp;DOC_NAME=FAT:FQL_AUDITING_CLIENT_TEMPLATE.FAT&amp;display_string=Audit&amp;VAR:KEY=BCLSVOXMJK&amp;VAR:QUERY=RkZfREVCVChRVFIsMCk=&amp;WINDOW=FIRST_POPUP&amp;HEIGHT=450&amp;WIDTH=450&amp;START_MAXIMIZED=FALSE&amp;VA","R:CALENDAR=FIVEDAY&amp;VAR:SYMBOL=ENTG&amp;VAR:INDEX=0"}</definedName>
    <definedName name="_384__FDSAUDITLINK__" hidden="1">{"fdsup://directions/FAT Viewer?action=UPDATE&amp;creator=factset&amp;DYN_ARGS=TRUE&amp;DOC_NAME=FAT:FQL_AUDITING_CLIENT_TEMPLATE.FAT&amp;display_string=Audit&amp;VAR:KEY=VQDWDUNGHM&amp;VAR:QUERY=RkZfSU5WRVNUX0xUKFFUUiwwKQ==&amp;WINDOW=FIRST_POPUP&amp;HEIGHT=450&amp;WIDTH=450&amp;START_MAXIMIZED=","FALSE&amp;VAR:CALENDAR=FIVEDAY&amp;VAR:SYMBOL=ENTG&amp;VAR:INDEX=0"}</definedName>
    <definedName name="_385__FDSAUDITLINK__" hidden="1">{"fdsup://directions/FAT Viewer?action=UPDATE&amp;creator=factset&amp;DYN_ARGS=TRUE&amp;DOC_NAME=FAT:FQL_AUDITING_CLIENT_TEMPLATE.FAT&amp;display_string=Audit&amp;VAR:KEY=RGDGPELQXE&amp;VAR:QUERY=RkZfREVCVChRVFIsMCk=&amp;WINDOW=FIRST_POPUP&amp;HEIGHT=450&amp;WIDTH=450&amp;START_MAXIMIZED=FALSE&amp;VA","R:CALENDAR=FIVEDAY&amp;VAR:SYMBOL=CCMP&amp;VAR:INDEX=0"}</definedName>
    <definedName name="_386__FDSAUDITLINK__" hidden="1">{"fdsup://directions/FAT Viewer?action=UPDATE&amp;creator=factset&amp;DYN_ARGS=TRUE&amp;DOC_NAME=FAT:FQL_AUDITING_CLIENT_TEMPLATE.FAT&amp;display_string=Audit&amp;VAR:KEY=VKJCJCROPY&amp;VAR:QUERY=RkZfSU5WRVNUX0xUKFFUUiwwKQ==&amp;WINDOW=FIRST_POPUP&amp;HEIGHT=450&amp;WIDTH=450&amp;START_MAXIMIZED=","FALSE&amp;VAR:CALENDAR=FIVEDAY&amp;VAR:SYMBOL=CCMP&amp;VAR:INDEX=0"}</definedName>
    <definedName name="_387__FDSAUDITLINK__" hidden="1">{"fdsup://directions/FAT Viewer?action=UPDATE&amp;creator=factset&amp;DYN_ARGS=TRUE&amp;DOC_NAME=FAT:FQL_AUDITING_CLIENT_TEMPLATE.FAT&amp;display_string=Audit&amp;VAR:KEY=RGDGPELQXE&amp;VAR:QUERY=RkZfREVCVChRVFIsMCk=&amp;WINDOW=FIRST_POPUP&amp;HEIGHT=450&amp;WIDTH=450&amp;START_MAXIMIZED=FALSE&amp;VA","R:CALENDAR=FIVEDAY&amp;VAR:SYMBOL=CCMP&amp;VAR:INDEX=0"}</definedName>
    <definedName name="_388__FDSAUDITLINK__" hidden="1">{"fdsup://directions/FAT Viewer?action=UPDATE&amp;creator=factset&amp;DYN_ARGS=TRUE&amp;DOC_NAME=FAT:FQL_AUDITING_CLIENT_TEMPLATE.FAT&amp;display_string=Audit&amp;VAR:KEY=VKJCJCROPY&amp;VAR:QUERY=RkZfSU5WRVNUX0xUKFFUUiwwKQ==&amp;WINDOW=FIRST_POPUP&amp;HEIGHT=450&amp;WIDTH=450&amp;START_MAXIMIZED=","FALSE&amp;VAR:CALENDAR=FIVEDAY&amp;VAR:SYMBOL=CCMP&amp;VAR:INDEX=0"}</definedName>
    <definedName name="_389__FDSAUDITLINK__" hidden="1">{"fdsup://directions/FAT Viewer?action=UPDATE&amp;creator=factset&amp;DYN_ARGS=TRUE&amp;DOC_NAME=FAT:FQL_AUDITING_CLIENT_TEMPLATE.FAT&amp;display_string=Audit&amp;VAR:KEY=PCVAZGRYRG&amp;VAR:QUERY=RkZfREVCVChRVFIsMCk=&amp;WINDOW=FIRST_POPUP&amp;HEIGHT=450&amp;WIDTH=450&amp;START_MAXIMIZED=FALSE&amp;VA","R:CALENDAR=FIVEDAY&amp;VAR:SYMBOL=ATMI&amp;VAR:INDEX=0"}</definedName>
    <definedName name="_39__FDSAUDITLINK__" hidden="1">{"fdsup://directions/FAT Viewer?action=UPDATE&amp;creator=factset&amp;DYN_ARGS=TRUE&amp;DOC_NAME=FAT:FQL_AUDITING_CLIENT_TEMPLATE.FAT&amp;display_string=Audit&amp;VAR:KEY=NMJQXATIHY&amp;VAR:QUERY=RkZfREVCVChRVFIsMCk=&amp;WINDOW=FIRST_POPUP&amp;HEIGHT=450&amp;WIDTH=450&amp;START_MAXIMIZED=FALSE&amp;VA","R:CALENDAR=US&amp;VAR:SYMBOL=FORM&amp;VAR:INDEX=0"}</definedName>
    <definedName name="_390__FDSAUDITLINK__" hidden="1">{"fdsup://directions/FAT Viewer?action=UPDATE&amp;creator=factset&amp;DYN_ARGS=TRUE&amp;DOC_NAME=FAT:FQL_AUDITING_CLIENT_TEMPLATE.FAT&amp;display_string=Audit&amp;VAR:KEY=JMLGLYZGZW&amp;VAR:QUERY=RkZfSU5WRVNUX0xUKFFUUiwwKQ==&amp;WINDOW=FIRST_POPUP&amp;HEIGHT=450&amp;WIDTH=450&amp;START_MAXIMIZED=","FALSE&amp;VAR:CALENDAR=FIVEDAY&amp;VAR:SYMBOL=ATMI&amp;VAR:INDEX=0"}</definedName>
    <definedName name="_391__FDSAUDITLINK__" hidden="1">{"fdsup://directions/FAT Viewer?action=UPDATE&amp;creator=factset&amp;DYN_ARGS=TRUE&amp;DOC_NAME=FAT:FQL_AUDITING_CLIENT_TEMPLATE.FAT&amp;display_string=Audit&amp;VAR:KEY=PCVAZGRYRG&amp;VAR:QUERY=RkZfREVCVChRVFIsMCk=&amp;WINDOW=FIRST_POPUP&amp;HEIGHT=450&amp;WIDTH=450&amp;START_MAXIMIZED=FALSE&amp;VA","R:CALENDAR=FIVEDAY&amp;VAR:SYMBOL=ATMI&amp;VAR:INDEX=0"}</definedName>
    <definedName name="_392__FDSAUDITLINK__" hidden="1">{"fdsup://directions/FAT Viewer?action=UPDATE&amp;creator=factset&amp;DYN_ARGS=TRUE&amp;DOC_NAME=FAT:FQL_AUDITING_CLIENT_TEMPLATE.FAT&amp;display_string=Audit&amp;VAR:KEY=JMLGLYZGZW&amp;VAR:QUERY=RkZfSU5WRVNUX0xUKFFUUiwwKQ==&amp;WINDOW=FIRST_POPUP&amp;HEIGHT=450&amp;WIDTH=450&amp;START_MAXIMIZED=","FALSE&amp;VAR:CALENDAR=FIVEDAY&amp;VAR:SYMBOL=ATMI&amp;VAR:INDEX=0"}</definedName>
    <definedName name="_393__FDSAUDITLINK__" hidden="1">{"fdsup://directions/FAT Viewer?action=UPDATE&amp;creator=factset&amp;DYN_ARGS=TRUE&amp;DOC_NAME=FAT:FQL_AUDITING_CLIENT_TEMPLATE.FAT&amp;display_string=Audit&amp;VAR:KEY=HOLURSFKNG&amp;VAR:QUERY=RkZfREVCVChRVFIsMCk=&amp;WINDOW=FIRST_POPUP&amp;HEIGHT=450&amp;WIDTH=450&amp;START_MAXIMIZED=FALSE&amp;VA","R:CALENDAR=FIVEDAY&amp;VAR:SYMBOL=MKSI&amp;VAR:INDEX=0"}</definedName>
    <definedName name="_394__FDSAUDITLINK__" hidden="1">{"fdsup://directions/FAT Viewer?action=UPDATE&amp;creator=factset&amp;DYN_ARGS=TRUE&amp;DOC_NAME=FAT:FQL_AUDITING_CLIENT_TEMPLATE.FAT&amp;display_string=Audit&amp;VAR:KEY=RURATSTIVY&amp;VAR:QUERY=RkZfSU5WRVNUX0xUKFFUUiwwKQ==&amp;WINDOW=FIRST_POPUP&amp;HEIGHT=450&amp;WIDTH=450&amp;START_MAXIMIZED=","FALSE&amp;VAR:CALENDAR=FIVEDAY&amp;VAR:SYMBOL=MKSI&amp;VAR:INDEX=0"}</definedName>
    <definedName name="_395__FDSAUDITLINK__" hidden="1">{"fdsup://directions/FAT Viewer?action=UPDATE&amp;creator=factset&amp;DYN_ARGS=TRUE&amp;DOC_NAME=FAT:FQL_AUDITING_CLIENT_TEMPLATE.FAT&amp;display_string=Audit&amp;VAR:KEY=XCFADOVIDW&amp;VAR:QUERY=RkZfREVCVChRVFIsMCk=&amp;WINDOW=FIRST_POPUP&amp;HEIGHT=450&amp;WIDTH=450&amp;START_MAXIMIZED=FALSE&amp;VA","R:CALENDAR=FIVEDAY&amp;VAR:SYMBOL=CYMI&amp;VAR:INDEX=0"}</definedName>
    <definedName name="_396__FDSAUDITLINK__" hidden="1">{"fdsup://directions/FAT Viewer?action=UPDATE&amp;creator=factset&amp;DYN_ARGS=TRUE&amp;DOC_NAME=FAT:FQL_AUDITING_CLIENT_TEMPLATE.FAT&amp;display_string=Audit&amp;VAR:KEY=VIHCZYRQJQ&amp;VAR:QUERY=RkZfSU5WRVNUX0xUKFFUUiwwKQ==&amp;WINDOW=FIRST_POPUP&amp;HEIGHT=450&amp;WIDTH=450&amp;START_MAXIMIZED=","FALSE&amp;VAR:CALENDAR=FIVEDAY&amp;VAR:SYMBOL=CYMI&amp;VAR:INDEX=0"}</definedName>
    <definedName name="_397__FDSAUDITLINK__" hidden="1">{"fdsup://directions/FAT Viewer?action=UPDATE&amp;creator=factset&amp;DYN_ARGS=TRUE&amp;DOC_NAME=FAT:FQL_AUDITING_CLIENT_TEMPLATE.FAT&amp;display_string=Audit&amp;VAR:KEY=FQLQHSVIBI&amp;VAR:QUERY=RkZfREVCVChRVFIsMCk=&amp;WINDOW=FIRST_POPUP&amp;HEIGHT=450&amp;WIDTH=450&amp;START_MAXIMIZED=FALSE&amp;VA","R:CALENDAR=FIVEDAY&amp;VAR:SYMBOL=BRKS&amp;VAR:INDEX=0"}</definedName>
    <definedName name="_398__FDSAUDITLINK__" hidden="1">{"fdsup://directions/FAT Viewer?action=UPDATE&amp;creator=factset&amp;DYN_ARGS=TRUE&amp;DOC_NAME=FAT:FQL_AUDITING_CLIENT_TEMPLATE.FAT&amp;display_string=Audit&amp;VAR:KEY=RUJQXGVQTA&amp;VAR:QUERY=RkZfSU5WRVNUX0xUKFFUUiwwKQ==&amp;WINDOW=FIRST_POPUP&amp;HEIGHT=450&amp;WIDTH=450&amp;START_MAXIMIZED=","FALSE&amp;VAR:CALENDAR=FIVEDAY&amp;VAR:SYMBOL=BRKS&amp;VAR:INDEX=0"}</definedName>
    <definedName name="_399__FDSAUDITLINK__" hidden="1">{"fdsup://Directions/FactSet Auditing Viewer?action=AUDIT_VALUE&amp;DB=129&amp;ID1=11434010&amp;VALUEID=02001&amp;SDATE=201103&amp;PERIODTYPE=QTR_STD&amp;SCFT=3&amp;window=popup_no_bar&amp;width=385&amp;height=120&amp;START_MAXIMIZED=FALSE&amp;creator=factset&amp;display_string=Audit"}</definedName>
    <definedName name="_4__FDSAUDITLINK__" hidden="1">{"fdsup://directions/FAT Viewer?action=UPDATE&amp;creator=factset&amp;DYN_ARGS=TRUE&amp;DOC_NAME=FAT:FQL_AUDITING_CLIENT_TEMPLATE.FAT&amp;display_string=Audit&amp;VAR:KEY=PAFUZGXWRY&amp;VAR:QUERY=RkZfREVCVChRVFIsMCk=&amp;WINDOW=FIRST_POPUP&amp;HEIGHT=450&amp;WIDTH=450&amp;START_MAXIMIZED=FALSE&amp;VA","R:CALENDAR=US&amp;VAR:SYMBOL=CODE&amp;VAR:INDEX=0"}</definedName>
    <definedName name="_40__FDSAUDITLINK__" hidden="1">{"fdsup://directions/FAT Viewer?action=UPDATE&amp;creator=factset&amp;DYN_ARGS=TRUE&amp;DOC_NAME=FAT:FQL_AUDITING_CLIENT_TEMPLATE.FAT&amp;display_string=Audit&amp;VAR:KEY=DOHSBYDAVC&amp;VAR:QUERY=RkZfSU5WRVNUX0xUKFFUUiwwKQ==&amp;WINDOW=FIRST_POPUP&amp;HEIGHT=450&amp;WIDTH=450&amp;START_MAXIMIZED=","FALSE&amp;VAR:CALENDAR=US&amp;VAR:SYMBOL=FORM&amp;VAR:INDEX=0"}</definedName>
    <definedName name="_400__FDSAUDITLINK__" hidden="1">{"fdsup://directions/FAT Viewer?action=UPDATE&amp;creator=factset&amp;DYN_ARGS=TRUE&amp;DOC_NAME=FAT:FQL_AUDITING_CLIENT_TEMPLATE.FAT&amp;display_string=Audit&amp;VAR:KEY=LEZUZETGZQ&amp;VAR:QUERY=RkZfREVCVChRVFIsMCk=&amp;WINDOW=FIRST_POPUP&amp;HEIGHT=450&amp;WIDTH=450&amp;START_MAXIMIZED=FALSE&amp;VA","R:CALENDAR=FIVEDAY&amp;VAR:SYMBOL=AEIS&amp;VAR:INDEX=0"}</definedName>
    <definedName name="_401__FDSAUDITLINK__" hidden="1">{"fdsup://directions/FAT Viewer?action=UPDATE&amp;creator=factset&amp;DYN_ARGS=TRUE&amp;DOC_NAME=FAT:FQL_AUDITING_CLIENT_TEMPLATE.FAT&amp;display_string=Audit&amp;VAR:KEY=PEBWDOJAHA&amp;VAR:QUERY=RkZfSU5WRVNUX0xUKFFUUiwwKQ==&amp;WINDOW=FIRST_POPUP&amp;HEIGHT=450&amp;WIDTH=450&amp;START_MAXIMIZED=","FALSE&amp;VAR:CALENDAR=FIVEDAY&amp;VAR:SYMBOL=AEIS&amp;VAR:INDEX=0"}</definedName>
    <definedName name="_402__FDSAUDITLINK__" hidden="1">{"fdsup://directions/FAT Viewer?action=UPDATE&amp;creator=factset&amp;DYN_ARGS=TRUE&amp;DOC_NAME=FAT:FQL_AUDITING_CLIENT_TEMPLATE.FAT&amp;display_string=Audit&amp;VAR:KEY=HQPKPIPMPO&amp;VAR:QUERY=RkZfREVCVChRVFIsMCk=&amp;WINDOW=FIRST_POPUP&amp;HEIGHT=450&amp;WIDTH=450&amp;START_MAXIMIZED=FALSE&amp;VA","R:CALENDAR=FIVEDAY&amp;VAR:SYMBOL=VSEA&amp;VAR:INDEX=0"}</definedName>
    <definedName name="_403__FDSAUDITLINK__" hidden="1">{"fdsup://directions/FAT Viewer?action=UPDATE&amp;creator=factset&amp;DYN_ARGS=TRUE&amp;DOC_NAME=FAT:FQL_AUDITING_CLIENT_TEMPLATE.FAT&amp;display_string=Audit&amp;VAR:KEY=HMTIPWTQTA&amp;VAR:QUERY=RkZfSU5WRVNUX0xUKFFUUiwwKQ==&amp;WINDOW=FIRST_POPUP&amp;HEIGHT=450&amp;WIDTH=450&amp;START_MAXIMIZED=","FALSE&amp;VAR:CALENDAR=FIVEDAY&amp;VAR:SYMBOL=VSEA&amp;VAR:INDEX=0"}</definedName>
    <definedName name="_404__FDSAUDITLINK__" hidden="1">{"fdsup://Directions/FactSet Auditing Viewer?action=AUDIT_VALUE&amp;DB=129&amp;ID1=92220710&amp;VALUEID=02001&amp;SDATE=201103&amp;PERIODTYPE=QTR_STD&amp;SCFT=3&amp;window=popup_no_bar&amp;width=385&amp;height=120&amp;START_MAXIMIZED=FALSE&amp;creator=factset&amp;display_string=Audit"}</definedName>
    <definedName name="_405__FDSAUDITLINK__" hidden="1">{"fdsup://directions/FAT Viewer?action=UPDATE&amp;creator=factset&amp;DYN_ARGS=TRUE&amp;DOC_NAME=FAT:FQL_AUDITING_CLIENT_TEMPLATE.FAT&amp;display_string=Audit&amp;VAR:KEY=ZYBYLSDWTK&amp;VAR:QUERY=RkZfREVCVChRVFIsMCk=&amp;WINDOW=FIRST_POPUP&amp;HEIGHT=450&amp;WIDTH=450&amp;START_MAXIMIZED=FALSE&amp;VA","R:CALENDAR=FIVEDAY&amp;VAR:SYMBOL=RTEC&amp;VAR:INDEX=0"}</definedName>
    <definedName name="_406__FDSAUDITLINK__" hidden="1">{"fdsup://directions/FAT Viewer?action=UPDATE&amp;creator=factset&amp;DYN_ARGS=TRUE&amp;DOC_NAME=FAT:FQL_AUDITING_CLIENT_TEMPLATE.FAT&amp;display_string=Audit&amp;VAR:KEY=TQRATAXUFM&amp;VAR:QUERY=RkZfSU5WRVNUX0xUKFFUUiwwKQ==&amp;WINDOW=FIRST_POPUP&amp;HEIGHT=450&amp;WIDTH=450&amp;START_MAXIMIZED=","FALSE&amp;VAR:CALENDAR=FIVEDAY&amp;VAR:SYMBOL=RTEC&amp;VAR:INDEX=0"}</definedName>
    <definedName name="_407__FDSAUDITLINK__" hidden="1">{"fdsup://Directions/FactSet Auditing Viewer?action=AUDIT_VALUE&amp;DB=129&amp;ID1=78127010&amp;VALUEID=02001&amp;SDATE=201102&amp;PERIODTYPE=QTR_STD&amp;SCFT=3&amp;window=popup_no_bar&amp;width=385&amp;height=120&amp;START_MAXIMIZED=FALSE&amp;creator=factset&amp;display_string=Audit"}</definedName>
    <definedName name="_408__FDSAUDITLINK__" hidden="1">{"fdsup://directions/FAT Viewer?action=UPDATE&amp;creator=factset&amp;DYN_ARGS=TRUE&amp;DOC_NAME=FAT:FQL_AUDITING_CLIENT_TEMPLATE.FAT&amp;display_string=Audit&amp;VAR:KEY=ZWDOFGJMPY&amp;VAR:QUERY=RkZfREVCVChRVFIsMCk=&amp;WINDOW=FIRST_POPUP&amp;HEIGHT=450&amp;WIDTH=450&amp;START_MAXIMIZED=FALSE&amp;VA","R:CALENDAR=FIVEDAY&amp;VAR:SYMBOL=NVLS&amp;VAR:INDEX=0"}</definedName>
    <definedName name="_409__FDSAUDITLINK__" hidden="1">{"fdsup://directions/FAT Viewer?action=UPDATE&amp;creator=factset&amp;DYN_ARGS=TRUE&amp;DOC_NAME=FAT:FQL_AUDITING_CLIENT_TEMPLATE.FAT&amp;display_string=Audit&amp;VAR:KEY=LUXAHSJKJU&amp;VAR:QUERY=RkZfSU5WRVNUX0xUKFFUUiwwKQ==&amp;WINDOW=FIRST_POPUP&amp;HEIGHT=450&amp;WIDTH=450&amp;START_MAXIMIZED=","FALSE&amp;VAR:CALENDAR=FIVEDAY&amp;VAR:SYMBOL=NVLS&amp;VAR:INDEX=0"}</definedName>
    <definedName name="_41__FDSAUDITLINK__" hidden="1">{"fdsup://Directions/FactSet Auditing Viewer?action=AUDIT_VALUE&amp;DB=129&amp;ID1=34637510&amp;VALUEID=02001&amp;SDATE=201102&amp;PERIODTYPE=QTR_STD&amp;SCFT=3&amp;window=popup_no_bar&amp;width=385&amp;height=120&amp;START_MAXIMIZED=FALSE&amp;creator=factset&amp;display_string=Audit"}</definedName>
    <definedName name="_410__FDSAUDITLINK__" hidden="1">{"fdsup://directions/FAT Viewer?action=UPDATE&amp;creator=factset&amp;DYN_ARGS=TRUE&amp;DOC_NAME=FAT:FQL_AUDITING_CLIENT_TEMPLATE.FAT&amp;display_string=Audit&amp;VAR:KEY=BMLYRILGNC&amp;VAR:QUERY=RkZfREVCVChRVFIsMCk=&amp;WINDOW=FIRST_POPUP&amp;HEIGHT=450&amp;WIDTH=450&amp;START_MAXIMIZED=FALSE&amp;VA","R:CALENDAR=FIVEDAY&amp;VAR:SYMBOL=MTSN&amp;VAR:INDEX=0"}</definedName>
    <definedName name="_411__FDSAUDITLINK__" hidden="1">{"fdsup://directions/FAT Viewer?action=UPDATE&amp;creator=factset&amp;DYN_ARGS=TRUE&amp;DOC_NAME=FAT:FQL_AUDITING_CLIENT_TEMPLATE.FAT&amp;display_string=Audit&amp;VAR:KEY=XQDULAPSXE&amp;VAR:QUERY=RkZfSU5WRVNUX0xUKFFUUiwwKQ==&amp;WINDOW=FIRST_POPUP&amp;HEIGHT=450&amp;WIDTH=450&amp;START_MAXIMIZED=","FALSE&amp;VAR:CALENDAR=FIVEDAY&amp;VAR:SYMBOL=MTSN&amp;VAR:INDEX=0"}</definedName>
    <definedName name="_412__FDSAUDITLINK__" hidden="1">{"fdsup://Directions/FactSet Auditing Viewer?action=AUDIT_VALUE&amp;DB=129&amp;ID1=57722310&amp;VALUEID=02001&amp;SDATE=201102&amp;PERIODTYPE=QTR_STD&amp;SCFT=3&amp;window=popup_no_bar&amp;width=385&amp;height=120&amp;START_MAXIMIZED=FALSE&amp;creator=factset&amp;display_string=Audit"}</definedName>
    <definedName name="_413__FDSAUDITLINK__" hidden="1">{"fdsup://directions/FAT Viewer?action=UPDATE&amp;creator=factset&amp;DYN_ARGS=TRUE&amp;DOC_NAME=FAT:FQL_AUDITING_CLIENT_TEMPLATE.FAT&amp;display_string=Audit&amp;VAR:KEY=XKFYPEFSFQ&amp;VAR:QUERY=RkZfREVCVChRVFIsMCk=&amp;WINDOW=FIRST_POPUP&amp;HEIGHT=450&amp;WIDTH=450&amp;START_MAXIMIZED=FALSE&amp;VA","R:CALENDAR=FIVEDAY&amp;VAR:SYMBOL=LRCX&amp;VAR:INDEX=0"}</definedName>
    <definedName name="_414__FDSAUDITLINK__" hidden="1">{"fdsup://directions/FAT Viewer?action=UPDATE&amp;creator=factset&amp;DYN_ARGS=TRUE&amp;DOC_NAME=FAT:FQL_AUDITING_CLIENT_TEMPLATE.FAT&amp;display_string=Audit&amp;VAR:KEY=ZKZITGNYFG&amp;VAR:QUERY=RkZfSU5WRVNUX0xUKFFUUiwwKQ==&amp;WINDOW=FIRST_POPUP&amp;HEIGHT=450&amp;WIDTH=450&amp;START_MAXIMIZED=","FALSE&amp;VAR:CALENDAR=FIVEDAY&amp;VAR:SYMBOL=LRCX&amp;VAR:INDEX=0"}</definedName>
    <definedName name="_415__FDSAUDITLINK__" hidden="1">{"fdsup://directions/FAT Viewer?action=UPDATE&amp;creator=factset&amp;DYN_ARGS=TRUE&amp;DOC_NAME=FAT:FQL_AUDITING_CLIENT_TEMPLATE.FAT&amp;display_string=Audit&amp;VAR:KEY=BEPKXAVAVM&amp;VAR:QUERY=RkZfREVCVChRVFIsMCk=&amp;WINDOW=FIRST_POPUP&amp;HEIGHT=450&amp;WIDTH=450&amp;START_MAXIMIZED=FALSE&amp;VA","R:CALENDAR=FIVEDAY&amp;VAR:SYMBOL=KLAC&amp;VAR:INDEX=0"}</definedName>
    <definedName name="_416__FDSAUDITLINK__" hidden="1">{"fdsup://directions/FAT Viewer?action=UPDATE&amp;creator=factset&amp;DYN_ARGS=TRUE&amp;DOC_NAME=FAT:FQL_AUDITING_CLIENT_TEMPLATE.FAT&amp;display_string=Audit&amp;VAR:KEY=VQTUFGVQDQ&amp;VAR:QUERY=RkZfSU5WRVNUX0xUKFFUUiwwKQ==&amp;WINDOW=FIRST_POPUP&amp;HEIGHT=450&amp;WIDTH=450&amp;START_MAXIMIZED=","FALSE&amp;VAR:CALENDAR=FIVEDAY&amp;VAR:SYMBOL=KLAC&amp;VAR:INDEX=0"}</definedName>
    <definedName name="_417__FDSAUDITLINK__" hidden="1">{"fdsup://Directions/FactSet Auditing Viewer?action=AUDIT_VALUE&amp;DB=129&amp;ID1=48248010&amp;VALUEID=02001&amp;SDATE=201104&amp;PERIODTYPE=QTR_STD&amp;SCFT=3&amp;window=popup_no_bar&amp;width=385&amp;height=120&amp;START_MAXIMIZED=FALSE&amp;creator=factset&amp;display_string=Audit"}</definedName>
    <definedName name="_418__FDSAUDITLINK__" hidden="1">{"fdsup://directions/FAT Viewer?action=UPDATE&amp;creator=factset&amp;DYN_ARGS=TRUE&amp;DOC_NAME=FAT:FQL_AUDITING_CLIENT_TEMPLATE.FAT&amp;display_string=Audit&amp;VAR:KEY=DQPWRUFCDW&amp;VAR:QUERY=RkZfREVCVChRVFIsMCk=&amp;WINDOW=FIRST_POPUP&amp;HEIGHT=450&amp;WIDTH=450&amp;START_MAXIMIZED=FALSE&amp;VA","R:CALENDAR=FIVEDAY&amp;VAR:SYMBOL=594936&amp;VAR:INDEX=0"}</definedName>
    <definedName name="_419__FDSAUDITLINK__" hidden="1">{"fdsup://directions/FAT Viewer?action=UPDATE&amp;creator=factset&amp;DYN_ARGS=TRUE&amp;DOC_NAME=FAT:FQL_AUDITING_CLIENT_TEMPLATE.FAT&amp;display_string=Audit&amp;VAR:KEY=NKDSFSPSJS&amp;VAR:QUERY=RkZfSU5WRVNUX0xUKFFUUiwwKQ==&amp;WINDOW=FIRST_POPUP&amp;HEIGHT=450&amp;WIDTH=450&amp;START_MAXIMIZED=","FALSE&amp;VAR:CALENDAR=FIVEDAY&amp;VAR:SYMBOL=594936&amp;VAR:INDEX=0"}</definedName>
    <definedName name="_42__FDSAUDITLINK__" hidden="1">{"fdsup://directions/FAT Viewer?action=UPDATE&amp;creator=factset&amp;DYN_ARGS=TRUE&amp;DOC_NAME=FAT:FQL_AUDITING_CLIENT_TEMPLATE.FAT&amp;display_string=Audit&amp;VAR:KEY=FMBMZQNYZQ&amp;VAR:QUERY=RkZfREVCVChRVFIsMCk=&amp;WINDOW=FIRST_POPUP&amp;HEIGHT=450&amp;WIDTH=450&amp;START_MAXIMIZED=FALSE&amp;VA","R:CALENDAR=US&amp;VAR:SYMBOL=PLAB&amp;VAR:INDEX=0"}</definedName>
    <definedName name="_420__FDSAUDITLINK__" hidden="1">{"fdsup://Directions/FactSet Auditing Viewer?action=AUDIT_VALUE&amp;DB=129&amp;ID1=594936&amp;VALUEID=02001&amp;SDATE=201102&amp;PERIODTYPE=QTR_STD&amp;SCFT=3&amp;window=popup_no_bar&amp;width=385&amp;height=120&amp;START_MAXIMIZED=FALSE&amp;creator=factset&amp;display_string=Audit"}</definedName>
    <definedName name="_421__FDSAUDITLINK__" hidden="1">{"fdsup://directions/FAT Viewer?action=UPDATE&amp;creator=factset&amp;DYN_ARGS=TRUE&amp;DOC_NAME=FAT:FQL_AUDITING_CLIENT_TEMPLATE.FAT&amp;display_string=Audit&amp;VAR:KEY=FKNKVIVARO&amp;VAR:QUERY=RkZfREVCVChRVFIsMCk=&amp;WINDOW=FIRST_POPUP&amp;HEIGHT=450&amp;WIDTH=450&amp;START_MAXIMIZED=FALSE&amp;VA","R:CALENDAR=FIVEDAY&amp;VAR:SYMBOL=516529&amp;VAR:INDEX=0"}</definedName>
    <definedName name="_422__FDSAUDITLINK__" hidden="1">{"fdsup://directions/FAT Viewer?action=UPDATE&amp;creator=factset&amp;DYN_ARGS=TRUE&amp;DOC_NAME=FAT:FQL_AUDITING_CLIENT_TEMPLATE.FAT&amp;display_string=Audit&amp;VAR:KEY=ZAHODMNALO&amp;VAR:QUERY=RkZfSU5WRVNUX0xUKFFUUiwwKQ==&amp;WINDOW=FIRST_POPUP&amp;HEIGHT=450&amp;WIDTH=450&amp;START_MAXIMIZED=","FALSE&amp;VAR:CALENDAR=FIVEDAY&amp;VAR:SYMBOL=516529&amp;VAR:INDEX=0"}</definedName>
    <definedName name="_423__FDSAUDITLINK__" hidden="1">{"fdsup://directions/FAT Viewer?action=UPDATE&amp;creator=factset&amp;DYN_ARGS=TRUE&amp;DOC_NAME=FAT:FQL_AUDITING_CLIENT_TEMPLATE.FAT&amp;display_string=Audit&amp;VAR:KEY=BCFOXYBIZE&amp;VAR:QUERY=RkZfREVCVChRVFIsMCk=&amp;WINDOW=FIRST_POPUP&amp;HEIGHT=450&amp;WIDTH=450&amp;START_MAXIMIZED=FALSE&amp;VA","R:CALENDAR=FIVEDAY&amp;VAR:SYMBOL=AMAT&amp;VAR:INDEX=0"}</definedName>
    <definedName name="_424__FDSAUDITLINK__" hidden="1">{"fdsup://directions/FAT Viewer?action=UPDATE&amp;creator=factset&amp;DYN_ARGS=TRUE&amp;DOC_NAME=FAT:FQL_AUDITING_CLIENT_TEMPLATE.FAT&amp;display_string=Audit&amp;VAR:KEY=HAHKFMDCJQ&amp;VAR:QUERY=RkZfSU5WRVNUX0xUKFFUUiwwKQ==&amp;WINDOW=FIRST_POPUP&amp;HEIGHT=450&amp;WIDTH=450&amp;START_MAXIMIZED=","FALSE&amp;VAR:CALENDAR=FIVEDAY&amp;VAR:SYMBOL=AMAT&amp;VAR:INDEX=0"}</definedName>
    <definedName name="_425__FDSAUDITLINK__" hidden="1">{"fdsup://Directions/FactSet Auditing Viewer?action=AUDIT_VALUE&amp;DB=129&amp;ID1=03822210&amp;VALUEID=02001&amp;SDATE=201102&amp;PERIODTYPE=QTR_STD&amp;SCFT=3&amp;window=popup_no_bar&amp;width=385&amp;height=120&amp;START_MAXIMIZED=FALSE&amp;creator=factset&amp;display_string=Audit"}</definedName>
    <definedName name="_426__FDSAUDITLINK__" hidden="1">{"fdsup://directions/FAT Viewer?action=UPDATE&amp;creator=factset&amp;DYN_ARGS=TRUE&amp;DOC_NAME=FAT:FQL_AUDITING_CLIENT_TEMPLATE.FAT&amp;display_string=Audit&amp;VAR:KEY=DSNSFADABQ&amp;VAR:QUERY=RkZfREVCVChRVFIsMCk=&amp;WINDOW=FIRST_POPUP&amp;HEIGHT=450&amp;WIDTH=450&amp;START_MAXIMIZED=FALSE&amp;VA","R:CALENDAR=FIVEDAY&amp;VAR:SYMBOL=FORM&amp;VAR:INDEX=0"}</definedName>
    <definedName name="_427__FDSAUDITLINK__" hidden="1">{"fdsup://Directions/FactSet Auditing Viewer?action=AUDIT_VALUE&amp;DB=129&amp;ID1=34637510&amp;VALUEID=02001&amp;SDATE=201102&amp;PERIODTYPE=QTR_STD&amp;SCFT=3&amp;window=popup_no_bar&amp;width=385&amp;height=120&amp;START_MAXIMIZED=FALSE&amp;creator=factset&amp;display_string=Audit"}</definedName>
    <definedName name="_428__FDSAUDITLINK__" hidden="1">{"fdsup://directions/FAT Viewer?action=UPDATE&amp;creator=factset&amp;DYN_ARGS=TRUE&amp;DOC_NAME=FAT:FQL_AUDITING_CLIENT_TEMPLATE.FAT&amp;display_string=Audit&amp;VAR:KEY=TMNMFADUVQ&amp;VAR:QUERY=RkZfREVCVChRVFIsMCk=&amp;WINDOW=FIRST_POPUP&amp;HEIGHT=450&amp;WIDTH=450&amp;START_MAXIMIZED=FALSE&amp;VA","R:CALENDAR=FIVEDAY&amp;VAR:SYMBOL=PLAB&amp;VAR:INDEX=0"}</definedName>
    <definedName name="_429__FDSAUDITLINK__" hidden="1">{"fdsup://directions/FAT Viewer?action=UPDATE&amp;creator=factset&amp;DYN_ARGS=TRUE&amp;DOC_NAME=FAT:FQL_AUDITING_CLIENT_TEMPLATE.FAT&amp;display_string=Audit&amp;VAR:KEY=JCZWPCRUBU&amp;VAR:QUERY=RkZfSU5WRVNUX0xUKFFUUiwwKQ==&amp;WINDOW=FIRST_POPUP&amp;HEIGHT=450&amp;WIDTH=450&amp;START_MAXIMIZED=","FALSE&amp;VAR:CALENDAR=FIVEDAY&amp;VAR:SYMBOL=PLAB&amp;VAR:INDEX=0"}</definedName>
    <definedName name="_43__FDSAUDITLINK__" hidden="1">{"fdsup://directions/FAT Viewer?action=UPDATE&amp;creator=factset&amp;DYN_ARGS=TRUE&amp;DOC_NAME=FAT:FQL_AUDITING_CLIENT_TEMPLATE.FAT&amp;display_string=Audit&amp;VAR:KEY=VKBENUZGZK&amp;VAR:QUERY=RkZfSU5WRVNUX0xUKFFUUiwwKQ==&amp;WINDOW=FIRST_POPUP&amp;HEIGHT=450&amp;WIDTH=450&amp;START_MAXIMIZED=","FALSE&amp;VAR:CALENDAR=US&amp;VAR:SYMBOL=PLAB&amp;VAR:INDEX=0"}</definedName>
    <definedName name="_430__FDSAUDITLINK__" hidden="1">{"fdsup://directions/FAT Viewer?action=UPDATE&amp;creator=factset&amp;DYN_ARGS=TRUE&amp;DOC_NAME=FAT:FQL_AUDITING_CLIENT_TEMPLATE.FAT&amp;display_string=Audit&amp;VAR:KEY=RGHYHGRCZK&amp;VAR:QUERY=RkZfREVCVChRVFIsMCk=&amp;WINDOW=FIRST_POPUP&amp;HEIGHT=450&amp;WIDTH=450&amp;START_MAXIMIZED=FALSE&amp;VA","R:CALENDAR=FIVEDAY&amp;VAR:SYMBOL=CREE&amp;VAR:INDEX=0"}</definedName>
    <definedName name="_431__FDSAUDITLINK__" hidden="1">{"fdsup://directions/FAT Viewer?action=UPDATE&amp;creator=factset&amp;DYN_ARGS=TRUE&amp;DOC_NAME=FAT:FQL_AUDITING_CLIENT_TEMPLATE.FAT&amp;display_string=Audit&amp;VAR:KEY=TSDOVUJGZY&amp;VAR:QUERY=RkZfSU5WRVNUX0xUKFFUUiwwKQ==&amp;WINDOW=FIRST_POPUP&amp;HEIGHT=450&amp;WIDTH=450&amp;START_MAXIMIZED=","FALSE&amp;VAR:CALENDAR=FIVEDAY&amp;VAR:SYMBOL=CREE&amp;VAR:INDEX=0"}</definedName>
    <definedName name="_432__FDSAUDITLINK__" hidden="1">{"fdsup://directions/FAT Viewer?action=UPDATE&amp;creator=factset&amp;DYN_ARGS=TRUE&amp;DOC_NAME=FAT:FQL_AUDITING_CLIENT_TEMPLATE.FAT&amp;display_string=Audit&amp;VAR:KEY=JOTITULQBY&amp;VAR:QUERY=RkZfREVCVChRVFIsMCk=&amp;WINDOW=FIRST_POPUP&amp;HEIGHT=450&amp;WIDTH=450&amp;START_MAXIMIZED=FALSE&amp;VA","R:CALENDAR=FIVEDAY&amp;VAR:SYMBOL=546834&amp;VAR:INDEX=0"}</definedName>
    <definedName name="_433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434__FDSAUDITLINK__" hidden="1">{"fdsup://directions/FAT Viewer?action=UPDATE&amp;creator=factset&amp;DYN_ARGS=TRUE&amp;DOC_NAME=FAT:FQL_AUDITING_CLIENT_TEMPLATE.FAT&amp;display_string=Audit&amp;VAR:KEY=FCTGPOTMFC&amp;VAR:QUERY=RkZfREVCVChRVFIsMCk=&amp;WINDOW=FIRST_POPUP&amp;HEIGHT=450&amp;WIDTH=450&amp;START_MAXIMIZED=FALSE&amp;VA","R:CALENDAR=FIVEDAY&amp;VAR:SYMBOL=VECO&amp;VAR:INDEX=0"}</definedName>
    <definedName name="_435__FDSAUDITLINK__" hidden="1">{"fdsup://directions/FAT Viewer?action=UPDATE&amp;creator=factset&amp;DYN_ARGS=TRUE&amp;DOC_NAME=FAT:FQL_AUDITING_CLIENT_TEMPLATE.FAT&amp;display_string=Audit&amp;VAR:KEY=XGBWFINATY&amp;VAR:QUERY=RkZfSU5WRVNUX0xUKFFUUiwwKQ==&amp;WINDOW=FIRST_POPUP&amp;HEIGHT=450&amp;WIDTH=450&amp;START_MAXIMIZED=","FALSE&amp;VAR:CALENDAR=FIVEDAY&amp;VAR:SYMBOL=VECO&amp;VAR:INDEX=0"}</definedName>
    <definedName name="_436__FDSAUDITLINK__" hidden="1">{"fdsup://directions/FAT Viewer?action=UPDATE&amp;creator=factset&amp;DYN_ARGS=TRUE&amp;DOC_NAME=FAT:FQL_AUDITING_CLIENT_TEMPLATE.FAT&amp;display_string=Audit&amp;VAR:KEY=NAXMTGNAPU&amp;VAR:QUERY=RkZfREVCVChRVFIsMCk=&amp;WINDOW=FIRST_POPUP&amp;HEIGHT=450&amp;WIDTH=450&amp;START_MAXIMIZED=FALSE&amp;VA","R:CALENDAR=FIVEDAY&amp;VAR:SYMBOL=UTEK&amp;VAR:INDEX=0"}</definedName>
    <definedName name="_437__FDSAUDITLINK__" hidden="1">{"fdsup://directions/FAT Viewer?action=UPDATE&amp;creator=factset&amp;DYN_ARGS=TRUE&amp;DOC_NAME=FAT:FQL_AUDITING_CLIENT_TEMPLATE.FAT&amp;display_string=Audit&amp;VAR:KEY=JKNCJKPCNW&amp;VAR:QUERY=RkZfSU5WRVNUX0xUKFFUUiwwKQ==&amp;WINDOW=FIRST_POPUP&amp;HEIGHT=450&amp;WIDTH=450&amp;START_MAXIMIZED=","FALSE&amp;VAR:CALENDAR=FIVEDAY&amp;VAR:SYMBOL=UTEK&amp;VAR:INDEX=0"}</definedName>
    <definedName name="_438__FDSAUDITLINK__" hidden="1">{"fdsup://directions/FAT Viewer?action=UPDATE&amp;creator=factset&amp;DYN_ARGS=TRUE&amp;DOC_NAME=FAT:FQL_AUDITING_CLIENT_TEMPLATE.FAT&amp;display_string=Audit&amp;VAR:KEY=ZMBABIDQJA&amp;VAR:QUERY=RkZfREVCVChRVFIsMCk=&amp;WINDOW=FIRST_POPUP&amp;HEIGHT=450&amp;WIDTH=450&amp;START_MAXIMIZED=FALSE&amp;VA","R:CALENDAR=FIVEDAY&amp;VAR:SYMBOL=TER&amp;VAR:INDEX=0"}</definedName>
    <definedName name="_439__FDSAUDITLINK__" hidden="1">{"fdsup://directions/FAT Viewer?action=UPDATE&amp;creator=factset&amp;DYN_ARGS=TRUE&amp;DOC_NAME=FAT:FQL_AUDITING_CLIENT_TEMPLATE.FAT&amp;display_string=Audit&amp;VAR:KEY=ZEXSTQNUPG&amp;VAR:QUERY=RkZfSU5WRVNUX0xUKFFUUiwwKQ==&amp;WINDOW=FIRST_POPUP&amp;HEIGHT=450&amp;WIDTH=450&amp;START_MAXIMIZED=","FALSE&amp;VAR:CALENDAR=FIVEDAY&amp;VAR:SYMBOL=TER&amp;VAR:INDEX=0"}</definedName>
    <definedName name="_44__FDSAUDITLINK__" hidden="1">{"fdsup://directions/FAT Viewer?action=UPDATE&amp;creator=factset&amp;DYN_ARGS=TRUE&amp;DOC_NAME=FAT:FQL_AUDITING_CLIENT_TEMPLATE.FAT&amp;display_string=Audit&amp;VAR:KEY=FYNMJIDATW&amp;VAR:QUERY=RkZfREVCVChRVFIsMCk=&amp;WINDOW=FIRST_POPUP&amp;HEIGHT=450&amp;WIDTH=450&amp;START_MAXIMIZED=FALSE&amp;VA","R:CALENDAR=US&amp;VAR:SYMBOL=CREE&amp;VAR:INDEX=0"}</definedName>
    <definedName name="_440__FDSAUDITLINK__" hidden="1">{"fdsup://directions/FAT Viewer?action=UPDATE&amp;creator=factset&amp;DYN_ARGS=TRUE&amp;DOC_NAME=FAT:FQL_AUDITING_CLIENT_TEMPLATE.FAT&amp;display_string=Audit&amp;VAR:KEY=FSFQFUBMLS&amp;VAR:QUERY=RkZfREVCVChRVFIsMCk=&amp;WINDOW=FIRST_POPUP&amp;HEIGHT=450&amp;WIDTH=450&amp;START_MAXIMIZED=FALSE&amp;VA","R:CALENDAR=FIVEDAY&amp;VAR:SYMBOL=KLIC&amp;VAR:INDEX=0"}</definedName>
    <definedName name="_441__FDSAUDITLINK__" hidden="1">{"fdsup://directions/FAT Viewer?action=UPDATE&amp;creator=factset&amp;DYN_ARGS=TRUE&amp;DOC_NAME=FAT:FQL_AUDITING_CLIENT_TEMPLATE.FAT&amp;display_string=Audit&amp;VAR:KEY=HKDGTGTYPA&amp;VAR:QUERY=RkZfSU5WRVNUX0xUKFFUUiwwKQ==&amp;WINDOW=FIRST_POPUP&amp;HEIGHT=450&amp;WIDTH=450&amp;START_MAXIMIZED=","FALSE&amp;VAR:CALENDAR=FIVEDAY&amp;VAR:SYMBOL=KLIC&amp;VAR:INDEX=0"}</definedName>
    <definedName name="_442__FDSAUDITLINK__" hidden="1">{"fdsup://directions/FAT Viewer?action=UPDATE&amp;creator=factset&amp;DYN_ARGS=TRUE&amp;DOC_NAME=FAT:FQL_AUDITING_CLIENT_TEMPLATE.FAT&amp;display_string=Audit&amp;VAR:KEY=PIFWJSLEVW&amp;VAR:QUERY=RkZfREVCVChRVFIsMCk=&amp;WINDOW=FIRST_POPUP&amp;HEIGHT=450&amp;WIDTH=450&amp;START_MAXIMIZED=FALSE&amp;VA","R:CALENDAR=FIVEDAY&amp;VAR:SYMBOL=WFR&amp;VAR:INDEX=0"}</definedName>
    <definedName name="_443__FDSAUDITLINK__" hidden="1">{"fdsup://Directions/FactSet Auditing Viewer?action=AUDIT_VALUE&amp;DB=129&amp;ID1=55271510&amp;VALUEID=02001&amp;SDATE=201102&amp;PERIODTYPE=QTR_STD&amp;SCFT=3&amp;window=popup_no_bar&amp;width=385&amp;height=120&amp;START_MAXIMIZED=FALSE&amp;creator=factset&amp;display_string=Audit"}</definedName>
    <definedName name="_444__FDSAUDITLINK__" hidden="1">{"fdsup://directions/FAT Viewer?action=UPDATE&amp;creator=factset&amp;DYN_ARGS=TRUE&amp;DOC_NAME=FAT:FQL_AUDITING_CLIENT_TEMPLATE.FAT&amp;display_string=Audit&amp;VAR:KEY=BCLSVOXMJK&amp;VAR:QUERY=RkZfREVCVChRVFIsMCk=&amp;WINDOW=FIRST_POPUP&amp;HEIGHT=450&amp;WIDTH=450&amp;START_MAXIMIZED=FALSE&amp;VA","R:CALENDAR=FIVEDAY&amp;VAR:SYMBOL=ENTG&amp;VAR:INDEX=0"}</definedName>
    <definedName name="_445__FDSAUDITLINK__" hidden="1">{"fdsup://Directions/FactSet Auditing Viewer?action=AUDIT_VALUE&amp;DB=129&amp;ID1=29362U10&amp;VALUEID=02001&amp;SDATE=201102&amp;PERIODTYPE=QTR_STD&amp;SCFT=3&amp;window=popup_no_bar&amp;width=385&amp;height=120&amp;START_MAXIMIZED=FALSE&amp;creator=factset&amp;display_string=Audit"}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RGDGPELQXE&amp;VAR:QUERY=RkZfREVCVChRVFIsMCk=&amp;WINDOW=FIRST_POPUP&amp;HEIGHT=450&amp;WIDTH=450&amp;START_MAXIMIZED=FALSE&amp;VA","R:CALENDAR=FIVEDAY&amp;VAR:SYMBOL=CCMP&amp;VAR:INDEX=0"}</definedName>
    <definedName name="_447__FDSAUDITLINK__" hidden="1">{"fdsup://Directions/FactSet Auditing Viewer?action=AUDIT_VALUE&amp;DB=129&amp;ID1=12709P10&amp;VALUEID=02001&amp;SDATE=201103&amp;PERIODTYPE=QTR_STD&amp;SCFT=3&amp;window=popup_no_bar&amp;width=385&amp;height=120&amp;START_MAXIMIZED=FALSE&amp;creator=factset&amp;display_string=Audit"}</definedName>
    <definedName name="_448__FDSAUDITLINK__" hidden="1">{"fdsup://directions/FAT Viewer?action=UPDATE&amp;creator=factset&amp;DYN_ARGS=TRUE&amp;DOC_NAME=FAT:FQL_AUDITING_CLIENT_TEMPLATE.FAT&amp;display_string=Audit&amp;VAR:KEY=PCVAZGRYRG&amp;VAR:QUERY=RkZfREVCVChRVFIsMCk=&amp;WINDOW=FIRST_POPUP&amp;HEIGHT=450&amp;WIDTH=450&amp;START_MAXIMIZED=FALSE&amp;VA","R:CALENDAR=FIVEDAY&amp;VAR:SYMBOL=ATMI&amp;VAR:INDEX=0"}</definedName>
    <definedName name="_449__FDSAUDITLINK__" hidden="1">{"fdsup://Directions/FactSet Auditing Viewer?action=AUDIT_VALUE&amp;DB=129&amp;ID1=00207R10&amp;VALUEID=02001&amp;SDATE=201102&amp;PERIODTYPE=QTR_STD&amp;SCFT=3&amp;window=popup_no_bar&amp;width=385&amp;height=120&amp;START_MAXIMIZED=FALSE&amp;creator=factset&amp;display_string=Audit"}</definedName>
    <definedName name="_45__FDSAUDITLINK__" hidden="1">{"fdsup://directions/FAT Viewer?action=UPDATE&amp;creator=factset&amp;DYN_ARGS=TRUE&amp;DOC_NAME=FAT:FQL_AUDITING_CLIENT_TEMPLATE.FAT&amp;display_string=Audit&amp;VAR:KEY=POZEHWFMHY&amp;VAR:QUERY=RkZfSU5WRVNUX0xUKFFUUiwwKQ==&amp;WINDOW=FIRST_POPUP&amp;HEIGHT=450&amp;WIDTH=450&amp;START_MAXIMIZED=","FALSE&amp;VAR:CALENDAR=US&amp;VAR:SYMBOL=CREE&amp;VAR:INDEX=0"}</definedName>
    <definedName name="_450__FDSAUDITLINK__" hidden="1">{"fdsup://directions/FAT Viewer?action=UPDATE&amp;creator=factset&amp;DYN_ARGS=TRUE&amp;DOC_NAME=FAT:FQL_AUDITING_CLIENT_TEMPLATE.FAT&amp;display_string=Audit&amp;VAR:KEY=HOLURSFKNG&amp;VAR:QUERY=RkZfREVCVChRVFIsMCk=&amp;WINDOW=FIRST_POPUP&amp;HEIGHT=450&amp;WIDTH=450&amp;START_MAXIMIZED=FALSE&amp;VA","R:CALENDAR=FIVEDAY&amp;VAR:SYMBOL=MKSI&amp;VAR:INDEX=0"}</definedName>
    <definedName name="_451__FDSAUDITLINK__" hidden="1">{"fdsup://Directions/FactSet Auditing Viewer?action=AUDIT_VALUE&amp;DB=129&amp;ID1=55306N10&amp;VALUEID=02001&amp;SDATE=201102&amp;PERIODTYPE=QTR_STD&amp;SCFT=3&amp;window=popup_no_bar&amp;width=385&amp;height=120&amp;START_MAXIMIZED=FALSE&amp;creator=factset&amp;display_string=Audit"}</definedName>
    <definedName name="_452__FDSAUDITLINK__" hidden="1">{"fdsup://directions/FAT Viewer?action=UPDATE&amp;creator=factset&amp;DYN_ARGS=TRUE&amp;DOC_NAME=FAT:FQL_AUDITING_CLIENT_TEMPLATE.FAT&amp;display_string=Audit&amp;VAR:KEY=XCFADOVIDW&amp;VAR:QUERY=RkZfREVCVChRVFIsMCk=&amp;WINDOW=FIRST_POPUP&amp;HEIGHT=450&amp;WIDTH=450&amp;START_MAXIMIZED=FALSE&amp;VA","R:CALENDAR=FIVEDAY&amp;VAR:SYMBOL=CYMI&amp;VAR:INDEX=0"}</definedName>
    <definedName name="_453__FDSAUDITLINK__" hidden="1">{"fdsup://Directions/FactSet Auditing Viewer?action=AUDIT_VALUE&amp;DB=129&amp;ID1=23257210&amp;VALUEID=02001&amp;SDATE=201102&amp;PERIODTYPE=QTR_STD&amp;SCFT=3&amp;window=popup_no_bar&amp;width=385&amp;height=120&amp;START_MAXIMIZED=FALSE&amp;creator=factset&amp;display_string=Audit"}</definedName>
    <definedName name="_454__FDSAUDITLINK__" hidden="1">{"fdsup://directions/FAT Viewer?action=UPDATE&amp;creator=factset&amp;DYN_ARGS=TRUE&amp;DOC_NAME=FAT:FQL_AUDITING_CLIENT_TEMPLATE.FAT&amp;display_string=Audit&amp;VAR:KEY=FQLQHSVIBI&amp;VAR:QUERY=RkZfREVCVChRVFIsMCk=&amp;WINDOW=FIRST_POPUP&amp;HEIGHT=450&amp;WIDTH=450&amp;START_MAXIMIZED=FALSE&amp;VA","R:CALENDAR=FIVEDAY&amp;VAR:SYMBOL=BRKS&amp;VAR:INDEX=0"}</definedName>
    <definedName name="_455__FDSAUDITLINK__" hidden="1">{"fdsup://directions/FAT Viewer?action=UPDATE&amp;creator=factset&amp;DYN_ARGS=TRUE&amp;DOC_NAME=FAT:FQL_AUDITING_CLIENT_TEMPLATE.FAT&amp;display_string=Audit&amp;VAR:KEY=RUJQXGVQTA&amp;VAR:QUERY=RkZfSU5WRVNUX0xUKFFUUiwwKQ==&amp;WINDOW=FIRST_POPUP&amp;HEIGHT=450&amp;WIDTH=450&amp;START_MAXIMIZED=","FALSE&amp;VAR:CALENDAR=FIVEDAY&amp;VAR:SYMBOL=BRKS&amp;VAR:INDEX=0"}</definedName>
    <definedName name="_456__FDSAUDITLINK__" hidden="1">{"fdsup://directions/FAT Viewer?action=UPDATE&amp;creator=factset&amp;DYN_ARGS=TRUE&amp;DOC_NAME=FAT:FQL_AUDITING_CLIENT_TEMPLATE.FAT&amp;display_string=Audit&amp;VAR:KEY=LEZUZETGZQ&amp;VAR:QUERY=RkZfREVCVChRVFIsMCk=&amp;WINDOW=FIRST_POPUP&amp;HEIGHT=450&amp;WIDTH=450&amp;START_MAXIMIZED=FALSE&amp;VA","R:CALENDAR=FIVEDAY&amp;VAR:SYMBOL=AEIS&amp;VAR:INDEX=0"}</definedName>
    <definedName name="_457__FDSAUDITLINK__" hidden="1">{"fdsup://Directions/FactSet Auditing Viewer?action=AUDIT_VALUE&amp;DB=129&amp;ID1=00797310&amp;VALUEID=02001&amp;SDATE=201102&amp;PERIODTYPE=QTR_STD&amp;SCFT=3&amp;window=popup_no_bar&amp;width=385&amp;height=120&amp;START_MAXIMIZED=FALSE&amp;creator=factset&amp;display_string=Audit"}</definedName>
    <definedName name="_458__FDSAUDITLINK__" hidden="1">{"fdsup://directions/FAT Viewer?action=UPDATE&amp;creator=factset&amp;DYN_ARGS=TRUE&amp;DOC_NAME=FAT:FQL_AUDITING_CLIENT_TEMPLATE.FAT&amp;display_string=Audit&amp;VAR:KEY=ZYBYLSDWTK&amp;VAR:QUERY=RkZfREVCVChRVFIsMCk=&amp;WINDOW=FIRST_POPUP&amp;HEIGHT=450&amp;WIDTH=450&amp;START_MAXIMIZED=FALSE&amp;VA","R:CALENDAR=FIVEDAY&amp;VAR:SYMBOL=RTEC&amp;VAR:INDEX=0"}</definedName>
    <definedName name="_459__FDSAUDITLINK__" hidden="1">{"fdsup://directions/FAT Viewer?action=UPDATE&amp;creator=factset&amp;DYN_ARGS=TRUE&amp;DOC_NAME=FAT:FQL_AUDITING_CLIENT_TEMPLATE.FAT&amp;display_string=Audit&amp;VAR:KEY=TQRATAXUFM&amp;VAR:QUERY=RkZfSU5WRVNUX0xUKFFUUiwwKQ==&amp;WINDOW=FIRST_POPUP&amp;HEIGHT=450&amp;WIDTH=450&amp;START_MAXIMIZED=","FALSE&amp;VAR:CALENDAR=FIVEDAY&amp;VAR:SYMBOL=RTEC&amp;VAR:INDEX=0"}</definedName>
    <definedName name="_46__FDSAUDITLINK__" hidden="1">{"fdsup://Directions/FactSet Auditing Viewer?action=AUDIT_VALUE&amp;DB=129&amp;ID1=22544710&amp;VALUEID=02001&amp;SDATE=201104&amp;PERIODTYPE=QTR_STD&amp;SCFT=3&amp;window=popup_no_bar&amp;width=385&amp;height=120&amp;START_MAXIMIZED=FALSE&amp;creator=factset&amp;display_string=Audit"}</definedName>
    <definedName name="_460__FDSAUDITLINK__" hidden="1">{"fdsup://directions/FAT Viewer?action=UPDATE&amp;creator=factset&amp;DYN_ARGS=TRUE&amp;DOC_NAME=FAT:FQL_AUDITING_CLIENT_TEMPLATE.FAT&amp;display_string=Audit&amp;VAR:KEY=ZWDOFGJMPY&amp;VAR:QUERY=RkZfREVCVChRVFIsMCk=&amp;WINDOW=FIRST_POPUP&amp;HEIGHT=450&amp;WIDTH=450&amp;START_MAXIMIZED=FALSE&amp;VA","R:CALENDAR=FIVEDAY&amp;VAR:SYMBOL=NVLS&amp;VAR:INDEX=0"}</definedName>
    <definedName name="_461__FDSAUDITLINK__" hidden="1">{"fdsup://Directions/FactSet Auditing Viewer?action=AUDIT_VALUE&amp;DB=129&amp;ID1=67000810&amp;VALUEID=02001&amp;SDATE=201102&amp;PERIODTYPE=QTR_STD&amp;SCFT=3&amp;window=popup_no_bar&amp;width=385&amp;height=120&amp;START_MAXIMIZED=FALSE&amp;creator=factset&amp;display_string=Audit"}</definedName>
    <definedName name="_462__FDSAUDITLINK__" hidden="1">{"fdsup://directions/FAT Viewer?action=UPDATE&amp;creator=factset&amp;DYN_ARGS=TRUE&amp;DOC_NAME=FAT:FQL_AUDITING_CLIENT_TEMPLATE.FAT&amp;display_string=Audit&amp;VAR:KEY=XKFYPEFSFQ&amp;VAR:QUERY=RkZfREVCVChRVFIsMCk=&amp;WINDOW=FIRST_POPUP&amp;HEIGHT=450&amp;WIDTH=450&amp;START_MAXIMIZED=FALSE&amp;VA","R:CALENDAR=FIVEDAY&amp;VAR:SYMBOL=LRCX&amp;VAR:INDEX=0"}</definedName>
    <definedName name="_463__FDSAUDITLINK__" hidden="1">{"fdsup://Directions/FactSet Auditing Viewer?action=AUDIT_VALUE&amp;DB=129&amp;ID1=51280710&amp;VALUEID=02001&amp;SDATE=201104&amp;PERIODTYPE=QTR_STD&amp;SCFT=3&amp;window=popup_no_bar&amp;width=385&amp;height=120&amp;START_MAXIMIZED=FALSE&amp;creator=factset&amp;display_string=Audit"}</definedName>
    <definedName name="_464__FDSAUDITLINK__" hidden="1">{"fdsup://directions/FAT Viewer?action=UPDATE&amp;creator=factset&amp;DYN_ARGS=TRUE&amp;DOC_NAME=FAT:FQL_AUDITING_CLIENT_TEMPLATE.FAT&amp;display_string=Audit&amp;VAR:KEY=BEPKXAVAVM&amp;VAR:QUERY=RkZfREVCVChRVFIsMCk=&amp;WINDOW=FIRST_POPUP&amp;HEIGHT=450&amp;WIDTH=450&amp;START_MAXIMIZED=FALSE&amp;VA","R:CALENDAR=FIVEDAY&amp;VAR:SYMBOL=KLAC&amp;VAR:INDEX=0"}</definedName>
    <definedName name="_465__FDSAUDITLINK__" hidden="1">{"fdsup://directions/FAT Viewer?action=UPDATE&amp;creator=factset&amp;DYN_ARGS=TRUE&amp;DOC_NAME=FAT:FQL_AUDITING_CLIENT_TEMPLATE.FAT&amp;display_string=Audit&amp;VAR:KEY=VQTUFGVQDQ&amp;VAR:QUERY=RkZfSU5WRVNUX0xUKFFUUiwwKQ==&amp;WINDOW=FIRST_POPUP&amp;HEIGHT=450&amp;WIDTH=450&amp;START_MAXIMIZED=","FALSE&amp;VAR:CALENDAR=FIVEDAY&amp;VAR:SYMBOL=KLAC&amp;VAR:INDEX=0"}</definedName>
    <definedName name="_466__FDSAUDITLINK__" hidden="1">{"fdsup://directions/FAT Viewer?action=UPDATE&amp;creator=factset&amp;DYN_ARGS=TRUE&amp;DOC_NAME=FAT:FQL_AUDITING_CLIENT_TEMPLATE.FAT&amp;display_string=Audit&amp;VAR:KEY=DQPWRUFCDW&amp;VAR:QUERY=RkZfREVCVChRVFIsMCk=&amp;WINDOW=FIRST_POPUP&amp;HEIGHT=450&amp;WIDTH=450&amp;START_MAXIMIZED=FALSE&amp;VA","R:CALENDAR=FIVEDAY&amp;VAR:SYMBOL=594936&amp;VAR:INDEX=0"}</definedName>
    <definedName name="_467__FDSAUDITLINK__" hidden="1">{"fdsup://directions/FAT Viewer?action=UPDATE&amp;creator=factset&amp;DYN_ARGS=TRUE&amp;DOC_NAME=FAT:FQL_AUDITING_CLIENT_TEMPLATE.FAT&amp;display_string=Audit&amp;VAR:KEY=NKDSFSPSJS&amp;VAR:QUERY=RkZfSU5WRVNUX0xUKFFUUiwwKQ==&amp;WINDOW=FIRST_POPUP&amp;HEIGHT=450&amp;WIDTH=450&amp;START_MAXIMIZED=","FALSE&amp;VAR:CALENDAR=FIVEDAY&amp;VAR:SYMBOL=594936&amp;VAR:INDEX=0"}</definedName>
    <definedName name="_468__FDSAUDITLINK__" hidden="1">{"fdsup://directions/FAT Viewer?action=UPDATE&amp;creator=factset&amp;DYN_ARGS=TRUE&amp;DOC_NAME=FAT:FQL_AUDITING_CLIENT_TEMPLATE.FAT&amp;display_string=Audit&amp;VAR:KEY=FKNKVIVARO&amp;VAR:QUERY=RkZfREVCVChRVFIsMCk=&amp;WINDOW=FIRST_POPUP&amp;HEIGHT=450&amp;WIDTH=450&amp;START_MAXIMIZED=FALSE&amp;VA","R:CALENDAR=FIVEDAY&amp;VAR:SYMBOL=516529&amp;VAR:INDEX=0"}</definedName>
    <definedName name="_469__FDSAUDITLINK__" hidden="1">{"fdsup://Directions/FactSet Auditing Viewer?action=AUDIT_VALUE&amp;DB=129&amp;ID1=516529&amp;VALUEID=02001&amp;SDATE=201102&amp;PERIODTYPE=QTR_STD&amp;SCFT=3&amp;window=popup_no_bar&amp;width=385&amp;height=120&amp;START_MAXIMIZED=FALSE&amp;creator=factset&amp;display_string=Audit"}</definedName>
    <definedName name="_47__FDSAUDITLINK__" hidden="1">{"fdsup://directions/FAT Viewer?action=UPDATE&amp;creator=factset&amp;DYN_ARGS=TRUE&amp;DOC_NAME=FAT:FQL_AUDITING_CLIENT_TEMPLATE.FAT&amp;display_string=Audit&amp;VAR:KEY=RKTGVQNGZY&amp;VAR:QUERY=RkZfREVCVChRVFIsMCk=&amp;WINDOW=FIRST_POPUP&amp;HEIGHT=450&amp;WIDTH=450&amp;START_MAXIMIZED=FALSE&amp;VA","R:CALENDAR=US&amp;VAR:SYMBOL=546834&amp;VAR:INDEX=0"}</definedName>
    <definedName name="_470__FDSAUDITLINK__" hidden="1">{"fdsup://directions/FAT Viewer?action=UPDATE&amp;creator=factset&amp;DYN_ARGS=TRUE&amp;DOC_NAME=FAT:FQL_AUDITING_CLIENT_TEMPLATE.FAT&amp;display_string=Audit&amp;VAR:KEY=DSNSFADABQ&amp;VAR:QUERY=RkZfREVCVChRVFIsMCk=&amp;WINDOW=FIRST_POPUP&amp;HEIGHT=450&amp;WIDTH=450&amp;START_MAXIMIZED=FALSE&amp;VA","R:CALENDAR=FIVEDAY&amp;VAR:SYMBOL=FORM&amp;VAR:INDEX=0"}</definedName>
    <definedName name="_471__FDSAUDITLINK__" hidden="1">{"fdsup://directions/FAT Viewer?action=UPDATE&amp;creator=factset&amp;DYN_ARGS=TRUE&amp;DOC_NAME=FAT:FQL_AUDITING_CLIENT_TEMPLATE.FAT&amp;display_string=Audit&amp;VAR:KEY=XMHSFAPGJE&amp;VAR:QUERY=RkZfSU5WRVNUX0xUKFFUUiwwKQ==&amp;WINDOW=FIRST_POPUP&amp;HEIGHT=450&amp;WIDTH=450&amp;START_MAXIMIZED=","FALSE&amp;VAR:CALENDAR=FIVEDAY&amp;VAR:SYMBOL=FORM&amp;VAR:INDEX=0"}</definedName>
    <definedName name="_472__FDSAUDITLINK__" hidden="1">{"fdsup://directions/FAT Viewer?action=UPDATE&amp;creator=factset&amp;DYN_ARGS=TRUE&amp;DOC_NAME=FAT:FQL_AUDITING_CLIENT_TEMPLATE.FAT&amp;display_string=Audit&amp;VAR:KEY=TMNMFADUVQ&amp;VAR:QUERY=RkZfREVCVChRVFIsMCk=&amp;WINDOW=FIRST_POPUP&amp;HEIGHT=450&amp;WIDTH=450&amp;START_MAXIMIZED=FALSE&amp;VA","R:CALENDAR=FIVEDAY&amp;VAR:SYMBOL=PLAB&amp;VAR:INDEX=0"}</definedName>
    <definedName name="_473__FDSAUDITLINK__" hidden="1">{"fdsup://Directions/FactSet Auditing Viewer?action=AUDIT_VALUE&amp;DB=129&amp;ID1=71940510&amp;VALUEID=02001&amp;SDATE=201103&amp;PERIODTYPE=QTR_STD&amp;SCFT=3&amp;window=popup_no_bar&amp;width=385&amp;height=120&amp;START_MAXIMIZED=FALSE&amp;creator=factset&amp;display_string=Audit"}</definedName>
    <definedName name="_474__FDSAUDITLINK__" hidden="1">{"fdsup://directions/FAT Viewer?action=UPDATE&amp;creator=factset&amp;DYN_ARGS=TRUE&amp;DOC_NAME=FAT:FQL_AUDITING_CLIENT_TEMPLATE.FAT&amp;display_string=Audit&amp;VAR:KEY=RGHYHGRCZK&amp;VAR:QUERY=RkZfREVCVChRVFIsMCk=&amp;WINDOW=FIRST_POPUP&amp;HEIGHT=450&amp;WIDTH=450&amp;START_MAXIMIZED=FALSE&amp;VA","R:CALENDAR=FIVEDAY&amp;VAR:SYMBOL=CREE&amp;VAR:INDEX=0"}</definedName>
    <definedName name="_475__FDSAUDITLINK__" hidden="1">{"fdsup://directions/FAT Viewer?action=UPDATE&amp;creator=factset&amp;DYN_ARGS=TRUE&amp;DOC_NAME=FAT:FQL_AUDITING_CLIENT_TEMPLATE.FAT&amp;display_string=Audit&amp;VAR:KEY=JOTITULQBY&amp;VAR:QUERY=RkZfREVCVChRVFIsMCk=&amp;WINDOW=FIRST_POPUP&amp;HEIGHT=450&amp;WIDTH=450&amp;START_MAXIMIZED=FALSE&amp;VA","R:CALENDAR=FIVEDAY&amp;VAR:SYMBOL=546834&amp;VAR:INDEX=0"}</definedName>
    <definedName name="_476__FDSAUDITLINK__" hidden="1">{"fdsup://directions/FAT Viewer?action=UPDATE&amp;creator=factset&amp;DYN_ARGS=TRUE&amp;DOC_NAME=FAT:FQL_AUDITING_CLIENT_TEMPLATE.FAT&amp;display_string=Audit&amp;VAR:KEY=FIZINMLSPI&amp;VAR:QUERY=RkZfSU5WRVNUX0xUKFFUUiwwKQ==&amp;WINDOW=FIRST_POPUP&amp;HEIGHT=450&amp;WIDTH=450&amp;START_MAXIMIZED=","FALSE&amp;VAR:CALENDAR=FIVEDAY&amp;VAR:SYMBOL=546834&amp;VAR:INDEX=0"}</definedName>
    <definedName name="_477__FDSAUDITLINK__" hidden="1">{"fdsup://directions/FAT Viewer?action=UPDATE&amp;creator=factset&amp;DYN_ARGS=TRUE&amp;DOC_NAME=FAT:FQL_AUDITING_CLIENT_TEMPLATE.FAT&amp;display_string=Audit&amp;VAR:KEY=FCTGPOTMFC&amp;VAR:QUERY=RkZfREVCVChRVFIsMCk=&amp;WINDOW=FIRST_POPUP&amp;HEIGHT=450&amp;WIDTH=450&amp;START_MAXIMIZED=FALSE&amp;VA","R:CALENDAR=FIVEDAY&amp;VAR:SYMBOL=VECO&amp;VAR:INDEX=0"}</definedName>
    <definedName name="_478__FDSAUDITLINK__" hidden="1">{"fdsup://Directions/FactSet Auditing Viewer?action=AUDIT_VALUE&amp;DB=129&amp;ID1=92241710&amp;VALUEID=02001&amp;SDATE=201102&amp;PERIODTYPE=QTR_STD&amp;SCFT=3&amp;window=popup_no_bar&amp;width=385&amp;height=120&amp;START_MAXIMIZED=FALSE&amp;creator=factset&amp;display_string=Audit"}</definedName>
    <definedName name="_479__FDSAUDITLINK__" hidden="1">{"fdsup://directions/FAT Viewer?action=UPDATE&amp;creator=factset&amp;DYN_ARGS=TRUE&amp;DOC_NAME=FAT:FQL_AUDITING_CLIENT_TEMPLATE.FAT&amp;display_string=Audit&amp;VAR:KEY=NAXMTGNAPU&amp;VAR:QUERY=RkZfREVCVChRVFIsMCk=&amp;WINDOW=FIRST_POPUP&amp;HEIGHT=450&amp;WIDTH=450&amp;START_MAXIMIZED=FALSE&amp;VA","R:CALENDAR=FIVEDAY&amp;VAR:SYMBOL=UTEK&amp;VAR:INDEX=0"}</definedName>
    <definedName name="_48__FDSAUDITLINK__" hidden="1">{"fdsup://directions/FAT Viewer?action=UPDATE&amp;creator=factset&amp;DYN_ARGS=TRUE&amp;DOC_NAME=FAT:FQL_AUDITING_CLIENT_TEMPLATE.FAT&amp;display_string=Audit&amp;VAR:KEY=DSVAPAXKVW&amp;VAR:QUERY=RkZfSU5WRVNUX0xUKFFUUiwwKQ==&amp;WINDOW=FIRST_POPUP&amp;HEIGHT=450&amp;WIDTH=450&amp;START_MAXIMIZED=","FALSE&amp;VAR:CALENDAR=US&amp;VAR:SYMBOL=546834&amp;VAR:INDEX=0"}</definedName>
    <definedName name="_480__FDSAUDITLINK__" hidden="1">{"fdsup://Directions/FactSet Auditing Viewer?action=AUDIT_VALUE&amp;DB=129&amp;ID1=90403410&amp;VALUEID=02001&amp;SDATE=201102&amp;PERIODTYPE=QTR_STD&amp;SCFT=3&amp;window=popup_no_bar&amp;width=385&amp;height=120&amp;START_MAXIMIZED=FALSE&amp;creator=factset&amp;display_string=Audit"}</definedName>
    <definedName name="_481__FDSAUDITLINK__" hidden="1">{"fdsup://directions/FAT Viewer?action=UPDATE&amp;creator=factset&amp;DYN_ARGS=TRUE&amp;DOC_NAME=FAT:FQL_AUDITING_CLIENT_TEMPLATE.FAT&amp;display_string=Audit&amp;VAR:KEY=ZMBABIDQJA&amp;VAR:QUERY=RkZfREVCVChRVFIsMCk=&amp;WINDOW=FIRST_POPUP&amp;HEIGHT=450&amp;WIDTH=450&amp;START_MAXIMIZED=FALSE&amp;VA","R:CALENDAR=FIVEDAY&amp;VAR:SYMBOL=TER&amp;VAR:INDEX=0"}</definedName>
    <definedName name="_482__FDSAUDITLINK__" hidden="1">{"fdsup://directions/FAT Viewer?action=UPDATE&amp;creator=factset&amp;DYN_ARGS=TRUE&amp;DOC_NAME=FAT:FQL_AUDITING_CLIENT_TEMPLATE.FAT&amp;display_string=Audit&amp;VAR:KEY=FSFQFUBMLS&amp;VAR:QUERY=RkZfREVCVChRVFIsMCk=&amp;WINDOW=FIRST_POPUP&amp;HEIGHT=450&amp;WIDTH=450&amp;START_MAXIMIZED=FALSE&amp;VA","R:CALENDAR=FIVEDAY&amp;VAR:SYMBOL=KLIC&amp;VAR:INDEX=0"}</definedName>
    <definedName name="_483__FDSAUDITLINK__" hidden="1">{"fdsup://Directions/FactSet Auditing Viewer?action=AUDIT_VALUE&amp;DB=129&amp;ID1=50124210&amp;VALUEID=02001&amp;SDATE=201103&amp;PERIODTYPE=QTR_STD&amp;SCFT=3&amp;window=popup_no_bar&amp;width=385&amp;height=120&amp;START_MAXIMIZED=FALSE&amp;creator=factset&amp;display_string=Audit"}</definedName>
    <definedName name="_484__FDSAUDITLINK__" hidden="1">{"fdsup://directions/FAT Viewer?action=UPDATE&amp;creator=factset&amp;DYN_ARGS=TRUE&amp;DOC_NAME=FAT:FQL_AUDITING_CLIENT_TEMPLATE.FAT&amp;display_string=Audit&amp;VAR:KEY=PIFWJSLEVW&amp;VAR:QUERY=RkZfREVCVChRVFIsMCk=&amp;WINDOW=FIRST_POPUP&amp;HEIGHT=450&amp;WIDTH=450&amp;START_MAXIMIZED=FALSE&amp;VA","R:CALENDAR=FIVEDAY&amp;VAR:SYMBOL=WFR&amp;VAR:INDEX=0"}</definedName>
    <definedName name="_485__FDSAUDITLINK__" hidden="1">{"fdsup://directions/FAT Viewer?action=UPDATE&amp;creator=factset&amp;DYN_ARGS=TRUE&amp;DOC_NAME=FAT:FQL_AUDITING_CLIENT_TEMPLATE.FAT&amp;display_string=Audit&amp;VAR:KEY=JCVOZQBEBO&amp;VAR:QUERY=RkZfSU5WRVNUX0xUKFFUUiwwKQ==&amp;WINDOW=FIRST_POPUP&amp;HEIGHT=450&amp;WIDTH=450&amp;START_MAXIMIZED=","FALSE&amp;VAR:CALENDAR=FIVEDAY&amp;VAR:SYMBOL=WFR&amp;VAR:INDEX=0"}</definedName>
    <definedName name="_486__FDSAUDITLINK__" hidden="1">{"fdsup://directions/FAT Viewer?action=UPDATE&amp;creator=factset&amp;DYN_ARGS=TRUE&amp;DOC_NAME=FAT:FQL_AUDITING_CLIENT_TEMPLATE.FAT&amp;display_string=Audit&amp;VAR:KEY=BCLSVOXMJK&amp;VAR:QUERY=RkZfREVCVChRVFIsMCk=&amp;WINDOW=FIRST_POPUP&amp;HEIGHT=450&amp;WIDTH=450&amp;START_MAXIMIZED=FALSE&amp;VA","R:CALENDAR=FIVEDAY&amp;VAR:SYMBOL=ENTG&amp;VAR:INDEX=0"}</definedName>
    <definedName name="_487__FDSAUDITLINK__" hidden="1">{"fdsup://directions/FAT Viewer?action=UPDATE&amp;creator=factset&amp;DYN_ARGS=TRUE&amp;DOC_NAME=FAT:FQL_AUDITING_CLIENT_TEMPLATE.FAT&amp;display_string=Audit&amp;VAR:KEY=VQDWDUNGHM&amp;VAR:QUERY=RkZfSU5WRVNUX0xUKFFUUiwwKQ==&amp;WINDOW=FIRST_POPUP&amp;HEIGHT=450&amp;WIDTH=450&amp;START_MAXIMIZED=","FALSE&amp;VAR:CALENDAR=FIVEDAY&amp;VAR:SYMBOL=ENTG&amp;VAR:INDEX=0"}</definedName>
    <definedName name="_488__FDSAUDITLINK__" hidden="1">{"fdsup://directions/FAT Viewer?action=UPDATE&amp;creator=factset&amp;DYN_ARGS=TRUE&amp;DOC_NAME=FAT:FQL_AUDITING_CLIENT_TEMPLATE.FAT&amp;display_string=Audit&amp;VAR:KEY=RGDGPELQXE&amp;VAR:QUERY=RkZfREVCVChRVFIsMCk=&amp;WINDOW=FIRST_POPUP&amp;HEIGHT=450&amp;WIDTH=450&amp;START_MAXIMIZED=FALSE&amp;VA","R:CALENDAR=FIVEDAY&amp;VAR:SYMBOL=CCMP&amp;VAR:INDEX=0"}</definedName>
    <definedName name="_489__FDSAUDITLINK__" hidden="1">{"fdsup://directions/FAT Viewer?action=UPDATE&amp;creator=factset&amp;DYN_ARGS=TRUE&amp;DOC_NAME=FAT:FQL_AUDITING_CLIENT_TEMPLATE.FAT&amp;display_string=Audit&amp;VAR:KEY=VKJCJCROPY&amp;VAR:QUERY=RkZfSU5WRVNUX0xUKFFUUiwwKQ==&amp;WINDOW=FIRST_POPUP&amp;HEIGHT=450&amp;WIDTH=450&amp;START_MAXIMIZED=","FALSE&amp;VAR:CALENDAR=FIVEDAY&amp;VAR:SYMBOL=CCMP&amp;VAR:INDEX=0"}</definedName>
    <definedName name="_49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490__FDSAUDITLINK__" hidden="1">{"fdsup://directions/FAT Viewer?action=UPDATE&amp;creator=factset&amp;DYN_ARGS=TRUE&amp;DOC_NAME=FAT:FQL_AUDITING_CLIENT_TEMPLATE.FAT&amp;display_string=Audit&amp;VAR:KEY=PCVAZGRYRG&amp;VAR:QUERY=RkZfREVCVChRVFIsMCk=&amp;WINDOW=FIRST_POPUP&amp;HEIGHT=450&amp;WIDTH=450&amp;START_MAXIMIZED=FALSE&amp;VA","R:CALENDAR=FIVEDAY&amp;VAR:SYMBOL=ATMI&amp;VAR:INDEX=0"}</definedName>
    <definedName name="_491__FDSAUDITLINK__" hidden="1">{"fdsup://directions/FAT Viewer?action=UPDATE&amp;creator=factset&amp;DYN_ARGS=TRUE&amp;DOC_NAME=FAT:FQL_AUDITING_CLIENT_TEMPLATE.FAT&amp;display_string=Audit&amp;VAR:KEY=JMLGLYZGZW&amp;VAR:QUERY=RkZfSU5WRVNUX0xUKFFUUiwwKQ==&amp;WINDOW=FIRST_POPUP&amp;HEIGHT=450&amp;WIDTH=450&amp;START_MAXIMIZED=","FALSE&amp;VAR:CALENDAR=FIVEDAY&amp;VAR:SYMBOL=ATMI&amp;VAR:INDEX=0"}</definedName>
    <definedName name="_492__FDSAUDITLINK__" hidden="1">{"fdsup://directions/FAT Viewer?action=UPDATE&amp;creator=factset&amp;DYN_ARGS=TRUE&amp;DOC_NAME=FAT:FQL_AUDITING_CLIENT_TEMPLATE.FAT&amp;display_string=Audit&amp;VAR:KEY=HOLURSFKNG&amp;VAR:QUERY=RkZfREVCVChRVFIsMCk=&amp;WINDOW=FIRST_POPUP&amp;HEIGHT=450&amp;WIDTH=450&amp;START_MAXIMIZED=FALSE&amp;VA","R:CALENDAR=FIVEDAY&amp;VAR:SYMBOL=MKSI&amp;VAR:INDEX=0"}</definedName>
    <definedName name="_493__FDSAUDITLINK__" hidden="1">{"fdsup://directions/FAT Viewer?action=UPDATE&amp;creator=factset&amp;DYN_ARGS=TRUE&amp;DOC_NAME=FAT:FQL_AUDITING_CLIENT_TEMPLATE.FAT&amp;display_string=Audit&amp;VAR:KEY=RURATSTIVY&amp;VAR:QUERY=RkZfSU5WRVNUX0xUKFFUUiwwKQ==&amp;WINDOW=FIRST_POPUP&amp;HEIGHT=450&amp;WIDTH=450&amp;START_MAXIMIZED=","FALSE&amp;VAR:CALENDAR=FIVEDAY&amp;VAR:SYMBOL=MKSI&amp;VAR:INDEX=0"}</definedName>
    <definedName name="_494__FDSAUDITLINK__" hidden="1">{"fdsup://directions/FAT Viewer?action=UPDATE&amp;creator=factset&amp;DYN_ARGS=TRUE&amp;DOC_NAME=FAT:FQL_AUDITING_CLIENT_TEMPLATE.FAT&amp;display_string=Audit&amp;VAR:KEY=XCFADOVIDW&amp;VAR:QUERY=RkZfREVCVChRVFIsMCk=&amp;WINDOW=FIRST_POPUP&amp;HEIGHT=450&amp;WIDTH=450&amp;START_MAXIMIZED=FALSE&amp;VA","R:CALENDAR=FIVEDAY&amp;VAR:SYMBOL=CYMI&amp;VAR:INDEX=0"}</definedName>
    <definedName name="_495__FDSAUDITLINK__" hidden="1">{"fdsup://directions/FAT Viewer?action=UPDATE&amp;creator=factset&amp;DYN_ARGS=TRUE&amp;DOC_NAME=FAT:FQL_AUDITING_CLIENT_TEMPLATE.FAT&amp;display_string=Audit&amp;VAR:KEY=VIHCZYRQJQ&amp;VAR:QUERY=RkZfSU5WRVNUX0xUKFFUUiwwKQ==&amp;WINDOW=FIRST_POPUP&amp;HEIGHT=450&amp;WIDTH=450&amp;START_MAXIMIZED=","FALSE&amp;VAR:CALENDAR=FIVEDAY&amp;VAR:SYMBOL=CYMI&amp;VAR:INDEX=0"}</definedName>
    <definedName name="_496__FDSAUDITLINK__" hidden="1">{"fdsup://directions/FAT Viewer?action=UPDATE&amp;creator=factset&amp;DYN_ARGS=TRUE&amp;DOC_NAME=FAT:FQL_AUDITING_CLIENT_TEMPLATE.FAT&amp;display_string=Audit&amp;VAR:KEY=FQLQHSVIBI&amp;VAR:QUERY=RkZfREVCVChRVFIsMCk=&amp;WINDOW=FIRST_POPUP&amp;HEIGHT=450&amp;WIDTH=450&amp;START_MAXIMIZED=FALSE&amp;VA","R:CALENDAR=FIVEDAY&amp;VAR:SYMBOL=BRKS&amp;VAR:INDEX=0"}</definedName>
    <definedName name="_497__FDSAUDITLINK__" hidden="1">{"fdsup://Directions/FactSet Auditing Viewer?action=AUDIT_VALUE&amp;DB=129&amp;ID1=11434010&amp;VALUEID=02001&amp;SDATE=201103&amp;PERIODTYPE=QTR_STD&amp;SCFT=3&amp;window=popup_no_bar&amp;width=385&amp;height=120&amp;START_MAXIMIZED=FALSE&amp;creator=factset&amp;display_string=Audit"}</definedName>
    <definedName name="_498__FDSAUDITLINK__" hidden="1">{"fdsup://directions/FAT Viewer?action=UPDATE&amp;creator=factset&amp;DYN_ARGS=TRUE&amp;DOC_NAME=FAT:FQL_AUDITING_CLIENT_TEMPLATE.FAT&amp;display_string=Audit&amp;VAR:KEY=LEZUZETGZQ&amp;VAR:QUERY=RkZfREVCVChRVFIsMCk=&amp;WINDOW=FIRST_POPUP&amp;HEIGHT=450&amp;WIDTH=450&amp;START_MAXIMIZED=FALSE&amp;VA","R:CALENDAR=FIVEDAY&amp;VAR:SYMBOL=AEIS&amp;VAR:INDEX=0"}</definedName>
    <definedName name="_499__FDSAUDITLINK__" hidden="1">{"fdsup://directions/FAT Viewer?action=UPDATE&amp;creator=factset&amp;DYN_ARGS=TRUE&amp;DOC_NAME=FAT:FQL_AUDITING_CLIENT_TEMPLATE.FAT&amp;display_string=Audit&amp;VAR:KEY=PEBWDOJAHA&amp;VAR:QUERY=RkZfSU5WRVNUX0xUKFFUUiwwKQ==&amp;WINDOW=FIRST_POPUP&amp;HEIGHT=450&amp;WIDTH=450&amp;START_MAXIMIZED=","FALSE&amp;VAR:CALENDAR=FIVEDAY&amp;VAR:SYMBOL=AEIS&amp;VAR:INDEX=0"}</definedName>
    <definedName name="_5__FDSAUDITLINK__" hidden="1">{"fdsup://directions/FAT Viewer?action=UPDATE&amp;creator=factset&amp;DYN_ARGS=TRUE&amp;DOC_NAME=FAT:FQL_AUDITING_CLIENT_TEMPLATE.FAT&amp;display_string=Audit&amp;VAR:KEY=PCXOPSRUZO&amp;VAR:QUERY=RkZfSU5WRVNUX0xUKFFUUiwwKQ==&amp;WINDOW=FIRST_POPUP&amp;HEIGHT=450&amp;WIDTH=450&amp;START_MAXIMIZED=","FALSE&amp;VAR:CALENDAR=US&amp;VAR:SYMBOL=CODE&amp;VAR:INDEX=0"}</definedName>
    <definedName name="_50__FDSAUDITLINK__" hidden="1">{"fdsup://directions/FAT Viewer?action=UPDATE&amp;creator=factset&amp;DYN_ARGS=TRUE&amp;DOC_NAME=FAT:FQL_AUDITING_CLIENT_TEMPLATE.FAT&amp;display_string=Audit&amp;VAR:KEY=ZEZEDQJWXK&amp;VAR:QUERY=RkZfREVCVChRVFIsMCk=&amp;WINDOW=FIRST_POPUP&amp;HEIGHT=450&amp;WIDTH=450&amp;START_MAXIMIZED=FALSE&amp;VA","R:CALENDAR=US&amp;VAR:SYMBOL=VECO&amp;VAR:INDEX=0"}</definedName>
    <definedName name="_500__FDSAUDITLINK__" hidden="1">{"fdsup://directions/FAT Viewer?action=UPDATE&amp;creator=factset&amp;DYN_ARGS=TRUE&amp;DOC_NAME=FAT:FQL_AUDITING_CLIENT_TEMPLATE.FAT&amp;display_string=Audit&amp;VAR:KEY=ZYBYLSDWTK&amp;VAR:QUERY=RkZfREVCVChRVFIsMCk=&amp;WINDOW=FIRST_POPUP&amp;HEIGHT=450&amp;WIDTH=450&amp;START_MAXIMIZED=FALSE&amp;VA","R:CALENDAR=FIVEDAY&amp;VAR:SYMBOL=RTEC&amp;VAR:INDEX=0"}</definedName>
    <definedName name="_501__FDSAUDITLINK__" hidden="1">{"fdsup://Directions/FactSet Auditing Viewer?action=AUDIT_VALUE&amp;DB=129&amp;ID1=78127010&amp;VALUEID=02001&amp;SDATE=201102&amp;PERIODTYPE=QTR_STD&amp;SCFT=3&amp;window=popup_no_bar&amp;width=385&amp;height=120&amp;START_MAXIMIZED=FALSE&amp;creator=factset&amp;display_string=Audit"}</definedName>
    <definedName name="_502__FDSAUDITLINK__" hidden="1">{"fdsup://directions/FAT Viewer?action=UPDATE&amp;creator=factset&amp;DYN_ARGS=TRUE&amp;DOC_NAME=FAT:FQL_AUDITING_CLIENT_TEMPLATE.FAT&amp;display_string=Audit&amp;VAR:KEY=ZWDOFGJMPY&amp;VAR:QUERY=RkZfREVCVChRVFIsMCk=&amp;WINDOW=FIRST_POPUP&amp;HEIGHT=450&amp;WIDTH=450&amp;START_MAXIMIZED=FALSE&amp;VA","R:CALENDAR=FIVEDAY&amp;VAR:SYMBOL=NVLS&amp;VAR:INDEX=0"}</definedName>
    <definedName name="_503__FDSAUDITLINK__" hidden="1">{"fdsup://directions/FAT Viewer?action=UPDATE&amp;creator=factset&amp;DYN_ARGS=TRUE&amp;DOC_NAME=FAT:FQL_AUDITING_CLIENT_TEMPLATE.FAT&amp;display_string=Audit&amp;VAR:KEY=LUXAHSJKJU&amp;VAR:QUERY=RkZfSU5WRVNUX0xUKFFUUiwwKQ==&amp;WINDOW=FIRST_POPUP&amp;HEIGHT=450&amp;WIDTH=450&amp;START_MAXIMIZED=","FALSE&amp;VAR:CALENDAR=FIVEDAY&amp;VAR:SYMBOL=NVLS&amp;VAR:INDEX=0"}</definedName>
    <definedName name="_504__FDSAUDITLINK__" hidden="1">{"fdsup://directions/FAT Viewer?action=UPDATE&amp;creator=factset&amp;DYN_ARGS=TRUE&amp;DOC_NAME=FAT:FQL_AUDITING_CLIENT_TEMPLATE.FAT&amp;display_string=Audit&amp;VAR:KEY=XKFYPEFSFQ&amp;VAR:QUERY=RkZfREVCVChRVFIsMCk=&amp;WINDOW=FIRST_POPUP&amp;HEIGHT=450&amp;WIDTH=450&amp;START_MAXIMIZED=FALSE&amp;VA","R:CALENDAR=FIVEDAY&amp;VAR:SYMBOL=LRCX&amp;VAR:INDEX=0"}</definedName>
    <definedName name="_505__FDSAUDITLINK__" hidden="1">{"fdsup://directions/FAT Viewer?action=UPDATE&amp;creator=factset&amp;DYN_ARGS=TRUE&amp;DOC_NAME=FAT:FQL_AUDITING_CLIENT_TEMPLATE.FAT&amp;display_string=Audit&amp;VAR:KEY=ZKZITGNYFG&amp;VAR:QUERY=RkZfSU5WRVNUX0xUKFFUUiwwKQ==&amp;WINDOW=FIRST_POPUP&amp;HEIGHT=450&amp;WIDTH=450&amp;START_MAXIMIZED=","FALSE&amp;VAR:CALENDAR=FIVEDAY&amp;VAR:SYMBOL=LRCX&amp;VAR:INDEX=0"}</definedName>
    <definedName name="_506__FDSAUDITLINK__" hidden="1">{"fdsup://directions/FAT Viewer?action=UPDATE&amp;creator=factset&amp;DYN_ARGS=TRUE&amp;DOC_NAME=FAT:FQL_AUDITING_CLIENT_TEMPLATE.FAT&amp;display_string=Audit&amp;VAR:KEY=BEPKXAVAVM&amp;VAR:QUERY=RkZfREVCVChRVFIsMCk=&amp;WINDOW=FIRST_POPUP&amp;HEIGHT=450&amp;WIDTH=450&amp;START_MAXIMIZED=FALSE&amp;VA","R:CALENDAR=FIVEDAY&amp;VAR:SYMBOL=KLAC&amp;VAR:INDEX=0"}</definedName>
    <definedName name="_507__FDSAUDITLINK__" hidden="1">{"fdsup://Directions/FactSet Auditing Viewer?action=AUDIT_VALUE&amp;DB=129&amp;ID1=48248010&amp;VALUEID=02001&amp;SDATE=201104&amp;PERIODTYPE=QTR_STD&amp;SCFT=3&amp;window=popup_no_bar&amp;width=385&amp;height=120&amp;START_MAXIMIZED=FALSE&amp;creator=factset&amp;display_string=Audit"}</definedName>
    <definedName name="_508__FDSAUDITLINK__" hidden="1">{"fdsup://directions/FAT Viewer?action=UPDATE&amp;creator=factset&amp;DYN_ARGS=TRUE&amp;DOC_NAME=FAT:FQL_AUDITING_CLIENT_TEMPLATE.FAT&amp;display_string=Audit&amp;VAR:KEY=DQPWRUFCDW&amp;VAR:QUERY=RkZfREVCVChRVFIsMCk=&amp;WINDOW=FIRST_POPUP&amp;HEIGHT=450&amp;WIDTH=450&amp;START_MAXIMIZED=FALSE&amp;VA","R:CALENDAR=FIVEDAY&amp;VAR:SYMBOL=594936&amp;VAR:INDEX=0"}</definedName>
    <definedName name="_509__FDSAUDITLINK__" hidden="1">{"fdsup://Directions/FactSet Auditing Viewer?action=AUDIT_VALUE&amp;DB=129&amp;ID1=594936&amp;VALUEID=02001&amp;SDATE=201102&amp;PERIODTYPE=QTR_STD&amp;SCFT=3&amp;window=popup_no_bar&amp;width=385&amp;height=120&amp;START_MAXIMIZED=FALSE&amp;creator=factset&amp;display_string=Audit"}</definedName>
    <definedName name="_51__FDSAUDITLINK__" hidden="1">{"fdsup://directions/FAT Viewer?action=UPDATE&amp;creator=factset&amp;DYN_ARGS=TRUE&amp;DOC_NAME=FAT:FQL_AUDITING_CLIENT_TEMPLATE.FAT&amp;display_string=Audit&amp;VAR:KEY=DIXKNATWHA&amp;VAR:QUERY=RkZfSU5WRVNUX0xUKFFUUiwwKQ==&amp;WINDOW=FIRST_POPUP&amp;HEIGHT=450&amp;WIDTH=450&amp;START_MAXIMIZED=","FALSE&amp;VAR:CALENDAR=US&amp;VAR:SYMBOL=VECO&amp;VAR:INDEX=0"}</definedName>
    <definedName name="_510__FDSAUDITLINK__" hidden="1">{"fdsup://directions/FAT Viewer?action=UPDATE&amp;creator=factset&amp;DYN_ARGS=TRUE&amp;DOC_NAME=FAT:FQL_AUDITING_CLIENT_TEMPLATE.FAT&amp;display_string=Audit&amp;VAR:KEY=FKNKVIVARO&amp;VAR:QUERY=RkZfREVCVChRVFIsMCk=&amp;WINDOW=FIRST_POPUP&amp;HEIGHT=450&amp;WIDTH=450&amp;START_MAXIMIZED=FALSE&amp;VA","R:CALENDAR=FIVEDAY&amp;VAR:SYMBOL=516529&amp;VAR:INDEX=0"}</definedName>
    <definedName name="_511__FDSAUDITLINK__" hidden="1">{"fdsup://directions/FAT Viewer?action=UPDATE&amp;creator=factset&amp;DYN_ARGS=TRUE&amp;DOC_NAME=FAT:FQL_AUDITING_CLIENT_TEMPLATE.FAT&amp;display_string=Audit&amp;VAR:KEY=ZAHODMNALO&amp;VAR:QUERY=RkZfSU5WRVNUX0xUKFFUUiwwKQ==&amp;WINDOW=FIRST_POPUP&amp;HEIGHT=450&amp;WIDTH=450&amp;START_MAXIMIZED=","FALSE&amp;VAR:CALENDAR=FIVEDAY&amp;VAR:SYMBOL=516529&amp;VAR:INDEX=0"}</definedName>
    <definedName name="_512__FDSAUDITLINK__" hidden="1">{"fdsup://directions/FAT Viewer?action=UPDATE&amp;creator=factset&amp;DYN_ARGS=TRUE&amp;DOC_NAME=FAT:FQL_AUDITING_CLIENT_TEMPLATE.FAT&amp;display_string=Audit&amp;VAR:KEY=DSNSFADABQ&amp;VAR:QUERY=RkZfREVCVChRVFIsMCk=&amp;WINDOW=FIRST_POPUP&amp;HEIGHT=450&amp;WIDTH=450&amp;START_MAXIMIZED=FALSE&amp;VA","R:CALENDAR=FIVEDAY&amp;VAR:SYMBOL=FORM&amp;VAR:INDEX=0"}</definedName>
    <definedName name="_513__FDSAUDITLINK__" hidden="1">{"fdsup://Directions/FactSet Auditing Viewer?action=AUDIT_VALUE&amp;DB=129&amp;ID1=34637510&amp;VALUEID=02001&amp;SDATE=201102&amp;PERIODTYPE=QTR_STD&amp;SCFT=3&amp;window=popup_no_bar&amp;width=385&amp;height=120&amp;START_MAXIMIZED=FALSE&amp;creator=factset&amp;display_string=Audit"}</definedName>
    <definedName name="_514__FDSAUDITLINK__" hidden="1">{"fdsup://directions/FAT Viewer?action=UPDATE&amp;creator=factset&amp;DYN_ARGS=TRUE&amp;DOC_NAME=FAT:FQL_AUDITING_CLIENT_TEMPLATE.FAT&amp;display_string=Audit&amp;VAR:KEY=TMNMFADUVQ&amp;VAR:QUERY=RkZfREVCVChRVFIsMCk=&amp;WINDOW=FIRST_POPUP&amp;HEIGHT=450&amp;WIDTH=450&amp;START_MAXIMIZED=FALSE&amp;VA","R:CALENDAR=FIVEDAY&amp;VAR:SYMBOL=PLAB&amp;VAR:INDEX=0"}</definedName>
    <definedName name="_515__FDSAUDITLINK__" hidden="1">{"fdsup://directions/FAT Viewer?action=UPDATE&amp;creator=factset&amp;DYN_ARGS=TRUE&amp;DOC_NAME=FAT:FQL_AUDITING_CLIENT_TEMPLATE.FAT&amp;display_string=Audit&amp;VAR:KEY=JCZWPCRUBU&amp;VAR:QUERY=RkZfSU5WRVNUX0xUKFFUUiwwKQ==&amp;WINDOW=FIRST_POPUP&amp;HEIGHT=450&amp;WIDTH=450&amp;START_MAXIMIZED=","FALSE&amp;VAR:CALENDAR=FIVEDAY&amp;VAR:SYMBOL=PLAB&amp;VAR:INDEX=0"}</definedName>
    <definedName name="_516__FDSAUDITLINK__" hidden="1">{"fdsup://directions/FAT Viewer?action=UPDATE&amp;creator=factset&amp;DYN_ARGS=TRUE&amp;DOC_NAME=FAT:FQL_AUDITING_CLIENT_TEMPLATE.FAT&amp;display_string=Audit&amp;VAR:KEY=TSDOVUJGZY&amp;VAR:QUERY=RkZfSU5WRVNUX0xUKFFUUiwwKQ==&amp;WINDOW=FIRST_POPUP&amp;HEIGHT=450&amp;WIDTH=450&amp;START_MAXIMIZED=","FALSE&amp;VAR:CALENDAR=FIVEDAY&amp;VAR:SYMBOL=CREE&amp;VAR:INDEX=0"}</definedName>
    <definedName name="_517__FDSAUDITLINK__" hidden="1">{"fdsup://directions/FAT Viewer?action=UPDATE&amp;creator=factset&amp;DYN_ARGS=TRUE&amp;DOC_NAME=FAT:FQL_AUDITING_CLIENT_TEMPLATE.FAT&amp;display_string=Audit&amp;VAR:KEY=JOTITULQBY&amp;VAR:QUERY=RkZfREVCVChRVFIsMCk=&amp;WINDOW=FIRST_POPUP&amp;HEIGHT=450&amp;WIDTH=450&amp;START_MAXIMIZED=FALSE&amp;VA","R:CALENDAR=FIVEDAY&amp;VAR:SYMBOL=546834&amp;VAR:INDEX=0"}</definedName>
    <definedName name="_518__FDSAUDITLINK__" hidden="1">{"fdsup://Directions/FactSet Auditing Viewer?action=AUDIT_VALUE&amp;DB=129&amp;ID1=546834&amp;VALUEID=02001&amp;SDATE=201102&amp;PERIODTYPE=QTR_STD&amp;SCFT=3&amp;window=popup_no_bar&amp;width=385&amp;height=120&amp;START_MAXIMIZED=FALSE&amp;creator=factset&amp;display_string=Audit"}</definedName>
    <definedName name="_519__FDSAUDITLINK__" hidden="1">{"fdsup://directions/FAT Viewer?action=UPDATE&amp;creator=factset&amp;DYN_ARGS=TRUE&amp;DOC_NAME=FAT:FQL_AUDITING_CLIENT_TEMPLATE.FAT&amp;display_string=Audit&amp;VAR:KEY=FCTGPOTMFC&amp;VAR:QUERY=RkZfREVCVChRVFIsMCk=&amp;WINDOW=FIRST_POPUP&amp;HEIGHT=450&amp;WIDTH=450&amp;START_MAXIMIZED=FALSE&amp;VA","R:CALENDAR=FIVEDAY&amp;VAR:SYMBOL=VECO&amp;VAR:INDEX=0"}</definedName>
    <definedName name="_52__FDSAUDITLINK__" hidden="1">{"fdsup://directions/FAT Viewer?action=UPDATE&amp;creator=factset&amp;DYN_ARGS=TRUE&amp;DOC_NAME=FAT:FQL_AUDITING_CLIENT_TEMPLATE.FAT&amp;display_string=Audit&amp;VAR:KEY=VUNWFSFCJU&amp;VAR:QUERY=RkZfREVCVChRVFIsMCk=&amp;WINDOW=FIRST_POPUP&amp;HEIGHT=450&amp;WIDTH=450&amp;START_MAXIMIZED=FALSE&amp;VA","R:CALENDAR=US&amp;VAR:SYMBOL=UTEK&amp;VAR:INDEX=0"}</definedName>
    <definedName name="_520__FDSAUDITLINK__" hidden="1">{"fdsup://directions/FAT Viewer?action=UPDATE&amp;creator=factset&amp;DYN_ARGS=TRUE&amp;DOC_NAME=FAT:FQL_AUDITING_CLIENT_TEMPLATE.FAT&amp;display_string=Audit&amp;VAR:KEY=XGBWFINATY&amp;VAR:QUERY=RkZfSU5WRVNUX0xUKFFUUiwwKQ==&amp;WINDOW=FIRST_POPUP&amp;HEIGHT=450&amp;WIDTH=450&amp;START_MAXIMIZED=","FALSE&amp;VAR:CALENDAR=FIVEDAY&amp;VAR:SYMBOL=VECO&amp;VAR:INDEX=0"}</definedName>
    <definedName name="_521__FDSAUDITLINK__" hidden="1">{"fdsup://directions/FAT Viewer?action=UPDATE&amp;creator=factset&amp;DYN_ARGS=TRUE&amp;DOC_NAME=FAT:FQL_AUDITING_CLIENT_TEMPLATE.FAT&amp;display_string=Audit&amp;VAR:KEY=NAXMTGNAPU&amp;VAR:QUERY=RkZfREVCVChRVFIsMCk=&amp;WINDOW=FIRST_POPUP&amp;HEIGHT=450&amp;WIDTH=450&amp;START_MAXIMIZED=FALSE&amp;VA","R:CALENDAR=FIVEDAY&amp;VAR:SYMBOL=UTEK&amp;VAR:INDEX=0"}</definedName>
    <definedName name="_522__FDSAUDITLINK__" hidden="1">{"fdsup://directions/FAT Viewer?action=UPDATE&amp;creator=factset&amp;DYN_ARGS=TRUE&amp;DOC_NAME=FAT:FQL_AUDITING_CLIENT_TEMPLATE.FAT&amp;display_string=Audit&amp;VAR:KEY=JKNCJKPCNW&amp;VAR:QUERY=RkZfSU5WRVNUX0xUKFFUUiwwKQ==&amp;WINDOW=FIRST_POPUP&amp;HEIGHT=450&amp;WIDTH=450&amp;START_MAXIMIZED=","FALSE&amp;VAR:CALENDAR=FIVEDAY&amp;VAR:SYMBOL=UTEK&amp;VAR:INDEX=0"}</definedName>
    <definedName name="_523__FDSAUDITLINK__" hidden="1">{"fdsup://directions/FAT Viewer?action=UPDATE&amp;creator=factset&amp;DYN_ARGS=TRUE&amp;DOC_NAME=FAT:FQL_AUDITING_CLIENT_TEMPLATE.FAT&amp;display_string=Audit&amp;VAR:KEY=ZEXSTQNUPG&amp;VAR:QUERY=RkZfSU5WRVNUX0xUKFFUUiwwKQ==&amp;WINDOW=FIRST_POPUP&amp;HEIGHT=450&amp;WIDTH=450&amp;START_MAXIMIZED=","FALSE&amp;VAR:CALENDAR=FIVEDAY&amp;VAR:SYMBOL=TER&amp;VAR:INDEX=0"}</definedName>
    <definedName name="_524__FDSAUDITLINK__" hidden="1">{"fdsup://directions/FAT Viewer?action=UPDATE&amp;creator=factset&amp;DYN_ARGS=TRUE&amp;DOC_NAME=FAT:FQL_AUDITING_CLIENT_TEMPLATE.FAT&amp;display_string=Audit&amp;VAR:KEY=FSFQFUBMLS&amp;VAR:QUERY=RkZfREVCVChRVFIsMCk=&amp;WINDOW=FIRST_POPUP&amp;HEIGHT=450&amp;WIDTH=450&amp;START_MAXIMIZED=FALSE&amp;VA","R:CALENDAR=FIVEDAY&amp;VAR:SYMBOL=KLIC&amp;VAR:INDEX=0"}</definedName>
    <definedName name="_525__FDSAUDITLINK__" hidden="1">{"fdsup://directions/FAT Viewer?action=UPDATE&amp;creator=factset&amp;DYN_ARGS=TRUE&amp;DOC_NAME=FAT:FQL_AUDITING_CLIENT_TEMPLATE.FAT&amp;display_string=Audit&amp;VAR:KEY=HKDGTGTYPA&amp;VAR:QUERY=RkZfSU5WRVNUX0xUKFFUUiwwKQ==&amp;WINDOW=FIRST_POPUP&amp;HEIGHT=450&amp;WIDTH=450&amp;START_MAXIMIZED=","FALSE&amp;VAR:CALENDAR=FIVEDAY&amp;VAR:SYMBOL=KLIC&amp;VAR:INDEX=0"}</definedName>
    <definedName name="_526__FDSAUDITLINK__" hidden="1">{"fdsup://directions/FAT Viewer?action=UPDATE&amp;creator=factset&amp;DYN_ARGS=TRUE&amp;DOC_NAME=FAT:FQL_AUDITING_CLIENT_TEMPLATE.FAT&amp;display_string=Audit&amp;VAR:KEY=PIFWJSLEVW&amp;VAR:QUERY=RkZfREVCVChRVFIsMCk=&amp;WINDOW=FIRST_POPUP&amp;HEIGHT=450&amp;WIDTH=450&amp;START_MAXIMIZED=FALSE&amp;VA","R:CALENDAR=FIVEDAY&amp;VAR:SYMBOL=WFR&amp;VAR:INDEX=0"}</definedName>
    <definedName name="_527__FDSAUDITLINK__" hidden="1">{"fdsup://Directions/FactSet Auditing Viewer?action=AUDIT_VALUE&amp;DB=129&amp;ID1=55271510&amp;VALUEID=02001&amp;SDATE=201102&amp;PERIODTYPE=QTR_STD&amp;SCFT=3&amp;window=popup_no_bar&amp;width=385&amp;height=120&amp;START_MAXIMIZED=FALSE&amp;creator=factset&amp;display_string=Audit"}</definedName>
    <definedName name="_528__FDSAUDITLINK__" hidden="1">{"fdsup://directions/FAT Viewer?action=UPDATE&amp;creator=factset&amp;DYN_ARGS=TRUE&amp;DOC_NAME=FAT:FQL_AUDITING_CLIENT_TEMPLATE.FAT&amp;display_string=Audit&amp;VAR:KEY=BCLSVOXMJK&amp;VAR:QUERY=RkZfREVCVChRVFIsMCk=&amp;WINDOW=FIRST_POPUP&amp;HEIGHT=450&amp;WIDTH=450&amp;START_MAXIMIZED=FALSE&amp;VA","R:CALENDAR=FIVEDAY&amp;VAR:SYMBOL=ENTG&amp;VAR:INDEX=0"}</definedName>
    <definedName name="_529__FDSAUDITLINK__" hidden="1">{"fdsup://Directions/FactSet Auditing Viewer?action=AUDIT_VALUE&amp;DB=129&amp;ID1=29362U10&amp;VALUEID=02001&amp;SDATE=201102&amp;PERIODTYPE=QTR_STD&amp;SCFT=3&amp;window=popup_no_bar&amp;width=385&amp;height=120&amp;START_MAXIMIZED=FALSE&amp;creator=factset&amp;display_string=Audit"}</definedName>
    <definedName name="_53__FDSAUDITLINK__" hidden="1">{"fdsup://directions/FAT Viewer?action=UPDATE&amp;creator=factset&amp;DYN_ARGS=TRUE&amp;DOC_NAME=FAT:FQL_AUDITING_CLIENT_TEMPLATE.FAT&amp;display_string=Audit&amp;VAR:KEY=NATCTMHWDG&amp;VAR:QUERY=RkZfSU5WRVNUX0xUKFFUUiwwKQ==&amp;WINDOW=FIRST_POPUP&amp;HEIGHT=450&amp;WIDTH=450&amp;START_MAXIMIZED=","FALSE&amp;VAR:CALENDAR=US&amp;VAR:SYMBOL=UTEK&amp;VAR:INDEX=0"}</definedName>
    <definedName name="_530__FDSAUDITLINK__" hidden="1">{"fdsup://directions/FAT Viewer?action=UPDATE&amp;creator=factset&amp;DYN_ARGS=TRUE&amp;DOC_NAME=FAT:FQL_AUDITING_CLIENT_TEMPLATE.FAT&amp;display_string=Audit&amp;VAR:KEY=RGDGPELQXE&amp;VAR:QUERY=RkZfREVCVChRVFIsMCk=&amp;WINDOW=FIRST_POPUP&amp;HEIGHT=450&amp;WIDTH=450&amp;START_MAXIMIZED=FALSE&amp;VA","R:CALENDAR=FIVEDAY&amp;VAR:SYMBOL=CCMP&amp;VAR:INDEX=0"}</definedName>
    <definedName name="_531__FDSAUDITLINK__" hidden="1">{"fdsup://Directions/FactSet Auditing Viewer?action=AUDIT_VALUE&amp;DB=129&amp;ID1=12709P10&amp;VALUEID=02001&amp;SDATE=201103&amp;PERIODTYPE=QTR_STD&amp;SCFT=3&amp;window=popup_no_bar&amp;width=385&amp;height=120&amp;START_MAXIMIZED=FALSE&amp;creator=factset&amp;display_string=Audit"}</definedName>
    <definedName name="_532__FDSAUDITLINK__" hidden="1">{"fdsup://directions/FAT Viewer?action=UPDATE&amp;creator=factset&amp;DYN_ARGS=TRUE&amp;DOC_NAME=FAT:FQL_AUDITING_CLIENT_TEMPLATE.FAT&amp;display_string=Audit&amp;VAR:KEY=PCVAZGRYRG&amp;VAR:QUERY=RkZfREVCVChRVFIsMCk=&amp;WINDOW=FIRST_POPUP&amp;HEIGHT=450&amp;WIDTH=450&amp;START_MAXIMIZED=FALSE&amp;VA","R:CALENDAR=FIVEDAY&amp;VAR:SYMBOL=ATMI&amp;VAR:INDEX=0"}</definedName>
    <definedName name="_533__FDSAUDITLINK__" hidden="1">{"fdsup://Directions/FactSet Auditing Viewer?action=AUDIT_VALUE&amp;DB=129&amp;ID1=00207R10&amp;VALUEID=02001&amp;SDATE=201102&amp;PERIODTYPE=QTR_STD&amp;SCFT=3&amp;window=popup_no_bar&amp;width=385&amp;height=120&amp;START_MAXIMIZED=FALSE&amp;creator=factset&amp;display_string=Audit"}</definedName>
    <definedName name="_534__FDSAUDITLINK__" hidden="1">{"fdsup://directions/FAT Viewer?action=UPDATE&amp;creator=factset&amp;DYN_ARGS=TRUE&amp;DOC_NAME=FAT:FQL_AUDITING_CLIENT_TEMPLATE.FAT&amp;display_string=Audit&amp;VAR:KEY=HOLURSFKNG&amp;VAR:QUERY=RkZfREVCVChRVFIsMCk=&amp;WINDOW=FIRST_POPUP&amp;HEIGHT=450&amp;WIDTH=450&amp;START_MAXIMIZED=FALSE&amp;VA","R:CALENDAR=FIVEDAY&amp;VAR:SYMBOL=MKSI&amp;VAR:INDEX=0"}</definedName>
    <definedName name="_535__FDSAUDITLINK__" hidden="1">{"fdsup://Directions/FactSet Auditing Viewer?action=AUDIT_VALUE&amp;DB=129&amp;ID1=55306N10&amp;VALUEID=02001&amp;SDATE=201102&amp;PERIODTYPE=QTR_STD&amp;SCFT=3&amp;window=popup_no_bar&amp;width=385&amp;height=120&amp;START_MAXIMIZED=FALSE&amp;creator=factset&amp;display_string=Audit"}</definedName>
    <definedName name="_536__FDSAUDITLINK__" hidden="1">{"fdsup://directions/FAT Viewer?action=UPDATE&amp;creator=factset&amp;DYN_ARGS=TRUE&amp;DOC_NAME=FAT:FQL_AUDITING_CLIENT_TEMPLATE.FAT&amp;display_string=Audit&amp;VAR:KEY=XCFADOVIDW&amp;VAR:QUERY=RkZfREVCVChRVFIsMCk=&amp;WINDOW=FIRST_POPUP&amp;HEIGHT=450&amp;WIDTH=450&amp;START_MAXIMIZED=FALSE&amp;VA","R:CALENDAR=FIVEDAY&amp;VAR:SYMBOL=CYMI&amp;VAR:INDEX=0"}</definedName>
    <definedName name="_537__FDSAUDITLINK__" hidden="1">{"fdsup://Directions/FactSet Auditing Viewer?action=AUDIT_VALUE&amp;DB=129&amp;ID1=23257210&amp;VALUEID=02001&amp;SDATE=201102&amp;PERIODTYPE=QTR_STD&amp;SCFT=3&amp;window=popup_no_bar&amp;width=385&amp;height=120&amp;START_MAXIMIZED=FALSE&amp;creator=factset&amp;display_string=Audit"}</definedName>
    <definedName name="_538__FDSAUDITLINK__" hidden="1">{"fdsup://directions/FAT Viewer?action=UPDATE&amp;creator=factset&amp;DYN_ARGS=TRUE&amp;DOC_NAME=FAT:FQL_AUDITING_CLIENT_TEMPLATE.FAT&amp;display_string=Audit&amp;VAR:KEY=FQLQHSVIBI&amp;VAR:QUERY=RkZfREVCVChRVFIsMCk=&amp;WINDOW=FIRST_POPUP&amp;HEIGHT=450&amp;WIDTH=450&amp;START_MAXIMIZED=FALSE&amp;VA","R:CALENDAR=FIVEDAY&amp;VAR:SYMBOL=BRKS&amp;VAR:INDEX=0"}</definedName>
    <definedName name="_539__FDSAUDITLINK__" hidden="1">{"fdsup://directions/FAT Viewer?action=UPDATE&amp;creator=factset&amp;DYN_ARGS=TRUE&amp;DOC_NAME=FAT:FQL_AUDITING_CLIENT_TEMPLATE.FAT&amp;display_string=Audit&amp;VAR:KEY=RUJQXGVQTA&amp;VAR:QUERY=RkZfSU5WRVNUX0xUKFFUUiwwKQ==&amp;WINDOW=FIRST_POPUP&amp;HEIGHT=450&amp;WIDTH=450&amp;START_MAXIMIZED=","FALSE&amp;VAR:CALENDAR=FIVEDAY&amp;VAR:SYMBOL=BRKS&amp;VAR:INDEX=0"}</definedName>
    <definedName name="_54__FDSAUDITLINK__" hidden="1">{"fdsup://Directions/FactSet Auditing Viewer?action=AUDIT_VALUE&amp;DB=129&amp;ID1=90403410&amp;VALUEID=02001&amp;SDATE=201102&amp;PERIODTYPE=QTR_STD&amp;SCFT=3&amp;window=popup_no_bar&amp;width=385&amp;height=120&amp;START_MAXIMIZED=FALSE&amp;creator=factset&amp;display_string=Audit"}</definedName>
    <definedName name="_540__FDSAUDITLINK__" hidden="1">{"fdsup://directions/FAT Viewer?action=UPDATE&amp;creator=factset&amp;DYN_ARGS=TRUE&amp;DOC_NAME=FAT:FQL_AUDITING_CLIENT_TEMPLATE.FAT&amp;display_string=Audit&amp;VAR:KEY=LEZUZETGZQ&amp;VAR:QUERY=RkZfREVCVChRVFIsMCk=&amp;WINDOW=FIRST_POPUP&amp;HEIGHT=450&amp;WIDTH=450&amp;START_MAXIMIZED=FALSE&amp;VA","R:CALENDAR=FIVEDAY&amp;VAR:SYMBOL=AEIS&amp;VAR:INDEX=0"}</definedName>
    <definedName name="_541__FDSAUDITLINK__" hidden="1">{"fdsup://Directions/FactSet Auditing Viewer?action=AUDIT_VALUE&amp;DB=129&amp;ID1=00797310&amp;VALUEID=02001&amp;SDATE=201102&amp;PERIODTYPE=QTR_STD&amp;SCFT=3&amp;window=popup_no_bar&amp;width=385&amp;height=120&amp;START_MAXIMIZED=FALSE&amp;creator=factset&amp;display_string=Audit"}</definedName>
    <definedName name="_542__FDSAUDITLINK__" hidden="1">{"fdsup://directions/FAT Viewer?action=UPDATE&amp;creator=factset&amp;DYN_ARGS=TRUE&amp;DOC_NAME=FAT:FQL_AUDITING_CLIENT_TEMPLATE.FAT&amp;display_string=Audit&amp;VAR:KEY=ZYBYLSDWTK&amp;VAR:QUERY=RkZfREVCVChRVFIsMCk=&amp;WINDOW=FIRST_POPUP&amp;HEIGHT=450&amp;WIDTH=450&amp;START_MAXIMIZED=FALSE&amp;VA","R:CALENDAR=FIVEDAY&amp;VAR:SYMBOL=RTEC&amp;VAR:INDEX=0"}</definedName>
    <definedName name="_543__FDSAUDITLINK__" hidden="1">{"fdsup://directions/FAT Viewer?action=UPDATE&amp;creator=factset&amp;DYN_ARGS=TRUE&amp;DOC_NAME=FAT:FQL_AUDITING_CLIENT_TEMPLATE.FAT&amp;display_string=Audit&amp;VAR:KEY=TQRATAXUFM&amp;VAR:QUERY=RkZfSU5WRVNUX0xUKFFUUiwwKQ==&amp;WINDOW=FIRST_POPUP&amp;HEIGHT=450&amp;WIDTH=450&amp;START_MAXIMIZED=","FALSE&amp;VAR:CALENDAR=FIVEDAY&amp;VAR:SYMBOL=RTEC&amp;VAR:INDEX=0"}</definedName>
    <definedName name="_544__FDSAUDITLINK__" hidden="1">{"fdsup://directions/FAT Viewer?action=UPDATE&amp;creator=factset&amp;DYN_ARGS=TRUE&amp;DOC_NAME=FAT:FQL_AUDITING_CLIENT_TEMPLATE.FAT&amp;display_string=Audit&amp;VAR:KEY=ZWDOFGJMPY&amp;VAR:QUERY=RkZfREVCVChRVFIsMCk=&amp;WINDOW=FIRST_POPUP&amp;HEIGHT=450&amp;WIDTH=450&amp;START_MAXIMIZED=FALSE&amp;VA","R:CALENDAR=FIVEDAY&amp;VAR:SYMBOL=NVLS&amp;VAR:INDEX=0"}</definedName>
    <definedName name="_545__FDSAUDITLINK__" hidden="1">{"fdsup://Directions/FactSet Auditing Viewer?action=AUDIT_VALUE&amp;DB=129&amp;ID1=67000810&amp;VALUEID=02001&amp;SDATE=201102&amp;PERIODTYPE=QTR_STD&amp;SCFT=3&amp;window=popup_no_bar&amp;width=385&amp;height=120&amp;START_MAXIMIZED=FALSE&amp;creator=factset&amp;display_string=Audit"}</definedName>
    <definedName name="_546__FDSAUDITLINK__" hidden="1">{"fdsup://directions/FAT Viewer?action=UPDATE&amp;creator=factset&amp;DYN_ARGS=TRUE&amp;DOC_NAME=FAT:FQL_AUDITING_CLIENT_TEMPLATE.FAT&amp;display_string=Audit&amp;VAR:KEY=XKFYPEFSFQ&amp;VAR:QUERY=RkZfREVCVChRVFIsMCk=&amp;WINDOW=FIRST_POPUP&amp;HEIGHT=450&amp;WIDTH=450&amp;START_MAXIMIZED=FALSE&amp;VA","R:CALENDAR=FIVEDAY&amp;VAR:SYMBOL=LRCX&amp;VAR:INDEX=0"}</definedName>
    <definedName name="_547__FDSAUDITLINK__" hidden="1">{"fdsup://Directions/FactSet Auditing Viewer?action=AUDIT_VALUE&amp;DB=129&amp;ID1=51280710&amp;VALUEID=02001&amp;SDATE=201104&amp;PERIODTYPE=QTR_STD&amp;SCFT=3&amp;window=popup_no_bar&amp;width=385&amp;height=120&amp;START_MAXIMIZED=FALSE&amp;creator=factset&amp;display_string=Audit"}</definedName>
    <definedName name="_548__FDSAUDITLINK__" hidden="1">{"fdsup://directions/FAT Viewer?action=UPDATE&amp;creator=factset&amp;DYN_ARGS=TRUE&amp;DOC_NAME=FAT:FQL_AUDITING_CLIENT_TEMPLATE.FAT&amp;display_string=Audit&amp;VAR:KEY=BEPKXAVAVM&amp;VAR:QUERY=RkZfREVCVChRVFIsMCk=&amp;WINDOW=FIRST_POPUP&amp;HEIGHT=450&amp;WIDTH=450&amp;START_MAXIMIZED=FALSE&amp;VA","R:CALENDAR=FIVEDAY&amp;VAR:SYMBOL=KLAC&amp;VAR:INDEX=0"}</definedName>
    <definedName name="_549__FDSAUDITLINK__" hidden="1">{"fdsup://directions/FAT Viewer?action=UPDATE&amp;creator=factset&amp;DYN_ARGS=TRUE&amp;DOC_NAME=FAT:FQL_AUDITING_CLIENT_TEMPLATE.FAT&amp;display_string=Audit&amp;VAR:KEY=VQTUFGVQDQ&amp;VAR:QUERY=RkZfSU5WRVNUX0xUKFFUUiwwKQ==&amp;WINDOW=FIRST_POPUP&amp;HEIGHT=450&amp;WIDTH=450&amp;START_MAXIMIZED=","FALSE&amp;VAR:CALENDAR=FIVEDAY&amp;VAR:SYMBOL=KLAC&amp;VAR:INDEX=0"}</definedName>
    <definedName name="_55__FDSAUDITLINK__" hidden="1">{"fdsup://directions/FAT Viewer?action=UPDATE&amp;creator=factset&amp;DYN_ARGS=TRUE&amp;DOC_NAME=FAT:FQL_AUDITING_CLIENT_TEMPLATE.FAT&amp;display_string=Audit&amp;VAR:KEY=NEBIJAFQHA&amp;VAR:QUERY=RkZfREVCVChRVFIsMCk=&amp;WINDOW=FIRST_POPUP&amp;HEIGHT=450&amp;WIDTH=450&amp;START_MAXIMIZED=FALSE&amp;VA","R:CALENDAR=US&amp;VAR:SYMBOL=TER&amp;VAR:INDEX=0"}</definedName>
    <definedName name="_550__FDSAUDITLINK__" hidden="1">{"fdsup://directions/FAT Viewer?action=UPDATE&amp;creator=factset&amp;DYN_ARGS=TRUE&amp;DOC_NAME=FAT:FQL_AUDITING_CLIENT_TEMPLATE.FAT&amp;display_string=Audit&amp;VAR:KEY=DQPWRUFCDW&amp;VAR:QUERY=RkZfREVCVChRVFIsMCk=&amp;WINDOW=FIRST_POPUP&amp;HEIGHT=450&amp;WIDTH=450&amp;START_MAXIMIZED=FALSE&amp;VA","R:CALENDAR=FIVEDAY&amp;VAR:SYMBOL=594936&amp;VAR:INDEX=0"}</definedName>
    <definedName name="_551__FDSAUDITLINK__" hidden="1">{"fdsup://directions/FAT Viewer?action=UPDATE&amp;creator=factset&amp;DYN_ARGS=TRUE&amp;DOC_NAME=FAT:FQL_AUDITING_CLIENT_TEMPLATE.FAT&amp;display_string=Audit&amp;VAR:KEY=NKDSFSPSJS&amp;VAR:QUERY=RkZfSU5WRVNUX0xUKFFUUiwwKQ==&amp;WINDOW=FIRST_POPUP&amp;HEIGHT=450&amp;WIDTH=450&amp;START_MAXIMIZED=","FALSE&amp;VAR:CALENDAR=FIVEDAY&amp;VAR:SYMBOL=594936&amp;VAR:INDEX=0"}</definedName>
    <definedName name="_552__FDSAUDITLINK__" hidden="1">{"fdsup://directions/FAT Viewer?action=UPDATE&amp;creator=factset&amp;DYN_ARGS=TRUE&amp;DOC_NAME=FAT:FQL_AUDITING_CLIENT_TEMPLATE.FAT&amp;display_string=Audit&amp;VAR:KEY=FKNKVIVARO&amp;VAR:QUERY=RkZfREVCVChRVFIsMCk=&amp;WINDOW=FIRST_POPUP&amp;HEIGHT=450&amp;WIDTH=450&amp;START_MAXIMIZED=FALSE&amp;VA","R:CALENDAR=FIVEDAY&amp;VAR:SYMBOL=516529&amp;VAR:INDEX=0"}</definedName>
    <definedName name="_553__FDSAUDITLINK__" hidden="1">{"fdsup://Directions/FactSet Auditing Viewer?action=AUDIT_VALUE&amp;DB=129&amp;ID1=516529&amp;VALUEID=02001&amp;SDATE=201102&amp;PERIODTYPE=QTR_STD&amp;SCFT=3&amp;window=popup_no_bar&amp;width=385&amp;height=120&amp;START_MAXIMIZED=FALSE&amp;creator=factset&amp;display_string=Audit"}</definedName>
    <definedName name="_554__FDSAUDITLINK__" hidden="1">{"fdsup://directions/FAT Viewer?action=UPDATE&amp;creator=factset&amp;DYN_ARGS=TRUE&amp;DOC_NAME=FAT:FQL_AUDITING_CLIENT_TEMPLATE.FAT&amp;display_string=Audit&amp;VAR:KEY=DSNSFADABQ&amp;VAR:QUERY=RkZfREVCVChRVFIsMCk=&amp;WINDOW=FIRST_POPUP&amp;HEIGHT=450&amp;WIDTH=450&amp;START_MAXIMIZED=FALSE&amp;VA","R:CALENDAR=FIVEDAY&amp;VAR:SYMBOL=FORM&amp;VAR:INDEX=0"}</definedName>
    <definedName name="_555__FDSAUDITLINK__" hidden="1">{"fdsup://directions/FAT Viewer?action=UPDATE&amp;creator=factset&amp;DYN_ARGS=TRUE&amp;DOC_NAME=FAT:FQL_AUDITING_CLIENT_TEMPLATE.FAT&amp;display_string=Audit&amp;VAR:KEY=XMHSFAPGJE&amp;VAR:QUERY=RkZfSU5WRVNUX0xUKFFUUiwwKQ==&amp;WINDOW=FIRST_POPUP&amp;HEIGHT=450&amp;WIDTH=450&amp;START_MAXIMIZED=","FALSE&amp;VAR:CALENDAR=FIVEDAY&amp;VAR:SYMBOL=FORM&amp;VAR:INDEX=0"}</definedName>
    <definedName name="_556__FDSAUDITLINK__" hidden="1">{"fdsup://directions/FAT Viewer?action=UPDATE&amp;creator=factset&amp;DYN_ARGS=TRUE&amp;DOC_NAME=FAT:FQL_AUDITING_CLIENT_TEMPLATE.FAT&amp;display_string=Audit&amp;VAR:KEY=TMNMFADUVQ&amp;VAR:QUERY=RkZfREVCVChRVFIsMCk=&amp;WINDOW=FIRST_POPUP&amp;HEIGHT=450&amp;WIDTH=450&amp;START_MAXIMIZED=FALSE&amp;VA","R:CALENDAR=FIVEDAY&amp;VAR:SYMBOL=PLAB&amp;VAR:INDEX=0"}</definedName>
    <definedName name="_557__FDSAUDITLINK__" hidden="1">{"fdsup://Directions/FactSet Auditing Viewer?action=AUDIT_VALUE&amp;DB=129&amp;ID1=71940510&amp;VALUEID=02001&amp;SDATE=201103&amp;PERIODTYPE=QTR_STD&amp;SCFT=3&amp;window=popup_no_bar&amp;width=385&amp;height=120&amp;START_MAXIMIZED=FALSE&amp;creator=factset&amp;display_string=Audit"}</definedName>
    <definedName name="_558__FDSAUDITLINK__" hidden="1">{"fdsup://directions/FAT Viewer?action=UPDATE&amp;creator=factset&amp;DYN_ARGS=TRUE&amp;DOC_NAME=FAT:FQL_AUDITING_CLIENT_TEMPLATE.FAT&amp;display_string=Audit&amp;VAR:KEY=RGHYHGRCZK&amp;VAR:QUERY=RkZfREVCVChRVFIsMCk=&amp;WINDOW=FIRST_POPUP&amp;HEIGHT=450&amp;WIDTH=450&amp;START_MAXIMIZED=FALSE&amp;VA","R:CALENDAR=FIVEDAY&amp;VAR:SYMBOL=CREE&amp;VAR:INDEX=0"}</definedName>
    <definedName name="_559__FDSAUDITLINK__" hidden="1">{"fdsup://directions/FAT Viewer?action=UPDATE&amp;creator=factset&amp;DYN_ARGS=TRUE&amp;DOC_NAME=FAT:FQL_AUDITING_CLIENT_TEMPLATE.FAT&amp;display_string=Audit&amp;VAR:KEY=JOTITULQBY&amp;VAR:QUERY=RkZfREVCVChRVFIsMCk=&amp;WINDOW=FIRST_POPUP&amp;HEIGHT=450&amp;WIDTH=450&amp;START_MAXIMIZED=FALSE&amp;VA","R:CALENDAR=FIVEDAY&amp;VAR:SYMBOL=546834&amp;VAR:INDEX=0"}</definedName>
    <definedName name="_56__FDSAUDITLINK__" hidden="1">{"fdsup://directions/FAT Viewer?action=UPDATE&amp;creator=factset&amp;DYN_ARGS=TRUE&amp;DOC_NAME=FAT:FQL_AUDITING_CLIENT_TEMPLATE.FAT&amp;display_string=Audit&amp;VAR:KEY=TUVMTEPMLG&amp;VAR:QUERY=RkZfSU5WRVNUX0xUKFFUUiwwKQ==&amp;WINDOW=FIRST_POPUP&amp;HEIGHT=450&amp;WIDTH=450&amp;START_MAXIMIZED=","FALSE&amp;VAR:CALENDAR=US&amp;VAR:SYMBOL=TER&amp;VAR:INDEX=0"}</definedName>
    <definedName name="_560__FDSAUDITLINK__" hidden="1">{"fdsup://directions/FAT Viewer?action=UPDATE&amp;creator=factset&amp;DYN_ARGS=TRUE&amp;DOC_NAME=FAT:FQL_AUDITING_CLIENT_TEMPLATE.FAT&amp;display_string=Audit&amp;VAR:KEY=FIZINMLSPI&amp;VAR:QUERY=RkZfSU5WRVNUX0xUKFFUUiwwKQ==&amp;WINDOW=FIRST_POPUP&amp;HEIGHT=450&amp;WIDTH=450&amp;START_MAXIMIZED=","FALSE&amp;VAR:CALENDAR=FIVEDAY&amp;VAR:SYMBOL=546834&amp;VAR:INDEX=0"}</definedName>
    <definedName name="_561__FDSAUDITLINK__" hidden="1">{"fdsup://directions/FAT Viewer?action=UPDATE&amp;creator=factset&amp;DYN_ARGS=TRUE&amp;DOC_NAME=FAT:FQL_AUDITING_CLIENT_TEMPLATE.FAT&amp;display_string=Audit&amp;VAR:KEY=FCTGPOTMFC&amp;VAR:QUERY=RkZfREVCVChRVFIsMCk=&amp;WINDOW=FIRST_POPUP&amp;HEIGHT=450&amp;WIDTH=450&amp;START_MAXIMIZED=FALSE&amp;VA","R:CALENDAR=FIVEDAY&amp;VAR:SYMBOL=VECO&amp;VAR:INDEX=0"}</definedName>
    <definedName name="_562__FDSAUDITLINK__" hidden="1">{"fdsup://Directions/FactSet Auditing Viewer?action=AUDIT_VALUE&amp;DB=129&amp;ID1=92241710&amp;VALUEID=02001&amp;SDATE=201102&amp;PERIODTYPE=QTR_STD&amp;SCFT=3&amp;window=popup_no_bar&amp;width=385&amp;height=120&amp;START_MAXIMIZED=FALSE&amp;creator=factset&amp;display_string=Audit"}</definedName>
    <definedName name="_563__FDSAUDITLINK__" hidden="1">{"fdsup://directions/FAT Viewer?action=UPDATE&amp;creator=factset&amp;DYN_ARGS=TRUE&amp;DOC_NAME=FAT:FQL_AUDITING_CLIENT_TEMPLATE.FAT&amp;display_string=Audit&amp;VAR:KEY=NAXMTGNAPU&amp;VAR:QUERY=RkZfREVCVChRVFIsMCk=&amp;WINDOW=FIRST_POPUP&amp;HEIGHT=450&amp;WIDTH=450&amp;START_MAXIMIZED=FALSE&amp;VA","R:CALENDAR=FIVEDAY&amp;VAR:SYMBOL=UTEK&amp;VAR:INDEX=0"}</definedName>
    <definedName name="_564__FDSAUDITLINK__" hidden="1">{"fdsup://Directions/FactSet Auditing Viewer?action=AUDIT_VALUE&amp;DB=129&amp;ID1=90403410&amp;VALUEID=02001&amp;SDATE=201102&amp;PERIODTYPE=QTR_STD&amp;SCFT=3&amp;window=popup_no_bar&amp;width=385&amp;height=120&amp;START_MAXIMIZED=FALSE&amp;creator=factset&amp;display_string=Audit"}</definedName>
    <definedName name="_565__FDSAUDITLINK__" hidden="1">{"fdsup://directions/FAT Viewer?action=UPDATE&amp;creator=factset&amp;DYN_ARGS=TRUE&amp;DOC_NAME=FAT:FQL_AUDITING_CLIENT_TEMPLATE.FAT&amp;display_string=Audit&amp;VAR:KEY=ZMBABIDQJA&amp;VAR:QUERY=RkZfREVCVChRVFIsMCk=&amp;WINDOW=FIRST_POPUP&amp;HEIGHT=450&amp;WIDTH=450&amp;START_MAXIMIZED=FALSE&amp;VA","R:CALENDAR=FIVEDAY&amp;VAR:SYMBOL=TER&amp;VAR:INDEX=0"}</definedName>
    <definedName name="_566__FDSAUDITLINK__" hidden="1">{"fdsup://directions/FAT Viewer?action=UPDATE&amp;creator=factset&amp;DYN_ARGS=TRUE&amp;DOC_NAME=FAT:FQL_AUDITING_CLIENT_TEMPLATE.FAT&amp;display_string=Audit&amp;VAR:KEY=FSFQFUBMLS&amp;VAR:QUERY=RkZfREVCVChRVFIsMCk=&amp;WINDOW=FIRST_POPUP&amp;HEIGHT=450&amp;WIDTH=450&amp;START_MAXIMIZED=FALSE&amp;VA","R:CALENDAR=FIVEDAY&amp;VAR:SYMBOL=KLIC&amp;VAR:INDEX=0"}</definedName>
    <definedName name="_567__FDSAUDITLINK__" hidden="1">{"fdsup://Directions/FactSet Auditing Viewer?action=AUDIT_VALUE&amp;DB=129&amp;ID1=50124210&amp;VALUEID=02001&amp;SDATE=201103&amp;PERIODTYPE=QTR_STD&amp;SCFT=3&amp;window=popup_no_bar&amp;width=385&amp;height=120&amp;START_MAXIMIZED=FALSE&amp;creator=factset&amp;display_string=Audit"}</definedName>
    <definedName name="_568__FDSAUDITLINK__" hidden="1">{"fdsup://directions/FAT Viewer?action=UPDATE&amp;creator=factset&amp;DYN_ARGS=TRUE&amp;DOC_NAME=FAT:FQL_AUDITING_CLIENT_TEMPLATE.FAT&amp;display_string=Audit&amp;VAR:KEY=PIFWJSLEVW&amp;VAR:QUERY=RkZfREVCVChRVFIsMCk=&amp;WINDOW=FIRST_POPUP&amp;HEIGHT=450&amp;WIDTH=450&amp;START_MAXIMIZED=FALSE&amp;VA","R:CALENDAR=FIVEDAY&amp;VAR:SYMBOL=WFR&amp;VAR:INDEX=0"}</definedName>
    <definedName name="_569__FDSAUDITLINK__" hidden="1">{"fdsup://directions/FAT Viewer?action=UPDATE&amp;creator=factset&amp;DYN_ARGS=TRUE&amp;DOC_NAME=FAT:FQL_AUDITING_CLIENT_TEMPLATE.FAT&amp;display_string=Audit&amp;VAR:KEY=JCVOZQBEBO&amp;VAR:QUERY=RkZfSU5WRVNUX0xUKFFUUiwwKQ==&amp;WINDOW=FIRST_POPUP&amp;HEIGHT=450&amp;WIDTH=450&amp;START_MAXIMIZED=","FALSE&amp;VAR:CALENDAR=FIVEDAY&amp;VAR:SYMBOL=WFR&amp;VAR:INDEX=0"}</definedName>
    <definedName name="_57__FDSAUDITLINK__" hidden="1">{"fdsup://Directions/FactSet Auditing Viewer?action=AUDIT_VALUE&amp;DB=129&amp;ID1=88077010&amp;VALUEID=02001&amp;SDATE=201102&amp;PERIODTYPE=QTR_STD&amp;SCFT=3&amp;window=popup_no_bar&amp;width=385&amp;height=120&amp;START_MAXIMIZED=FALSE&amp;creator=factset&amp;display_string=Audit"}</definedName>
    <definedName name="_570__FDSAUDITLINK__" hidden="1">{"fdsup://directions/FAT Viewer?action=UPDATE&amp;creator=factset&amp;DYN_ARGS=TRUE&amp;DOC_NAME=FAT:FQL_AUDITING_CLIENT_TEMPLATE.FAT&amp;display_string=Audit&amp;VAR:KEY=BCLSVOXMJK&amp;VAR:QUERY=RkZfREVCVChRVFIsMCk=&amp;WINDOW=FIRST_POPUP&amp;HEIGHT=450&amp;WIDTH=450&amp;START_MAXIMIZED=FALSE&amp;VA","R:CALENDAR=FIVEDAY&amp;VAR:SYMBOL=ENTG&amp;VAR:INDEX=0"}</definedName>
    <definedName name="_571__FDSAUDITLINK__" hidden="1">{"fdsup://directions/FAT Viewer?action=UPDATE&amp;creator=factset&amp;DYN_ARGS=TRUE&amp;DOC_NAME=FAT:FQL_AUDITING_CLIENT_TEMPLATE.FAT&amp;display_string=Audit&amp;VAR:KEY=VQDWDUNGHM&amp;VAR:QUERY=RkZfSU5WRVNUX0xUKFFUUiwwKQ==&amp;WINDOW=FIRST_POPUP&amp;HEIGHT=450&amp;WIDTH=450&amp;START_MAXIMIZED=","FALSE&amp;VAR:CALENDAR=FIVEDAY&amp;VAR:SYMBOL=ENTG&amp;VAR:INDEX=0"}</definedName>
    <definedName name="_572__FDSAUDITLINK__" hidden="1">{"fdsup://directions/FAT Viewer?action=UPDATE&amp;creator=factset&amp;DYN_ARGS=TRUE&amp;DOC_NAME=FAT:FQL_AUDITING_CLIENT_TEMPLATE.FAT&amp;display_string=Audit&amp;VAR:KEY=RGDGPELQXE&amp;VAR:QUERY=RkZfREVCVChRVFIsMCk=&amp;WINDOW=FIRST_POPUP&amp;HEIGHT=450&amp;WIDTH=450&amp;START_MAXIMIZED=FALSE&amp;VA","R:CALENDAR=FIVEDAY&amp;VAR:SYMBOL=CCMP&amp;VAR:INDEX=0"}</definedName>
    <definedName name="_573__FDSAUDITLINK__" hidden="1">{"fdsup://directions/FAT Viewer?action=UPDATE&amp;creator=factset&amp;DYN_ARGS=TRUE&amp;DOC_NAME=FAT:FQL_AUDITING_CLIENT_TEMPLATE.FAT&amp;display_string=Audit&amp;VAR:KEY=VKJCJCROPY&amp;VAR:QUERY=RkZfSU5WRVNUX0xUKFFUUiwwKQ==&amp;WINDOW=FIRST_POPUP&amp;HEIGHT=450&amp;WIDTH=450&amp;START_MAXIMIZED=","FALSE&amp;VAR:CALENDAR=FIVEDAY&amp;VAR:SYMBOL=CCMP&amp;VAR:INDEX=0"}</definedName>
    <definedName name="_574__FDSAUDITLINK__" hidden="1">{"fdsup://directions/FAT Viewer?action=UPDATE&amp;creator=factset&amp;DYN_ARGS=TRUE&amp;DOC_NAME=FAT:FQL_AUDITING_CLIENT_TEMPLATE.FAT&amp;display_string=Audit&amp;VAR:KEY=PCVAZGRYRG&amp;VAR:QUERY=RkZfREVCVChRVFIsMCk=&amp;WINDOW=FIRST_POPUP&amp;HEIGHT=450&amp;WIDTH=450&amp;START_MAXIMIZED=FALSE&amp;VA","R:CALENDAR=FIVEDAY&amp;VAR:SYMBOL=ATMI&amp;VAR:INDEX=0"}</definedName>
    <definedName name="_575__FDSAUDITLINK__" hidden="1">{"fdsup://directions/FAT Viewer?action=UPDATE&amp;creator=factset&amp;DYN_ARGS=TRUE&amp;DOC_NAME=FAT:FQL_AUDITING_CLIENT_TEMPLATE.FAT&amp;display_string=Audit&amp;VAR:KEY=JMLGLYZGZW&amp;VAR:QUERY=RkZfSU5WRVNUX0xUKFFUUiwwKQ==&amp;WINDOW=FIRST_POPUP&amp;HEIGHT=450&amp;WIDTH=450&amp;START_MAXIMIZED=","FALSE&amp;VAR:CALENDAR=FIVEDAY&amp;VAR:SYMBOL=ATMI&amp;VAR:INDEX=0"}</definedName>
    <definedName name="_576__FDSAUDITLINK__" hidden="1">{"fdsup://directions/FAT Viewer?action=UPDATE&amp;creator=factset&amp;DYN_ARGS=TRUE&amp;DOC_NAME=FAT:FQL_AUDITING_CLIENT_TEMPLATE.FAT&amp;display_string=Audit&amp;VAR:KEY=HOLURSFKNG&amp;VAR:QUERY=RkZfREVCVChRVFIsMCk=&amp;WINDOW=FIRST_POPUP&amp;HEIGHT=450&amp;WIDTH=450&amp;START_MAXIMIZED=FALSE&amp;VA","R:CALENDAR=FIVEDAY&amp;VAR:SYMBOL=MKSI&amp;VAR:INDEX=0"}</definedName>
    <definedName name="_577__FDSAUDITLINK__" hidden="1">{"fdsup://directions/FAT Viewer?action=UPDATE&amp;creator=factset&amp;DYN_ARGS=TRUE&amp;DOC_NAME=FAT:FQL_AUDITING_CLIENT_TEMPLATE.FAT&amp;display_string=Audit&amp;VAR:KEY=RURATSTIVY&amp;VAR:QUERY=RkZfSU5WRVNUX0xUKFFUUiwwKQ==&amp;WINDOW=FIRST_POPUP&amp;HEIGHT=450&amp;WIDTH=450&amp;START_MAXIMIZED=","FALSE&amp;VAR:CALENDAR=FIVEDAY&amp;VAR:SYMBOL=MKSI&amp;VAR:INDEX=0"}</definedName>
    <definedName name="_578__FDSAUDITLINK__" hidden="1">{"fdsup://directions/FAT Viewer?action=UPDATE&amp;creator=factset&amp;DYN_ARGS=TRUE&amp;DOC_NAME=FAT:FQL_AUDITING_CLIENT_TEMPLATE.FAT&amp;display_string=Audit&amp;VAR:KEY=XCFADOVIDW&amp;VAR:QUERY=RkZfREVCVChRVFIsMCk=&amp;WINDOW=FIRST_POPUP&amp;HEIGHT=450&amp;WIDTH=450&amp;START_MAXIMIZED=FALSE&amp;VA","R:CALENDAR=FIVEDAY&amp;VAR:SYMBOL=CYMI&amp;VAR:INDEX=0"}</definedName>
    <definedName name="_579__FDSAUDITLINK__" hidden="1">{"fdsup://directions/FAT Viewer?action=UPDATE&amp;creator=factset&amp;DYN_ARGS=TRUE&amp;DOC_NAME=FAT:FQL_AUDITING_CLIENT_TEMPLATE.FAT&amp;display_string=Audit&amp;VAR:KEY=VIHCZYRQJQ&amp;VAR:QUERY=RkZfSU5WRVNUX0xUKFFUUiwwKQ==&amp;WINDOW=FIRST_POPUP&amp;HEIGHT=450&amp;WIDTH=450&amp;START_MAXIMIZED=","FALSE&amp;VAR:CALENDAR=FIVEDAY&amp;VAR:SYMBOL=CYMI&amp;VAR:INDEX=0"}</definedName>
    <definedName name="_58__FDSAUDITLINK__" hidden="1">{"fdsup://directions/FAT Viewer?action=UPDATE&amp;creator=factset&amp;DYN_ARGS=TRUE&amp;DOC_NAME=FAT:FQL_AUDITING_CLIENT_TEMPLATE.FAT&amp;display_string=Audit&amp;VAR:KEY=HYZWNMNEXC&amp;VAR:QUERY=RkZfREVCVChRVFIsMCk=&amp;WINDOW=FIRST_POPUP&amp;HEIGHT=450&amp;WIDTH=450&amp;START_MAXIMIZED=FALSE&amp;VA","R:CALENDAR=US&amp;VAR:SYMBOL=KLIC&amp;VAR:INDEX=0"}</definedName>
    <definedName name="_580__FDSAUDITLINK__" hidden="1">{"fdsup://directions/FAT Viewer?action=UPDATE&amp;creator=factset&amp;DYN_ARGS=TRUE&amp;DOC_NAME=FAT:FQL_AUDITING_CLIENT_TEMPLATE.FAT&amp;display_string=Audit&amp;VAR:KEY=FQLQHSVIBI&amp;VAR:QUERY=RkZfREVCVChRVFIsMCk=&amp;WINDOW=FIRST_POPUP&amp;HEIGHT=450&amp;WIDTH=450&amp;START_MAXIMIZED=FALSE&amp;VA","R:CALENDAR=FIVEDAY&amp;VAR:SYMBOL=BRKS&amp;VAR:INDEX=0"}</definedName>
    <definedName name="_581__FDSAUDITLINK__" hidden="1">{"fdsup://Directions/FactSet Auditing Viewer?action=AUDIT_VALUE&amp;DB=129&amp;ID1=11434010&amp;VALUEID=02001&amp;SDATE=201103&amp;PERIODTYPE=QTR_STD&amp;SCFT=3&amp;window=popup_no_bar&amp;width=385&amp;height=120&amp;START_MAXIMIZED=FALSE&amp;creator=factset&amp;display_string=Audit"}</definedName>
    <definedName name="_582__FDSAUDITLINK__" hidden="1">{"fdsup://directions/FAT Viewer?action=UPDATE&amp;creator=factset&amp;DYN_ARGS=TRUE&amp;DOC_NAME=FAT:FQL_AUDITING_CLIENT_TEMPLATE.FAT&amp;display_string=Audit&amp;VAR:KEY=LEZUZETGZQ&amp;VAR:QUERY=RkZfREVCVChRVFIsMCk=&amp;WINDOW=FIRST_POPUP&amp;HEIGHT=450&amp;WIDTH=450&amp;START_MAXIMIZED=FALSE&amp;VA","R:CALENDAR=FIVEDAY&amp;VAR:SYMBOL=AEIS&amp;VAR:INDEX=0"}</definedName>
    <definedName name="_583__FDSAUDITLINK__" hidden="1">{"fdsup://directions/FAT Viewer?action=UPDATE&amp;creator=factset&amp;DYN_ARGS=TRUE&amp;DOC_NAME=FAT:FQL_AUDITING_CLIENT_TEMPLATE.FAT&amp;display_string=Audit&amp;VAR:KEY=PEBWDOJAHA&amp;VAR:QUERY=RkZfSU5WRVNUX0xUKFFUUiwwKQ==&amp;WINDOW=FIRST_POPUP&amp;HEIGHT=450&amp;WIDTH=450&amp;START_MAXIMIZED=","FALSE&amp;VAR:CALENDAR=FIVEDAY&amp;VAR:SYMBOL=AEIS&amp;VAR:INDEX=0"}</definedName>
    <definedName name="_584__FDSAUDITLINK__" hidden="1">{"fdsup://directions/FAT Viewer?action=UPDATE&amp;creator=factset&amp;DYN_ARGS=TRUE&amp;DOC_NAME=FAT:FQL_AUDITING_CLIENT_TEMPLATE.FAT&amp;display_string=Audit&amp;VAR:KEY=ZYBYLSDWTK&amp;VAR:QUERY=RkZfREVCVChRVFIsMCk=&amp;WINDOW=FIRST_POPUP&amp;HEIGHT=450&amp;WIDTH=450&amp;START_MAXIMIZED=FALSE&amp;VA","R:CALENDAR=FIVEDAY&amp;VAR:SYMBOL=RTEC&amp;VAR:INDEX=0"}</definedName>
    <definedName name="_585__FDSAUDITLINK__" hidden="1">{"fdsup://Directions/FactSet Auditing Viewer?action=AUDIT_VALUE&amp;DB=129&amp;ID1=78127010&amp;VALUEID=02001&amp;SDATE=201102&amp;PERIODTYPE=QTR_STD&amp;SCFT=3&amp;window=popup_no_bar&amp;width=385&amp;height=120&amp;START_MAXIMIZED=FALSE&amp;creator=factset&amp;display_string=Audit"}</definedName>
    <definedName name="_586__FDSAUDITLINK__" hidden="1">{"fdsup://directions/FAT Viewer?action=UPDATE&amp;creator=factset&amp;DYN_ARGS=TRUE&amp;DOC_NAME=FAT:FQL_AUDITING_CLIENT_TEMPLATE.FAT&amp;display_string=Audit&amp;VAR:KEY=ZWDOFGJMPY&amp;VAR:QUERY=RkZfREVCVChRVFIsMCk=&amp;WINDOW=FIRST_POPUP&amp;HEIGHT=450&amp;WIDTH=450&amp;START_MAXIMIZED=FALSE&amp;VA","R:CALENDAR=FIVEDAY&amp;VAR:SYMBOL=NVLS&amp;VAR:INDEX=0"}</definedName>
    <definedName name="_587__FDSAUDITLINK__" hidden="1">{"fdsup://directions/FAT Viewer?action=UPDATE&amp;creator=factset&amp;DYN_ARGS=TRUE&amp;DOC_NAME=FAT:FQL_AUDITING_CLIENT_TEMPLATE.FAT&amp;display_string=Audit&amp;VAR:KEY=LUXAHSJKJU&amp;VAR:QUERY=RkZfSU5WRVNUX0xUKFFUUiwwKQ==&amp;WINDOW=FIRST_POPUP&amp;HEIGHT=450&amp;WIDTH=450&amp;START_MAXIMIZED=","FALSE&amp;VAR:CALENDAR=FIVEDAY&amp;VAR:SYMBOL=NVLS&amp;VAR:INDEX=0"}</definedName>
    <definedName name="_588__FDSAUDITLINK__" hidden="1">{"fdsup://directions/FAT Viewer?action=UPDATE&amp;creator=factset&amp;DYN_ARGS=TRUE&amp;DOC_NAME=FAT:FQL_AUDITING_CLIENT_TEMPLATE.FAT&amp;display_string=Audit&amp;VAR:KEY=XKFYPEFSFQ&amp;VAR:QUERY=RkZfREVCVChRVFIsMCk=&amp;WINDOW=FIRST_POPUP&amp;HEIGHT=450&amp;WIDTH=450&amp;START_MAXIMIZED=FALSE&amp;VA","R:CALENDAR=FIVEDAY&amp;VAR:SYMBOL=LRCX&amp;VAR:INDEX=0"}</definedName>
    <definedName name="_589__FDSAUDITLINK__" hidden="1">{"fdsup://directions/FAT Viewer?action=UPDATE&amp;creator=factset&amp;DYN_ARGS=TRUE&amp;DOC_NAME=FAT:FQL_AUDITING_CLIENT_TEMPLATE.FAT&amp;display_string=Audit&amp;VAR:KEY=ZKZITGNYFG&amp;VAR:QUERY=RkZfSU5WRVNUX0xUKFFUUiwwKQ==&amp;WINDOW=FIRST_POPUP&amp;HEIGHT=450&amp;WIDTH=450&amp;START_MAXIMIZED=","FALSE&amp;VAR:CALENDAR=FIVEDAY&amp;VAR:SYMBOL=LRCX&amp;VAR:INDEX=0"}</definedName>
    <definedName name="_59__FDSAUDITLINK__" hidden="1">{"fdsup://directions/FAT Viewer?action=UPDATE&amp;creator=factset&amp;DYN_ARGS=TRUE&amp;DOC_NAME=FAT:FQL_AUDITING_CLIENT_TEMPLATE.FAT&amp;display_string=Audit&amp;VAR:KEY=DSBWLOVSXM&amp;VAR:QUERY=RkZfSU5WRVNUX0xUKFFUUiwwKQ==&amp;WINDOW=FIRST_POPUP&amp;HEIGHT=450&amp;WIDTH=450&amp;START_MAXIMIZED=","FALSE&amp;VAR:CALENDAR=US&amp;VAR:SYMBOL=KLIC&amp;VAR:INDEX=0"}</definedName>
    <definedName name="_590__FDSAUDITLINK__" hidden="1">{"fdsup://directions/FAT Viewer?action=UPDATE&amp;creator=factset&amp;DYN_ARGS=TRUE&amp;DOC_NAME=FAT:FQL_AUDITING_CLIENT_TEMPLATE.FAT&amp;display_string=Audit&amp;VAR:KEY=BEPKXAVAVM&amp;VAR:QUERY=RkZfREVCVChRVFIsMCk=&amp;WINDOW=FIRST_POPUP&amp;HEIGHT=450&amp;WIDTH=450&amp;START_MAXIMIZED=FALSE&amp;VA","R:CALENDAR=FIVEDAY&amp;VAR:SYMBOL=KLAC&amp;VAR:INDEX=0"}</definedName>
    <definedName name="_591__FDSAUDITLINK__" hidden="1">{"fdsup://Directions/FactSet Auditing Viewer?action=AUDIT_VALUE&amp;DB=129&amp;ID1=48248010&amp;VALUEID=02001&amp;SDATE=201104&amp;PERIODTYPE=QTR_STD&amp;SCFT=3&amp;window=popup_no_bar&amp;width=385&amp;height=120&amp;START_MAXIMIZED=FALSE&amp;creator=factset&amp;display_string=Audit"}</definedName>
    <definedName name="_592__FDSAUDITLINK__" hidden="1">{"fdsup://directions/FAT Viewer?action=UPDATE&amp;creator=factset&amp;DYN_ARGS=TRUE&amp;DOC_NAME=FAT:FQL_AUDITING_CLIENT_TEMPLATE.FAT&amp;display_string=Audit&amp;VAR:KEY=DQPWRUFCDW&amp;VAR:QUERY=RkZfREVCVChRVFIsMCk=&amp;WINDOW=FIRST_POPUP&amp;HEIGHT=450&amp;WIDTH=450&amp;START_MAXIMIZED=FALSE&amp;VA","R:CALENDAR=FIVEDAY&amp;VAR:SYMBOL=594936&amp;VAR:INDEX=0"}</definedName>
    <definedName name="_593__FDSAUDITLINK__" hidden="1">{"fdsup://Directions/FactSet Auditing Viewer?action=AUDIT_VALUE&amp;DB=129&amp;ID1=594936&amp;VALUEID=02001&amp;SDATE=201102&amp;PERIODTYPE=QTR_STD&amp;SCFT=3&amp;window=popup_no_bar&amp;width=385&amp;height=120&amp;START_MAXIMIZED=FALSE&amp;creator=factset&amp;display_string=Audit"}</definedName>
    <definedName name="_594__FDSAUDITLINK__" hidden="1">{"fdsup://directions/FAT Viewer?action=UPDATE&amp;creator=factset&amp;DYN_ARGS=TRUE&amp;DOC_NAME=FAT:FQL_AUDITING_CLIENT_TEMPLATE.FAT&amp;display_string=Audit&amp;VAR:KEY=FKNKVIVARO&amp;VAR:QUERY=RkZfREVCVChRVFIsMCk=&amp;WINDOW=FIRST_POPUP&amp;HEIGHT=450&amp;WIDTH=450&amp;START_MAXIMIZED=FALSE&amp;VA","R:CALENDAR=FIVEDAY&amp;VAR:SYMBOL=516529&amp;VAR:INDEX=0"}</definedName>
    <definedName name="_595__FDSAUDITLINK__" hidden="1">{"fdsup://directions/FAT Viewer?action=UPDATE&amp;creator=factset&amp;DYN_ARGS=TRUE&amp;DOC_NAME=FAT:FQL_AUDITING_CLIENT_TEMPLATE.FAT&amp;display_string=Audit&amp;VAR:KEY=ZAHODMNALO&amp;VAR:QUERY=RkZfSU5WRVNUX0xUKFFUUiwwKQ==&amp;WINDOW=FIRST_POPUP&amp;HEIGHT=450&amp;WIDTH=450&amp;START_MAXIMIZED=","FALSE&amp;VAR:CALENDAR=FIVEDAY&amp;VAR:SYMBOL=516529&amp;VAR:INDEX=0"}</definedName>
    <definedName name="_596__FDSAUDITLINK__" hidden="1">{"fdsup://directions/FAT Viewer?action=UPDATE&amp;creator=factset&amp;DYN_ARGS=TRUE&amp;DOC_NAME=FAT:FQL_AUDITING_CLIENT_TEMPLATE.FAT&amp;display_string=Audit&amp;VAR:KEY=TYNGTQLMNM&amp;VAR:QUERY=RkZfSU5WRVNUX0xUKFFUUiwwKQ==&amp;WINDOW=FIRST_POPUP&amp;HEIGHT=450&amp;WIDTH=450&amp;START_MAXIMIZED=","FALSE&amp;VAR:CALENDAR=US&amp;VAR:SYMBOL=AEIS&amp;VAR:INDEX=0"}</definedName>
    <definedName name="_597__FDSAUDITLINK__" hidden="1">{"fdsup://Directions/FactSet Auditing Viewer?action=AUDIT_VALUE&amp;DB=129&amp;ID1=00797310&amp;VALUEID=02001&amp;SDATE=201102&amp;PERIODTYPE=QTR_STD&amp;SCFT=3&amp;window=popup_no_bar&amp;width=385&amp;height=120&amp;START_MAXIMIZED=FALSE&amp;creator=factset&amp;display_string=Audit"}</definedName>
    <definedName name="_598__FDSAUDITLINK__" hidden="1">{"fdsup://directions/FAT Viewer?action=UPDATE&amp;creator=factset&amp;DYN_ARGS=TRUE&amp;DOC_NAME=FAT:FQL_AUDITING_CLIENT_TEMPLATE.FAT&amp;display_string=Audit&amp;VAR:KEY=RMTKHSXKDK&amp;VAR:QUERY=RkZfREVCVChRVFIsMCk=&amp;WINDOW=FIRST_POPUP&amp;HEIGHT=450&amp;WIDTH=450&amp;START_MAXIMIZED=FALSE&amp;VA","R:CALENDAR=US&amp;VAR:SYMBOL=VSEA&amp;VAR:INDEX=0"}</definedName>
    <definedName name="_599__FDSAUDITLINK__" hidden="1">{"fdsup://directions/FAT Viewer?action=UPDATE&amp;creator=factset&amp;DYN_ARGS=TRUE&amp;DOC_NAME=FAT:FQL_AUDITING_CLIENT_TEMPLATE.FAT&amp;display_string=Audit&amp;VAR:KEY=HUFGJEXIBO&amp;VAR:QUERY=RkZfSU5WRVNUX0xUKFFUUiwwKQ==&amp;WINDOW=FIRST_POPUP&amp;HEIGHT=450&amp;WIDTH=450&amp;START_MAXIMIZED=","FALSE&amp;VAR:CALENDAR=US&amp;VAR:SYMBOL=VSEA&amp;VAR:INDEX=0"}</definedName>
    <definedName name="_6__FDSAUDITLINK__" hidden="1">{"fdsup://directions/FAT Viewer?action=UPDATE&amp;creator=factset&amp;DYN_ARGS=TRUE&amp;DOC_NAME=FAT:FQL_AUDITING_CLIENT_TEMPLATE.FAT&amp;display_string=Audit&amp;VAR:KEY=NGHULKTAFS&amp;VAR:QUERY=RkZfREVCVChRVFIsMCk=&amp;WINDOW=FIRST_POPUP&amp;HEIGHT=450&amp;WIDTH=450&amp;START_MAXIMIZED=FALSE&amp;VA","R:CALENDAR=US&amp;VAR:SYMBOL=SNDK&amp;VAR:INDEX=0"}</definedName>
    <definedName name="_60__FDSAUDITLINK__" hidden="1">{"fdsup://directions/FAT Viewer?action=UPDATE&amp;creator=factset&amp;DYN_ARGS=TRUE&amp;DOC_NAME=FAT:FQL_AUDITING_CLIENT_TEMPLATE.FAT&amp;display_string=Audit&amp;VAR:KEY=ZOBEFUZYXY&amp;VAR:QUERY=RkZfREVCVChRVFIsMCk=&amp;WINDOW=FIRST_POPUP&amp;HEIGHT=450&amp;WIDTH=450&amp;START_MAXIMIZED=FALSE&amp;VA","R:CALENDAR=US&amp;VAR:SYMBOL=WFR&amp;VAR:INDEX=0"}</definedName>
    <definedName name="_600__FDSAUDITLINK__" hidden="1">{"fdsup://directions/FAT Viewer?action=UPDATE&amp;creator=factset&amp;DYN_ARGS=TRUE&amp;DOC_NAME=FAT:FQL_AUDITING_CLIENT_TEMPLATE.FAT&amp;display_string=Audit&amp;VAR:KEY=XIHCZODKJQ&amp;VAR:QUERY=RkZfREVCVChRVFIsMCk=&amp;WINDOW=FIRST_POPUP&amp;HEIGHT=450&amp;WIDTH=450&amp;START_MAXIMIZED=FALSE&amp;VA","R:CALENDAR=US&amp;VAR:SYMBOL=RTEC&amp;VAR:INDEX=0"}</definedName>
    <definedName name="_601__FDSAUDITLINK__" hidden="1">{"fdsup://directions/FAT Viewer?action=UPDATE&amp;creator=factset&amp;DYN_ARGS=TRUE&amp;DOC_NAME=FAT:FQL_AUDITING_CLIENT_TEMPLATE.FAT&amp;display_string=Audit&amp;VAR:KEY=ZOFCFMJOPM&amp;VAR:QUERY=RkZfSU5WRVNUX0xUKFFUUiwwKQ==&amp;WINDOW=FIRST_POPUP&amp;HEIGHT=450&amp;WIDTH=450&amp;START_MAXIMIZED=","FALSE&amp;VAR:CALENDAR=US&amp;VAR:SYMBOL=RTEC&amp;VAR:INDEX=0"}</definedName>
    <definedName name="_602__FDSAUDITLINK__" hidden="1">{"fdsup://directions/FAT Viewer?action=UPDATE&amp;creator=factset&amp;DYN_ARGS=TRUE&amp;DOC_NAME=FAT:FQL_AUDITING_CLIENT_TEMPLATE.FAT&amp;display_string=Audit&amp;VAR:KEY=BWBUZSFINO&amp;VAR:QUERY=RkZfREVCVChRVFIsMCk=&amp;WINDOW=FIRST_POPUP&amp;HEIGHT=450&amp;WIDTH=450&amp;START_MAXIMIZED=FALSE&amp;VA","R:CALENDAR=US&amp;VAR:SYMBOL=NVLS&amp;VAR:INDEX=0"}</definedName>
    <definedName name="_603__FDSAUDITLINK__" hidden="1">{"fdsup://directions/FAT Viewer?action=UPDATE&amp;creator=factset&amp;DYN_ARGS=TRUE&amp;DOC_NAME=FAT:FQL_AUDITING_CLIENT_TEMPLATE.FAT&amp;display_string=Audit&amp;VAR:KEY=XUROBUHSPQ&amp;VAR:QUERY=RkZfSU5WRVNUX0xUKFFUUiwwKQ==&amp;WINDOW=FIRST_POPUP&amp;HEIGHT=450&amp;WIDTH=450&amp;START_MAXIMIZED=","FALSE&amp;VAR:CALENDAR=US&amp;VAR:SYMBOL=NVLS&amp;VAR:INDEX=0"}</definedName>
    <definedName name="_604__FDSAUDITLINK__" hidden="1">{"fdsup://Directions/FactSet Auditing Viewer?action=AUDIT_VALUE&amp;DB=129&amp;ID1=67000810&amp;VALUEID=02001&amp;SDATE=201102&amp;PERIODTYPE=QTR_STD&amp;SCFT=3&amp;window=popup_no_bar&amp;width=385&amp;height=120&amp;START_MAXIMIZED=FALSE&amp;creator=factset&amp;display_string=Audit"}</definedName>
    <definedName name="_605__FDSAUDITLINK__" hidden="1">{"fdsup://directions/FAT Viewer?action=UPDATE&amp;creator=factset&amp;DYN_ARGS=TRUE&amp;DOC_NAME=FAT:FQL_AUDITING_CLIENT_TEMPLATE.FAT&amp;display_string=Audit&amp;VAR:KEY=BSDAJGDMTI&amp;VAR:QUERY=RkZfREVCVChRVFIsMCk=&amp;WINDOW=FIRST_POPUP&amp;HEIGHT=450&amp;WIDTH=450&amp;START_MAXIMIZED=FALSE&amp;VA","R:CALENDAR=US&amp;VAR:SYMBOL=MTSN&amp;VAR:INDEX=0"}</definedName>
    <definedName name="_606__FDSAUDITLINK__" hidden="1">{"fdsup://directions/FAT Viewer?action=UPDATE&amp;creator=factset&amp;DYN_ARGS=TRUE&amp;DOC_NAME=FAT:FQL_AUDITING_CLIENT_TEMPLATE.FAT&amp;display_string=Audit&amp;VAR:KEY=JAFUVUBEJG&amp;VAR:QUERY=RkZfSU5WRVNUX0xUKFFUUiwwKQ==&amp;WINDOW=FIRST_POPUP&amp;HEIGHT=450&amp;WIDTH=450&amp;START_MAXIMIZED=","FALSE&amp;VAR:CALENDAR=US&amp;VAR:SYMBOL=MTSN&amp;VAR:INDEX=0"}</definedName>
    <definedName name="_607__FDSAUDITLINK__" hidden="1">{"fdsup://Directions/FactSet Auditing Viewer?action=AUDIT_VALUE&amp;DB=129&amp;ID1=57722310&amp;VALUEID=02001&amp;SDATE=201102&amp;PERIODTYPE=QTR_STD&amp;SCFT=3&amp;window=popup_no_bar&amp;width=385&amp;height=120&amp;START_MAXIMIZED=FALSE&amp;creator=factset&amp;display_string=Audit"}</definedName>
    <definedName name="_608__FDSAUDITLINK__" hidden="1">{"fdsup://directions/FAT Viewer?action=UPDATE&amp;creator=factset&amp;DYN_ARGS=TRUE&amp;DOC_NAME=FAT:FQL_AUDITING_CLIENT_TEMPLATE.FAT&amp;display_string=Audit&amp;VAR:KEY=ZWRKDIXUZQ&amp;VAR:QUERY=RkZfREVCVChRVFIsMCk=&amp;WINDOW=FIRST_POPUP&amp;HEIGHT=450&amp;WIDTH=450&amp;START_MAXIMIZED=FALSE&amp;VA","R:CALENDAR=US&amp;VAR:SYMBOL=LRCX&amp;VAR:INDEX=0"}</definedName>
    <definedName name="_609__FDSAUDITLINK__" hidden="1">{"fdsup://directions/FAT Viewer?action=UPDATE&amp;creator=factset&amp;DYN_ARGS=TRUE&amp;DOC_NAME=FAT:FQL_AUDITING_CLIENT_TEMPLATE.FAT&amp;display_string=Audit&amp;VAR:KEY=ZSTWXQPGLE&amp;VAR:QUERY=RkZfSU5WRVNUX0xUKFFUUiwwKQ==&amp;WINDOW=FIRST_POPUP&amp;HEIGHT=450&amp;WIDTH=450&amp;START_MAXIMIZED=","FALSE&amp;VAR:CALENDAR=US&amp;VAR:SYMBOL=LRCX&amp;VAR:INDEX=0"}</definedName>
    <definedName name="_61__FDSAUDITLINK__" hidden="1">{"fdsup://directions/FAT Viewer?action=UPDATE&amp;creator=factset&amp;DYN_ARGS=TRUE&amp;DOC_NAME=FAT:FQL_AUDITING_CLIENT_TEMPLATE.FAT&amp;display_string=Audit&amp;VAR:KEY=JMNKJMHSZU&amp;VAR:QUERY=RkZfSU5WRVNUX0xUKFFUUiwwKQ==&amp;WINDOW=FIRST_POPUP&amp;HEIGHT=450&amp;WIDTH=450&amp;START_MAXIMIZED=","FALSE&amp;VAR:CALENDAR=US&amp;VAR:SYMBOL=WFR&amp;VAR:INDEX=0"}</definedName>
    <definedName name="_610__FDSAUDITLINK__" hidden="1">{"fdsup://Directions/FactSet Auditing Viewer?action=AUDIT_VALUE&amp;DB=129&amp;ID1=51280710&amp;VALUEID=02001&amp;SDATE=201104&amp;PERIODTYPE=QTR_STD&amp;SCFT=3&amp;window=popup_no_bar&amp;width=385&amp;height=120&amp;START_MAXIMIZED=FALSE&amp;creator=factset&amp;display_string=Audit"}</definedName>
    <definedName name="_611__FDSAUDITLINK__" hidden="1">{"fdsup://directions/FAT Viewer?action=UPDATE&amp;creator=factset&amp;DYN_ARGS=TRUE&amp;DOC_NAME=FAT:FQL_AUDITING_CLIENT_TEMPLATE.FAT&amp;display_string=Audit&amp;VAR:KEY=RIDYTUFUDE&amp;VAR:QUERY=RkZfREVCVChRVFIsMCk=&amp;WINDOW=FIRST_POPUP&amp;HEIGHT=450&amp;WIDTH=450&amp;START_MAXIMIZED=FALSE&amp;VA","R:CALENDAR=US&amp;VAR:SYMBOL=KLAC&amp;VAR:INDEX=0"}</definedName>
    <definedName name="_612__FDSAUDITLINK__" hidden="1">{"fdsup://directions/FAT Viewer?action=UPDATE&amp;creator=factset&amp;DYN_ARGS=TRUE&amp;DOC_NAME=FAT:FQL_AUDITING_CLIENT_TEMPLATE.FAT&amp;display_string=Audit&amp;VAR:KEY=HUVUDANOVU&amp;VAR:QUERY=RkZfSU5WRVNUX0xUKFFUUiwwKQ==&amp;WINDOW=FIRST_POPUP&amp;HEIGHT=450&amp;WIDTH=450&amp;START_MAXIMIZED=","FALSE&amp;VAR:CALENDAR=US&amp;VAR:SYMBOL=KLAC&amp;VAR:INDEX=0"}</definedName>
    <definedName name="_613__FDSAUDITLINK__" hidden="1">{"fdsup://Directions/FactSet Auditing Viewer?action=AUDIT_VALUE&amp;DB=129&amp;ID1=48248010&amp;VALUEID=02001&amp;SDATE=201104&amp;PERIODTYPE=QTR_STD&amp;SCFT=3&amp;window=popup_no_bar&amp;width=385&amp;height=120&amp;START_MAXIMIZED=FALSE&amp;creator=factset&amp;display_string=Audit"}</definedName>
    <definedName name="_614__FDSAUDITLINK__" hidden="1">{"fdsup://directions/FAT Viewer?action=UPDATE&amp;creator=factset&amp;DYN_ARGS=TRUE&amp;DOC_NAME=FAT:FQL_AUDITING_CLIENT_TEMPLATE.FAT&amp;display_string=Audit&amp;VAR:KEY=TQTUTQZGRI&amp;VAR:QUERY=RkZfREVCVChRVFIsMCk=&amp;WINDOW=FIRST_POPUP&amp;HEIGHT=450&amp;WIDTH=450&amp;START_MAXIMIZED=FALSE&amp;VA","R:CALENDAR=US&amp;VAR:SYMBOL=594936&amp;VAR:INDEX=0"}</definedName>
    <definedName name="_615__FDSAUDITLINK__" hidden="1">{"fdsup://directions/FAT Viewer?action=UPDATE&amp;creator=factset&amp;DYN_ARGS=TRUE&amp;DOC_NAME=FAT:FQL_AUDITING_CLIENT_TEMPLATE.FAT&amp;display_string=Audit&amp;VAR:KEY=TOZMZEVUFI&amp;VAR:QUERY=RkZfSU5WRVNUX0xUKFFUUiwwKQ==&amp;WINDOW=FIRST_POPUP&amp;HEIGHT=450&amp;WIDTH=450&amp;START_MAXIMIZED=","FALSE&amp;VAR:CALENDAR=US&amp;VAR:SYMBOL=594936&amp;VAR:INDEX=0"}</definedName>
    <definedName name="_616__FDSAUDITLINK__" hidden="1">{"fdsup://Directions/FactSet Auditing Viewer?action=AUDIT_VALUE&amp;DB=129&amp;ID1=594936&amp;VALUEID=02001&amp;SDATE=201102&amp;PERIODTYPE=QTR_STD&amp;SCFT=3&amp;window=popup_no_bar&amp;width=385&amp;height=120&amp;START_MAXIMIZED=FALSE&amp;creator=factset&amp;display_string=Audit"}</definedName>
    <definedName name="_617__FDSAUDITLINK__" hidden="1">{"fdsup://directions/FAT Viewer?action=UPDATE&amp;creator=factset&amp;DYN_ARGS=TRUE&amp;DOC_NAME=FAT:FQL_AUDITING_CLIENT_TEMPLATE.FAT&amp;display_string=Audit&amp;VAR:KEY=LIRWTGJQFG&amp;VAR:QUERY=RkZfREVCVChRVFIsMCk=&amp;WINDOW=FIRST_POPUP&amp;HEIGHT=450&amp;WIDTH=450&amp;START_MAXIMIZED=FALSE&amp;VA","R:CALENDAR=US&amp;VAR:SYMBOL=516529&amp;VAR:INDEX=0"}</definedName>
    <definedName name="_618__FDSAUDITLINK__" hidden="1">{"fdsup://directions/FAT Viewer?action=UPDATE&amp;creator=factset&amp;DYN_ARGS=TRUE&amp;DOC_NAME=FAT:FQL_AUDITING_CLIENT_TEMPLATE.FAT&amp;display_string=Audit&amp;VAR:KEY=TUXGTYVQTE&amp;VAR:QUERY=RkZfSU5WRVNUX0xUKFFUUiwwKQ==&amp;WINDOW=FIRST_POPUP&amp;HEIGHT=450&amp;WIDTH=450&amp;START_MAXIMIZED=","FALSE&amp;VAR:CALENDAR=US&amp;VAR:SYMBOL=516529&amp;VAR:INDEX=0"}</definedName>
    <definedName name="_619__FDSAUDITLINK__" hidden="1">{"fdsup://Directions/FactSet Auditing Viewer?action=AUDIT_VALUE&amp;DB=129&amp;ID1=516529&amp;VALUEID=02001&amp;SDATE=201101&amp;PERIODTYPE=QTR_STD&amp;SCFT=3&amp;window=popup_no_bar&amp;width=385&amp;height=120&amp;START_MAXIMIZED=FALSE&amp;creator=factset&amp;display_string=Audit"}</definedName>
    <definedName name="_62__FDSAUDITLINK__" hidden="1">{"fdsup://Directions/FactSet Auditing Viewer?action=AUDIT_VALUE&amp;DB=129&amp;ID1=55271510&amp;VALUEID=02001&amp;SDATE=201102&amp;PERIODTYPE=QTR_STD&amp;SCFT=3&amp;window=popup_no_bar&amp;width=385&amp;height=120&amp;START_MAXIMIZED=FALSE&amp;creator=factset&amp;display_string=Audit"}</definedName>
    <definedName name="_620__FDSAUDITLINK__" hidden="1">{"fdsup://directions/FAT Viewer?action=UPDATE&amp;creator=factset&amp;DYN_ARGS=TRUE&amp;DOC_NAME=FAT:FQL_AUDITING_CLIENT_TEMPLATE.FAT&amp;display_string=Audit&amp;VAR:KEY=HGLQRCJQHE&amp;VAR:QUERY=RkZfREVCVChRVFIsMCk=&amp;WINDOW=FIRST_POPUP&amp;HEIGHT=450&amp;WIDTH=450&amp;START_MAXIMIZED=FALSE&amp;VA","R:CALENDAR=US&amp;VAR:SYMBOL=AMAT&amp;VAR:INDEX=0"}</definedName>
    <definedName name="_621__FDSAUDITLINK__" hidden="1">{"fdsup://directions/FAT Viewer?action=UPDATE&amp;creator=factset&amp;DYN_ARGS=TRUE&amp;DOC_NAME=FAT:FQL_AUDITING_CLIENT_TEMPLATE.FAT&amp;display_string=Audit&amp;VAR:KEY=XQVARMBYRK&amp;VAR:QUERY=RkZfSU5WRVNUX0xUKFFUUiwwKQ==&amp;WINDOW=FIRST_POPUP&amp;HEIGHT=450&amp;WIDTH=450&amp;START_MAXIMIZED=","FALSE&amp;VAR:CALENDAR=US&amp;VAR:SYMBOL=AMAT&amp;VAR:INDEX=0"}</definedName>
    <definedName name="_63__FDSAUDITLINK__" hidden="1">{"fdsup://directions/FAT Viewer?action=UPDATE&amp;creator=factset&amp;DYN_ARGS=TRUE&amp;DOC_NAME=FAT:FQL_AUDITING_CLIENT_TEMPLATE.FAT&amp;display_string=Audit&amp;VAR:KEY=NEJWDUPGJU&amp;VAR:QUERY=RkZfREVCVChRVFIsMCk=&amp;WINDOW=FIRST_POPUP&amp;HEIGHT=450&amp;WIDTH=450&amp;START_MAXIMIZED=FALSE&amp;VA","R:CALENDAR=US&amp;VAR:SYMBOL=ENTG&amp;VAR:INDEX=0"}</definedName>
    <definedName name="_64__FDSAUDITLINK__" hidden="1">{"fdsup://directions/FAT Viewer?action=UPDATE&amp;creator=factset&amp;DYN_ARGS=TRUE&amp;DOC_NAME=FAT:FQL_AUDITING_CLIENT_TEMPLATE.FAT&amp;display_string=Audit&amp;VAR:KEY=PWBAJMXABY&amp;VAR:QUERY=RkZfSU5WRVNUX0xUKFFUUiwwKQ==&amp;WINDOW=FIRST_POPUP&amp;HEIGHT=450&amp;WIDTH=450&amp;START_MAXIMIZED=","FALSE&amp;VAR:CALENDAR=US&amp;VAR:SYMBOL=ENTG&amp;VAR:INDEX=0"}</definedName>
    <definedName name="_65__FDSAUDITLINK__" hidden="1">{"fdsup://Directions/FactSet Auditing Viewer?action=AUDIT_VALUE&amp;DB=129&amp;ID1=29362U10&amp;VALUEID=02001&amp;SDATE=201102&amp;PERIODTYPE=QTR_STD&amp;SCFT=3&amp;window=popup_no_bar&amp;width=385&amp;height=120&amp;START_MAXIMIZED=FALSE&amp;creator=factset&amp;display_string=Audit"}</definedName>
    <definedName name="_66__FDSAUDITLINK__" hidden="1">{"fdsup://directions/FAT Viewer?action=UPDATE&amp;creator=factset&amp;DYN_ARGS=TRUE&amp;DOC_NAME=FAT:FQL_AUDITING_CLIENT_TEMPLATE.FAT&amp;display_string=Audit&amp;VAR:KEY=NEJWDUPGJU&amp;VAR:QUERY=RkZfREVCVChRVFIsMCk=&amp;WINDOW=FIRST_POPUP&amp;HEIGHT=450&amp;WIDTH=450&amp;START_MAXIMIZED=FALSE&amp;VA","R:CALENDAR=US&amp;VAR:SYMBOL=ENTG&amp;VAR:INDEX=0"}</definedName>
    <definedName name="_67__FDSAUDITLINK__" hidden="1">{"fdsup://directions/FAT Viewer?action=UPDATE&amp;creator=factset&amp;DYN_ARGS=TRUE&amp;DOC_NAME=FAT:FQL_AUDITING_CLIENT_TEMPLATE.FAT&amp;display_string=Audit&amp;VAR:KEY=PWBAJMXABY&amp;VAR:QUERY=RkZfSU5WRVNUX0xUKFFUUiwwKQ==&amp;WINDOW=FIRST_POPUP&amp;HEIGHT=450&amp;WIDTH=450&amp;START_MAXIMIZED=","FALSE&amp;VAR:CALENDAR=US&amp;VAR:SYMBOL=ENTG&amp;VAR:INDEX=0"}</definedName>
    <definedName name="_68__FDSAUDITLINK__" hidden="1">{"fdsup://Directions/FactSet Auditing Viewer?action=AUDIT_VALUE&amp;DB=129&amp;ID1=29362U10&amp;VALUEID=02001&amp;SDATE=201102&amp;PERIODTYPE=QTR_STD&amp;SCFT=3&amp;window=popup_no_bar&amp;width=385&amp;height=120&amp;START_MAXIMIZED=FALSE&amp;creator=factset&amp;display_string=Audit"}</definedName>
    <definedName name="_69__FDSAUDITLINK__" hidden="1">{"fdsup://directions/FAT Viewer?action=UPDATE&amp;creator=factset&amp;DYN_ARGS=TRUE&amp;DOC_NAME=FAT:FQL_AUDITING_CLIENT_TEMPLATE.FAT&amp;display_string=Audit&amp;VAR:KEY=PKVCXSRQFE&amp;VAR:QUERY=RkZfREVCVChRVFIsMCk=&amp;WINDOW=FIRST_POPUP&amp;HEIGHT=450&amp;WIDTH=450&amp;START_MAXIMIZED=FALSE&amp;VA","R:CALENDAR=US&amp;VAR:SYMBOL=CCMP&amp;VAR:INDEX=0"}</definedName>
    <definedName name="_7__FDSAUDITLINK__" hidden="1">{"fdsup://directions/FAT Viewer?action=UPDATE&amp;creator=factset&amp;DYN_ARGS=TRUE&amp;DOC_NAME=FAT:FQL_AUDITING_CLIENT_TEMPLATE.FAT&amp;display_string=Audit&amp;VAR:KEY=NIBWTSTSXO&amp;VAR:QUERY=RkZfSU5WRVNUX0xUKFFUUiwwKQ==&amp;WINDOW=FIRST_POPUP&amp;HEIGHT=450&amp;WIDTH=450&amp;START_MAXIMIZED=","FALSE&amp;VAR:CALENDAR=US&amp;VAR:SYMBOL=SNDK&amp;VAR:INDEX=0"}</definedName>
    <definedName name="_70__FDSAUDITLINK__" hidden="1">{"fdsup://directions/FAT Viewer?action=UPDATE&amp;creator=factset&amp;DYN_ARGS=TRUE&amp;DOC_NAME=FAT:FQL_AUDITING_CLIENT_TEMPLATE.FAT&amp;display_string=Audit&amp;VAR:KEY=XMFEZIREDS&amp;VAR:QUERY=RkZfSU5WRVNUX0xUKFFUUiwwKQ==&amp;WINDOW=FIRST_POPUP&amp;HEIGHT=450&amp;WIDTH=450&amp;START_MAXIMIZED=","FALSE&amp;VAR:CALENDAR=US&amp;VAR:SYMBOL=CCMP&amp;VAR:INDEX=0"}</definedName>
    <definedName name="_71__FDSAUDITLINK__" hidden="1">{"fdsup://Directions/FactSet Auditing Viewer?action=AUDIT_VALUE&amp;DB=129&amp;ID1=12709P10&amp;VALUEID=02001&amp;SDATE=201103&amp;PERIODTYPE=QTR_STD&amp;SCFT=3&amp;window=popup_no_bar&amp;width=385&amp;height=120&amp;START_MAXIMIZED=FALSE&amp;creator=factset&amp;display_string=Audit"}</definedName>
    <definedName name="_72__FDSAUDITLINK__" hidden="1">{"fdsup://directions/FAT Viewer?action=UPDATE&amp;creator=factset&amp;DYN_ARGS=TRUE&amp;DOC_NAME=FAT:FQL_AUDITING_CLIENT_TEMPLATE.FAT&amp;display_string=Audit&amp;VAR:KEY=PKVCXSRQFE&amp;VAR:QUERY=RkZfREVCVChRVFIsMCk=&amp;WINDOW=FIRST_POPUP&amp;HEIGHT=450&amp;WIDTH=450&amp;START_MAXIMIZED=FALSE&amp;VA","R:CALENDAR=US&amp;VAR:SYMBOL=CCMP&amp;VAR:INDEX=0"}</definedName>
    <definedName name="_73__FDSAUDITLINK__" hidden="1">{"fdsup://directions/FAT Viewer?action=UPDATE&amp;creator=factset&amp;DYN_ARGS=TRUE&amp;DOC_NAME=FAT:FQL_AUDITING_CLIENT_TEMPLATE.FAT&amp;display_string=Audit&amp;VAR:KEY=XMFEZIREDS&amp;VAR:QUERY=RkZfSU5WRVNUX0xUKFFUUiwwKQ==&amp;WINDOW=FIRST_POPUP&amp;HEIGHT=450&amp;WIDTH=450&amp;START_MAXIMIZED=","FALSE&amp;VAR:CALENDAR=US&amp;VAR:SYMBOL=CCMP&amp;VAR:INDEX=0"}</definedName>
    <definedName name="_74__FDSAUDITLINK__" hidden="1">{"fdsup://Directions/FactSet Auditing Viewer?action=AUDIT_VALUE&amp;DB=129&amp;ID1=12709P10&amp;VALUEID=02001&amp;SDATE=201103&amp;PERIODTYPE=QTR_STD&amp;SCFT=3&amp;window=popup_no_bar&amp;width=385&amp;height=120&amp;START_MAXIMIZED=FALSE&amp;creator=factset&amp;display_string=Audit"}</definedName>
    <definedName name="_75__FDSAUDITLINK__" hidden="1">{"fdsup://directions/FAT Viewer?action=UPDATE&amp;creator=factset&amp;DYN_ARGS=TRUE&amp;DOC_NAME=FAT:FQL_AUDITING_CLIENT_TEMPLATE.FAT&amp;display_string=Audit&amp;VAR:KEY=VCTSFINCZM&amp;VAR:QUERY=RkZfREVCVChRVFIsMCk=&amp;WINDOW=FIRST_POPUP&amp;HEIGHT=450&amp;WIDTH=450&amp;START_MAXIMIZED=FALSE&amp;VA","R:CALENDAR=US&amp;VAR:SYMBOL=ATMI&amp;VAR:INDEX=0"}</definedName>
    <definedName name="_76__FDSAUDITLINK__" hidden="1">{"fdsup://directions/FAT Viewer?action=UPDATE&amp;creator=factset&amp;DYN_ARGS=TRUE&amp;DOC_NAME=FAT:FQL_AUDITING_CLIENT_TEMPLATE.FAT&amp;display_string=Audit&amp;VAR:KEY=ZQPWXSLQRM&amp;VAR:QUERY=RkZfSU5WRVNUX0xUKFFUUiwwKQ==&amp;WINDOW=FIRST_POPUP&amp;HEIGHT=450&amp;WIDTH=450&amp;START_MAXIMIZED=","FALSE&amp;VAR:CALENDAR=US&amp;VAR:SYMBOL=ATMI&amp;VAR:INDEX=0"}</definedName>
    <definedName name="_77__FDSAUDITLINK__" hidden="1">{"fdsup://Directions/FactSet Auditing Viewer?action=AUDIT_VALUE&amp;DB=129&amp;ID1=00207R10&amp;VALUEID=02001&amp;SDATE=201102&amp;PERIODTYPE=QTR_STD&amp;SCFT=3&amp;window=popup_no_bar&amp;width=385&amp;height=120&amp;START_MAXIMIZED=FALSE&amp;creator=factset&amp;display_string=Audit"}</definedName>
    <definedName name="_78__FDSAUDITLINK__" hidden="1">{"fdsup://directions/FAT Viewer?action=UPDATE&amp;creator=factset&amp;DYN_ARGS=TRUE&amp;DOC_NAME=FAT:FQL_AUDITING_CLIENT_TEMPLATE.FAT&amp;display_string=Audit&amp;VAR:KEY=VCTSFINCZM&amp;VAR:QUERY=RkZfREVCVChRVFIsMCk=&amp;WINDOW=FIRST_POPUP&amp;HEIGHT=450&amp;WIDTH=450&amp;START_MAXIMIZED=FALSE&amp;VA","R:CALENDAR=US&amp;VAR:SYMBOL=ATMI&amp;VAR:INDEX=0"}</definedName>
    <definedName name="_79__FDSAUDITLINK__" hidden="1">{"fdsup://directions/FAT Viewer?action=UPDATE&amp;creator=factset&amp;DYN_ARGS=TRUE&amp;DOC_NAME=FAT:FQL_AUDITING_CLIENT_TEMPLATE.FAT&amp;display_string=Audit&amp;VAR:KEY=ZQPWXSLQRM&amp;VAR:QUERY=RkZfSU5WRVNUX0xUKFFUUiwwKQ==&amp;WINDOW=FIRST_POPUP&amp;HEIGHT=450&amp;WIDTH=450&amp;START_MAXIMIZED=","FALSE&amp;VAR:CALENDAR=US&amp;VAR:SYMBOL=ATMI&amp;VAR:INDEX=0"}</definedName>
    <definedName name="_8__FDSAUDITLINK__" hidden="1">{"fdsup://Directions/FactSet Auditing Viewer?action=AUDIT_VALUE&amp;DB=129&amp;ID1=80004C10&amp;VALUEID=02001&amp;SDATE=201102&amp;PERIODTYPE=QTR_STD&amp;SCFT=3&amp;window=popup_no_bar&amp;width=385&amp;height=120&amp;START_MAXIMIZED=FALSE&amp;creator=factset&amp;display_string=Audit"}</definedName>
    <definedName name="_80__FDSAUDITLINK__" hidden="1">{"fdsup://Directions/FactSet Auditing Viewer?action=AUDIT_VALUE&amp;DB=129&amp;ID1=00207R10&amp;VALUEID=02001&amp;SDATE=201102&amp;PERIODTYPE=QTR_STD&amp;SCFT=3&amp;window=popup_no_bar&amp;width=385&amp;height=120&amp;START_MAXIMIZED=FALSE&amp;creator=factset&amp;display_string=Audit"}</definedName>
    <definedName name="_81__FDSAUDITLINK__" hidden="1">{"fdsup://directions/FAT Viewer?action=UPDATE&amp;creator=factset&amp;DYN_ARGS=TRUE&amp;DOC_NAME=FAT:FQL_AUDITING_CLIENT_TEMPLATE.FAT&amp;display_string=Audit&amp;VAR:KEY=JAZIBINQXU&amp;VAR:QUERY=RkZfREVCVChRVFIsMCk=&amp;WINDOW=FIRST_POPUP&amp;HEIGHT=450&amp;WIDTH=450&amp;START_MAXIMIZED=FALSE&amp;VA","R:CALENDAR=US&amp;VAR:SYMBOL=MKSI&amp;VAR:INDEX=0"}</definedName>
    <definedName name="_82__FDSAUDITLINK__" hidden="1">{"fdsup://directions/FAT Viewer?action=UPDATE&amp;creator=factset&amp;DYN_ARGS=TRUE&amp;DOC_NAME=FAT:FQL_AUDITING_CLIENT_TEMPLATE.FAT&amp;display_string=Audit&amp;VAR:KEY=VKHIPSVSFG&amp;VAR:QUERY=RkZfSU5WRVNUX0xUKFFUUiwwKQ==&amp;WINDOW=FIRST_POPUP&amp;HEIGHT=450&amp;WIDTH=450&amp;START_MAXIMIZED=","FALSE&amp;VAR:CALENDAR=US&amp;VAR:SYMBOL=MKSI&amp;VAR:INDEX=0"}</definedName>
    <definedName name="_83__FDSAUDITLINK__" hidden="1">{"fdsup://Directions/FactSet Auditing Viewer?action=AUDIT_VALUE&amp;DB=129&amp;ID1=55306N10&amp;VALUEID=02001&amp;SDATE=201102&amp;PERIODTYPE=QTR_STD&amp;SCFT=3&amp;window=popup_no_bar&amp;width=385&amp;height=120&amp;START_MAXIMIZED=FALSE&amp;creator=factset&amp;display_string=Audit"}</definedName>
    <definedName name="_84__FDSAUDITLINK__" hidden="1">{"fdsup://directions/FAT Viewer?action=UPDATE&amp;creator=factset&amp;DYN_ARGS=TRUE&amp;DOC_NAME=FAT:FQL_AUDITING_CLIENT_TEMPLATE.FAT&amp;display_string=Audit&amp;VAR:KEY=BSNMRINKFW&amp;VAR:QUERY=RkZfREVCVChRVFIsMCk=&amp;WINDOW=FIRST_POPUP&amp;HEIGHT=450&amp;WIDTH=450&amp;START_MAXIMIZED=FALSE&amp;VA","R:CALENDAR=US&amp;VAR:SYMBOL=CYMI&amp;VAR:INDEX=0"}</definedName>
    <definedName name="_85__FDSAUDITLINK__" hidden="1">{"fdsup://directions/FAT Viewer?action=UPDATE&amp;creator=factset&amp;DYN_ARGS=TRUE&amp;DOC_NAME=FAT:FQL_AUDITING_CLIENT_TEMPLATE.FAT&amp;display_string=Audit&amp;VAR:KEY=XYLGDMXUTY&amp;VAR:QUERY=RkZfSU5WRVNUX0xUKFFUUiwwKQ==&amp;WINDOW=FIRST_POPUP&amp;HEIGHT=450&amp;WIDTH=450&amp;START_MAXIMIZED=","FALSE&amp;VAR:CALENDAR=US&amp;VAR:SYMBOL=CYMI&amp;VAR:INDEX=0"}</definedName>
    <definedName name="_86__FDSAUDITLINK__" hidden="1">{"fdsup://Directions/FactSet Auditing Viewer?action=AUDIT_VALUE&amp;DB=129&amp;ID1=23257210&amp;VALUEID=02001&amp;SDATE=201102&amp;PERIODTYPE=QTR_STD&amp;SCFT=3&amp;window=popup_no_bar&amp;width=385&amp;height=120&amp;START_MAXIMIZED=FALSE&amp;creator=factset&amp;display_string=Audit"}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XIXOJYBAVM&amp;VAR:QUERY=RkZfREVCVChRVFIsMCk=&amp;WINDOW=FIRST_POPUP&amp;HEIGHT=450&amp;WIDTH=450&amp;START_MAXIMIZED=FALSE&amp;VA","R:CALENDAR=US&amp;VAR:SYMBOL=BRKS&amp;VAR:INDEX=0"}</definedName>
    <definedName name="_88__FDSAUDITLINK__" hidden="1">{"fdsup://directions/FAT Viewer?action=UPDATE&amp;creator=factset&amp;DYN_ARGS=TRUE&amp;DOC_NAME=FAT:FQL_AUDITING_CLIENT_TEMPLATE.FAT&amp;display_string=Audit&amp;VAR:KEY=LIBQDSXOJA&amp;VAR:QUERY=RkZfSU5WRVNUX0xUKFFUUiwwKQ==&amp;WINDOW=FIRST_POPUP&amp;HEIGHT=450&amp;WIDTH=450&amp;START_MAXIMIZED=","FALSE&amp;VAR:CALENDAR=US&amp;VAR:SYMBOL=BRKS&amp;VAR:INDEX=0"}</definedName>
    <definedName name="_89__FDSAUDITLINK__" hidden="1">{"fdsup://directions/FAT Viewer?action=UPDATE&amp;creator=factset&amp;DYN_ARGS=TRUE&amp;DOC_NAME=FAT:FQL_AUDITING_CLIENT_TEMPLATE.FAT&amp;display_string=Audit&amp;VAR:KEY=TQNEZUTUXM&amp;VAR:QUERY=RkZfREVCVChRVFIsMCk=&amp;WINDOW=FIRST_POPUP&amp;HEIGHT=450&amp;WIDTH=450&amp;START_MAXIMIZED=FALSE&amp;VA","R:CALENDAR=US&amp;VAR:SYMBOL=AEIS&amp;VAR:INDEX=0"}</definedName>
    <definedName name="_9__FDSAUDITLINK__" hidden="1">{"fdsup://directions/FAT Viewer?action=UPDATE&amp;creator=factset&amp;DYN_ARGS=TRUE&amp;DOC_NAME=FAT:FQL_AUDITING_CLIENT_TEMPLATE.FAT&amp;display_string=Audit&amp;VAR:KEY=LGHGDQRCPY&amp;VAR:QUERY=RkZfREVCVChRVFIsMCk=&amp;WINDOW=FIRST_POPUP&amp;HEIGHT=450&amp;WIDTH=450&amp;START_MAXIMIZED=FALSE&amp;VA","R:CALENDAR=US&amp;VAR:SYMBOL=677172&amp;VAR:INDEX=0"}</definedName>
    <definedName name="_90__FDSAUDITLINK__" hidden="1">{"fdsup://directions/FAT Viewer?action=UPDATE&amp;creator=factset&amp;DYN_ARGS=TRUE&amp;DOC_NAME=FAT:FQL_AUDITING_CLIENT_TEMPLATE.FAT&amp;display_string=Audit&amp;VAR:KEY=ZWNQREBMPO&amp;VAR:QUERY=RkZfSU5WRVNUX0xUKFFUUiwwKQ==&amp;WINDOW=FIRST_POPUP&amp;HEIGHT=450&amp;WIDTH=450&amp;START_MAXIMIZED=","FALSE&amp;VAR:CALENDAR=US&amp;VAR:SYMBOL=AEIS&amp;VAR:INDEX=0"}</definedName>
    <definedName name="_91__FDSAUDITLINK__" hidden="1">{"fdsup://Directions/FactSet Auditing Viewer?action=AUDIT_VALUE&amp;DB=129&amp;ID1=00797310&amp;VALUEID=02001&amp;SDATE=201102&amp;PERIODTYPE=QTR_STD&amp;SCFT=3&amp;window=popup_no_bar&amp;width=385&amp;height=120&amp;START_MAXIMIZED=FALSE&amp;creator=factset&amp;display_string=Audit"}</definedName>
    <definedName name="_92__FDSAUDITLINK__" hidden="1">{"fdsup://directions/FAT Viewer?action=UPDATE&amp;creator=factset&amp;DYN_ARGS=TRUE&amp;DOC_NAME=FAT:FQL_AUDITING_CLIENT_TEMPLATE.FAT&amp;display_string=Audit&amp;VAR:KEY=BKRSVGJQJC&amp;VAR:QUERY=RkZfREVCVChRVFIsMCk=&amp;WINDOW=FIRST_POPUP&amp;HEIGHT=450&amp;WIDTH=450&amp;START_MAXIMIZED=FALSE&amp;VA","R:CALENDAR=US&amp;VAR:SYMBOL=VSEA&amp;VAR:INDEX=0"}</definedName>
    <definedName name="_93__FDSAUDITLINK__" hidden="1">{"fdsup://directions/FAT Viewer?action=UPDATE&amp;creator=factset&amp;DYN_ARGS=TRUE&amp;DOC_NAME=FAT:FQL_AUDITING_CLIENT_TEMPLATE.FAT&amp;display_string=Audit&amp;VAR:KEY=XUVEBSPCPM&amp;VAR:QUERY=RkZfSU5WRVNUX0xUKFFUUiwwKQ==&amp;WINDOW=FIRST_POPUP&amp;HEIGHT=450&amp;WIDTH=450&amp;START_MAXIMIZED=","FALSE&amp;VAR:CALENDAR=US&amp;VAR:SYMBOL=VSEA&amp;VAR:INDEX=0"}</definedName>
    <definedName name="_94__FDSAUDITLINK__" hidden="1">{"fdsup://directions/FAT Viewer?action=UPDATE&amp;creator=factset&amp;DYN_ARGS=TRUE&amp;DOC_NAME=FAT:FQL_AUDITING_CLIENT_TEMPLATE.FAT&amp;display_string=Audit&amp;VAR:KEY=VUNSJEHEXK&amp;VAR:QUERY=RkZfREVCVChRVFIsMCk=&amp;WINDOW=FIRST_POPUP&amp;HEIGHT=450&amp;WIDTH=450&amp;START_MAXIMIZED=FALSE&amp;VA","R:CALENDAR=US&amp;VAR:SYMBOL=RTEC&amp;VAR:INDEX=0"}</definedName>
    <definedName name="_95__FDSAUDITLINK__" hidden="1">{"fdsup://directions/FAT Viewer?action=UPDATE&amp;creator=factset&amp;DYN_ARGS=TRUE&amp;DOC_NAME=FAT:FQL_AUDITING_CLIENT_TEMPLATE.FAT&amp;display_string=Audit&amp;VAR:KEY=PUZSNEFOHU&amp;VAR:QUERY=RkZfSU5WRVNUX0xUKFFUUiwwKQ==&amp;WINDOW=FIRST_POPUP&amp;HEIGHT=450&amp;WIDTH=450&amp;START_MAXIMIZED=","FALSE&amp;VAR:CALENDAR=US&amp;VAR:SYMBOL=RTEC&amp;VAR:INDEX=0"}</definedName>
    <definedName name="_96__FDSAUDITLINK__" hidden="1">{"fdsup://directions/FAT Viewer?action=UPDATE&amp;creator=factset&amp;DYN_ARGS=TRUE&amp;DOC_NAME=FAT:FQL_AUDITING_CLIENT_TEMPLATE.FAT&amp;display_string=Audit&amp;VAR:KEY=TETWHSVOZM&amp;VAR:QUERY=RkZfREVCVChRVFIsMCk=&amp;WINDOW=FIRST_POPUP&amp;HEIGHT=450&amp;WIDTH=450&amp;START_MAXIMIZED=FALSE&amp;VA","R:CALENDAR=US&amp;VAR:SYMBOL=NVLS&amp;VAR:INDEX=0"}</definedName>
    <definedName name="_97__FDSAUDITLINK__" hidden="1">{"fdsup://directions/FAT Viewer?action=UPDATE&amp;creator=factset&amp;DYN_ARGS=TRUE&amp;DOC_NAME=FAT:FQL_AUDITING_CLIENT_TEMPLATE.FAT&amp;display_string=Audit&amp;VAR:KEY=XIBAVMLKDW&amp;VAR:QUERY=RkZfSU5WRVNUX0xUKFFUUiwwKQ==&amp;WINDOW=FIRST_POPUP&amp;HEIGHT=450&amp;WIDTH=450&amp;START_MAXIMIZED=","FALSE&amp;VAR:CALENDAR=US&amp;VAR:SYMBOL=NVLS&amp;VAR:INDEX=0"}</definedName>
    <definedName name="_98__FDSAUDITLINK__" hidden="1">{"fdsup://Directions/FactSet Auditing Viewer?action=AUDIT_VALUE&amp;DB=129&amp;ID1=67000810&amp;VALUEID=02001&amp;SDATE=201102&amp;PERIODTYPE=QTR_STD&amp;SCFT=3&amp;window=popup_no_bar&amp;width=385&amp;height=120&amp;START_MAXIMIZED=FALSE&amp;creator=factset&amp;display_string=Audit"}</definedName>
    <definedName name="_99__FDSAUDITLINK__" hidden="1">{"fdsup://directions/FAT Viewer?action=UPDATE&amp;creator=factset&amp;DYN_ARGS=TRUE&amp;DOC_NAME=FAT:FQL_AUDITING_CLIENT_TEMPLATE.FAT&amp;display_string=Audit&amp;VAR:KEY=ZKNIRENUPA&amp;VAR:QUERY=RkZfREVCVChRVFIsMCk=&amp;WINDOW=FIRST_POPUP&amp;HEIGHT=450&amp;WIDTH=450&amp;START_MAXIMIZED=FALSE&amp;VA","R:CALENDAR=US&amp;VAR:SYMBOL=MTSN&amp;VAR:INDEX=0"}</definedName>
    <definedName name="_bdm.0052C5CC9AB844A58222EDC63F20585E.edm" localSheetId="3" hidden="1">'IS '!$A$7:$BX$121</definedName>
    <definedName name="_bdm.058485F13E1541C598204F9BB4331EFF.edm" localSheetId="3" hidden="1">'IS '!$A$8:$BN$103</definedName>
    <definedName name="_bdm.0D478F4DF88A45D69AF0D52C94F8C435.edm" localSheetId="3" hidden="1">'IS '!$A$7:$BS$121</definedName>
    <definedName name="_bdm.16993F83E8E84903AA31BEC55D661A7F.edm" localSheetId="3" hidden="1">'IS '!$A$5:$BN$103</definedName>
    <definedName name="_bdm.17D7A2A8740B4524A72C2E016D7EE4EE.edm" localSheetId="3" hidden="1">'IS '!$EC$7:$EH$105</definedName>
    <definedName name="_bdm.1AB069D3FC0E4BE7A495A0D14AF4AF68.edm" localSheetId="3" hidden="1">'IS '!$A$8:$CC$121</definedName>
    <definedName name="_bdm.1D5ECDFFB0A841E5BFF6F296ECEA3E03.edm" localSheetId="3" hidden="1">'IS '!$A$8:$CH$105</definedName>
    <definedName name="_bdm.20550417C46B4692B73D6DE01651640E.edm" localSheetId="4" hidden="1">BS!$A$8:$CE$52</definedName>
    <definedName name="_bdm.27894DE566D242698F6335C2B8B1A0EF.edm" localSheetId="3" hidden="1">'IS '!$A$8:$BN$103</definedName>
    <definedName name="_bdm.2A6F0E0D21F94DDB8A03C08F4618E945.edm" hidden="1">BS!$1:$1048576</definedName>
    <definedName name="_bdm.2B82579F940E499891709B1A86D38406.edm" localSheetId="4" hidden="1">BS!$A$9:$BP$52</definedName>
    <definedName name="_bdm.4123402AF0894D308E4C65109108A180.edm" localSheetId="4" hidden="1">BS!$A$9:$BP$70</definedName>
    <definedName name="_bdm.48E6C94F70304AC0A9564F2796C01B8A.edm" localSheetId="4" hidden="1">BS!$A$9:$CJ$52</definedName>
    <definedName name="_bdm.4D97206407E849E684AC567779AA8B1E.edm" localSheetId="3" hidden="1">'IS '!$A$7:$BN$105</definedName>
    <definedName name="_bdm.708F3D3B454C4EFCA8E2A2D61717CE55.edm" localSheetId="3" hidden="1">'IS '!$A$7:$CC$121</definedName>
    <definedName name="_bdm.754D4A6902F6494987CD3B2FD0B11496.edm" localSheetId="3" hidden="1">'IS '!$A$5:$BS$121</definedName>
    <definedName name="_bdm.D19781EABDDC49FB975F2345529630EF.edm" localSheetId="3" hidden="1">'IS '!$A$8:$BS$105</definedName>
    <definedName name="_bdm.D2FB94091EB84FEEB107E6E0760203A1.edm" localSheetId="4" hidden="1">BS!$A$9:$CE$52</definedName>
    <definedName name="_bdm.E38E35AFFAAA4A04855E520CAE6718FF.edm" localSheetId="3" hidden="1">'IS '!$A$8:$CH$121</definedName>
    <definedName name="_bdm.E3AD0450B9824B498F4E4CA2D467CC83.edm" hidden="1">'IS '!$1:$1048576</definedName>
    <definedName name="_bdm.E3FE4813A1FF40D5B3F1EA40D6DFF7B6.edm" localSheetId="3" hidden="1">'IS '!$EC$8:$EH$105</definedName>
    <definedName name="_bdm.E8EFA3F61E3F46199DA2B9DC2B27DE7B.edm" localSheetId="3" hidden="1">'IS '!$A$7:$BS$121</definedName>
    <definedName name="_ccVersion">1.71</definedName>
    <definedName name="_Order1" hidden="1">255</definedName>
    <definedName name="_scenchg_count">1</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ual" hidden="1">{#N/A,#N/A,TRUE,"Historicals";#N/A,#N/A,TRUE,"Charts";#N/A,#N/A,TRUE,"Forecasts"}</definedName>
    <definedName name="AdditionalInstructions">IndexInformation!$B$42</definedName>
    <definedName name="Address" localSheetId="1">ImportantDisclosures!$A$2:$A$2</definedName>
    <definedName name="AllTables">{10}</definedName>
    <definedName name="ANA" localSheetId="7">ModPubIndex!$A$7</definedName>
    <definedName name="anscount" hidden="1">2</definedName>
    <definedName name="Authors" localSheetId="1">ImportantDisclosures!$A$7</definedName>
    <definedName name="Authors" localSheetId="6">IndexInformation!$B$18</definedName>
    <definedName name="BRO" localSheetId="7">ModPubIndex!$A$1</definedName>
    <definedName name="bu" hidden="1">{#N/A,#N/A,FALSE,"P&amp;L";#N/A,#N/A,FALSE,"fund";#N/A,#N/A,FALSE,"B.S.";#N/A,#N/A,FALSE,"tax-P&amp;L";#N/A,#N/A,FALSE,"tax-tarif1"}</definedName>
    <definedName name="CapTO" localSheetId="2">OFFSET(Intro!XRange2,6,0)</definedName>
    <definedName name="CapTO">OFFSET([0]!XRange2,6,0)</definedName>
    <definedName name="CashTax" localSheetId="2">OFFSET(Intro!XRange2,7,0)</definedName>
    <definedName name="CashTax">OFFSET([0]!XRange2,7,0)</definedName>
    <definedName name="cc_ReportCurrency">"NTD"</definedName>
    <definedName name="cc_ReportCurrencyUnit">"NT$"</definedName>
    <definedName name="cc_ReportCurrencyUnitFactor">1</definedName>
    <definedName name="CopyrightStamp">ImportantDisclosures!$A$27</definedName>
    <definedName name="COU" localSheetId="7">ModPubIndex!$A$5</definedName>
    <definedName name="CQEnd" localSheetId="6">IndexInformation!$B$31</definedName>
    <definedName name="Currency" localSheetId="6">IndexInformation!$B$24</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te" localSheetId="1">ImportantDisclosures!$A$8</definedName>
    <definedName name="Deleted" localSheetId="6">IndexInformation!$B$27</definedName>
    <definedName name="depn" hidden="1">{#N/A,#N/A,FALSE,"P&amp;L";#N/A,#N/A,FALSE,"fund";#N/A,#N/A,FALSE,"B.S.";#N/A,#N/A,FALSE,"tax-P&amp;L";#N/A,#N/A,FALSE,"tax-tarif1"}</definedName>
    <definedName name="Description" localSheetId="6">IndexInformation!$B$7</definedName>
    <definedName name="DEVELOPMENT">5</definedName>
    <definedName name="Discipline" localSheetId="6">IndexInformation!$B$3</definedName>
    <definedName name="DISCIPLINE" localSheetId="7">ModPubIndex!$A$12</definedName>
    <definedName name="DisclosuresText">ImportantDisclosures!$A$22</definedName>
    <definedName name="Distribution" localSheetId="6">IndexInformation!$B$26</definedName>
    <definedName name="DistTable" localSheetId="1">ImportantDisclosures!#REF!</definedName>
    <definedName name="DistTablePreamble" localSheetId="1">ImportantDisclosures!#REF!</definedName>
    <definedName name="DOCDAT" localSheetId="7">ModPubIndex!$A$2</definedName>
    <definedName name="DOCTIME" localSheetId="7">ModPubIndex!$A$3</definedName>
    <definedName name="DocType" localSheetId="6">IndexInformation!$B$5</definedName>
    <definedName name="Download_series" localSheetId="2">[1]!Download_series</definedName>
    <definedName name="Download_series">[1]!Download_series</definedName>
    <definedName name="EMAIL_ALERT" localSheetId="7">ModPubIndex!$A$10</definedName>
    <definedName name="EmailAlert" localSheetId="6">IndexInformation!$B$28</definedName>
    <definedName name="ertrerare" localSheetId="2">OFFSET(Intro!XRange2,4,0)</definedName>
    <definedName name="ertrerare">OFFSET([0]!XRange2,4,0)</definedName>
    <definedName name="ev.Calculation" hidden="1">-4105</definedName>
    <definedName name="ev.Initialized" hidden="1">FALSE</definedName>
    <definedName name="ExcelPath">[0]!ExcelPath</definedName>
    <definedName name="ｆ" hidden="1">"iQShowAnnual"</definedName>
    <definedName name="fgf"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FiveYearGrowthRate" localSheetId="6">IndexInformation!$B$16</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gfdg">[0]!gfdg</definedName>
    <definedName name="Growth_ROIC" localSheetId="2">OFFSET(Intro!XRange,10,0)</definedName>
    <definedName name="Growth_ROIC">OFFSET([0]!XRange,10,0)</definedName>
    <definedName name="hjhjhj" hidden="1">{#N/A,#N/A,FALSE,"Index";"Stmts_Qtrs",#N/A,FALSE,"Summary";"Stmts_24 mo",#N/A,FALSE,"Summary";"Summary_24",#N/A,FALSE,"Revenue";"Month_24",#N/A,FALSE,"Engineering";"Month_24",#N/A,FALSE,"Marketing";"Month_24",#N/A,FALSE,"G &amp; A";"Month_24",#N/A,FALSE,"Manufacturing"}</definedName>
    <definedName name="HL" localSheetId="7">ModPubIndex!$A$8</definedName>
    <definedName name="hn.ExtDb" hidden="1">FALSE</definedName>
    <definedName name="hn.ModelType" hidden="1">"DEAL"</definedName>
    <definedName name="hn.ModelVersion" hidden="1">1</definedName>
    <definedName name="hn.NoUpload" hidden="1">0</definedName>
    <definedName name="i">{"Qtr Op Mgd Q3",#N/A,FALSE,"Qtr-Op (Mng)";"Qtr Op Rpt Q3",#N/A,FALSE,"Qtr-Op (Rpt)";"Operating Vs Reported",#N/A,FALSE,"Rpt-Op Inc"}</definedName>
    <definedName name="IND" localSheetId="7">ModPubIndex!$A$9</definedName>
    <definedName name="Industry" localSheetId="1">ImportantDisclosures!$A$12</definedName>
    <definedName name="IndustryId">IndexInformation!$B$40</definedName>
    <definedName name="IndustryRating" localSheetId="1">ImportantDisclosures!$A$13</definedName>
    <definedName name="InfoNext">[0]!InfoNext</definedName>
    <definedName name="InfoPrev">[0]!InfoPrev</definedName>
    <definedName name="InvestCapGrowth" localSheetId="2">OFFSET(Intro!XRange2,4,0)</definedName>
    <definedName name="InvestCapGrowth">OFFSET([0]!XRange2,4,0)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"c39"</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"c1471"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"c100"</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UE_BANKS" hidden="1">"c118"</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POSITS_FIN" hidden="1">"c321"</definedName>
    <definedName name="IQ_DEPOSITS_INTEREST_SECURITIES" hidden="1">"c5509"</definedName>
    <definedName name="IQ_DEPRE_AMORT" hidden="1">"c247"</definedName>
    <definedName name="IQ_DEPRE_AMORT_SUPPL" hidden="1">"c1593"</definedName>
    <definedName name="IQ_DEPRE_DEPLE" hidden="1">"c261"</definedName>
    <definedName name="IQ_DEPRE_SUPP" hidden="1">"c1443"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"c360"</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"c84"</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"c552"</definedName>
    <definedName name="IQ_EQUITY_METHOD" hidden="1">"c404"</definedName>
    <definedName name="IQ_EQV_OVER_BV" hidden="1">"c1596"</definedName>
    <definedName name="IQ_EQV_OVER_LTM_PRETAX_INC" hidden="1">"c739"</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"c1225"</definedName>
    <definedName name="IQ_EV_OVER_LTM_EBIT" hidden="1">"c1221"</definedName>
    <definedName name="IQ_EV_OVER_LTM_EBITDA" hidden="1">"c1223"</definedName>
    <definedName name="IQ_EV_OVER_LTM_REVENUE" hidden="1">"c1227"</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"c893"</definedName>
    <definedName name="IQ_FINANCING_CASH_SUPPL" hidden="1">"c899"</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"c451"</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"c907"</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NON" hidden="1">"c619"</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"c751"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"c656"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"c1304"</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BEFORE" hidden="1">"c344"</definedName>
    <definedName name="IQ_NET_INC_CF" hidden="1">"c793"</definedName>
    <definedName name="IQ_NET_INC_MARGIN" hidden="1">"c794"</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WNERSHIP" hidden="1">"c2160"</definedName>
    <definedName name="IQ_PART_TIME" hidden="1">"c1024"</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ICE_OVER_BVPS" hidden="1">"c1026"</definedName>
    <definedName name="IQ_PRICE_OVER_LTM_EPS" hidden="1">"c1029"</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"c1122"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"c83"</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"c1522"</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ColHidden" hidden="1">FALSE</definedName>
    <definedName name="IsLTMColHidden" hidden="1">FALSE</definedName>
    <definedName name="JNPRpublish" hidden="1">{#N/A,#N/A,FALSE,"Index";"Stmts_Qtrs",#N/A,FALSE,"Summary";"Stmts_24 mo",#N/A,FALSE,"Summary";"Summary_24",#N/A,FALSE,"Revenue";"Month_24",#N/A,FALSE,"Engineering";"Month_24",#N/A,FALSE,"Marketing";"Month_24",#N/A,FALSE,"G &amp; A";"Month_24",#N/A,FALSE,"Manufacturing"}</definedName>
    <definedName name="KeepVersions" localSheetId="6">IndexInformation!$B$8</definedName>
    <definedName name="klklklkl" hidden="1">{#N/A,#N/A,FALSE,"Index";"Stmts_Qtrs",#N/A,FALSE,"Summary";"Stmts_24 mo",#N/A,FALSE,"Summary";"Summary_24",#N/A,FALSE,"Revenue";"Month_24",#N/A,FALSE,"Engineering";"Month_24",#N/A,FALSE,"Marketing";"Month_24",#N/A,FALSE,"G &amp; A";"Month_24",#N/A,FALSE,"Manufacturing"}</definedName>
    <definedName name="L_\LIBRARY\LONG\FMC\Aug98\_fbpd_model1.xls_5_Year_DCF__07_28_98__10_03_AM">"DCF2"</definedName>
    <definedName name="L_\LIBRARY\LONG\FMC\Aug98\_fbpd_model1.xls_Combined__PF_BS__07_28_98__10_01_AM">"DCF1"</definedName>
    <definedName name="LanguageCode">IndexInformation!$B$38</definedName>
    <definedName name="LastCell" localSheetId="1">ImportantDisclosures!$A$22</definedName>
    <definedName name="limcount" hidden="1">2</definedName>
    <definedName name="Linking_1">BS!$A$9:$DD$52</definedName>
    <definedName name="Linking_15">'IS '!$A$5:$DL$98</definedName>
    <definedName name="Linking_16">BS!$A$6:$DI$52</definedName>
    <definedName name="Linking_17">CF!$A$6:$DG$70</definedName>
    <definedName name="Linking_18">'IS '!$A$8:$DG$124</definedName>
    <definedName name="Linking_19">BS!$A$9:$DI$52</definedName>
    <definedName name="Linking_2">CF!$A$9:$DB$70</definedName>
    <definedName name="Linking_20">CF!$A$9:$DG$70</definedName>
    <definedName name="Linking_21">'IS '!$A$6:$DG$113</definedName>
    <definedName name="Linking_22">'IS '!$A$5:$EA$130</definedName>
    <definedName name="Linking_23">'IS '!$A$5:$DL$130</definedName>
    <definedName name="Linking_24">'IS '!$A$8:$DL$130</definedName>
    <definedName name="Linking_3">'IS '!$A$5:$DB$124</definedName>
    <definedName name="Linking_4">BS!$A$6:$DD$72</definedName>
    <definedName name="Linking_5">CF!$A$6:$DB$88</definedName>
    <definedName name="Linking_Range_1">'IS '!$A$8:$CH$113</definedName>
    <definedName name="Linking_Range_10">'IS '!$EC$7:$EH$122</definedName>
    <definedName name="Linking_Range_11">'IS '!$EC$8:$EH$113</definedName>
    <definedName name="Linking_Range_12">'IS '!$EC$7:$EH$113</definedName>
    <definedName name="Linking_Range_13">BS!$A$9:$CO$72</definedName>
    <definedName name="Linking_Range_14">CF!$A$9:$CM$87</definedName>
    <definedName name="Linking_Range_15">'IS '!$A$7:$CM$113</definedName>
    <definedName name="Linking_Range_16">BS!$A$9:$CO$60</definedName>
    <definedName name="Linking_Range_17">'IS '!$A$8:$CM$98</definedName>
    <definedName name="Linking_Range_18">'IS '!$A$8:$CM$113</definedName>
    <definedName name="Linking_Range_19">'IS '!$A$8:$CR$113</definedName>
    <definedName name="Linking_Range_2">BS!$A$9:$CJ$52</definedName>
    <definedName name="Linking_Range_20">'IS '!$A$8:$CR$124</definedName>
    <definedName name="Linking_Range_21">BS!$A$9:$CT$61</definedName>
    <definedName name="Linking_Range_22">CF!$A$9:$CR$75</definedName>
    <definedName name="Linking_Range_23">'IS '!$A$7:$CR$113</definedName>
    <definedName name="Linking_Range_24">CF!$A$8:$CM$75</definedName>
    <definedName name="Linking_Range_27">BS!$A$9:$CT$60</definedName>
    <definedName name="Linking_Range_28">BS!$A$9:$CT$72</definedName>
    <definedName name="Linking_Range_29">CF!$A$8:$CR$75</definedName>
    <definedName name="Linking_Range_3">CF!$A$9:$CH$70</definedName>
    <definedName name="Linking_Range_30">'IS '!$A$8:$CW$124</definedName>
    <definedName name="Linking_Range_31">BS!$A$8:$CY$52</definedName>
    <definedName name="Linking_Range_32">CF!$A$9:$CW$75</definedName>
    <definedName name="Linking_Range_33">'IS '!$A$8:$CW$113</definedName>
    <definedName name="Linking_Range_34">'IS '!$A$8:$DB$98</definedName>
    <definedName name="Linking_Range_35">'IS '!$A$8:$DB$105</definedName>
    <definedName name="Linking_Range_36">BS!$A$9:$CY$52</definedName>
    <definedName name="Linking_Range_37">CF!$A$9:$CW$88</definedName>
    <definedName name="Linking_Range_38">CF!$A$8:$CW$75</definedName>
    <definedName name="Linking_Range_39">'IS '!$A$8:$CW$98</definedName>
    <definedName name="Linking_Range_4">'IS '!$A$8:$CM$113</definedName>
    <definedName name="Linking_Range_41">CF!$A$9:$CW$87</definedName>
    <definedName name="Linking_Range_5">BS!$A$9:$CO$52</definedName>
    <definedName name="Linking_Range_6">CF!$A$9:$CM$70</definedName>
    <definedName name="Linking_Range_7">'IS '!$A$8:$CM$122</definedName>
    <definedName name="Linking_Range_8">BS!$A$9:$CO$70</definedName>
    <definedName name="Linking_Range_9">CF!$A$9:$CM$75</definedName>
    <definedName name="MacroVersion" localSheetId="6">IndexInformation!$B$1</definedName>
    <definedName name="ModelPrice" localSheetId="1">ImportantDisclosures!$A$14</definedName>
    <definedName name="Monthlies_title">#N/A</definedName>
    <definedName name="Multiplier" localSheetId="6">IndexInformation!$B$35</definedName>
    <definedName name="NCASHFLOW_90" localSheetId="2">[0]!NCASHFLOW90</definedName>
    <definedName name="NCASHFLOW_90">[0]!NCASHFLOW90</definedName>
    <definedName name="NextButton">"Button 18"</definedName>
    <definedName name="NextYearEPS" localSheetId="6">IndexInformation!$B$13</definedName>
    <definedName name="NextYearTotalRevenue" localSheetId="6">IndexInformation!$B$12</definedName>
    <definedName name="NextYearTotalRevenueActual" localSheetId="6">IndexInformation!$B$33</definedName>
    <definedName name="NM">"NM"</definedName>
    <definedName name="nmnmm" hidden="1">{#N/A,#N/A,FALSE,"Index";"Stmts_Qtrs",#N/A,FALSE,"Summary";"Stmts_24 mo",#N/A,FALSE,"Summary";"Summary_24",#N/A,FALSE,"Revenue";"Month_24",#N/A,FALSE,"Engineering";"Month_24",#N/A,FALSE,"Marketing";"Month_24",#N/A,FALSE,"G &amp; A";"Month_24",#N/A,FALSE,"Manufacturing"}</definedName>
    <definedName name="NvsASD">"V2000-12-31"</definedName>
    <definedName name="NvsAutoDrillOk">"VN"</definedName>
    <definedName name="NvsElapsedTime">0.000516666666953824</definedName>
    <definedName name="NvsEndTime">37585.5170123843</definedName>
    <definedName name="NvsInstSpec">"%"</definedName>
    <definedName name="NvsLayoutType">"M3"</definedName>
    <definedName name="NvsNplSpec">"%,X,RNF..,CNF.."</definedName>
    <definedName name="NvsPanelEffdt">"V1997-07-09"</definedName>
    <definedName name="NvsPanelSetid">"V01"</definedName>
    <definedName name="NvsReqBU">"V01"</definedName>
    <definedName name="NvsReqBUOnly">"VN"</definedName>
    <definedName name="NvsTransLed">"VN"</definedName>
    <definedName name="NvsTreeASD">"V2000-12-31"</definedName>
    <definedName name="NvsValTbl.ACCOUNT">"GL_ACCOUNT_TBL"</definedName>
    <definedName name="ObjectType">IndexInformation!$B$37</definedName>
    <definedName name="OpDay_printarea">#N/A</definedName>
    <definedName name="OpMargin" localSheetId="2">OFFSET(Intro!XRange2,5,0)</definedName>
    <definedName name="OpMargin">OFFSET([0]!XRange2,5,0)</definedName>
    <definedName name="PANA" localSheetId="7">ModPubIndex!$A$11</definedName>
    <definedName name="PathName" localSheetId="6">IndexInformation!$B$25</definedName>
    <definedName name="Phase1NPVFCF" localSheetId="2">OFFSET(Intro!XRange,39,0)</definedName>
    <definedName name="Phase1NPVFCF">OFFSET([0]!XRange,39,0)</definedName>
    <definedName name="Phase2NPVFCF" localSheetId="2">OFFSET(Intro!XRange,40,0)</definedName>
    <definedName name="Phase2NPVFCF">OFFSET([0]!XRange,40,0)</definedName>
    <definedName name="Phase3NPVFCF" localSheetId="2">OFFSET(Intro!XRange,41,0)</definedName>
    <definedName name="Phase3NPVFCF">OFFSET([0]!XRange,41,0)</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reviousButton">"Button 19"</definedName>
    <definedName name="_xlnm.Print_Area" localSheetId="4">BS!$A$6:$CO$70</definedName>
    <definedName name="_xlnm.Print_Area" localSheetId="2">Intro!$C$1:$H$40</definedName>
    <definedName name="_xlnm.Print_Area" localSheetId="3">'IS '!$A$5:$CR$122</definedName>
    <definedName name="_xlnm.Print_Area">#REF!</definedName>
    <definedName name="_xlnm.Print_Titles">#REF!</definedName>
    <definedName name="PRODUCT" localSheetId="7">ModPubIndex!$A$6</definedName>
    <definedName name="ProjectName">{"Cereva Networks, Inc"}</definedName>
    <definedName name="PSYM" localSheetId="7">ModPubIndex!$A$4</definedName>
    <definedName name="PublishDate" localSheetId="6">IndexInformation!$B$2</definedName>
    <definedName name="q" hidden="1">{"Qtr Op Mgd Q2",#N/A,FALSE,"Qtr-Op (Mng)";"Qtr Op Rpt Q2",#N/A,FALSE,"Qtr-Op (Rpt)";"Operating Vs Reported",#N/A,FALSE,"Rpt-Op Inc"}</definedName>
    <definedName name="Rating" localSheetId="6">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m_Bus_ROIC" localSheetId="2">OFFSET(Intro!XRange,11,0)</definedName>
    <definedName name="Rem_Bus_ROIC">OFFSET([0]!XRange,11,0)</definedName>
    <definedName name="rep" hidden="1">{#N/A,#N/A,FALSE,"COVER";#N/A,#N/A,FALSE,"VALUATION";#N/A,#N/A,FALSE,"FORECAST";#N/A,#N/A,FALSE,"FY ANALYSIS ";#N/A,#N/A,FALSE," HY ANALYSIS"}</definedName>
    <definedName name="ResearchTopic" localSheetId="6">IndexInformation!$B$4</definedName>
    <definedName name="returns" hidden="1">{"Client is",#N/A,FALSE,"Client"}</definedName>
    <definedName name="RIC" localSheetId="6">IndexInformation!$B$21</definedName>
    <definedName name="SECSettlement" localSheetId="1">ImportantDisclosures!#REF!</definedName>
    <definedName name="secsplit">"Chart 3"</definedName>
    <definedName name="SEDOL" localSheetId="6">IndexInformation!$B$22</definedName>
    <definedName name="sencount" hidden="1">2</definedName>
    <definedName name="SourceDefined" localSheetId="1">ImportantDisclosures!$A$19</definedName>
    <definedName name="Sp">"       "</definedName>
    <definedName name="StockRating" localSheetId="1">ImportantDisclosures!$A$11</definedName>
    <definedName name="SubjectCode" localSheetId="6">IndexInformation!$B$6</definedName>
    <definedName name="SubmitterUserId">IndexInformation!$B$39</definedName>
    <definedName name="SUPPRESSED" localSheetId="7">ModPubIndex!$A$13</definedName>
    <definedName name="TargetPrice" localSheetId="1">ImportantDisclosures!$A$15</definedName>
    <definedName name="TemplateRegion">IndexInformation!$B$36</definedName>
    <definedName name="Ticker" localSheetId="1">ImportantDisclosures!$A$10</definedName>
    <definedName name="TickerRegion">IndexInformation!$B$41</definedName>
    <definedName name="Tickers" localSheetId="6">IndexInformation!$B$19</definedName>
    <definedName name="Total_Bus_ROIC" localSheetId="2">OFFSET(Intro!XRange,12,0)</definedName>
    <definedName name="Total_Bus_ROIC">OFFSET([0]!XRange,12,0)</definedName>
    <definedName name="unsure2"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unsure3" hidden="1">{"FRONT (MCALP)",#N/A,TRUE,"MCALP";"P AND L (MCALP)",#N/A,TRUE,"MCALP";"CASH AND VAL (MCALP)",#N/A,TRUE,"MCALP";"DIVISIONS (MCALP)",#N/A,TRUE,"MCALP";"SUMPART (MCALP)",#N/A,TRUE,"MCALP"}</definedName>
    <definedName name="Update_This" localSheetId="2">[1]!Update_This</definedName>
    <definedName name="Update_This">[1]!Update_This</definedName>
    <definedName name="UpdateReason" localSheetId="6">IndexInformation!$B$17</definedName>
    <definedName name="USRegDisclosures" localSheetId="1">ImportantDisclosures!#REF!</definedName>
    <definedName name="Version">"June 29, 2004"</definedName>
    <definedName name="WACC" localSheetId="2">OFFSET(Intro!XRange,13,0)</definedName>
    <definedName name="WACC">OFFSET([0]!XRange,13,0)</definedName>
    <definedName name="wrn.____EVERYTHING____." hidden="1">{"PRICES",#N/A,TRUE,"PRICES";"RESULTS",#N/A,TRUE,"RESULTS";"SECTOR1",#N/A,TRUE,"SECTOR 1";"SECTOR2",#N/A,TRUE,"SECTOR 2";"SECTOR3",#N/A,TRUE,"SECTOR 3";"SECTOR4",#N/A,TRUE,"SECTOR 4";"Sector 5",#N/A,TRUE,"SECTOR 5";"Normalized_Potential",#N/A,TRUE,"SECTOR 5";"SECTOR6",#N/A,TRUE,"SECTOR 6";"KEY_OPER",#N/A,TRUE,"BARDON";"P_AND_L",#N/A,TRUE,"BARDON";"Val_Cash",#N/A,TRUE,"BARDON";"ANALYSIS",#N/A,TRUE,"BARDON";"FRONT",#N/A,TRUE,"BCI";"PRO_LOSS",#N/A,TRUE,"BCI";"CASH_VAL",#N/A,TRUE,"BCI";"CASH_VAL",#N/A,TRUE,"BPB";"ANAYLSIS",#N/A,TRUE,"BPB";"PROF_LOSS",#N/A,TRUE,"BPB";"BUILDING",#N/A,TRUE,"BPB";"GEOGRAPHY",#N/A,TRUE,"BPB";"FRONT",#N/A,TRUE,"CARADON";"PROF_LOSS",#N/A,TRUE,"CARADON";"CASHFLOW",#N/A,TRUE,"CARADON";"OPER_SUMMURY",#N/A,TRUE,"CARADON";"ANALYSIS",#N/A,TRUE,"CARADON";"FRONT",#N/A,TRUE,"CRH";"P_AND_L",#N/A,TRUE,"CRH";"CASH_AND_VAL",#N/A,TRUE,"CRH";"FRONT",#N/A,TRUE,"GRAHAM";"P_AND_L",#N/A,TRUE,"GRAHAM";"CASH_AND_VAL",#N/A,TRUE,"GRAHAM";"HISTORIC_PERFORMANCE",#N/A,TRUE,"GRAHAM";"FRONT",#N/A,TRUE,"HEPWORTH";"P_AND_L",#N/A,TRUE,"HEPWORTH";"CASH_AND_VAL",#N/A,TRUE,"HEPWORTH";"MODELS",#N/A,TRUE,"HEPWORTH";"FRONT",#N/A,TRUE,"HEYWOOD W";"P_AND_L",#N/A,TRUE,"HEYWOOD W";"CASH_AND_VAL",#N/A,TRUE,"HEYWOOD W";"UK_BRICKS",#N/A,TRUE,"IBSTOCK";"FRONT",#N/A,TRUE,"MARLEY";"P_AND_L",#N/A,TRUE,"MARLEY";"CASH_AND_VAL",#N/A,TRUE,"MARLEY";"FRONT",#N/A,TRUE,"MEYER";"P AND L",#N/A,TRUE,"MEYER";"CASH AND VAL",#N/A,TRUE,"MEYER";"FRONT",#N/A,TRUE,"NORCROS";"FRONT",#N/A,TRUE,"NORCROS";"CASH_AND_VAL",#N/A,TRUE,"NORCROS";"FRONT",#N/A,TRUE,"PILKINGTON";"P_AND_L",#N/A,TRUE,"PILKINGTON";#N/A,#N/A,TRUE,"PILKINGTON";"FRONT",#N/A,TRUE,"REDLAND";"P_AND_L",#N/A,TRUE,"REDLAND";"CASH_AND_VAL",#N/A,TRUE,"REDLAND";"OPERATIONAL_FORCASTS",#N/A,TRUE,"REDLAND";"MODELS",#N/A,TRUE,"REDLAND";"P_AND_L",#N/A,TRUE,"RMC";"CASH_AND_VAL",#N/A,TRUE,"RMC";"HALF_YEAR",#N/A,TRUE,"RMC";"P_AND_L",#N/A,TRUE,"RUGBY";"CASH_AND_VAL",#N/A,TRUE,"RUGBY";"P_AND_L",#N/A,TRUE,"A. RUSSELL";"CASH_AND_VAL",#N/A,TRUE,"A. RUSSELL";"FRONT",#N/A,TRUE,"SPRING RAM";"P_AND_L",#N/A,TRUE,"SPRING RAM";"CASH_AND_VAL",#N/A,TRUE,"SPRING RAM";"FRONT",#N/A,TRUE,"TARMAC";"P_AND_L",#N/A,TRUE,"TARMAC";"CASH_AND_VAL",#N/A,TRUE,"TARMAC";"MODELS",#N/A,TRUE,"TARMAC";"FRONT",#N/A,TRUE,"TRAVIS PERK";"P_AND_L",#N/A,TRUE,"TRAVIS PERK";"CASH_AND_VAL",#N/A,TRUE,"TRAVIS PERK";"P AND L",#N/A,TRUE,"WOLSELEY";"CASH AND VAL",#N/A,TRUE,"WOLSELEY";"FRONT",#N/A,TRUE,"IBSTOCK - NEW";"P_AND_L",#N/A,TRUE,"IBSTOCK - NEW";"UK_BRICKS",#N/A,TRUE,"IBSTOCK - NEW";"CASH_AND_VAL",#N/A,TRUE,"IBSTOCK - NEW"}</definedName>
    <definedName name="wrn.____OVERVIEW____." hidden="1">{"PRICES",#N/A,TRUE,"PRICES";"RESULTS",#N/A,TRUE,"RESULTS";"SECTOR1",#N/A,TRUE,"SECTOR 1";"SECTOR2",#N/A,TRUE,"SECTOR 2";"SECTOR3",#N/A,TRUE,"SECTOR 3";"SECTOR4",#N/A,TRUE,"SECTOR 4";"Sector 5",#N/A,TRUE,"SECTOR 5";"Normalized_Potential",#N/A,TRUE,"SECTOR 5";"SECTOR6",#N/A,TRUE,"SECTOR 6";"TOP",#N/A,TRUE,"PERATIOS";"BOTTOM",#N/A,TRUE,"PERATIOS"}</definedName>
    <definedName name="wrn.___EVERYTHING___." hidden="1">{"ALL",#N/A,FALSE,"PRICES";"ALL",#N/A,FALSE,"RESULTS";#N/A,#N/A,FALSE,"SECTOR - 1 ";"ALL",#N/A,FALSE,"SECTOR - 2";"ALL",#N/A,FALSE,"SECTOR -3";"ALL",#N/A,FALSE,"SECTOR 4";"ALL",#N/A,FALSE,"SECTOR 5";"ALL",#N/A,FALSE,"SECTOR 6";"ALL",#N/A,FALSE,"SECTOR 7";"TOP",#N/A,FALSE,"PERATIOS";"BOTTOM",#N/A,FALSE,"PERATIOS";"P AND L",#N/A,FALSE,"AMEC";"FRONT",#N/A,FALSE,"AMEC";"CASH AND VAL",#N/A,FALSE,"AMEC";"FRONT",#N/A,FALSE,"BARRATT";"P AND L",#N/A,FALSE,"BARRATT";"CASH AND MODEL",#N/A,FALSE,"BARRATT";"VALUATION",#N/A,FALSE,"BARRATT";"P AND L",#N/A,FALSE,"BEAZER";"VAL AND MODELS",#N/A,FALSE,"BEAZER";"FRONT",#N/A,FALSE,"BELLWAY";"P AND L",#N/A,FALSE,"BELLWAY";"CASH AND HOUSE",#N/A,FALSE,"BELLWAY";"FRONT",#N/A,FALSE,"BERKLY";"P AND L",#N/A,FALSE,"BERKLY";"CASH AND HOUSE",#N/A,FALSE,"BERKLY";"VALUATION",#N/A,FALSE,"BERKLY";"FRONT",#N/A,FALSE,"BRYANT";"P AND L",#N/A,FALSE,"BRYANT";"CASH AND OTHER",#N/A,FALSE,"BRYANT";"VAL AND OTHER",#N/A,FALSE,"BRYANT";"FRONT",#N/A,FALSE,"COSTAIN";"P AND L",#N/A,FALSE,"COSTAIN";"CASH AND VAL",#N/A,FALSE,"COSTAIN";"FRONT",#N/A,FALSE,"HEWDEN ST";"P AND L",#N/A,FALSE,"HEWDEN ST";"CASH AND VAL",#N/A,FALSE,"HEWDEN ST";"FRONT",#N/A,FALSE,"LAING";"P AND L",#N/A,FALSE,"LAING";"CASH AND VAL",#N/A,FALSE,"LAING";"MODELS",#N/A,FALSE,"LAING";"P AND L",#N/A,FALSE,"MORRISON";"CASH AND VAL",#N/A,FALSE,"MORRISON";"FRONT",#N/A,FALSE,"MCALP";"P AND L",#N/A,FALSE,"MCALP";"CASH AND VAL",#N/A,FALSE,"MCALP";"DIVISIONS",#N/A,FALSE,"MCALP";"FRONT",#N/A,FALSE,"MOWLM";"P AND L",#N/A,FALSE,"MOWLM";"CASH AND VAL",#N/A,FALSE,"MOWLM";"MODELS",#N/A,FALSE,"MOWLM";"FRONT",#N/A,FALSE,"PERSIMMON";"P AND L",#N/A,FALSE,"PERSIMMON";"CASH",#N/A,FALSE,"PERSIMMON";"VALUATION",#N/A,FALSE,"PERSIMMON";"FRONT",#N/A,FALSE,"RAINE";"P AND L",#N/A,FALSE,"RAINE";"CASH AND VAL",#N/A,FALSE,"RAINE";"MODELS",#N/A,FALSE,"RAINE";"FRONT",#N/A,FALSE,"REDROW";"P AND L",#N/A,FALSE,"REDROW";"CASH",#N/A,FALSE,"REDROW";"VALUATION",#N/A,FALSE,"REDROW";"FRONT",#N/A,FALSE,"TAY. WOOD.";"P AND L",#N/A,FALSE,"TAY. WOOD.";"CASH AND VAL",#N/A,FALSE,"TAY. WOOD.";"MODELS",#N/A,FALSE,"TAY. WOOD.";"FRONT",#N/A,FALSE,"WAIN";"P AND L",#N/A,FALSE,"WAIN";"CASH",#N/A,FALSE,"WAIN";"VALUATION",#N/A,FALSE,"WAIN";"FRONT",#N/A,FALSE,"WILSON B";"P AND L",#N/A,FALSE,"WILSON B";"CASH AND MODEL",#N/A,FALSE,"WILSON B";"FRONT",#N/A,FALSE,"WIMPEY";"P AND L",#N/A,FALSE,"WIMPEY";"CASH AND VAL",#N/A,FALSE,"WIMPEY";"MODELS",#N/A,FALSE,"WIMPEY";"FRONT",#N/A,FALSE,"GLEESON";"PROFIT AND LOSS",#N/A,FALSE,"GLEESON";"CASHFLOW",#N/A,FALSE,"GLEESON";"BREAKDOWN",#N/A,FALSE,"GLEESON";"FRONT",#N/A,FALSE,"MORRISON";"VALUATION",#N/A,FALSE,"MORRISON";"HALFANALYSIS",#N/A,FALSE,"MORRISON";"ASSETVAL",#N/A,FALSE,"WILCON";"CASHMODEL",#N/A,FALSE,"WILCON";"FRONT",#N/A,FALSE,"WILCON";"PANDL",#N/A,FALSE,"WILCON";"VALUATION",#N/A,FALSE,"WILCON"}</definedName>
    <definedName name="wrn.2._.pagers." hidden="1">{"Cover",#N/A,FALSE,"Cover";"Summary",#N/A,FALSE,"Summarpage"}</definedName>
    <definedName name="wrn.96_model." hidden="1">{"qtr_is_94_95",#N/A,FALSE,"MA";"ann_is_96",#N/A,FALSE,"MA";"seg_sales_96",#N/A,FALSE,"MA";"seg_inc_96",#N/A,FALSE,"MA";"divisional_91_95",#N/A,FALSE,"MA";"ann_bs_96",#N/A,FALSE,"MA";"ann_cf_96",#N/A,FALSE,"MA"}</definedName>
    <definedName name="wrn.abc." hidden="1">{"sensit",#N/A,FALSE,"WOLSELEY"}</definedName>
    <definedName name="wrn.AGG.._.IND.." hidden="1">{"P_AND_L (AGG. IND.) (25)",#N/A,TRUE,"AGG. IND.";"Val_Cash (AGG. IND.) (25)",#N/A,TRUE,"AGG. IND.";"KEY_OPER (AGG. IND.) (25)",#N/A,TRUE,"AGG. IND.";"COMBINED (AGG. IND.) (25)",#N/A,TRUE,"AGG. IND.";"ANALYSIS (AGG. IND.) (25)",#N/A,TRUE,"AGG. IND."}</definedName>
    <definedName name="wrn.ALFRED._.MCALPINE." hidden="1">{"FRONT (MCALP)",#N/A,TRUE,"MCALP";"P AND L (MCALP)",#N/A,TRUE,"MCALP";"CASH AND VAL (MCALP)",#N/A,TRUE,"MCALP";"DIVISIONS (MCALP)",#N/A,TRUE,"MCALP";"SUMPART (MCALP)",#N/A,TRUE,"MCALP"}</definedName>
    <definedName name="wrn.All."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EN." hidden="1">{"FRONT (ALLEN)",#N/A,TRUE,"ALLEN";"P AND L (ALLEN)",#N/A,TRUE,"ALLEN";"CASHFLOW (ALLEN)",#N/A,TRUE,"ALLEN";"VALMATRIX (ALLEN)",#N/A,TRUE,"ALLEN"}</definedName>
    <definedName name="wrn.allpages." hidden="1">{#N/A,#N/A,TRUE,"Historicals";#N/A,#N/A,TRUE,"Charts";#N/A,#N/A,TRUE,"Forecasts"}</definedName>
    <definedName name="wrn.AMEC." hidden="1">{"FRONT (AMEC)",#N/A,TRUE,"AMEC";"P AND L (AMEC)",#N/A,TRUE,"AMEC";"CASH AND VAL (AMEC)",#N/A,TRUE,"AMEC";"MODEL1 (AMEC)",#N/A,TRUE,"AMEC";"MODEL (AMEC)",#N/A,TRUE,"AMEC"}</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ARRATT." hidden="1">{"FRONT (BARRATT)",#N/A,TRUE,"BARRATT";"P AND L (BARRATT)",#N/A,TRUE,"BARRATT";"CASH AND MODEL (BARRATT)",#N/A,TRUE,"BARRATT";"VALUATION (BARRATT)",#N/A,TRUE,"BARRATT";"MODELS (BARRATT)",#N/A,TRUE,"BARRATT";"ASSETVAL (BARRATT)",#N/A,TRUE,"BARRATT"}</definedName>
    <definedName name="wrn.BCI." hidden="1">{"FRONT (BCI) (25)",#N/A,TRUE,"BCI";"PRO_LOSS (BCI) (23)",#N/A,TRUE,"BCI";"CASH_VAL (BCI) (25)",#N/A,TRUE,"BCI";"CASHMODEL (BCI) (25)",#N/A,TRUE,"BCI";"MODELS1 (BCI) (25)",#N/A,TRUE,"BCI";"MODELS2 (BCI) (25)",#N/A,TRUE,"BCI";"MODELS3 (BCI) (25)",#N/A,TRUE,"BCI";"IND VALUE (BCI) (25)",#N/A,TRUE,"BCI"}</definedName>
    <definedName name="wrn.BEAZER." hidden="1">{"FRONT (BEAZER)",#N/A,TRUE,"BEAZER";"P AND L (BEAZER)",#N/A,TRUE,"BEAZER";"CASHFLOW AND VAL (BEAZER)",#N/A,TRUE,"BEAZER";"VALMATRIX (BEAZER)",#N/A,TRUE,"BEAZER";"VAL AND MODELS2 (BEAZER)",#N/A,TRUE,"BEAZER";"VAL AND MODELS (BEAZER)",#N/A,TRUE,"BEAZER";"ASSETVAL (BEAZER)",#N/A,TRUE,"BEAZER"}</definedName>
    <definedName name="wrn.BELLWAY." hidden="1">{"FRONT (BELLWAY)",#N/A,TRUE,"BELLWAY";"P AND L (BELLWAY)",#N/A,TRUE,"BELLWAY";"CASH AND HOUSE (BELLWAY)",#N/A,TRUE,"BELLWAY";"VALUATION (BELLWAY)",#N/A,TRUE,"BELLWAY";"VAL AND LANDFORCAST (BELLWAY)",#N/A,TRUE,"BELLWAY"}</definedName>
    <definedName name="wrn.BERKLY." hidden="1">{"FRONT",#N/A,TRUE,"BERKLY";"P AND L",#N/A,TRUE,"BERKLY";"CASH AND HOUSE",#N/A,TRUE,"BERKLY";"VALUATION",#N/A,TRUE,"BERKLY";"HOUSESPLIT",#N/A,TRUE,"BERKLY";"LAND AND VAL",#N/A,TRUE,"BERKLY"}</definedName>
    <definedName name="wrn.BPB." hidden="1">{"PROF_LOSS (BPB) (25)",#N/A,TRUE,"BPB";"PROF_LOSS (BPB) (23)",#N/A,TRUE,"BPB";"CASH_VAL (BPB) (25)",#N/A,TRUE,"BPB";"ANAYLSIS (BPB) (25)",#N/A,TRUE,"BPB";"GEOGRAPHY (BPB) (25)",#N/A,TRUE,"BPB";"BUILDING (BPB) (25)",#N/A,TRUE,"BPB"}</definedName>
    <definedName name="wrn.BRASS." hidden="1">{"BRASS P AND L",#N/A,FALSE,"REDLAND";"BRASS BALANCE",#N/A,FALSE,"REDLAND";"BRASS TCE",#N/A,FALSE,"REDLAND";"GERMAN STATS",#N/A,FALSE,"REDLAND"}</definedName>
    <definedName name="wrn.BRYANT." hidden="1">{"FRONT (BRYANT)",#N/A,TRUE,"BRYANT";"P AND L (BRYANT)",#N/A,TRUE,"BRYANT";"CASH AND OTHER (BRYANT)",#N/A,TRUE,"BRYANT";"VAL AND OTHER (BRYANT)",#N/A,TRUE,"BRYANT";"MODELS (BRYANT)",#N/A,TRUE,"BRYANT"}</definedName>
    <definedName name="wrn.BUILDING._.VALUE." hidden="1">{"BUILD VALUE 1",#N/A,FALSE,"VALUE";"BUILD VALUE 2",#N/A,FALSE,"VALUE";"BUILD VALUE 3",#N/A,FALSE,"VALUE";"BUILD VALUE 4",#N/A,FALSE,"VALUE";"BUILD VALUE 5",#N/A,FALSE,"VALUE";"BUILD VALUE 6",#N/A,FALSE,"VALUE";"BUILD VALUE 7",#N/A,FALSE,"VALUE";"BUILD VALUE 8",#N/A,FALSE,"VALUE";"BUILD VALUE 9",#N/A,FALSE,"VALUE";"BUILD VALUE 10",#N/A,FALSE,"VALUE"}</definedName>
    <definedName name="wrn.CARADON." hidden="1">{"FRONT (CARADON) (23)",#N/A,TRUE,"CARADON";"PROF_LOSS (CARADON) (23)",#N/A,TRUE,"CARADON";"CASHFLOW (CARADON) (23)",#N/A,TRUE,"CARADON";"ANALYSIS (CARADON) (23)",#N/A,TRUE,"CARADON";"RECONCILIATION (CARADON) (23)",#N/A,TRUE,"CARADON";"OPER_SUMMURY (CARADON) (23)",#N/A,TRUE,"CARADON"}</definedName>
    <definedName name="wrn.Client._.cfbs." hidden="1">{"client cfbs",#N/A,FALSE,"Client"}</definedName>
    <definedName name="wrn.Client._.is." hidden="1">{"Client is",#N/A,FALSE,"Client"}</definedName>
    <definedName name="wrn.Client._.stats." hidden="1">{"Client stats",#N/A,FALSE,"Client"}</definedName>
    <definedName name="wrn.cn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nsolidated._.Statements." hidden="1">{"view1",#N/A,FALSE,"EARN (US$)";"view1",#N/A,FALSE,"DASTBS (US$)";"view1",#N/A,FALSE,"DASTCF (US$)"}</definedName>
    <definedName name="wrn.COSTAIN." hidden="1">{"FRONT (COSTAIN)",#N/A,TRUE,"COSTAIN";"P AND L (COSTAIN)",#N/A,TRUE,"COSTAIN";"CASH AND VAL (COSTAIN)",#N/A,TRUE,"COSTAIN";"OPERATIONS (COSTAIN)",#N/A,TRUE,"COSTAIN"}</definedName>
    <definedName name="wrn.Covers." hidden="1">{"view1",#N/A,FALSE,"MOTEARN";"view1",#N/A,FALSE,"Bal Sht";"view1",#N/A,FALSE,"Cash Flows"}</definedName>
    <definedName name="wrn.CRH." hidden="1">{"FRONT (CRH) (25)",#N/A,TRUE,"CRH";"P_AND_L (CRH) (25)",#N/A,TRUE,"CRH";"CASH_AND_VAL (CRH) (25)",#N/A,TRUE,"CRH";"CASHFLOW (CRH) (25)",#N/A,TRUE,"CRH";"MODELS (CRH) (25)",#N/A,TRUE,"CRH"}</definedName>
    <definedName name="wrn.DG"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DG."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FISV._.5._.year._.model." hidden="1">{"Assns Fax",#N/A,FALSE,"Assumptions";"Financial View",#N/A,FALSE,"Earnings";"DCF View",#N/A,FALSE,"Earnings";"Sensitivity",#N/A,FALSE,"DCF"}</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TS." hidden="1">{"Annual",#N/A,FALSE,"FTS";"Divisional",#N/A,FALSE,"FTS";"Balance Sheet",#N/A,FALSE,"FTS";"Funds Flow",#N/A,FALSE,"FTS";"Quarterly Earnings",#N/A,FALSE,"FTS";"Quarterly Margins",#N/A,FALSE,"FTS";"Ratio Analysis",#N/A,FALSE,"FTS";"Q Sales",#N/A,FALSE,"FTS";"Q EBIT",#N/A,FALSE,"FTS";"Unit Analysis",#N/A,FALSE,"FTS";"Inventory Analysis",#N/A,FALSE,"FTS";"Valuation",#N/A,FALSE,"FTS";"Matrix",#N/A,FALSE,"FTS"}</definedName>
    <definedName name="wrn.Full._.Financials." hidden="1">{#N/A,#N/A,TRUE,"Financials";#N/A,#N/A,TRUE,"Operating Statistics";#N/A,#N/A,TRUE,"Capex &amp; Depreciation";#N/A,#N/A,TRUE,"Debt"}</definedName>
    <definedName name="wrn.Full._.Report." hidden="1">{#N/A,#N/A,FALSE,"COVER";#N/A,#N/A,FALSE,"VALUATION";#N/A,#N/A,FALSE,"FORECAST";#N/A,#N/A,FALSE,"FY ANALYSIS ";#N/A,#N/A,FALSE," HY ANALYSIS"}</definedName>
    <definedName name="wrn.FUZ_REP." hidden="1">{"FUZ_INC_A",#N/A,FALSE,"NOBE";"FUZ_INC_Q",#N/A,FALSE,"NOBE";"FUZ_BAL_A",#N/A,FALSE,"NOBE";"FUZ_CASH_A",#N/A,FALSE,"NOBE";"FUZ_PROD_A",#N/A,FALSE,"NOBE"}</definedName>
    <definedName name="wrn.fuz_report." hidden="1">{"fuz_inc_a",#N/A,FALSE,"BKS";"fuz_inc_q",#N/A,FALSE,"BKS";"fuz_bal_a",#N/A,FALSE,"BKS";"fuz_cash_a",#N/A,FALSE,"BKS";"fuz_prod_a",#N/A,FALSE,"BKS";"fuz_div_a",#N/A,FALSE,"BKS";"fuz_div2_a",#N/A,FALSE,"BKS"}</definedName>
    <definedName name="wrn.GLEESON." hidden="1">{"FRONT (GLEESON)",#N/A,TRUE,"GLEESON";"PROFIT AND LOSS (GLEESON)",#N/A,TRUE,"GLEESON";"CASHFLOW (GLEESON)",#N/A,TRUE,"GLEESON";"BREAKDOWN (GLEESON)",#N/A,TRUE,"GLEESON"}</definedName>
    <definedName name="wrn.GRAHAM." hidden="1">{"FRONT (GRAHAM) (30)",#N/A,TRUE,"GRAHAM";"P_AND_L (GRAHAM) (30)",#N/A,TRUE,"GRAHAM";"CASH_AND_VAL (GRAHAM) (30)",#N/A,TRUE,"GRAHAM";"HISTORIC PERFORMANCE (GRAHAM) (30)",#N/A,TRUE,"GRAHAM"}</definedName>
    <definedName name="wrn.HANSON." hidden="1">{"P AND L (HANSON) (25)",#N/A,TRUE,"HANSON";"CASHFLOW (HANSON) (25)",#N/A,TRUE,"HANSON";"VALUATION (HANSON) (23)",#N/A,TRUE,"HANSON";"MODELS (HANSON) (25)",#N/A,TRUE,"HANSON";"CASHMODEL (HANSON) (25)",#N/A,TRUE,"HANSON";"BRICKS (HANSON) (25)",#N/A,TRUE,"HANSON";"ARC (HANSON) (25)",#N/A,TRUE,"HANSON";"VALUATION (HANSON) (25)",#N/A,TRUE,"HANSON"}</definedName>
    <definedName name="wrn.HEAVYSIDE." hidden="1">{#N/A,#N/A,FALSE,"HEAVYSIDE";"HEAVYSIDE",#N/A,FALSE,"HEAVYSIDE";"HEAVYSIDE2",#N/A,FALSE,"HEAVYSIDE"}</definedName>
    <definedName name="wrn.HEPWORTH." hidden="1">{"FRONT (HEPWORTH) (25)",#N/A,TRUE,"HEPWORTH";"P_AND_L (HEPWORTH) (25)",#N/A,TRUE,"HEPWORTH";"CASH_AND_VAL (HEPWORTH) (25)",#N/A,TRUE,"HEPWORTH";"MODELS (HEPWORTH) (25)",#N/A,TRUE,"HEPWORTH"}</definedName>
    <definedName name="wrn.HEWDEN._.STUART." hidden="1">{"FRONT (HEWDEN ST)",#N/A,TRUE,"HEWDEN ST";"P AND L (HEWDEN ST)",#N/A,TRUE,"HEWDEN ST";"CASH AND VAL (HEWDEN ST)",#N/A,TRUE,"HEWDEN ST";"MARGINS (HEWDEN ST)",#N/A,TRUE,"HEWDEN ST"}</definedName>
    <definedName name="wrn.HEYWOOD." hidden="1">{"FRONT (HEYWOOD W) (25)",#N/A,TRUE,"HEYWOOD W";"P_AND_L (HEYWOOD W) (25)",#N/A,TRUE,"HEYWOOD W";"CASH_AND_VAL (HEYWOOD W) (25)",#N/A,TRUE,"HEYWOOD W";"USAMODEL (HEYWOOD W) (25)",#N/A,TRUE,"HEYWOOD W";"UKMODEL (HEYWOOD W) (25)",#N/A,TRUE,"HEYWOOD W"}</definedName>
    <definedName name="wrn.HOUSING." hidden="1">{"HOUSING VAL",#N/A,FALSE,"S &amp; L VAL";"ASSET VALUE",#N/A,FALSE,"asset value (2)";"VOLUMES",#N/A,FALSE,"Volumes";"LANDBANK1",#N/A,FALSE,"Land banks";"LANDBANK2",#N/A,FALSE,"Land banks";"ASSETCOMP",#N/A,FALSE,"ASSETS";"ASSETCOMP2",#N/A,FALSE,"ASSETS"}</definedName>
    <definedName name="wrn.IBSTOCK." hidden="1">{"FRONT",#N/A,FALSE,"IBSTOCK - NEW";"P_AND_L",#N/A,FALSE,"IBSTOCK - NEW";"UK_BRICKS",#N/A,FALSE,"IBSTOCK - NEW";"CASH_AND_VAL",#N/A,FALSE,"IBSTOCK - NEW"}</definedName>
    <definedName name="wrn.Income._.Stmt." hidden="1">{"Income Stmt",#N/A,FALSE,"Model"}</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hidden="1">{"Internal is",#N/A,FALSE,"Model"}</definedName>
    <definedName name="wrn.JARVIS." hidden="1">{"P AND L (JARVIS)",#N/A,FALSE,"JARVIS";"CASH (JARVIS)",#N/A,FALSE,"JARVIS";"VALUATION (JARVIS)",#N/A,FALSE,"JARVIS";"MODELS (JARVIS)",#N/A,FALSE,"JARVIS"}</definedName>
    <definedName name="wrn.JOHN._.LAING." hidden="1">{"FRONT (LAING)",#N/A,TRUE,"LAING";"P AND L (LAING)",#N/A,TRUE,"LAING";"CASH AND VAL (LAING)",#N/A,TRUE,"LAING";"SUM (LAING)",#N/A,TRUE,"LAING";"MODELS2 (LAING)",#N/A,TRUE,"LAING";"MODELS (LAING)",#N/A,TRUE,"LAING"}</definedName>
    <definedName name="wrn.KIER." hidden="1">{"PROFIT AND LOSS (KIER)",#N/A,TRUE,"KIER";"CASH AND VAL (KIER)",#N/A,TRUE,"KIER";"SUM (KIER)",#N/A,TRUE,"KIER"}</definedName>
    <definedName name="wrn.Leases.xls." hidden="1">{#N/A,#N/A,FALSE,"Initial Year";#N/A,#N/A,FALSE,"Historical";#N/A,#N/A,FALSE,"balsheet";#N/A,#N/A,FALSE,"incstate";#N/A,#N/A,FALSE,"Fleet"}</definedName>
    <definedName name="wrn.LIGHTSIDE." hidden="1">{"light1",#N/A,FALSE,"LIGHTSIDE";"light2",#N/A,FALSE,"LIGHTSIDE";"light3",#N/A,FALSE,"LIGHTSIDE";"light4",#N/A,FALSE,"LIGHTSIDE"}</definedName>
    <definedName name="wrn.MANUFACTURERS." hidden="1">{"summary",#N/A,FALSE,"MANUFACTURERS"}</definedName>
    <definedName name="wrn.Marketing._.Backup." hidden="1">{"1. Earnings Variance",#N/A,FALSE,"Earnings Variance";"2. Income Statement",#N/A,FALSE,"Income Statement";"3. Balance Sheet",#N/A,FALSE,"Balance Sheet";"4. Cash Flow",#N/A,FALSE,"Cash Flow"}</definedName>
    <definedName name="wrn.MARLEY." hidden="1">{"FRONT",#N/A,TRUE,"MARLEY";"P_AND_L",#N/A,TRUE,"MARLEY";"CASH_AND_VAL",#N/A,TRUE,"MARLEY";"MODELS",#N/A,TRUE,"MARLEY"}</definedName>
    <definedName name="wrn.MARSHALLS." hidden="1">{"PANDL (MARSHALLS) (25)",#N/A,TRUE,"MARSHALLS";"CASHFLOW (MARSHALLS) (25)",#N/A,TRUE,"MARSHALLS";"VALUATION (MARSHALLS) (25)",#N/A,TRUE,"MARSHALLS";"MODELS (MARSHALLS) (25)",#N/A,TRUE,"MARSHALLS"}</definedName>
    <definedName name="wrn.MERCHANTS." hidden="1">{"merchants",#N/A,FALSE,"MERCHANTS";"merchants2",#N/A,FALSE,"MERCHANTS"}</definedName>
    <definedName name="wrn.MEYER." hidden="1">{"FRONT (MEYER) (23)",#N/A,TRUE,"MEYER";"P AND L (MEYER) (23)",#N/A,TRUE,"MEYER";"CASH AND VAL (MEYER) (23)",#N/A,TRUE,"MEYER";"DCF (MEYER) (23)",#N/A,TRUE,"MEYER";"JEWSON (MEYER) (23)",#N/A,TRUE,"MEYER";"HARCROS (MEYER) (23)",#N/A,TRUE,"MEYER";"PONT (MEYER) (23)",#N/A,TRUE,"MEYER"}</definedName>
    <definedName name="wrn.MOBIL." hidden="1">{"quarter",#N/A,FALSE,"MOB"}</definedName>
    <definedName name="wrn.MORRISON." hidden="1">{"FRONT (MORRISON)",#N/A,TRUE,"MORRISON";"P AND L (MORRISON)",#N/A,TRUE,"MORRISON";"CASH AND VAL (MORRISON)",#N/A,TRUE,"MORRISON";"VALUATION (MORRISON)",#N/A,TRUE,"MORRISON";"HALFANALYSIS (MORRISON)",#N/A,TRUE,"MORRISON"}</definedName>
    <definedName name="wrn.MOWLM." hidden="1">{"FRONT",#N/A,TRUE,"MOWLM";"P AND L",#N/A,TRUE,"MOWLM";"CASH AND VAL",#N/A,TRUE,"MOWLM";"MODELS",#N/A,TRUE,"MOWLM";"VALUATION",#N/A,TRUE,"MOWLM"}</definedName>
    <definedName name="wrn.NORCROS." hidden="1">{"FRONT (NORCROS) (25)",#N/A,TRUE,"NORCROS";"P_AND_L (NORCROS) (25)",#N/A,TRUE,"NORCROS";"CASH_AND_VAL (NORCROS) (25)",#N/A,TRUE,"NORCROS";"SUMVAL (NORCROS) (23)",#N/A,TRUE,"NORCROS"}</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One._.Pager._.plus._.Technicals." hidden="1">{#N/A,#N/A,FALSE,"One Pager";#N/A,#N/A,FALSE,"Technical"}</definedName>
    <definedName name="wrn.Outlook._.for._.US._.Domestic._.Paging." hidden="1">{"Yearend_units",#N/A,TRUE,"Paging";"Unit_growth",#N/A,TRUE,"Paging";"Yearend_nationwide_units",#N/A,TRUE,"Paging";"nationwide_growth",#N/A,TRUE,"Paging";"ARPU",#N/A,TRUE,"Paging";"paging_industry_revenues",#N/A,TRUE,"Paging";"paging_net_add_breakdown",#N/A,TRUE,"Paging";"paging_churn",#N/A,TRUE,"Paging";"paging_gross_adds",#N/A,TRUE,"Paging"}</definedName>
    <definedName name="wrn.PERSIMMON." hidden="1">{"FRONT (PERSIMMON)",#N/A,TRUE,"PERSIMMON";"P AND L (PERSIMMON)",#N/A,TRUE,"PERSIMMON";"CASH (PERSIMMON)",#N/A,TRUE,"PERSIMMON";"VALUATION (PERSIMMON)",#N/A,TRUE,"PERSIMMON";"ASSET VAL (PERSIMMON)",#N/A,TRUE,"PERSIMMON";"MODELS (PERSIMMON)",#N/A,TRUE,"PERSIMMON"}</definedName>
    <definedName name="wrn.PETC."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wrn.PILKINGTON." hidden="1">{"FRONT (PILKINGTON) (25)",#N/A,TRUE,"PILKINGTON";"P_AND_L (PILKINGTON) (25)",#N/A,TRUE,"PILKINGTON";"CASH_AND_VAL (PILKINGTON) (25)",#N/A,TRUE,"PILKINGTON";"VALUATION (PILKINGTON) (25)",#N/A,TRUE,"PILKINGTON";"MODELS (PILKINGTON) (25)",#N/A,TRUE,"PILKINGTON";"SENSITIV (PILKINGTON) (25)",#N/A,TRUE,"PILKINGTON";"P_AND_VOL (PILKINGTON) (25)",#N/A,TRUE,"PILKINGTON";"INVINC (PILKINGTON) (25)",#N/A,TRUE,"PILKINGTON"}</definedName>
    <definedName name="wrn.Portrait._.IS." hidden="1">{"Portrait letter is",#N/A,FALSE,"Model"}</definedName>
    <definedName name="wrn.Portrait._.letter._.is." hidden="1">{"Portrait letter is",#N/A,FALSE,"Model"}</definedName>
    <definedName name="wrn.Print._.24." hidden="1">{#N/A,#N/A,FALSE,"Index";"Stmts_Qtrs",#N/A,FALSE,"Summary";"Stmts_24 mo",#N/A,FALSE,"Summary";"Summary_24",#N/A,FALSE,"Revenue";"Month_24",#N/A,FALSE,"Engineering";"Month_24",#N/A,FALSE,"Marketing";"Month_24",#N/A,FALSE,"G &amp; A";"Month_24",#N/A,FALSE,"Manufacturing"}</definedName>
    <definedName name="wrn.PRINT._.FULL." hidden="1">{#N/A,#N/A,FALSE,"face";#N/A,#N/A,FALSE,"RETURN SUMMARY ";#N/A,#N/A,FALSE,"return RS";#N/A,#N/A,FALSE,"return US$";#N/A,#N/A,FALSE,"Key Ratio";#N/A,#N/A,FALSE,"input";#N/A,#N/A,FALSE,"fnplan";#N/A,#N/A,FALSE,"RsKW";#N/A,#N/A,FALSE,"RsKW value";#N/A,#N/A,FALSE,"gen&amp;fuel";#N/A,#N/A,FALSE,"O&amp;M+admin";#N/A,#N/A,FALSE,"dep_rskw";#N/A,#N/A,FALSE,"wc_tariff";#N/A,#N/A,FALSE,"tax-tarif1";#N/A,#N/A,FALSE,"ROE";#N/A,#N/A,FALSE,"P&amp;L";#N/A,#N/A,FALSE,"fund";#N/A,#N/A,FALSE,"B.S.";#N/A,#N/A,FALSE,"wc-P&amp;L";#N/A,#N/A,FALSE,"tax-P&amp;L";#N/A,#N/A,FALSE,"dep-p&amp;l";#N/A,#N/A,FALSE,"Project Cost P&amp;L";#N/A,#N/A,FALSE,"IDCa";#N/A,#N/A,FALSE,"TN_PCOST";#N/A,#N/A,FALSE,"Local Debt in $ CEA";#N/A,#N/A,FALSE,"Debt Service"}</definedName>
    <definedName name="wrn.printall." hidden="1">{"printall",#N/A,FALSE,"BAIRNUMB"}</definedName>
    <definedName name="wrn.Pulp." hidden="1">{"Pulp Production",#N/A,FALSE,"Pulp";"Pulp Earnings",#N/A,FALSE,"Pulp"}</definedName>
    <definedName name="wrn.Q._.Report." hidden="1">{"Quarterly Earnings",#N/A,FALSE,"FTS";"Quarterly Margins",#N/A,FALSE,"FTS";"Q Sales",#N/A,FALSE,"FTS";"Q EBIT",#N/A,FALSE,"FTS";"Unit Analysis",#N/A,FALSE,"FTS";"Inventory Analysis",#N/A,FALSE,"FTS"}</definedName>
    <definedName name="wrn.qrt95." hidden="1">{"qrt95",#N/A,FALSE,"BAIRNUMB"}</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erly." hidden="1">{"quarterly",#N/A,FALSE,"BAIRNUMB"}</definedName>
    <definedName name="wrn.RAINE." hidden="1">{"FRONT",#N/A,FALSE,"RAINE";"P AND L",#N/A,FALSE,"RAINE";"CASH AND VAL",#N/A,FALSE,"RAINE";"MODELS",#N/A,FALSE,"RAINE";"VALUATION",#N/A,FALSE,"RAINE"}</definedName>
    <definedName name="wrn.REDLAND." hidden="1">{"FRONT (REDLAND) (25)",#N/A,FALSE,"REDLAND";"P_AND_L (REDLAND) (25)",#N/A,FALSE,"REDLAND";"CASH_AND_VAL (REDLAND) (25)",#N/A,FALSE,"REDLAND";"OPERATIONAL_FORCASTS (REDLAND) (25)",#N/A,FALSE,"REDLAND";"MODELS (REDLAND) (25)",#N/A,FALSE,"REDLAND";"IND.VAL2 (REDLAND) (25)",#N/A,FALSE,"REDLAND";"IND.VAL1 (REDLAND) (25)",#N/A,FALSE,"REDLAND";"GERMAN STATS (REDLAND) (25)",#N/A,FALSE,"REDLAND";"BRASS TCE (REDLAND) (25)",#N/A,FALSE,"REDLAND";"BRASS P AND L (REDLAND) (25)",#N/A,FALSE,"REDLAND";"BRASS BALANCE (REDLAND) (25)",#N/A,FALSE,"REDLAND";"SUMPARTS (REDLAND) (23)",#N/A,FALSE,"REDLAND"}</definedName>
    <definedName name="wrn.REDROW." hidden="1">{"FRONT (REDROW)",#N/A,TRUE,"REDROW";"P ANDL (REDROW)",#N/A,TRUE,"REDROW";"CASH (REDROW)",#N/A,TRUE,"REDROW";"VALUATION (REDROW)",#N/A,TRUE,"REDROW"}</definedName>
    <definedName name="wrn.Report." hidden="1">{#N/A,#N/A,FALSE,"COVER";#N/A,#N/A,FALSE,"FORECAST";#N/A,#N/A,FALSE,"VALUATION";#N/A,#N/A,FALSE,"FY ANALYSIS ";#N/A,#N/A,FALSE," HY ANALYSIS"}</definedName>
    <definedName name="wrn.RESIDUAL." hidden="1">{"RESIDUAL",#N/A,FALSE,"RESID"}</definedName>
    <definedName name="wrn.RETURNS." hidden="1">{"BETAS",#N/A,FALSE,"RETURNS";"THEOR KE",#N/A,FALSE,"RETURNS";"IMPLIED KE",#N/A,FALSE,"RETURNS";"THEO GR",#N/A,FALSE,"RETURNS";"IMPLIED GR",#N/A,FALSE,"RETURNS";"IMPLIED KE PORD",#N/A,FALSE,"RETURNS";"ROE",#N/A,FALSE,"RETURNS";"RETENTIONS",#N/A,FALSE,"RETURNS";"RISK FREE",#N/A,FALSE,"RETURNS";"GRISKADJPER",#N/A,FALSE,"RETURNS";"THEOR PER",#N/A,FALSE,"RETURNS"}</definedName>
    <definedName name="wrn.RETURNS._.ON._.INV." hidden="1">{"RETURNINVEST",#N/A,FALSE,"ROI (%)";"RETURNS2",#N/A,FALSE,"ROI (%)";"RETURNS3",#N/A,FALSE,"ROI (%)"}</definedName>
    <definedName name="wrn.RMC." hidden="1">{"FRONT (RMC) (25)",#N/A,TRUE,"RMC";"P_AND_L (RMC) (25)",#N/A,TRUE,"RMC";"CASH_AND_VAL (RMC) (25)",#N/A,TRUE,"RMC";"INDVAL (RMC) (25)",#N/A,TRUE,"RMC"}</definedName>
    <definedName name="wrn.RUGBY." hidden="1">{"FRONT (RUGBY) (25)",#N/A,TRUE,"RUGBY";"P_AND_L (RUGBY) (25)",#N/A,TRUE,"RUGBY";"CASH_AND_VAL (RUGBY) (25)",#N/A,TRUE,"RUGBY";"VALUE (RUGBY) (25)",#N/A,TRUE,"RUGBY";"SENSIT (RUGBY) (25)",#N/A,TRUE,"RUGBY";"models1 (RUGBY) (25)",#N/A,TRUE,"RUGBY";"MODELS (RUGBY) (25)",#N/A,TRUE,"RUGBY";"JOINERY (RUGBY) (25)",#N/A,TRUE,"RUGBY"}</definedName>
    <definedName name="wrn.RUSSELL." hidden="1">{"FRONT (A. RUSSELL) (25)",#N/A,TRUE,"A. RUSSELL";"P_AND_L (A. RUSSELL) (25)",#N/A,TRUE,"A. RUSSELL";"CASH_AND_VAL (A. RUSSELL) (25)",#N/A,TRUE,"A. RUSSELL"}</definedName>
    <definedName name="wrn.Segments." hidden="1">{"view1",#N/A,FALSE,"Consolidated";"view2",#N/A,FALSE,"Consolidated (sum)";"view1",#N/A,FALSE,"Gen Sys";"view1",#N/A,FALSE,"Semicon";"view1",#N/A,FALSE,"Mess|Med";"view1",#N/A,FALSE,"Land Mob";"view1",#N/A,FALSE,"Other Prod";"view1",#N/A,FALSE,"Adj|Elim"}</definedName>
    <definedName name="wrn.Sensitivity._.Analysis." hidden="1">{"Sensitivity Tables",#N/A,FALSE,"DCF"}</definedName>
    <definedName name="wrn.SGB." hidden="1">{"P AND L",#N/A,FALSE,"SGB";"CASH AND VAL",#N/A,FALSE,"SGB";"VALUATION",#N/A,FALSE,"SGB"}</definedName>
    <definedName name="wrn.SHARPE." hidden="1">{"FRONT (SHARPE &amp; FISHER) (25)",#N/A,TRUE,"SHARPE &amp; FISHER";"P AND L (SHARPE &amp; FISHER) (25)",#N/A,TRUE,"SHARPE &amp; FISHER";"CASH AND VAL (SHARPE &amp; FISHER) (25)",#N/A,TRUE,"SHARPE &amp; FISHER"}</definedName>
    <definedName name="wrn.SIG." hidden="1">{"FRONT (SIG) (25)",#N/A,TRUE,"SIG";"P AND L (SIG) (25)",#N/A,TRUE,"SIG";"CASH AND VAL (SIG) (25)",#N/A,TRUE,"SIG";"MODELS (SIG) (25)",#N/A,TRUE,"SIG"}</definedName>
    <definedName name="wrn.SPRING._.RAM." hidden="1">{"FRONT (SPRING RAM) (29)",#N/A,TRUE,"SPRING RAM";"P_AND_L (SPRING RAM) (29)",#N/A,TRUE,"SPRING RAM";"CASH_AND_VAL (SPRING RAM) (29)",#N/A,TRUE,"SPRING RAM"}</definedName>
    <definedName name="wrn.summary." hidden="1">{#N/A,#N/A,FALSE,"P&amp;L";#N/A,#N/A,FALSE,"fund";#N/A,#N/A,FALSE,"B.S.";#N/A,#N/A,FALSE,"tax-P&amp;L";#N/A,#N/A,FALSE,"tax-tarif1"}</definedName>
    <definedName name="wrn.Tables." hidden="1">{"view1",#N/A,FALSE,"Tables";"view2",#N/A,FALSE,"Tables";"view3",#N/A,FALSE,"Tables"}</definedName>
    <definedName name="wrn.Tariff._.working." hidden="1">{#N/A,#N/A,TRUE,"input";#N/A,#N/A,TRUE,"fnplan";#N/A,#N/A,TRUE,"Key Ratio";#N/A,#N/A,TRUE,"Gen_BrkDn";#N/A,#N/A,TRUE,"RsKW";#N/A,#N/A,TRUE,"gen&amp;fuel";#N/A,#N/A,TRUE,"fuel_price";#N/A,#N/A,TRUE,"O&amp;M+admin";#N/A,#N/A,TRUE,"int(GB-debt)";#N/A,#N/A,TRUE,"dep_rskw";#N/A,#N/A,TRUE,"wc_tariff";#N/A,#N/A,TRUE,"tax-tarif1";#N/A,#N/A,TRUE,"ROE";#N/A,#N/A,TRUE,"TN_PCOST";#N/A,#N/A,TRUE,"fincost-tec";#N/A,#N/A,TRUE,"IDCa";#N/A,#N/A,TRUE,"fcloan(G)";#N/A,#N/A,TRUE,"fcloan(NO-G) ";#N/A,#N/A,TRUE,"Local Debt in $";#N/A,#N/A,TRUE,"Rsloan -CEA";#N/A,#N/A,TRUE,"SHL1 in $";#N/A,#N/A,TRUE,"SHL-1-INRs"}</definedName>
    <definedName name="wrn.TARMAC." hidden="1">{"FRONT (TARMAC) (25)",#N/A,TRUE,"TARMAC";"P_AND_L (TARMAC) (25)",#N/A,TRUE,"TARMAC";"CASH AND VAL (TARMAC) (25)",#N/A,TRUE,"TARMAC";"MODELS (TARMAC) (25)",#N/A,TRUE,"TARMAC";"MODELS2 (TARMAC) (25)",#N/A,TRUE,"TARMAC";"INDUSTRIAL (TARMAC) (25)",#N/A,TRUE,"TARMAC"}</definedName>
    <definedName name="wrn.TAYLOR._.WOODROW." hidden="1">{"FRONT (TAY. WOOD.)",#N/A,TRUE,"TAY. WOOD.";"P AND L (TAY. WOOD.)",#N/A,TRUE,"TAY. WOOD.";"CASH AND VAL (TAY. WOOD.)",#N/A,TRUE,"TAY. WOOD.";"MODELS (TAY. WOOD.)",#N/A,TRUE,"TAY. WOOD.";"MODELS2 (TAY. WOOD.)",#N/A,TRUE,"TAY. WOOD.";"MODELS3 (TAY. WOOD.)",#N/A,TRUE,"TAY. WOOD."}</definedName>
    <definedName name="wrn.TILDOUG." hidden="1">{"PANDL (TILDOUG)",#N/A,TRUE,"TILDOUG";"CASH (TILDOUG)",#N/A,TRUE,"TILDOUG";"VALUATION (TILDOUG)",#N/A,TRUE,"TILDOUG"}</definedName>
    <definedName name="wrn.TRAVIS._.PERKINS." hidden="1">{"FRONT (TRAVIS PERK) (25)",#N/A,TRUE,"TRAVIS PERK";"P_AND_L (TRAVIS PERK) (25)",#N/A,TRUE,"TRAVIS PERK";"CASH_AND_VAL (TRAVIS PERK) (25)",#N/A,TRUE,"TRAVIS PERK"}</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WAINHOMES." hidden="1">{"FRONT (WAIN)",#N/A,TRUE,"WAIN";"P AND L (WAIN)",#N/A,TRUE,"WAIN";"CASH (WAIN)",#N/A,TRUE,"WAIN";"VALUATION (WAIN)",#N/A,TRUE,"WAIN";"MODELS (WAIN)",#N/A,TRUE,"WAIN";"ASSETVAL (WAIN)",#N/A,TRUE,"WAIN"}</definedName>
    <definedName name="wrn.WESTBURY." hidden="1">{"P AND L (WESTBURY)",#N/A,FALSE,"WESTBURY";"CASHFLOW (WESTBURY)",#N/A,FALSE,"WESTBURY";"VALUATION (WESTBURY)",#N/A,FALSE,"WESTBURY";"ASSETVAL (WESTBURY)",#N/A,FALSE,"WESTBURY";"MODELS (WESTBURY)",#N/A,FALSE,"WESTBURY"}</definedName>
    <definedName name="wrn.WILCON." hidden="1">{"FRONT (WILCON)",#N/A,TRUE,"COSTAIN";"PANDL (WILCON)",#N/A,TRUE,"COSTAIN";"CASHMODEL (WILCON)",#N/A,TRUE,"COSTAIN";"VALUATION (WILCON)",#N/A,TRUE,"COSTAIN";"ASSETVAL (WILCON)",#N/A,TRUE,"COSTAIN"}</definedName>
    <definedName name="wrn.WILSON._.B." hidden="1">{"FRONT (WILSON B)",#N/A,TRUE,"WILSON B";"P AND L (WILSON B)",#N/A,TRUE,"WILSON B";"CASH AND MODEL (WILSON B)",#N/A,TRUE,"WILSON B";"VALUATION (WILSON B)",#N/A,TRUE,"WILSON B";"ASSETVAL (WILSON B)",#N/A,TRUE,"WILSON B";"MODELS (WILSON B)",#N/A,TRUE,"WILSON B";"MATRIX (WILSON B)",#N/A,TRUE,"WILSON B";"TRENCH (WILSON B)",#N/A,TRUE,"WILSON B"}</definedName>
    <definedName name="wrn.WIMPEY." hidden="1">{"FRONT (WIMPEY)",#N/A,TRUE,"WIMPEY";"P AND L (WIMPEY)",#N/A,TRUE,"WIMPEY";"CASH AND VAL (WIMPEY)",#N/A,TRUE,"WIMPEY";"MODELS (WIMPEY)",#N/A,TRUE,"WIMPEY";"MODELS2 (WIMPEY)",#N/A,TRUE,"WIMPEY";"MODELS3 (WIMPEY)",#N/A,TRUE,"WIMPEY";"MODELS3A (WIMPEY)",#N/A,TRUE,"WIMPEY";"ASSET VAL (WIMPEY)",#N/A,TRUE,"WIMPEY"}</definedName>
    <definedName name="wrn.WOLSELEY." hidden="1">{"FRONT (WOLSELEY) (23)",#N/A,TRUE,"WOLSELEY";"P AND L (WOLSELEY) (23)",#N/A,TRUE,"WOLSELEY";"CASH AND VAL (WOLSELEY) (23)",#N/A,TRUE,"WOLSELEY";"VALUATION (WOLSELEY) (23)",#N/A,TRUE,"WOLSELEY";"VALUATION (WOLSELEY) (21)",#N/A,TRUE,"WOLSELEY";"CASHFLOWVAL (WOLSELEY) (23)",#N/A,TRUE,"WOLSELEY";"MODELS3 (WOLSELEY) (23)",#N/A,TRUE,"WOLSELEY";"MODELS2 (WOLSELEY) (23)",#N/A,TRUE,"WOLSELEY";"MODELS (WOLSELEY) (23)",#N/A,TRUE,"WOLSELEY"}</definedName>
    <definedName name="YearQtr_title">#N/A</definedName>
  </definedNames>
  <calcPr calcId="145621"/>
</workbook>
</file>

<file path=xl/calcChain.xml><?xml version="1.0" encoding="utf-8"?>
<calcChain xmlns="http://schemas.openxmlformats.org/spreadsheetml/2006/main">
  <c r="DK125" i="8" l="1"/>
  <c r="DL125" i="8"/>
  <c r="DB129" i="98" l="1"/>
  <c r="D26" i="95" l="1"/>
  <c r="DC12" i="8" l="1"/>
  <c r="D28" i="95" s="1"/>
  <c r="DC18" i="8"/>
  <c r="DB160" i="1" l="1"/>
  <c r="DA153" i="1"/>
  <c r="DA70" i="1"/>
  <c r="DA69" i="1"/>
  <c r="DA68" i="1"/>
  <c r="DA67" i="1"/>
  <c r="EG106" i="1"/>
  <c r="EG104" i="1"/>
  <c r="EG103" i="1"/>
  <c r="EG79" i="1"/>
  <c r="EG65" i="1"/>
  <c r="EG64" i="1"/>
  <c r="EG53" i="1"/>
  <c r="EG52" i="1"/>
  <c r="EG50" i="1"/>
  <c r="EG48" i="1"/>
  <c r="EG46" i="1"/>
  <c r="EG43" i="1"/>
  <c r="EG23" i="1"/>
  <c r="EG8" i="1"/>
  <c r="ED106" i="1"/>
  <c r="ED104" i="1"/>
  <c r="ED103" i="1"/>
  <c r="ED80" i="1"/>
  <c r="ED79" i="1"/>
  <c r="ED65" i="1"/>
  <c r="ED64" i="1"/>
  <c r="ED53" i="1"/>
  <c r="ED52" i="1"/>
  <c r="ED50" i="1"/>
  <c r="ED48" i="1"/>
  <c r="ED43" i="1"/>
  <c r="ED37" i="1"/>
  <c r="ED35" i="1"/>
  <c r="ED32" i="1"/>
  <c r="ED28" i="1"/>
  <c r="ED23" i="1"/>
  <c r="ED15" i="1"/>
  <c r="ED14" i="1"/>
  <c r="ED13" i="1"/>
  <c r="ED9" i="1"/>
  <c r="ED8" i="1"/>
  <c r="CZ178" i="1" l="1"/>
  <c r="CZ169" i="1"/>
  <c r="CZ180" i="1"/>
  <c r="CY180" i="1"/>
  <c r="CX180" i="1"/>
  <c r="CY169" i="1"/>
  <c r="CT175" i="1"/>
  <c r="CX171" i="1"/>
  <c r="CU171" i="1"/>
  <c r="CX170" i="1"/>
  <c r="DF194" i="1"/>
  <c r="DK194" i="1" s="1"/>
  <c r="DP194" i="1" s="1"/>
  <c r="DU194" i="1" s="1"/>
  <c r="DZ194" i="1" s="1"/>
  <c r="DE194" i="1"/>
  <c r="DJ194" i="1" s="1"/>
  <c r="DD194" i="1"/>
  <c r="DI194" i="1" s="1"/>
  <c r="DC194" i="1"/>
  <c r="DH194" i="1" s="1"/>
  <c r="DA195" i="1"/>
  <c r="EA114" i="98" l="1"/>
  <c r="DV114" i="98"/>
  <c r="DQ114" i="98"/>
  <c r="DL114" i="98"/>
  <c r="DG114" i="98"/>
  <c r="DB18" i="8" l="1"/>
  <c r="DB12" i="8"/>
  <c r="CZ58" i="98" l="1"/>
  <c r="DA58" i="98" l="1"/>
  <c r="DB58" i="98" s="1"/>
  <c r="CZ70" i="1"/>
  <c r="CZ69" i="1"/>
  <c r="CZ68" i="1"/>
  <c r="CZ67" i="1"/>
  <c r="CZ51" i="1"/>
  <c r="DB151" i="1"/>
  <c r="DB146" i="1"/>
  <c r="DB145" i="1"/>
  <c r="DB144" i="1"/>
  <c r="DB143" i="1"/>
  <c r="DB142" i="1"/>
  <c r="DB141" i="1"/>
  <c r="DB140" i="1"/>
  <c r="DB139" i="1"/>
  <c r="CZ36" i="1"/>
  <c r="CZ22" i="1"/>
  <c r="CZ38" i="1" l="1"/>
  <c r="CZ73" i="1" s="1"/>
  <c r="CZ71" i="1"/>
  <c r="CY178" i="1" l="1"/>
  <c r="CY177" i="1" s="1"/>
  <c r="CX178" i="1"/>
  <c r="CX177" i="1" s="1"/>
  <c r="CX179" i="1" s="1"/>
  <c r="CV178" i="1"/>
  <c r="DA18" i="8" l="1"/>
  <c r="CY66" i="98"/>
  <c r="CY62" i="98"/>
  <c r="CY61" i="98"/>
  <c r="CY59" i="98"/>
  <c r="CY57" i="98"/>
  <c r="CY56" i="98"/>
  <c r="CY47" i="98"/>
  <c r="CY41" i="98"/>
  <c r="CY40" i="98"/>
  <c r="CY28" i="98"/>
  <c r="CY35" i="98"/>
  <c r="CY34" i="98"/>
  <c r="CY33" i="98"/>
  <c r="CY32" i="98"/>
  <c r="CY31" i="98"/>
  <c r="CY27" i="98"/>
  <c r="CY23" i="98"/>
  <c r="CY20" i="98"/>
  <c r="CY16" i="98"/>
  <c r="CY15" i="98"/>
  <c r="CY14" i="98"/>
  <c r="CY11" i="98"/>
  <c r="DA119" i="8"/>
  <c r="DA124" i="8" s="1"/>
  <c r="DA120" i="8"/>
  <c r="CZ33" i="98" l="1"/>
  <c r="DA33" i="98" s="1"/>
  <c r="CZ40" i="98"/>
  <c r="DA40" i="98" s="1"/>
  <c r="CZ66" i="98"/>
  <c r="DA66" i="98" s="1"/>
  <c r="CZ15" i="98"/>
  <c r="DA15" i="98"/>
  <c r="CZ34" i="98"/>
  <c r="DA34" i="98" s="1"/>
  <c r="CZ41" i="98"/>
  <c r="DA41" i="98" s="1"/>
  <c r="CZ59" i="98"/>
  <c r="DA59" i="98" s="1"/>
  <c r="CZ16" i="98"/>
  <c r="DA16" i="98" s="1"/>
  <c r="CZ31" i="98"/>
  <c r="DA31" i="98" s="1"/>
  <c r="CZ35" i="98"/>
  <c r="DA35" i="98" s="1"/>
  <c r="CZ47" i="98"/>
  <c r="DA47" i="98" s="1"/>
  <c r="CZ61" i="98"/>
  <c r="DA61" i="98" s="1"/>
  <c r="DB61" i="98" s="1"/>
  <c r="CZ23" i="98"/>
  <c r="DA23" i="98" s="1"/>
  <c r="CZ57" i="98"/>
  <c r="DA57" i="98" s="1"/>
  <c r="CZ27" i="98"/>
  <c r="DA27" i="98" s="1"/>
  <c r="CZ11" i="98"/>
  <c r="DA11" i="98" s="1"/>
  <c r="CZ20" i="98"/>
  <c r="DA20" i="98" s="1"/>
  <c r="CZ32" i="98"/>
  <c r="DA32" i="98" s="1"/>
  <c r="CZ28" i="98"/>
  <c r="DA28" i="98"/>
  <c r="CZ56" i="98"/>
  <c r="DA56" i="98" s="1"/>
  <c r="CZ62" i="98"/>
  <c r="CZ171" i="1" s="1"/>
  <c r="CY171" i="1"/>
  <c r="CZ14" i="98"/>
  <c r="CZ91" i="98" s="1"/>
  <c r="DB66" i="98" l="1"/>
  <c r="DB56" i="98"/>
  <c r="DB59" i="98"/>
  <c r="DB20" i="98"/>
  <c r="DB57" i="98"/>
  <c r="DA36" i="98"/>
  <c r="CZ36" i="98"/>
  <c r="DA14" i="98"/>
  <c r="EI37" i="1"/>
  <c r="CY51" i="1" l="1"/>
  <c r="CY70" i="1"/>
  <c r="CY69" i="1"/>
  <c r="CY68" i="1"/>
  <c r="CY67" i="1"/>
  <c r="EG7" i="1" l="1"/>
  <c r="DL56" i="98" l="1"/>
  <c r="CW66" i="98" l="1"/>
  <c r="CS20" i="8" l="1"/>
  <c r="DA269" i="8" l="1"/>
  <c r="DB269" i="8" s="1"/>
  <c r="DC269" i="8" s="1"/>
  <c r="DD269" i="8" s="1"/>
  <c r="DE269" i="8" s="1"/>
  <c r="DF269" i="8" s="1"/>
  <c r="DG269" i="8" s="1"/>
  <c r="DH269" i="8" s="1"/>
  <c r="DI269" i="8" s="1"/>
  <c r="DJ269" i="8" s="1"/>
  <c r="DK269" i="8" s="1"/>
  <c r="DL269" i="8" s="1"/>
  <c r="DM269" i="8" s="1"/>
  <c r="DN269" i="8" s="1"/>
  <c r="DO269" i="8" s="1"/>
  <c r="DP269" i="8" s="1"/>
  <c r="DQ269" i="8" s="1"/>
  <c r="DR269" i="8" s="1"/>
  <c r="DS269" i="8" s="1"/>
  <c r="DT269" i="8" s="1"/>
  <c r="DU269" i="8" s="1"/>
  <c r="DV269" i="8" s="1"/>
  <c r="DW269" i="8" s="1"/>
  <c r="DX269" i="8" s="1"/>
  <c r="DY269" i="8" s="1"/>
  <c r="DZ269" i="8" s="1"/>
  <c r="EA269" i="8" s="1"/>
  <c r="EB269" i="8" s="1"/>
  <c r="EC269" i="8" s="1"/>
  <c r="DE244" i="8"/>
  <c r="DG56" i="98"/>
  <c r="DF245" i="8"/>
  <c r="DY267" i="8"/>
  <c r="DZ267" i="8" s="1"/>
  <c r="EA267" i="8" s="1"/>
  <c r="EB267" i="8" s="1"/>
  <c r="DT267" i="8"/>
  <c r="DU267" i="8" s="1"/>
  <c r="DV267" i="8" s="1"/>
  <c r="DW267" i="8" s="1"/>
  <c r="DO267" i="8"/>
  <c r="DP267" i="8" s="1"/>
  <c r="DQ267" i="8" s="1"/>
  <c r="DR267" i="8" s="1"/>
  <c r="DJ267" i="8"/>
  <c r="DK267" i="8" s="1"/>
  <c r="DL267" i="8" s="1"/>
  <c r="DM267" i="8" s="1"/>
  <c r="DB241" i="8"/>
  <c r="DC241" i="8" s="1"/>
  <c r="DE267" i="8"/>
  <c r="DF267" i="8" s="1"/>
  <c r="DG267" i="8" s="1"/>
  <c r="DH267" i="8" s="1"/>
  <c r="DB242" i="8"/>
  <c r="DC242" i="8" s="1"/>
  <c r="DD242" i="8" s="1"/>
  <c r="DE242" i="8" s="1"/>
  <c r="DF242" i="8" s="1"/>
  <c r="DG242" i="8" s="1"/>
  <c r="DH242" i="8" s="1"/>
  <c r="DI242" i="8" s="1"/>
  <c r="DJ242" i="8" s="1"/>
  <c r="DK242" i="8" s="1"/>
  <c r="DL242" i="8" s="1"/>
  <c r="DM242" i="8" s="1"/>
  <c r="DN242" i="8" s="1"/>
  <c r="DO242" i="8" s="1"/>
  <c r="DP242" i="8" s="1"/>
  <c r="DQ242" i="8" s="1"/>
  <c r="DR242" i="8" s="1"/>
  <c r="DS242" i="8" s="1"/>
  <c r="DT242" i="8" s="1"/>
  <c r="DU242" i="8" s="1"/>
  <c r="DV242" i="8" s="1"/>
  <c r="DW242" i="8" s="1"/>
  <c r="DX242" i="8" s="1"/>
  <c r="DY242" i="8" s="1"/>
  <c r="DZ242" i="8" s="1"/>
  <c r="EA242" i="8" s="1"/>
  <c r="EB242" i="8" s="1"/>
  <c r="EC242" i="8" s="1"/>
  <c r="DB267" i="8"/>
  <c r="DC267" i="8" s="1"/>
  <c r="DA270" i="8"/>
  <c r="DB270" i="8" s="1"/>
  <c r="DC270" i="8" s="1"/>
  <c r="DD270" i="8" s="1"/>
  <c r="DE270" i="8" s="1"/>
  <c r="DF270" i="8" s="1"/>
  <c r="DG270" i="8" s="1"/>
  <c r="DH270" i="8" s="1"/>
  <c r="DI270" i="8" s="1"/>
  <c r="DJ270" i="8" s="1"/>
  <c r="DK270" i="8" s="1"/>
  <c r="DL270" i="8" s="1"/>
  <c r="DM270" i="8" s="1"/>
  <c r="DN270" i="8" s="1"/>
  <c r="DO270" i="8" s="1"/>
  <c r="DP270" i="8" s="1"/>
  <c r="DQ270" i="8" s="1"/>
  <c r="DR270" i="8" s="1"/>
  <c r="DS270" i="8" s="1"/>
  <c r="DT270" i="8" s="1"/>
  <c r="DU270" i="8" s="1"/>
  <c r="DV270" i="8" s="1"/>
  <c r="DW270" i="8" s="1"/>
  <c r="DX270" i="8" s="1"/>
  <c r="DY270" i="8" s="1"/>
  <c r="DZ270" i="8" s="1"/>
  <c r="EA270" i="8" s="1"/>
  <c r="EB270" i="8" s="1"/>
  <c r="EC270" i="8" s="1"/>
  <c r="DA263" i="8"/>
  <c r="DB263" i="8" s="1"/>
  <c r="DC263" i="8" s="1"/>
  <c r="DD263" i="8" s="1"/>
  <c r="DE263" i="8" s="1"/>
  <c r="DF263" i="8" s="1"/>
  <c r="DG263" i="8" s="1"/>
  <c r="DH263" i="8" s="1"/>
  <c r="DI263" i="8" s="1"/>
  <c r="DJ263" i="8" s="1"/>
  <c r="DK263" i="8" s="1"/>
  <c r="DL263" i="8" s="1"/>
  <c r="DM263" i="8" s="1"/>
  <c r="DN263" i="8" s="1"/>
  <c r="DO263" i="8" s="1"/>
  <c r="DP263" i="8" s="1"/>
  <c r="DQ263" i="8" s="1"/>
  <c r="DR263" i="8" s="1"/>
  <c r="DS263" i="8" s="1"/>
  <c r="DT263" i="8" s="1"/>
  <c r="DU263" i="8" s="1"/>
  <c r="DV263" i="8" s="1"/>
  <c r="DW263" i="8" s="1"/>
  <c r="DX263" i="8" s="1"/>
  <c r="DY263" i="8" s="1"/>
  <c r="DZ263" i="8" s="1"/>
  <c r="EA263" i="8" s="1"/>
  <c r="EB263" i="8" s="1"/>
  <c r="EC263" i="8" s="1"/>
  <c r="DA264" i="8"/>
  <c r="DB264" i="8" s="1"/>
  <c r="DC264" i="8" s="1"/>
  <c r="DD264" i="8" s="1"/>
  <c r="DE264" i="8" s="1"/>
  <c r="DF264" i="8" s="1"/>
  <c r="DG264" i="8" s="1"/>
  <c r="DH264" i="8" s="1"/>
  <c r="DI264" i="8" s="1"/>
  <c r="DJ264" i="8" s="1"/>
  <c r="DK264" i="8" s="1"/>
  <c r="DL264" i="8" s="1"/>
  <c r="DM264" i="8" s="1"/>
  <c r="DN264" i="8" s="1"/>
  <c r="DO264" i="8" s="1"/>
  <c r="DP264" i="8" s="1"/>
  <c r="DQ264" i="8" s="1"/>
  <c r="DR264" i="8" s="1"/>
  <c r="DS264" i="8" s="1"/>
  <c r="DT264" i="8" s="1"/>
  <c r="DU264" i="8" s="1"/>
  <c r="DV264" i="8" s="1"/>
  <c r="DW264" i="8" s="1"/>
  <c r="DX264" i="8" s="1"/>
  <c r="DY264" i="8" s="1"/>
  <c r="DZ264" i="8" s="1"/>
  <c r="EA264" i="8" s="1"/>
  <c r="EB264" i="8" s="1"/>
  <c r="EC264" i="8" s="1"/>
  <c r="DA265" i="8"/>
  <c r="DB265" i="8" s="1"/>
  <c r="DC265" i="8" s="1"/>
  <c r="DD265" i="8" s="1"/>
  <c r="DE265" i="8" s="1"/>
  <c r="DF265" i="8" s="1"/>
  <c r="DG265" i="8" s="1"/>
  <c r="DH265" i="8" s="1"/>
  <c r="DI265" i="8" s="1"/>
  <c r="DJ265" i="8" s="1"/>
  <c r="DK265" i="8" s="1"/>
  <c r="DL265" i="8" s="1"/>
  <c r="DM265" i="8" s="1"/>
  <c r="DN265" i="8" s="1"/>
  <c r="DO265" i="8" s="1"/>
  <c r="DP265" i="8" s="1"/>
  <c r="DQ265" i="8" s="1"/>
  <c r="DR265" i="8" s="1"/>
  <c r="DS265" i="8" s="1"/>
  <c r="DT265" i="8" s="1"/>
  <c r="DU265" i="8" s="1"/>
  <c r="DV265" i="8" s="1"/>
  <c r="DW265" i="8" s="1"/>
  <c r="DX265" i="8" s="1"/>
  <c r="DY265" i="8" s="1"/>
  <c r="DZ265" i="8" s="1"/>
  <c r="EA265" i="8" s="1"/>
  <c r="EB265" i="8" s="1"/>
  <c r="EC265" i="8" s="1"/>
  <c r="DA262" i="8"/>
  <c r="DB262" i="8" s="1"/>
  <c r="DC262" i="8" s="1"/>
  <c r="DD262" i="8" s="1"/>
  <c r="DE262" i="8" s="1"/>
  <c r="DF262" i="8" s="1"/>
  <c r="DG262" i="8" s="1"/>
  <c r="DH262" i="8" s="1"/>
  <c r="DI262" i="8" s="1"/>
  <c r="DJ262" i="8" s="1"/>
  <c r="DK262" i="8" s="1"/>
  <c r="DL262" i="8" s="1"/>
  <c r="DM262" i="8" s="1"/>
  <c r="DN262" i="8" s="1"/>
  <c r="DO262" i="8" s="1"/>
  <c r="DP262" i="8" s="1"/>
  <c r="DQ262" i="8" s="1"/>
  <c r="DR262" i="8" s="1"/>
  <c r="DS262" i="8" s="1"/>
  <c r="DT262" i="8" s="1"/>
  <c r="DU262" i="8" s="1"/>
  <c r="DV262" i="8" s="1"/>
  <c r="DW262" i="8" s="1"/>
  <c r="DX262" i="8" s="1"/>
  <c r="DY262" i="8" s="1"/>
  <c r="DZ262" i="8" s="1"/>
  <c r="EA262" i="8" s="1"/>
  <c r="EB262" i="8" s="1"/>
  <c r="EC262" i="8" s="1"/>
  <c r="DA266" i="8"/>
  <c r="DB266" i="8" s="1"/>
  <c r="DC266" i="8" s="1"/>
  <c r="DD266" i="8" s="1"/>
  <c r="DE266" i="8" s="1"/>
  <c r="DF266" i="8" s="1"/>
  <c r="DG266" i="8" s="1"/>
  <c r="DH266" i="8" s="1"/>
  <c r="DI266" i="8" s="1"/>
  <c r="DJ266" i="8" s="1"/>
  <c r="DK266" i="8" s="1"/>
  <c r="DL266" i="8" s="1"/>
  <c r="DM266" i="8" s="1"/>
  <c r="DN266" i="8" s="1"/>
  <c r="DO266" i="8" s="1"/>
  <c r="DP266" i="8" s="1"/>
  <c r="DQ266" i="8" s="1"/>
  <c r="DR266" i="8" s="1"/>
  <c r="DS266" i="8" s="1"/>
  <c r="DT266" i="8" s="1"/>
  <c r="DU266" i="8" s="1"/>
  <c r="DV266" i="8" s="1"/>
  <c r="DW266" i="8" s="1"/>
  <c r="DX266" i="8" s="1"/>
  <c r="DY266" i="8" s="1"/>
  <c r="DZ266" i="8" s="1"/>
  <c r="EA266" i="8" s="1"/>
  <c r="EB266" i="8" s="1"/>
  <c r="EC266" i="8" s="1"/>
  <c r="CZ266" i="8"/>
  <c r="CX268" i="8"/>
  <c r="CZ268" i="8"/>
  <c r="DA268" i="8" s="1"/>
  <c r="DB268" i="8" s="1"/>
  <c r="DC268" i="8" s="1"/>
  <c r="DD268" i="8" s="1"/>
  <c r="DE268" i="8" s="1"/>
  <c r="DF268" i="8" s="1"/>
  <c r="DG268" i="8" s="1"/>
  <c r="DH268" i="8" s="1"/>
  <c r="DI268" i="8" s="1"/>
  <c r="DJ268" i="8" s="1"/>
  <c r="DK268" i="8" s="1"/>
  <c r="DL268" i="8" s="1"/>
  <c r="DM268" i="8" s="1"/>
  <c r="DN268" i="8" s="1"/>
  <c r="DO268" i="8" s="1"/>
  <c r="DP268" i="8" s="1"/>
  <c r="DQ268" i="8" s="1"/>
  <c r="DR268" i="8" s="1"/>
  <c r="DS268" i="8" s="1"/>
  <c r="DT268" i="8" s="1"/>
  <c r="DU268" i="8" s="1"/>
  <c r="DV268" i="8" s="1"/>
  <c r="DW268" i="8" s="1"/>
  <c r="DX268" i="8" s="1"/>
  <c r="DY268" i="8" s="1"/>
  <c r="DZ268" i="8" s="1"/>
  <c r="EA268" i="8" s="1"/>
  <c r="EB268" i="8" s="1"/>
  <c r="EC268" i="8" s="1"/>
  <c r="DB54" i="98" l="1"/>
  <c r="DB148" i="1" l="1"/>
  <c r="DB147" i="1"/>
  <c r="CM129" i="98" l="1"/>
  <c r="CR129" i="98"/>
  <c r="CW129" i="98"/>
  <c r="EC245" i="8" l="1"/>
  <c r="EB245" i="8"/>
  <c r="EA245" i="8"/>
  <c r="DZ245" i="8"/>
  <c r="DY245" i="8"/>
  <c r="DY235" i="8"/>
  <c r="EC210" i="8"/>
  <c r="EC83" i="8"/>
  <c r="EB83" i="8"/>
  <c r="EA83" i="8"/>
  <c r="DZ83" i="8"/>
  <c r="DY83" i="8"/>
  <c r="EC54" i="8"/>
  <c r="EB54" i="8"/>
  <c r="EA54" i="8"/>
  <c r="DZ54" i="8"/>
  <c r="DY54" i="8"/>
  <c r="DX245" i="8"/>
  <c r="DW245" i="8"/>
  <c r="DV245" i="8"/>
  <c r="DU245" i="8"/>
  <c r="DT245" i="8"/>
  <c r="DT235" i="8"/>
  <c r="DX210" i="8"/>
  <c r="DX83" i="8"/>
  <c r="DW83" i="8"/>
  <c r="DV83" i="8"/>
  <c r="DU83" i="8"/>
  <c r="DT83" i="8"/>
  <c r="DX54" i="8"/>
  <c r="DW54" i="8"/>
  <c r="DV54" i="8"/>
  <c r="DU54" i="8"/>
  <c r="DT54" i="8"/>
  <c r="DZ182" i="1"/>
  <c r="DZ210" i="1" s="1"/>
  <c r="DY182" i="1"/>
  <c r="DY210" i="1" s="1"/>
  <c r="DX182" i="1"/>
  <c r="DX210" i="1" s="1"/>
  <c r="DW182" i="1"/>
  <c r="DW210" i="1" s="1"/>
  <c r="EA173" i="1"/>
  <c r="DZ167" i="1"/>
  <c r="DY167" i="1"/>
  <c r="DY215" i="1" s="1"/>
  <c r="DX167" i="1"/>
  <c r="DX215" i="1" s="1"/>
  <c r="DW167" i="1"/>
  <c r="EA165" i="1"/>
  <c r="DZ165" i="1"/>
  <c r="DY165" i="1"/>
  <c r="DX165" i="1"/>
  <c r="DW165" i="1"/>
  <c r="DZ162" i="1"/>
  <c r="DY162" i="1"/>
  <c r="DX162" i="1"/>
  <c r="DW162" i="1"/>
  <c r="EA135" i="1"/>
  <c r="DZ135" i="1"/>
  <c r="DY135" i="1"/>
  <c r="DX135" i="1"/>
  <c r="DW135" i="1"/>
  <c r="EA129" i="1"/>
  <c r="DZ57" i="1"/>
  <c r="DZ28" i="98" s="1"/>
  <c r="DY57" i="1"/>
  <c r="DX57" i="1"/>
  <c r="DX28" i="98" s="1"/>
  <c r="DW57" i="1"/>
  <c r="DW28" i="98" s="1"/>
  <c r="EA56" i="1"/>
  <c r="EA53" i="1"/>
  <c r="EA52" i="1"/>
  <c r="EA48" i="1"/>
  <c r="EA44" i="1"/>
  <c r="DU182" i="1"/>
  <c r="DU210" i="1" s="1"/>
  <c r="DT182" i="1"/>
  <c r="DT210" i="1" s="1"/>
  <c r="DS182" i="1"/>
  <c r="DS210" i="1" s="1"/>
  <c r="DR182" i="1"/>
  <c r="DR210" i="1" s="1"/>
  <c r="DV173" i="1"/>
  <c r="DU167" i="1"/>
  <c r="DT167" i="1"/>
  <c r="DS167" i="1"/>
  <c r="DS215" i="1" s="1"/>
  <c r="DR167" i="1"/>
  <c r="DR215" i="1" s="1"/>
  <c r="DV165" i="1"/>
  <c r="DU165" i="1"/>
  <c r="DT165" i="1"/>
  <c r="DS165" i="1"/>
  <c r="DR165" i="1"/>
  <c r="DU162" i="1"/>
  <c r="DT162" i="1"/>
  <c r="DS162" i="1"/>
  <c r="DR162" i="1"/>
  <c r="DV135" i="1"/>
  <c r="DU135" i="1"/>
  <c r="DT135" i="1"/>
  <c r="DS135" i="1"/>
  <c r="DR135" i="1"/>
  <c r="DV129" i="1"/>
  <c r="DU57" i="1"/>
  <c r="DU21" i="98" s="1"/>
  <c r="DT57" i="1"/>
  <c r="DT28" i="98" s="1"/>
  <c r="DS57" i="1"/>
  <c r="DS28" i="98" s="1"/>
  <c r="DR57" i="1"/>
  <c r="DR21" i="98" s="1"/>
  <c r="DV56" i="1"/>
  <c r="DV53" i="1"/>
  <c r="DV52" i="1"/>
  <c r="DV48" i="1"/>
  <c r="DV44" i="1"/>
  <c r="DZ87" i="98"/>
  <c r="DY87" i="98"/>
  <c r="DX87" i="98"/>
  <c r="DW87" i="98"/>
  <c r="DZ86" i="98"/>
  <c r="DY86" i="98"/>
  <c r="DX86" i="98"/>
  <c r="DW86" i="98"/>
  <c r="DZ81" i="98"/>
  <c r="DY81" i="98"/>
  <c r="DX81" i="98"/>
  <c r="DW81" i="98"/>
  <c r="EA72" i="98"/>
  <c r="DZ72" i="98"/>
  <c r="DY72" i="98"/>
  <c r="DX72" i="98"/>
  <c r="DW72" i="98"/>
  <c r="EA59" i="98"/>
  <c r="EA86" i="98" s="1"/>
  <c r="EA57" i="98"/>
  <c r="EA87" i="98" s="1"/>
  <c r="EA55" i="98"/>
  <c r="EA45" i="98"/>
  <c r="EA81" i="98" s="1"/>
  <c r="DY28" i="98"/>
  <c r="EA26" i="98"/>
  <c r="EA25" i="98"/>
  <c r="EA24" i="98"/>
  <c r="DY21" i="98"/>
  <c r="DW21" i="98"/>
  <c r="DU87" i="98"/>
  <c r="DT87" i="98"/>
  <c r="DS87" i="98"/>
  <c r="DR87" i="98"/>
  <c r="DU86" i="98"/>
  <c r="DT86" i="98"/>
  <c r="DS86" i="98"/>
  <c r="DR86" i="98"/>
  <c r="DU81" i="98"/>
  <c r="DT81" i="98"/>
  <c r="DS81" i="98"/>
  <c r="DR81" i="98"/>
  <c r="DV72" i="98"/>
  <c r="DU72" i="98"/>
  <c r="DT72" i="98"/>
  <c r="DS72" i="98"/>
  <c r="DR72" i="98"/>
  <c r="DV59" i="98"/>
  <c r="DV86" i="98" s="1"/>
  <c r="DV57" i="98"/>
  <c r="DV87" i="98" s="1"/>
  <c r="DV55" i="98"/>
  <c r="DV45" i="98"/>
  <c r="DV81" i="98" s="1"/>
  <c r="DV26" i="98"/>
  <c r="DV25" i="98"/>
  <c r="DV24" i="98"/>
  <c r="DS21" i="98"/>
  <c r="DZ16" i="98"/>
  <c r="DY16" i="98"/>
  <c r="DX16" i="98"/>
  <c r="DU16" i="98"/>
  <c r="DT16" i="98"/>
  <c r="DS16" i="98"/>
  <c r="DS15" i="98"/>
  <c r="DT21" i="98" l="1"/>
  <c r="DV21" i="98" s="1"/>
  <c r="DU28" i="98"/>
  <c r="DZ21" i="98"/>
  <c r="DX21" i="98"/>
  <c r="DZ15" i="98"/>
  <c r="DW15" i="98"/>
  <c r="DU15" i="98"/>
  <c r="DR15" i="98"/>
  <c r="DT15" i="98"/>
  <c r="DY15" i="98"/>
  <c r="DR16" i="98"/>
  <c r="DV16" i="98" s="1"/>
  <c r="DS36" i="1"/>
  <c r="DS214" i="1" s="1"/>
  <c r="DX36" i="1"/>
  <c r="DX214" i="1" s="1"/>
  <c r="DW16" i="98"/>
  <c r="EA16" i="98" s="1"/>
  <c r="DX15" i="98"/>
  <c r="EA167" i="1"/>
  <c r="EA215" i="1" s="1"/>
  <c r="EA28" i="98"/>
  <c r="DZ235" i="8"/>
  <c r="DU235" i="8"/>
  <c r="DV37" i="1"/>
  <c r="EA57" i="1"/>
  <c r="DZ215" i="1"/>
  <c r="DW215" i="1"/>
  <c r="DR28" i="98"/>
  <c r="DV167" i="1"/>
  <c r="DV215" i="1" s="1"/>
  <c r="DV57" i="1"/>
  <c r="DT215" i="1"/>
  <c r="DU215" i="1"/>
  <c r="DZ36" i="1" l="1"/>
  <c r="DZ214" i="1" s="1"/>
  <c r="EA32" i="1"/>
  <c r="DY36" i="1"/>
  <c r="DY214" i="1" s="1"/>
  <c r="EA35" i="1"/>
  <c r="EA15" i="98"/>
  <c r="EA21" i="98"/>
  <c r="DV15" i="98"/>
  <c r="DV32" i="1"/>
  <c r="DU36" i="1"/>
  <c r="DU214" i="1" s="1"/>
  <c r="DT36" i="1"/>
  <c r="DT214" i="1" s="1"/>
  <c r="DR36" i="1"/>
  <c r="DR214" i="1" s="1"/>
  <c r="DW36" i="1"/>
  <c r="DW214" i="1" s="1"/>
  <c r="EA37" i="1"/>
  <c r="DV35" i="1"/>
  <c r="DV28" i="98"/>
  <c r="DV36" i="1" l="1"/>
  <c r="DV214" i="1" s="1"/>
  <c r="EA36" i="1"/>
  <c r="EA214" i="1" s="1"/>
  <c r="DR125" i="8" l="1"/>
  <c r="DW125" i="8" s="1"/>
  <c r="EB125" i="8" s="1"/>
  <c r="CZ129" i="8"/>
  <c r="DE149" i="1" l="1"/>
  <c r="DE152" i="1" s="1"/>
  <c r="DF149" i="1"/>
  <c r="DF152" i="1" s="1"/>
  <c r="DC149" i="1"/>
  <c r="DC152" i="1" s="1"/>
  <c r="DD149" i="1"/>
  <c r="DD152" i="1" s="1"/>
  <c r="DA149" i="1" l="1"/>
  <c r="CY149" i="1"/>
  <c r="DF153" i="1"/>
  <c r="DF154" i="1" s="1"/>
  <c r="DF156" i="1" s="1"/>
  <c r="DF57" i="1" s="1"/>
  <c r="DF28" i="98" s="1"/>
  <c r="DF56" i="1"/>
  <c r="DE56" i="1"/>
  <c r="DE153" i="1"/>
  <c r="DE154" i="1" s="1"/>
  <c r="DE156" i="1" s="1"/>
  <c r="DE57" i="1" s="1"/>
  <c r="DE28" i="98" s="1"/>
  <c r="DD153" i="1"/>
  <c r="DD154" i="1" s="1"/>
  <c r="DD156" i="1" s="1"/>
  <c r="DD57" i="1" s="1"/>
  <c r="DD28" i="98" s="1"/>
  <c r="DD56" i="1"/>
  <c r="DC56" i="1"/>
  <c r="DC153" i="1"/>
  <c r="DC154" i="1" s="1"/>
  <c r="DC156" i="1" s="1"/>
  <c r="DC57" i="1" s="1"/>
  <c r="DC28" i="98" s="1"/>
  <c r="DB138" i="1"/>
  <c r="DB149" i="1" s="1"/>
  <c r="DB152" i="1" s="1"/>
  <c r="CZ149" i="1"/>
  <c r="DG138" i="1"/>
  <c r="DG149" i="1" s="1"/>
  <c r="DG152" i="1" s="1"/>
  <c r="DA152" i="1" l="1"/>
  <c r="DA154" i="1" s="1"/>
  <c r="DA156" i="1" s="1"/>
  <c r="CY152" i="1"/>
  <c r="CY154" i="1" s="1"/>
  <c r="CY156" i="1" s="1"/>
  <c r="CZ152" i="1"/>
  <c r="CZ154" i="1" s="1"/>
  <c r="CZ156" i="1" s="1"/>
  <c r="CZ39" i="1"/>
  <c r="CZ74" i="1" s="1"/>
  <c r="CY17" i="8" l="1"/>
  <c r="CZ18" i="8" l="1"/>
  <c r="CY18" i="8"/>
  <c r="CX18" i="8" s="1"/>
  <c r="CX63" i="98"/>
  <c r="CW63" i="98"/>
  <c r="CY63" i="98" l="1"/>
  <c r="CZ63" i="98" s="1"/>
  <c r="DQ44" i="1"/>
  <c r="DL44" i="1"/>
  <c r="DG44" i="1"/>
  <c r="DA63" i="98" l="1"/>
  <c r="DB63" i="98" s="1"/>
  <c r="DB44" i="1" l="1"/>
  <c r="CX51" i="1"/>
  <c r="EI57" i="1"/>
  <c r="CY56" i="1"/>
  <c r="CZ56" i="1"/>
  <c r="DA56" i="1"/>
  <c r="ED56" i="1" s="1"/>
  <c r="CY57" i="1"/>
  <c r="CZ57" i="1"/>
  <c r="DA57" i="1"/>
  <c r="CX62" i="1"/>
  <c r="CX60" i="1"/>
  <c r="CX157" i="1"/>
  <c r="ED57" i="1" l="1"/>
  <c r="DB28" i="98"/>
  <c r="CX149" i="1"/>
  <c r="CX152" i="1" s="1"/>
  <c r="CX36" i="1"/>
  <c r="CX56" i="1" l="1"/>
  <c r="CX154" i="1"/>
  <c r="CX156" i="1" s="1"/>
  <c r="CX57" i="1" l="1"/>
  <c r="CX158" i="1"/>
  <c r="CW160" i="1" l="1"/>
  <c r="CW153" i="1"/>
  <c r="CW140" i="1"/>
  <c r="CW143" i="1"/>
  <c r="CW144" i="1"/>
  <c r="CW147" i="1"/>
  <c r="CW148" i="1"/>
  <c r="CW138" i="1"/>
  <c r="CS157" i="1"/>
  <c r="CW157" i="1"/>
  <c r="CV157" i="1"/>
  <c r="CU157" i="1"/>
  <c r="CT157" i="1"/>
  <c r="CW44" i="1"/>
  <c r="EG30" i="1"/>
  <c r="EG32" i="1" l="1"/>
  <c r="EG35" i="1" l="1"/>
  <c r="EG37" i="1"/>
  <c r="CW35" i="1" l="1"/>
  <c r="CW32" i="1"/>
  <c r="CS62" i="1" l="1"/>
  <c r="CT62" i="1"/>
  <c r="CU62" i="1"/>
  <c r="CW54" i="1"/>
  <c r="CW62" i="1" s="1"/>
  <c r="CV62" i="1"/>
  <c r="CS36" i="1" l="1"/>
  <c r="EG21" i="1" l="1"/>
  <c r="CW229" i="1"/>
  <c r="DG229" i="1"/>
  <c r="DL229" i="1" s="1"/>
  <c r="DQ229" i="1" s="1"/>
  <c r="DV229" i="1" s="1"/>
  <c r="EA229" i="1" l="1"/>
  <c r="DC20" i="98" l="1"/>
  <c r="CV28" i="98"/>
  <c r="CV63" i="98" l="1"/>
  <c r="CW47" i="8"/>
  <c r="CR69" i="98"/>
  <c r="CV66" i="98" l="1"/>
  <c r="CV62" i="98"/>
  <c r="CV171" i="1" s="1"/>
  <c r="CV61" i="98"/>
  <c r="CV60" i="98"/>
  <c r="CV59" i="98"/>
  <c r="CV58" i="98"/>
  <c r="CV57" i="98"/>
  <c r="CV56" i="98"/>
  <c r="CV52" i="98"/>
  <c r="CV51" i="98"/>
  <c r="CV47" i="98"/>
  <c r="CV41" i="98"/>
  <c r="CV40" i="98"/>
  <c r="CV27" i="98"/>
  <c r="CV25" i="98"/>
  <c r="CV24" i="98"/>
  <c r="CV26" i="98"/>
  <c r="CV23" i="98"/>
  <c r="CV20" i="98"/>
  <c r="CV16" i="98"/>
  <c r="CV15" i="98"/>
  <c r="CV14" i="98"/>
  <c r="CW55" i="98"/>
  <c r="CV55" i="98" s="1"/>
  <c r="CW36" i="98"/>
  <c r="CX48" i="8"/>
  <c r="CX39" i="8"/>
  <c r="CX38" i="8"/>
  <c r="CX37" i="8"/>
  <c r="CX35" i="8"/>
  <c r="CX34" i="8"/>
  <c r="CX33" i="8"/>
  <c r="CX31" i="8"/>
  <c r="CX47" i="8"/>
  <c r="CX27" i="8"/>
  <c r="CX25" i="8"/>
  <c r="CX23" i="8"/>
  <c r="CX22" i="8"/>
  <c r="CX21" i="8"/>
  <c r="CX17" i="8"/>
  <c r="CX16" i="8"/>
  <c r="CX15" i="8"/>
  <c r="CX14" i="8"/>
  <c r="CW51" i="1" l="1"/>
  <c r="CV51" i="1"/>
  <c r="EG51" i="1" s="1"/>
  <c r="EG26" i="1"/>
  <c r="EG25" i="1"/>
  <c r="EG24" i="1"/>
  <c r="CQ29" i="1"/>
  <c r="CO141" i="1"/>
  <c r="CO142" i="1"/>
  <c r="CO143" i="1"/>
  <c r="CO138" i="1"/>
  <c r="CO145" i="1"/>
  <c r="CO146" i="1"/>
  <c r="CO147" i="1"/>
  <c r="CO148" i="1"/>
  <c r="CO153" i="1"/>
  <c r="CN149" i="1"/>
  <c r="CN152" i="1" s="1"/>
  <c r="CN154" i="1" s="1"/>
  <c r="CN156" i="1" s="1"/>
  <c r="CP149" i="1"/>
  <c r="CP152" i="1" s="1"/>
  <c r="CP154" i="1" s="1"/>
  <c r="CP156" i="1" s="1"/>
  <c r="CO140" i="1"/>
  <c r="CR157" i="1"/>
  <c r="CR149" i="1"/>
  <c r="CR152" i="1" s="1"/>
  <c r="CR154" i="1" s="1"/>
  <c r="CR156" i="1" s="1"/>
  <c r="CR62" i="1"/>
  <c r="CN54" i="1"/>
  <c r="CR46" i="1"/>
  <c r="CR43" i="1"/>
  <c r="CR27" i="1"/>
  <c r="CR33" i="1"/>
  <c r="CR34" i="1"/>
  <c r="CR35" i="1"/>
  <c r="CR31" i="1"/>
  <c r="CR32" i="1"/>
  <c r="CQ62" i="1"/>
  <c r="CQ60" i="1"/>
  <c r="CV149" i="1"/>
  <c r="CV152" i="1" s="1"/>
  <c r="CR158" i="1" l="1"/>
  <c r="CP57" i="1"/>
  <c r="CP56" i="1"/>
  <c r="CO149" i="1"/>
  <c r="CO152" i="1" s="1"/>
  <c r="CO154" i="1" s="1"/>
  <c r="CN57" i="1"/>
  <c r="CN56" i="1"/>
  <c r="CV56" i="1"/>
  <c r="EG56" i="1" s="1"/>
  <c r="CV154" i="1"/>
  <c r="CV156" i="1" s="1"/>
  <c r="CV158" i="1" s="1"/>
  <c r="CV57" i="1" l="1"/>
  <c r="EG57" i="1" s="1"/>
  <c r="CO56" i="1"/>
  <c r="CO156" i="1"/>
  <c r="CO57" i="1"/>
  <c r="CT180" i="1" l="1"/>
  <c r="J24" i="95" l="1"/>
  <c r="K24" i="95"/>
  <c r="I24" i="95"/>
  <c r="CR63" i="98" l="1"/>
  <c r="CR68" i="98"/>
  <c r="CR37" i="98" l="1"/>
  <c r="CR48" i="98"/>
  <c r="CR64" i="98"/>
  <c r="CR67" i="98" l="1"/>
  <c r="CR70" i="98" s="1"/>
  <c r="CS69" i="98" s="1"/>
  <c r="DL59" i="98"/>
  <c r="DG59" i="98"/>
  <c r="CW69" i="98" l="1"/>
  <c r="CC227" i="1"/>
  <c r="CH227" i="1"/>
  <c r="CM227" i="1"/>
  <c r="CX44" i="8"/>
  <c r="DQ59" i="98"/>
  <c r="M11" i="98" l="1"/>
  <c r="N11" i="98" s="1"/>
  <c r="O11" i="98" s="1"/>
  <c r="R11" i="98"/>
  <c r="S11" i="98" s="1"/>
  <c r="T11" i="98" s="1"/>
  <c r="W11" i="98"/>
  <c r="X11" i="98" s="1"/>
  <c r="Y11" i="98" s="1"/>
  <c r="AB11" i="98"/>
  <c r="AC11" i="98" s="1"/>
  <c r="AD11" i="98" s="1"/>
  <c r="AG11" i="98"/>
  <c r="AH11" i="98" s="1"/>
  <c r="AL11" i="98"/>
  <c r="AM11" i="98" s="1"/>
  <c r="AN11" i="98" s="1"/>
  <c r="AQ11" i="98"/>
  <c r="AV11" i="98"/>
  <c r="AW11" i="98" s="1"/>
  <c r="AX11" i="98" s="1"/>
  <c r="BA11" i="98"/>
  <c r="BB11" i="98" s="1"/>
  <c r="BC11" i="98" s="1"/>
  <c r="BF11" i="98"/>
  <c r="BG11" i="98" s="1"/>
  <c r="BH11" i="98" s="1"/>
  <c r="BK11" i="98"/>
  <c r="BL11" i="98" s="1"/>
  <c r="BM11" i="98" s="1"/>
  <c r="BP11" i="98"/>
  <c r="BQ11" i="98" s="1"/>
  <c r="BR11" i="98" s="1"/>
  <c r="BU11" i="98"/>
  <c r="BV11" i="98" s="1"/>
  <c r="BW11" i="98" s="1"/>
  <c r="BZ11" i="98"/>
  <c r="CA11" i="98" s="1"/>
  <c r="CB11" i="98" s="1"/>
  <c r="CE11" i="98"/>
  <c r="CJ11" i="98"/>
  <c r="CK11" i="98" s="1"/>
  <c r="CL11" i="98" s="1"/>
  <c r="M14" i="98"/>
  <c r="N14" i="98" s="1"/>
  <c r="R14" i="98"/>
  <c r="S14" i="98" s="1"/>
  <c r="T14" i="98" s="1"/>
  <c r="W14" i="98"/>
  <c r="X14" i="98" s="1"/>
  <c r="Y14" i="98" s="1"/>
  <c r="AB14" i="98"/>
  <c r="AC14" i="98" s="1"/>
  <c r="AD14" i="98" s="1"/>
  <c r="AG14" i="98"/>
  <c r="AL14" i="98"/>
  <c r="AM14" i="98" s="1"/>
  <c r="AQ14" i="98"/>
  <c r="AR14" i="98" s="1"/>
  <c r="AV14" i="98"/>
  <c r="AW14" i="98" s="1"/>
  <c r="BA14" i="98"/>
  <c r="BB14" i="98" s="1"/>
  <c r="BC14" i="98" s="1"/>
  <c r="BF14" i="98"/>
  <c r="BF91" i="98" s="1"/>
  <c r="BK14" i="98"/>
  <c r="BL14" i="98" s="1"/>
  <c r="BP14" i="98"/>
  <c r="BQ14" i="98" s="1"/>
  <c r="BR14" i="98" s="1"/>
  <c r="BU14" i="98"/>
  <c r="BV14" i="98" s="1"/>
  <c r="BW14" i="98" s="1"/>
  <c r="BW91" i="98" s="1"/>
  <c r="BZ14" i="98"/>
  <c r="CE14" i="98"/>
  <c r="CF14" i="98" s="1"/>
  <c r="CG14" i="98" s="1"/>
  <c r="CJ14" i="98"/>
  <c r="CK14" i="98" s="1"/>
  <c r="AV15" i="98"/>
  <c r="AW15" i="98" s="1"/>
  <c r="AX15" i="98" s="1"/>
  <c r="BA15" i="98"/>
  <c r="BB15" i="98" s="1"/>
  <c r="BC15" i="98" s="1"/>
  <c r="BF15" i="98"/>
  <c r="BG15" i="98" s="1"/>
  <c r="BH15" i="98" s="1"/>
  <c r="BK15" i="98"/>
  <c r="BL15" i="98" s="1"/>
  <c r="BP15" i="98"/>
  <c r="BQ15" i="98" s="1"/>
  <c r="BU15" i="98"/>
  <c r="BV15" i="98" s="1"/>
  <c r="BW15" i="98" s="1"/>
  <c r="BZ15" i="98"/>
  <c r="CE15" i="98"/>
  <c r="CF15" i="98" s="1"/>
  <c r="CJ15" i="98"/>
  <c r="CK15" i="98" s="1"/>
  <c r="CL15" i="98" s="1"/>
  <c r="AV16" i="98"/>
  <c r="AW16" i="98" s="1"/>
  <c r="BA16" i="98"/>
  <c r="BB16" i="98" s="1"/>
  <c r="BF16" i="98"/>
  <c r="BG16" i="98" s="1"/>
  <c r="BH16" i="98" s="1"/>
  <c r="BK16" i="98"/>
  <c r="BL16" i="98" s="1"/>
  <c r="BM16" i="98" s="1"/>
  <c r="BP16" i="98"/>
  <c r="BQ16" i="98" s="1"/>
  <c r="BR16" i="98" s="1"/>
  <c r="BU16" i="98"/>
  <c r="BV16" i="98" s="1"/>
  <c r="BW16" i="98" s="1"/>
  <c r="BZ16" i="98"/>
  <c r="CA16" i="98" s="1"/>
  <c r="CB16" i="98" s="1"/>
  <c r="CE16" i="98"/>
  <c r="CJ16" i="98"/>
  <c r="CK16" i="98" s="1"/>
  <c r="CL16" i="98" s="1"/>
  <c r="M17" i="98"/>
  <c r="N17" i="98" s="1"/>
  <c r="O17" i="98" s="1"/>
  <c r="R17" i="98"/>
  <c r="S17" i="98" s="1"/>
  <c r="T17" i="98" s="1"/>
  <c r="W17" i="98"/>
  <c r="X17" i="98" s="1"/>
  <c r="Y17" i="98" s="1"/>
  <c r="AB17" i="98"/>
  <c r="AC17" i="98" s="1"/>
  <c r="AD17" i="98" s="1"/>
  <c r="AG17" i="98"/>
  <c r="AH17" i="98" s="1"/>
  <c r="AI17" i="98" s="1"/>
  <c r="AL17" i="98"/>
  <c r="AQ17" i="98"/>
  <c r="AR17" i="98" s="1"/>
  <c r="BC17" i="98"/>
  <c r="BR17" i="98"/>
  <c r="BW17" i="98"/>
  <c r="BZ17" i="98"/>
  <c r="CA17" i="98" s="1"/>
  <c r="CB17" i="98" s="1"/>
  <c r="CG17" i="98"/>
  <c r="AG18" i="98"/>
  <c r="AH18" i="98" s="1"/>
  <c r="AN18" i="98"/>
  <c r="AS18" i="98"/>
  <c r="AV18" i="98"/>
  <c r="AW18" i="98" s="1"/>
  <c r="AX18" i="98" s="1"/>
  <c r="BB18" i="98"/>
  <c r="BC18" i="98" s="1"/>
  <c r="BH18" i="98"/>
  <c r="BM18" i="98"/>
  <c r="BR18" i="98"/>
  <c r="BW18" i="98"/>
  <c r="BZ18" i="98"/>
  <c r="CG18" i="98"/>
  <c r="CM18" i="98"/>
  <c r="CV18" i="98"/>
  <c r="CW18" i="98" s="1"/>
  <c r="AG19" i="98"/>
  <c r="AH19" i="98" s="1"/>
  <c r="AI19" i="98" s="1"/>
  <c r="AN19" i="98"/>
  <c r="AS19" i="98"/>
  <c r="AV19" i="98"/>
  <c r="AW19" i="98" s="1"/>
  <c r="AX19" i="98" s="1"/>
  <c r="BB19" i="98"/>
  <c r="BC19" i="98" s="1"/>
  <c r="BH19" i="98"/>
  <c r="BM19" i="98"/>
  <c r="BR19" i="98"/>
  <c r="BW19" i="98"/>
  <c r="BZ19" i="98"/>
  <c r="CA19" i="98" s="1"/>
  <c r="CB19" i="98" s="1"/>
  <c r="CG19" i="98"/>
  <c r="CM19" i="98"/>
  <c r="CV19" i="98"/>
  <c r="AI20" i="98"/>
  <c r="AJ20" i="98" s="1"/>
  <c r="AN20" i="98"/>
  <c r="AS20" i="98"/>
  <c r="AV20" i="98"/>
  <c r="AW20" i="98" s="1"/>
  <c r="AX20" i="98" s="1"/>
  <c r="BC20" i="98"/>
  <c r="BH20" i="98"/>
  <c r="BK20" i="98"/>
  <c r="BL20" i="98" s="1"/>
  <c r="BM20" i="98" s="1"/>
  <c r="BP20" i="98"/>
  <c r="BQ20" i="98" s="1"/>
  <c r="BR20" i="98" s="1"/>
  <c r="BU20" i="98"/>
  <c r="BV20" i="98" s="1"/>
  <c r="BW20" i="98" s="1"/>
  <c r="BZ20" i="98"/>
  <c r="CA20" i="98" s="1"/>
  <c r="CC20" i="98"/>
  <c r="CE20" i="98"/>
  <c r="CF20" i="98" s="1"/>
  <c r="CL20" i="98"/>
  <c r="N21" i="98"/>
  <c r="O21" i="98" s="1"/>
  <c r="R21" i="98"/>
  <c r="S21" i="98" s="1"/>
  <c r="T21" i="98" s="1"/>
  <c r="W21" i="98"/>
  <c r="X21" i="98" s="1"/>
  <c r="Y21" i="98" s="1"/>
  <c r="AB21" i="98"/>
  <c r="AJ21" i="98"/>
  <c r="AN21" i="98"/>
  <c r="AU21" i="98"/>
  <c r="AV21" i="98" s="1"/>
  <c r="AX21" i="98" s="1"/>
  <c r="BB21" i="98"/>
  <c r="BF21" i="98"/>
  <c r="BG21" i="98" s="1"/>
  <c r="BH21" i="98" s="1"/>
  <c r="BK21" i="98"/>
  <c r="BM21" i="98" s="1"/>
  <c r="BR21" i="98"/>
  <c r="BW21" i="98"/>
  <c r="BZ21" i="98"/>
  <c r="CA21" i="98" s="1"/>
  <c r="CH21" i="98"/>
  <c r="CG21" i="98" s="1"/>
  <c r="CL21" i="98"/>
  <c r="CW21" i="98"/>
  <c r="O22" i="98"/>
  <c r="R22" i="98"/>
  <c r="S22" i="98" s="1"/>
  <c r="T22" i="98" s="1"/>
  <c r="W22" i="98"/>
  <c r="X22" i="98" s="1"/>
  <c r="Y22" i="98" s="1"/>
  <c r="AB22" i="98"/>
  <c r="AC22" i="98" s="1"/>
  <c r="AD22" i="98" s="1"/>
  <c r="AG22" i="98"/>
  <c r="AH22" i="98" s="1"/>
  <c r="AI22" i="98" s="1"/>
  <c r="AL22" i="98"/>
  <c r="AM22" i="98" s="1"/>
  <c r="AN22" i="98" s="1"/>
  <c r="AQ22" i="98"/>
  <c r="AR22" i="98" s="1"/>
  <c r="AS22" i="98" s="1"/>
  <c r="AV22" i="98"/>
  <c r="AW22" i="98" s="1"/>
  <c r="AX22" i="98" s="1"/>
  <c r="BA22" i="98"/>
  <c r="BB22" i="98" s="1"/>
  <c r="BC22" i="98" s="1"/>
  <c r="BH22" i="98"/>
  <c r="BK22" i="98"/>
  <c r="BM22" i="98" s="1"/>
  <c r="BR22" i="98"/>
  <c r="BV22" i="98"/>
  <c r="BW22" i="98" s="1"/>
  <c r="CA22" i="98"/>
  <c r="CB22" i="98" s="1"/>
  <c r="CG22" i="98"/>
  <c r="CL22" i="98"/>
  <c r="CV22" i="98"/>
  <c r="CW22" i="98" s="1"/>
  <c r="M23" i="98"/>
  <c r="N23" i="98" s="1"/>
  <c r="O23" i="98" s="1"/>
  <c r="R23" i="98"/>
  <c r="S23" i="98" s="1"/>
  <c r="T23" i="98" s="1"/>
  <c r="W23" i="98"/>
  <c r="X23" i="98" s="1"/>
  <c r="Y23" i="98" s="1"/>
  <c r="AB23" i="98"/>
  <c r="AC23" i="98" s="1"/>
  <c r="AD23" i="98" s="1"/>
  <c r="AG23" i="98"/>
  <c r="AH23" i="98" s="1"/>
  <c r="AI23" i="98" s="1"/>
  <c r="AL23" i="98"/>
  <c r="AM23" i="98" s="1"/>
  <c r="AN23" i="98" s="1"/>
  <c r="AQ23" i="98"/>
  <c r="AV23" i="98"/>
  <c r="AW23" i="98" s="1"/>
  <c r="AX23" i="98" s="1"/>
  <c r="BA23" i="98"/>
  <c r="BB23" i="98" s="1"/>
  <c r="BC23" i="98" s="1"/>
  <c r="BF23" i="98"/>
  <c r="BG23" i="98" s="1"/>
  <c r="BH23" i="98" s="1"/>
  <c r="BK23" i="98"/>
  <c r="BL23" i="98" s="1"/>
  <c r="BM23" i="98" s="1"/>
  <c r="BP23" i="98"/>
  <c r="BQ23" i="98" s="1"/>
  <c r="BR23" i="98" s="1"/>
  <c r="BU23" i="98"/>
  <c r="BV23" i="98" s="1"/>
  <c r="BW23" i="98" s="1"/>
  <c r="BZ23" i="98"/>
  <c r="CA23" i="98" s="1"/>
  <c r="CB23" i="98" s="1"/>
  <c r="CE23" i="98"/>
  <c r="CF23" i="98" s="1"/>
  <c r="CJ23" i="98"/>
  <c r="CK23" i="98" s="1"/>
  <c r="CL23" i="98" s="1"/>
  <c r="AS24" i="98"/>
  <c r="AV24" i="98"/>
  <c r="AW24" i="98" s="1"/>
  <c r="AY24" i="98"/>
  <c r="BA24" i="98"/>
  <c r="BB24" i="98" s="1"/>
  <c r="BC24" i="98" s="1"/>
  <c r="BF24" i="98"/>
  <c r="BG24" i="98" s="1"/>
  <c r="BK24" i="98"/>
  <c r="BL24" i="98" s="1"/>
  <c r="BM24" i="98" s="1"/>
  <c r="BP24" i="98"/>
  <c r="BQ24" i="98" s="1"/>
  <c r="BR24" i="98" s="1"/>
  <c r="BU24" i="98"/>
  <c r="BV24" i="98" s="1"/>
  <c r="BW24" i="98" s="1"/>
  <c r="BZ24" i="98"/>
  <c r="CA24" i="98" s="1"/>
  <c r="CB24" i="98" s="1"/>
  <c r="CE24" i="98"/>
  <c r="CF24" i="98" s="1"/>
  <c r="CJ24" i="98"/>
  <c r="CK24" i="98" s="1"/>
  <c r="CL24" i="98" s="1"/>
  <c r="DB24" i="98"/>
  <c r="DG24" i="98"/>
  <c r="DL24" i="98"/>
  <c r="DQ24" i="98"/>
  <c r="AS25" i="98"/>
  <c r="AV25" i="98"/>
  <c r="AW25" i="98" s="1"/>
  <c r="AX25" i="98" s="1"/>
  <c r="BA25" i="98"/>
  <c r="BB25" i="98" s="1"/>
  <c r="BC25" i="98" s="1"/>
  <c r="BF25" i="98"/>
  <c r="BG25" i="98" s="1"/>
  <c r="BH25" i="98" s="1"/>
  <c r="BK25" i="98"/>
  <c r="BL25" i="98" s="1"/>
  <c r="BM25" i="98" s="1"/>
  <c r="BP25" i="98"/>
  <c r="BQ25" i="98" s="1"/>
  <c r="BR25" i="98" s="1"/>
  <c r="BU25" i="98"/>
  <c r="BV25" i="98" s="1"/>
  <c r="BW25" i="98" s="1"/>
  <c r="BZ25" i="98"/>
  <c r="CF25" i="98"/>
  <c r="CG25" i="98" s="1"/>
  <c r="CJ25" i="98"/>
  <c r="CK25" i="98" s="1"/>
  <c r="CL25" i="98" s="1"/>
  <c r="DB25" i="98"/>
  <c r="DG25" i="98"/>
  <c r="DL25" i="98"/>
  <c r="DQ25" i="98"/>
  <c r="AS26" i="98"/>
  <c r="AV26" i="98"/>
  <c r="AW26" i="98" s="1"/>
  <c r="AX26" i="98" s="1"/>
  <c r="BA26" i="98"/>
  <c r="BB26" i="98" s="1"/>
  <c r="BC26" i="98" s="1"/>
  <c r="BF26" i="98"/>
  <c r="BG26" i="98" s="1"/>
  <c r="BH26" i="98" s="1"/>
  <c r="BK26" i="98"/>
  <c r="BL26" i="98" s="1"/>
  <c r="BM26" i="98" s="1"/>
  <c r="BP26" i="98"/>
  <c r="BQ26" i="98" s="1"/>
  <c r="BR26" i="98" s="1"/>
  <c r="BU26" i="98"/>
  <c r="BV26" i="98" s="1"/>
  <c r="BW26" i="98" s="1"/>
  <c r="BZ26" i="98"/>
  <c r="CA26" i="98" s="1"/>
  <c r="CE26" i="98"/>
  <c r="CF26" i="98" s="1"/>
  <c r="CG26" i="98" s="1"/>
  <c r="CJ26" i="98"/>
  <c r="CK26" i="98" s="1"/>
  <c r="CL26" i="98" s="1"/>
  <c r="DB26" i="98"/>
  <c r="DG26" i="98"/>
  <c r="DL26" i="98"/>
  <c r="DQ26" i="98"/>
  <c r="AS27" i="98"/>
  <c r="AV27" i="98"/>
  <c r="AW27" i="98" s="1"/>
  <c r="AX27" i="98" s="1"/>
  <c r="BA27" i="98"/>
  <c r="BB27" i="98" s="1"/>
  <c r="BC27" i="98" s="1"/>
  <c r="BF27" i="98"/>
  <c r="BG27" i="98" s="1"/>
  <c r="BH27" i="98" s="1"/>
  <c r="BK27" i="98"/>
  <c r="BL27" i="98" s="1"/>
  <c r="BP27" i="98"/>
  <c r="BQ27" i="98" s="1"/>
  <c r="BR27" i="98" s="1"/>
  <c r="BU27" i="98"/>
  <c r="BV27" i="98" s="1"/>
  <c r="BW27" i="98" s="1"/>
  <c r="BZ27" i="98"/>
  <c r="CE27" i="98"/>
  <c r="CF27" i="98" s="1"/>
  <c r="CJ27" i="98"/>
  <c r="CK27" i="98" s="1"/>
  <c r="CL27" i="98" s="1"/>
  <c r="M28" i="98"/>
  <c r="N28" i="98" s="1"/>
  <c r="O28" i="98" s="1"/>
  <c r="R28" i="98"/>
  <c r="S28" i="98" s="1"/>
  <c r="T28" i="98" s="1"/>
  <c r="W28" i="98"/>
  <c r="AB28" i="98"/>
  <c r="AC28" i="98" s="1"/>
  <c r="AD28" i="98" s="1"/>
  <c r="AG28" i="98"/>
  <c r="AH28" i="98" s="1"/>
  <c r="AL28" i="98"/>
  <c r="AM28" i="98" s="1"/>
  <c r="AN28" i="98" s="1"/>
  <c r="AQ28" i="98"/>
  <c r="AR28" i="98" s="1"/>
  <c r="AS28" i="98" s="1"/>
  <c r="AV28" i="98"/>
  <c r="AW28" i="98" s="1"/>
  <c r="AX28" i="98" s="1"/>
  <c r="BA28" i="98"/>
  <c r="BB28" i="98" s="1"/>
  <c r="BC28" i="98" s="1"/>
  <c r="BF28" i="98"/>
  <c r="BG28" i="98" s="1"/>
  <c r="BH28" i="98" s="1"/>
  <c r="BK28" i="98"/>
  <c r="BL28" i="98" s="1"/>
  <c r="BM28" i="98" s="1"/>
  <c r="BP28" i="98"/>
  <c r="BQ28" i="98" s="1"/>
  <c r="BR28" i="98" s="1"/>
  <c r="BU28" i="98"/>
  <c r="BV28" i="98" s="1"/>
  <c r="BW28" i="98" s="1"/>
  <c r="BZ28" i="98"/>
  <c r="CA28" i="98" s="1"/>
  <c r="CF28" i="98"/>
  <c r="CG28" i="98" s="1"/>
  <c r="CG136" i="98" s="1"/>
  <c r="CJ28" i="98"/>
  <c r="CK28" i="98" s="1"/>
  <c r="AS29" i="98"/>
  <c r="AS30" i="98"/>
  <c r="M31" i="98"/>
  <c r="N31" i="98" s="1"/>
  <c r="O31" i="98" s="1"/>
  <c r="R31" i="98"/>
  <c r="S31" i="98" s="1"/>
  <c r="T31" i="98" s="1"/>
  <c r="W31" i="98"/>
  <c r="AB31" i="98"/>
  <c r="AC31" i="98" s="1"/>
  <c r="AD31" i="98" s="1"/>
  <c r="AG31" i="98"/>
  <c r="AH31" i="98" s="1"/>
  <c r="AI31" i="98" s="1"/>
  <c r="AL31" i="98"/>
  <c r="AM31" i="98" s="1"/>
  <c r="AQ31" i="98"/>
  <c r="AV31" i="98"/>
  <c r="AW31" i="98" s="1"/>
  <c r="BA31" i="98"/>
  <c r="BB31" i="98" s="1"/>
  <c r="BF31" i="98"/>
  <c r="BG31" i="98" s="1"/>
  <c r="BH31" i="98" s="1"/>
  <c r="BK31" i="98"/>
  <c r="BL31" i="98" s="1"/>
  <c r="BM31" i="98" s="1"/>
  <c r="BP31" i="98"/>
  <c r="BU31" i="98"/>
  <c r="BV31" i="98" s="1"/>
  <c r="BW31" i="98" s="1"/>
  <c r="BZ31" i="98"/>
  <c r="CA31" i="98" s="1"/>
  <c r="CB31" i="98" s="1"/>
  <c r="CE31" i="98"/>
  <c r="CJ31" i="98"/>
  <c r="CT31" i="98"/>
  <c r="CU31" i="98"/>
  <c r="M32" i="98"/>
  <c r="R32" i="98"/>
  <c r="S32" i="98" s="1"/>
  <c r="T32" i="98" s="1"/>
  <c r="W32" i="98"/>
  <c r="X32" i="98" s="1"/>
  <c r="Y32" i="98" s="1"/>
  <c r="AB32" i="98"/>
  <c r="AC32" i="98" s="1"/>
  <c r="AG32" i="98"/>
  <c r="AH32" i="98" s="1"/>
  <c r="AL32" i="98"/>
  <c r="AM32" i="98" s="1"/>
  <c r="AN32" i="98" s="1"/>
  <c r="AQ32" i="98"/>
  <c r="AV32" i="98"/>
  <c r="AW32" i="98" s="1"/>
  <c r="AX32" i="98" s="1"/>
  <c r="BA32" i="98"/>
  <c r="BB32" i="98" s="1"/>
  <c r="BC32" i="98" s="1"/>
  <c r="BF32" i="98"/>
  <c r="BG32" i="98" s="1"/>
  <c r="BK32" i="98"/>
  <c r="BL32" i="98" s="1"/>
  <c r="BP32" i="98"/>
  <c r="BQ32" i="98" s="1"/>
  <c r="BR32" i="98" s="1"/>
  <c r="BU32" i="98"/>
  <c r="BZ32" i="98"/>
  <c r="CA32" i="98" s="1"/>
  <c r="CE32" i="98"/>
  <c r="CF32" i="98" s="1"/>
  <c r="CG32" i="98" s="1"/>
  <c r="CJ32" i="98"/>
  <c r="CK32" i="98" s="1"/>
  <c r="CL32" i="98" s="1"/>
  <c r="CT32" i="98"/>
  <c r="CU32" i="98"/>
  <c r="M33" i="98"/>
  <c r="N33" i="98" s="1"/>
  <c r="O33" i="98" s="1"/>
  <c r="R33" i="98"/>
  <c r="S33" i="98" s="1"/>
  <c r="T33" i="98" s="1"/>
  <c r="W33" i="98"/>
  <c r="X33" i="98" s="1"/>
  <c r="Y33" i="98" s="1"/>
  <c r="AB33" i="98"/>
  <c r="AC33" i="98" s="1"/>
  <c r="AD33" i="98" s="1"/>
  <c r="AG33" i="98"/>
  <c r="AL33" i="98"/>
  <c r="AM33" i="98" s="1"/>
  <c r="AN33" i="98" s="1"/>
  <c r="AQ33" i="98"/>
  <c r="AV33" i="98"/>
  <c r="AW33" i="98" s="1"/>
  <c r="AX33" i="98" s="1"/>
  <c r="BA33" i="98"/>
  <c r="BB33" i="98" s="1"/>
  <c r="BC33" i="98" s="1"/>
  <c r="BF33" i="98"/>
  <c r="BG33" i="98" s="1"/>
  <c r="BH33" i="98" s="1"/>
  <c r="BK33" i="98"/>
  <c r="BL33" i="98" s="1"/>
  <c r="BM33" i="98" s="1"/>
  <c r="BP33" i="98"/>
  <c r="BQ33" i="98" s="1"/>
  <c r="BR33" i="98" s="1"/>
  <c r="BU33" i="98"/>
  <c r="BV33" i="98" s="1"/>
  <c r="BW33" i="98" s="1"/>
  <c r="BZ33" i="98"/>
  <c r="CA33" i="98" s="1"/>
  <c r="CB33" i="98" s="1"/>
  <c r="CE33" i="98"/>
  <c r="CJ33" i="98"/>
  <c r="CK33" i="98" s="1"/>
  <c r="CL33" i="98" s="1"/>
  <c r="CT33" i="98"/>
  <c r="CU33" i="98"/>
  <c r="M34" i="98"/>
  <c r="N34" i="98" s="1"/>
  <c r="O34" i="98" s="1"/>
  <c r="R34" i="98"/>
  <c r="S34" i="98" s="1"/>
  <c r="T34" i="98" s="1"/>
  <c r="W34" i="98"/>
  <c r="X34" i="98" s="1"/>
  <c r="Y34" i="98" s="1"/>
  <c r="AB34" i="98"/>
  <c r="AC34" i="98" s="1"/>
  <c r="AD34" i="98" s="1"/>
  <c r="AG34" i="98"/>
  <c r="AL34" i="98"/>
  <c r="AM34" i="98" s="1"/>
  <c r="AN34" i="98" s="1"/>
  <c r="AR34" i="98"/>
  <c r="AS34" i="98" s="1"/>
  <c r="AV34" i="98"/>
  <c r="AW34" i="98" s="1"/>
  <c r="AX34" i="98" s="1"/>
  <c r="BA34" i="98"/>
  <c r="BB34" i="98" s="1"/>
  <c r="BC34" i="98" s="1"/>
  <c r="BF34" i="98"/>
  <c r="BG34" i="98" s="1"/>
  <c r="BH34" i="98" s="1"/>
  <c r="BK34" i="98"/>
  <c r="BL34" i="98" s="1"/>
  <c r="BM34" i="98" s="1"/>
  <c r="BP34" i="98"/>
  <c r="BQ34" i="98" s="1"/>
  <c r="BR34" i="98" s="1"/>
  <c r="BU34" i="98"/>
  <c r="BV34" i="98" s="1"/>
  <c r="BW34" i="98" s="1"/>
  <c r="BZ34" i="98"/>
  <c r="CA34" i="98" s="1"/>
  <c r="CB34" i="98" s="1"/>
  <c r="CE34" i="98"/>
  <c r="CF34" i="98" s="1"/>
  <c r="CJ34" i="98"/>
  <c r="CK34" i="98" s="1"/>
  <c r="CL34" i="98" s="1"/>
  <c r="CT34" i="98"/>
  <c r="CU34" i="98"/>
  <c r="M35" i="98"/>
  <c r="N35" i="98" s="1"/>
  <c r="O35" i="98" s="1"/>
  <c r="R35" i="98"/>
  <c r="W35" i="98"/>
  <c r="X35" i="98" s="1"/>
  <c r="Y35" i="98" s="1"/>
  <c r="AB35" i="98"/>
  <c r="AC35" i="98" s="1"/>
  <c r="AD35" i="98" s="1"/>
  <c r="AG35" i="98"/>
  <c r="AL35" i="98"/>
  <c r="AM35" i="98" s="1"/>
  <c r="AN35" i="98" s="1"/>
  <c r="AR35" i="98"/>
  <c r="AS35" i="98" s="1"/>
  <c r="AV35" i="98"/>
  <c r="AW35" i="98" s="1"/>
  <c r="AX35" i="98" s="1"/>
  <c r="BA35" i="98"/>
  <c r="BB35" i="98" s="1"/>
  <c r="BC35" i="98" s="1"/>
  <c r="BF35" i="98"/>
  <c r="BG35" i="98" s="1"/>
  <c r="BH35" i="98" s="1"/>
  <c r="BK35" i="98"/>
  <c r="BL35" i="98" s="1"/>
  <c r="BM35" i="98" s="1"/>
  <c r="BP35" i="98"/>
  <c r="BQ35" i="98" s="1"/>
  <c r="BR35" i="98" s="1"/>
  <c r="BU35" i="98"/>
  <c r="BV35" i="98" s="1"/>
  <c r="BW35" i="98" s="1"/>
  <c r="BZ35" i="98"/>
  <c r="CA35" i="98" s="1"/>
  <c r="CE35" i="98"/>
  <c r="CJ35" i="98"/>
  <c r="CK35" i="98" s="1"/>
  <c r="CL35" i="98" s="1"/>
  <c r="CT35" i="98"/>
  <c r="CU35" i="98"/>
  <c r="L36" i="98"/>
  <c r="L37" i="98" s="1"/>
  <c r="L73" i="98" s="1"/>
  <c r="Q36" i="98"/>
  <c r="V36" i="98"/>
  <c r="V37" i="98" s="1"/>
  <c r="AA36" i="98"/>
  <c r="AB36" i="98" s="1"/>
  <c r="AF36" i="98"/>
  <c r="AF37" i="98" s="1"/>
  <c r="AF73" i="98" s="1"/>
  <c r="AK36" i="98"/>
  <c r="AO36" i="98"/>
  <c r="AP36" i="98"/>
  <c r="AP37" i="98" s="1"/>
  <c r="AT36" i="98"/>
  <c r="AT37" i="98" s="1"/>
  <c r="AT73" i="98" s="1"/>
  <c r="AU36" i="98"/>
  <c r="AZ36" i="98"/>
  <c r="BD36" i="98"/>
  <c r="BD37" i="98" s="1"/>
  <c r="BD73" i="98" s="1"/>
  <c r="BE36" i="98"/>
  <c r="BE37" i="98" s="1"/>
  <c r="BE73" i="98" s="1"/>
  <c r="BI36" i="98"/>
  <c r="BI37" i="98" s="1"/>
  <c r="BJ36" i="98"/>
  <c r="BJ37" i="98" s="1"/>
  <c r="BJ73" i="98" s="1"/>
  <c r="BN36" i="98"/>
  <c r="BN37" i="98" s="1"/>
  <c r="BN73" i="98" s="1"/>
  <c r="BO36" i="98"/>
  <c r="BO37" i="98" s="1"/>
  <c r="BT36" i="98"/>
  <c r="BX36" i="98"/>
  <c r="BX37" i="98" s="1"/>
  <c r="BX73" i="98" s="1"/>
  <c r="BY36" i="98"/>
  <c r="BY37" i="98" s="1"/>
  <c r="CD36" i="98"/>
  <c r="CD37" i="98" s="1"/>
  <c r="CH36" i="98"/>
  <c r="CI36" i="98"/>
  <c r="CI37" i="98" s="1"/>
  <c r="CM36" i="98"/>
  <c r="Q37" i="98"/>
  <c r="AK37" i="98"/>
  <c r="AK73" i="98" s="1"/>
  <c r="BT37" i="98"/>
  <c r="CN37" i="98"/>
  <c r="CO37" i="98"/>
  <c r="CP37" i="98"/>
  <c r="CQ37" i="98"/>
  <c r="M40" i="98"/>
  <c r="N40" i="98" s="1"/>
  <c r="O40" i="98" s="1"/>
  <c r="R40" i="98"/>
  <c r="S40" i="98" s="1"/>
  <c r="W40" i="98"/>
  <c r="X40" i="98" s="1"/>
  <c r="Y40" i="98" s="1"/>
  <c r="AB40" i="98"/>
  <c r="AC40" i="98" s="1"/>
  <c r="AC129" i="98" s="1"/>
  <c r="AC130" i="98" s="1"/>
  <c r="AG40" i="98"/>
  <c r="AL40" i="98"/>
  <c r="AM40" i="98" s="1"/>
  <c r="AN40" i="98" s="1"/>
  <c r="AN129" i="98" s="1"/>
  <c r="AN130" i="98" s="1"/>
  <c r="AQ40" i="98"/>
  <c r="AR40" i="98" s="1"/>
  <c r="AV40" i="98"/>
  <c r="AW40" i="98" s="1"/>
  <c r="AX40" i="98" s="1"/>
  <c r="BA40" i="98"/>
  <c r="BB40" i="98" s="1"/>
  <c r="BF40" i="98"/>
  <c r="BG40" i="98" s="1"/>
  <c r="BH40" i="98" s="1"/>
  <c r="BH133" i="98" s="1"/>
  <c r="BI133" i="98" s="1"/>
  <c r="BK40" i="98"/>
  <c r="BL40" i="98" s="1"/>
  <c r="BP40" i="98"/>
  <c r="BQ40" i="98" s="1"/>
  <c r="BR40" i="98" s="1"/>
  <c r="BU40" i="98"/>
  <c r="BV40" i="98" s="1"/>
  <c r="BZ40" i="98"/>
  <c r="CE40" i="98"/>
  <c r="CF40" i="98" s="1"/>
  <c r="CJ40" i="98"/>
  <c r="CK40" i="98" s="1"/>
  <c r="CL40" i="98" s="1"/>
  <c r="CN133" i="98" s="1"/>
  <c r="M41" i="98"/>
  <c r="N41" i="98" s="1"/>
  <c r="O41" i="98" s="1"/>
  <c r="R41" i="98"/>
  <c r="S41" i="98" s="1"/>
  <c r="T41" i="98" s="1"/>
  <c r="W41" i="98"/>
  <c r="X41" i="98" s="1"/>
  <c r="Y41" i="98" s="1"/>
  <c r="AB41" i="98"/>
  <c r="AC41" i="98" s="1"/>
  <c r="AD41" i="98" s="1"/>
  <c r="AD79" i="98" s="1"/>
  <c r="AG41" i="98"/>
  <c r="AH41" i="98" s="1"/>
  <c r="AH79" i="98" s="1"/>
  <c r="AL41" i="98"/>
  <c r="AM41" i="98" s="1"/>
  <c r="AQ41" i="98"/>
  <c r="AR41" i="98" s="1"/>
  <c r="AV41" i="98"/>
  <c r="AW41" i="98" s="1"/>
  <c r="AX41" i="98" s="1"/>
  <c r="AX79" i="98" s="1"/>
  <c r="BA41" i="98"/>
  <c r="BB41" i="98" s="1"/>
  <c r="BC41" i="98" s="1"/>
  <c r="BC79" i="98" s="1"/>
  <c r="BF41" i="98"/>
  <c r="BG41" i="98" s="1"/>
  <c r="BK41" i="98"/>
  <c r="BL41" i="98" s="1"/>
  <c r="BM41" i="98" s="1"/>
  <c r="BM79" i="98" s="1"/>
  <c r="BP41" i="98"/>
  <c r="BQ41" i="98" s="1"/>
  <c r="BR41" i="98" s="1"/>
  <c r="BR79" i="98" s="1"/>
  <c r="BU41" i="98"/>
  <c r="BV41" i="98" s="1"/>
  <c r="BW41" i="98" s="1"/>
  <c r="BW79" i="98" s="1"/>
  <c r="BZ41" i="98"/>
  <c r="CA41" i="98" s="1"/>
  <c r="CE41" i="98"/>
  <c r="CF41" i="98" s="1"/>
  <c r="CJ41" i="98"/>
  <c r="CK41" i="98" s="1"/>
  <c r="CL41" i="98" s="1"/>
  <c r="O42" i="98"/>
  <c r="T42" i="98"/>
  <c r="Y42" i="98"/>
  <c r="AC42" i="98"/>
  <c r="AD42" i="98" s="1"/>
  <c r="AJ42" i="98"/>
  <c r="AN42" i="98"/>
  <c r="AS42" i="98"/>
  <c r="AW42" i="98"/>
  <c r="AX42" i="98" s="1"/>
  <c r="AZ42" i="98" s="1"/>
  <c r="AZ137" i="98" s="1"/>
  <c r="BH42" i="98"/>
  <c r="BJ42" i="98" s="1"/>
  <c r="BR42" i="98"/>
  <c r="BT42" i="98" s="1"/>
  <c r="BW42" i="98" s="1"/>
  <c r="BZ42" i="98"/>
  <c r="CA42" i="98" s="1"/>
  <c r="CE42" i="98"/>
  <c r="CF42" i="98" s="1"/>
  <c r="CK42" i="98"/>
  <c r="CL42" i="98" s="1"/>
  <c r="CM42" i="98" s="1"/>
  <c r="CV42" i="98"/>
  <c r="CX42" i="98" s="1"/>
  <c r="M43" i="98"/>
  <c r="N43" i="98" s="1"/>
  <c r="O43" i="98" s="1"/>
  <c r="S43" i="98"/>
  <c r="T43" i="98" s="1"/>
  <c r="W43" i="98"/>
  <c r="X43" i="98" s="1"/>
  <c r="Y43" i="98" s="1"/>
  <c r="AB43" i="98"/>
  <c r="AC43" i="98" s="1"/>
  <c r="AD43" i="98" s="1"/>
  <c r="AG43" i="98"/>
  <c r="AH43" i="98" s="1"/>
  <c r="AI43" i="98" s="1"/>
  <c r="AL43" i="98"/>
  <c r="AM43" i="98" s="1"/>
  <c r="AN43" i="98" s="1"/>
  <c r="AS43" i="98"/>
  <c r="AY43" i="98"/>
  <c r="AX43" i="98" s="1"/>
  <c r="BB43" i="98"/>
  <c r="BC43" i="98" s="1"/>
  <c r="BF43" i="98"/>
  <c r="BG43" i="98" s="1"/>
  <c r="BH43" i="98" s="1"/>
  <c r="BK43" i="98"/>
  <c r="BL43" i="98" s="1"/>
  <c r="BM43" i="98" s="1"/>
  <c r="BP43" i="98"/>
  <c r="BQ43" i="98" s="1"/>
  <c r="BU43" i="98"/>
  <c r="BV43" i="98" s="1"/>
  <c r="BZ43" i="98"/>
  <c r="CA43" i="98" s="1"/>
  <c r="CE43" i="98"/>
  <c r="CF43" i="98" s="1"/>
  <c r="CG43" i="98" s="1"/>
  <c r="CJ43" i="98"/>
  <c r="CK43" i="98" s="1"/>
  <c r="CL43" i="98" s="1"/>
  <c r="CV43" i="98"/>
  <c r="CW43" i="98" s="1"/>
  <c r="O44" i="98"/>
  <c r="R44" i="98"/>
  <c r="S44" i="98" s="1"/>
  <c r="T44" i="98" s="1"/>
  <c r="W44" i="98"/>
  <c r="X44" i="98" s="1"/>
  <c r="Y44" i="98" s="1"/>
  <c r="AB44" i="98"/>
  <c r="AC44" i="98" s="1"/>
  <c r="AG44" i="98"/>
  <c r="AH44" i="98" s="1"/>
  <c r="AI44" i="98" s="1"/>
  <c r="AL44" i="98"/>
  <c r="AM44" i="98" s="1"/>
  <c r="AN44" i="98" s="1"/>
  <c r="AQ44" i="98"/>
  <c r="AR44" i="98" s="1"/>
  <c r="AV44" i="98"/>
  <c r="AW44" i="98" s="1"/>
  <c r="AX44" i="98" s="1"/>
  <c r="BA44" i="98"/>
  <c r="BB44" i="98" s="1"/>
  <c r="BH44" i="98"/>
  <c r="BJ44" i="98" s="1"/>
  <c r="BJ138" i="98" s="1"/>
  <c r="BR44" i="98"/>
  <c r="BU44" i="98"/>
  <c r="BW44" i="98" s="1"/>
  <c r="BZ44" i="98"/>
  <c r="CA44" i="98" s="1"/>
  <c r="CF44" i="98"/>
  <c r="CG44" i="98" s="1"/>
  <c r="CK44" i="98"/>
  <c r="CL44" i="98" s="1"/>
  <c r="M45" i="98"/>
  <c r="N45" i="98" s="1"/>
  <c r="O45" i="98" s="1"/>
  <c r="R45" i="98"/>
  <c r="S45" i="98" s="1"/>
  <c r="T45" i="98" s="1"/>
  <c r="W45" i="98"/>
  <c r="X45" i="98" s="1"/>
  <c r="AB45" i="98"/>
  <c r="AG45" i="98"/>
  <c r="AL45" i="98"/>
  <c r="AM45" i="98" s="1"/>
  <c r="AQ45" i="98"/>
  <c r="AR45" i="98" s="1"/>
  <c r="AV45" i="98"/>
  <c r="AW45" i="98" s="1"/>
  <c r="BA45" i="98"/>
  <c r="BB45" i="98" s="1"/>
  <c r="BC45" i="98" s="1"/>
  <c r="BF45" i="98"/>
  <c r="BG45" i="98" s="1"/>
  <c r="BK45" i="98"/>
  <c r="BL45" i="98" s="1"/>
  <c r="BP45" i="98"/>
  <c r="BQ45" i="98" s="1"/>
  <c r="BU45" i="98"/>
  <c r="BV45" i="98" s="1"/>
  <c r="BW45" i="98" s="1"/>
  <c r="BZ45" i="98"/>
  <c r="BZ81" i="98" s="1"/>
  <c r="CG45" i="98"/>
  <c r="CM45" i="98"/>
  <c r="CW45" i="98"/>
  <c r="DB45" i="98"/>
  <c r="DB81" i="98" s="1"/>
  <c r="DG45" i="98"/>
  <c r="DG81" i="98" s="1"/>
  <c r="DL45" i="98"/>
  <c r="DL81" i="98" s="1"/>
  <c r="DQ45" i="98"/>
  <c r="BV46" i="98"/>
  <c r="BZ46" i="98"/>
  <c r="CG46" i="98"/>
  <c r="CM46" i="98"/>
  <c r="M47" i="98"/>
  <c r="N47" i="98" s="1"/>
  <c r="O47" i="98" s="1"/>
  <c r="Q47" i="98"/>
  <c r="R47" i="98" s="1"/>
  <c r="U47" i="98"/>
  <c r="W47" i="98"/>
  <c r="AB47" i="98"/>
  <c r="AC47" i="98" s="1"/>
  <c r="AD47" i="98" s="1"/>
  <c r="AG47" i="98"/>
  <c r="AL47" i="98"/>
  <c r="AM47" i="98" s="1"/>
  <c r="AQ47" i="98"/>
  <c r="AR47" i="98" s="1"/>
  <c r="AS47" i="98" s="1"/>
  <c r="AV47" i="98"/>
  <c r="BA47" i="98"/>
  <c r="BB47" i="98" s="1"/>
  <c r="BD47" i="98"/>
  <c r="BD48" i="98" s="1"/>
  <c r="BF47" i="98"/>
  <c r="BG47" i="98" s="1"/>
  <c r="BH47" i="98" s="1"/>
  <c r="BK47" i="98"/>
  <c r="BL47" i="98" s="1"/>
  <c r="BM47" i="98" s="1"/>
  <c r="BP47" i="98"/>
  <c r="BQ47" i="98" s="1"/>
  <c r="BR47" i="98" s="1"/>
  <c r="BU47" i="98"/>
  <c r="BV47" i="98" s="1"/>
  <c r="BW47" i="98" s="1"/>
  <c r="BY47" i="98"/>
  <c r="BY48" i="98" s="1"/>
  <c r="CE47" i="98"/>
  <c r="CF47" i="98" s="1"/>
  <c r="CJ47" i="98"/>
  <c r="CK47" i="98" s="1"/>
  <c r="L48" i="98"/>
  <c r="V48" i="98"/>
  <c r="AA48" i="98"/>
  <c r="AF48" i="98"/>
  <c r="AK48" i="98"/>
  <c r="AP48" i="98"/>
  <c r="AT48" i="98"/>
  <c r="AU48" i="98"/>
  <c r="BE48" i="98"/>
  <c r="BI48" i="98"/>
  <c r="BN48" i="98"/>
  <c r="BO48" i="98"/>
  <c r="BX48" i="98"/>
  <c r="CD48" i="98"/>
  <c r="CI48" i="98"/>
  <c r="CN48" i="98"/>
  <c r="CO48" i="98"/>
  <c r="CP48" i="98"/>
  <c r="CQ48" i="98"/>
  <c r="CS48" i="98"/>
  <c r="CT48" i="98"/>
  <c r="CU48" i="98"/>
  <c r="O53" i="98"/>
  <c r="T53" i="98"/>
  <c r="X53" i="98"/>
  <c r="Y53" i="98" s="1"/>
  <c r="AD53" i="98"/>
  <c r="AJ53" i="98"/>
  <c r="AO53" i="98"/>
  <c r="AT53" i="98"/>
  <c r="AT64" i="98" s="1"/>
  <c r="AV53" i="98"/>
  <c r="AW53" i="98" s="1"/>
  <c r="AX53" i="98" s="1"/>
  <c r="BF53" i="98"/>
  <c r="BG53" i="98" s="1"/>
  <c r="BP53" i="98"/>
  <c r="BU53" i="98"/>
  <c r="BZ53" i="98"/>
  <c r="CF53" i="98"/>
  <c r="CK53" i="98"/>
  <c r="CV53" i="98"/>
  <c r="AD54" i="98"/>
  <c r="AX54" i="98"/>
  <c r="BR54" i="98"/>
  <c r="BW54" i="98"/>
  <c r="CG54" i="98"/>
  <c r="L55" i="98"/>
  <c r="R55" i="98"/>
  <c r="S55" i="98" s="1"/>
  <c r="T55" i="98" s="1"/>
  <c r="W55" i="98"/>
  <c r="X55" i="98" s="1"/>
  <c r="Y55" i="98" s="1"/>
  <c r="AB55" i="98"/>
  <c r="AC55" i="98" s="1"/>
  <c r="AD55" i="98" s="1"/>
  <c r="AG55" i="98"/>
  <c r="AH55" i="98" s="1"/>
  <c r="AI55" i="98" s="1"/>
  <c r="AN55" i="98"/>
  <c r="AQ55" i="98"/>
  <c r="AR55" i="98" s="1"/>
  <c r="AS55" i="98" s="1"/>
  <c r="AV55" i="98"/>
  <c r="AW55" i="98" s="1"/>
  <c r="AX55" i="98" s="1"/>
  <c r="BA55" i="98"/>
  <c r="BB55" i="98" s="1"/>
  <c r="BC55" i="98" s="1"/>
  <c r="BF55" i="98"/>
  <c r="BK55" i="98"/>
  <c r="BL55" i="98" s="1"/>
  <c r="BM55" i="98" s="1"/>
  <c r="BP55" i="98"/>
  <c r="BQ55" i="98" s="1"/>
  <c r="BR55" i="98" s="1"/>
  <c r="BW55" i="98"/>
  <c r="BZ55" i="98"/>
  <c r="CA55" i="98" s="1"/>
  <c r="CB55" i="98" s="1"/>
  <c r="CG55" i="98"/>
  <c r="CJ55" i="98"/>
  <c r="CK55" i="98" s="1"/>
  <c r="CL55" i="98" s="1"/>
  <c r="DB55" i="98"/>
  <c r="DG55" i="98"/>
  <c r="DL55" i="98"/>
  <c r="DQ55" i="98"/>
  <c r="M56" i="98"/>
  <c r="N56" i="98" s="1"/>
  <c r="O56" i="98" s="1"/>
  <c r="R56" i="98"/>
  <c r="W56" i="98"/>
  <c r="X56" i="98" s="1"/>
  <c r="Y56" i="98" s="1"/>
  <c r="AB56" i="98"/>
  <c r="AD56" i="98" s="1"/>
  <c r="AJ56" i="98"/>
  <c r="AO56" i="98"/>
  <c r="AO140" i="98" s="1"/>
  <c r="AS56" i="98"/>
  <c r="AV56" i="98"/>
  <c r="AW56" i="98" s="1"/>
  <c r="BB56" i="98"/>
  <c r="BG56" i="98"/>
  <c r="BH56" i="98" s="1"/>
  <c r="BL56" i="98"/>
  <c r="BM56" i="98" s="1"/>
  <c r="BQ56" i="98"/>
  <c r="BR56" i="98" s="1"/>
  <c r="BU56" i="98"/>
  <c r="BV56" i="98" s="1"/>
  <c r="BW56" i="98" s="1"/>
  <c r="BZ56" i="98"/>
  <c r="CA56" i="98" s="1"/>
  <c r="CB56" i="98" s="1"/>
  <c r="CG56" i="98"/>
  <c r="CM56" i="98"/>
  <c r="M57" i="98"/>
  <c r="N57" i="98" s="1"/>
  <c r="O57" i="98" s="1"/>
  <c r="R57" i="98"/>
  <c r="S57" i="98" s="1"/>
  <c r="T57" i="98" s="1"/>
  <c r="W57" i="98"/>
  <c r="X57" i="98" s="1"/>
  <c r="Y57" i="98" s="1"/>
  <c r="AB57" i="98"/>
  <c r="AC57" i="98" s="1"/>
  <c r="AD57" i="98" s="1"/>
  <c r="AD87" i="98" s="1"/>
  <c r="AG57" i="98"/>
  <c r="AH57" i="98" s="1"/>
  <c r="AI57" i="98" s="1"/>
  <c r="AI140" i="98" s="1"/>
  <c r="AL57" i="98"/>
  <c r="AM57" i="98" s="1"/>
  <c r="AN57" i="98" s="1"/>
  <c r="AQ57" i="98"/>
  <c r="AR57" i="98" s="1"/>
  <c r="AR87" i="98" s="1"/>
  <c r="AV57" i="98"/>
  <c r="AW57" i="98" s="1"/>
  <c r="BA57" i="98"/>
  <c r="BB57" i="98" s="1"/>
  <c r="BF57" i="98"/>
  <c r="BG57" i="98" s="1"/>
  <c r="BH57" i="98" s="1"/>
  <c r="BK57" i="98"/>
  <c r="BK87" i="98" s="1"/>
  <c r="BP57" i="98"/>
  <c r="BP140" i="98" s="1"/>
  <c r="BU57" i="98"/>
  <c r="BZ57" i="98"/>
  <c r="CE57" i="98"/>
  <c r="CJ57" i="98"/>
  <c r="M58" i="98"/>
  <c r="N58" i="98" s="1"/>
  <c r="O58" i="98" s="1"/>
  <c r="R58" i="98"/>
  <c r="S58" i="98" s="1"/>
  <c r="T58" i="98" s="1"/>
  <c r="W58" i="98"/>
  <c r="X58" i="98" s="1"/>
  <c r="Y58" i="98" s="1"/>
  <c r="AB58" i="98"/>
  <c r="AC58" i="98" s="1"/>
  <c r="AD58" i="98" s="1"/>
  <c r="AG58" i="98"/>
  <c r="AL58" i="98"/>
  <c r="AQ58" i="98"/>
  <c r="AV58" i="98"/>
  <c r="AW58" i="98" s="1"/>
  <c r="AY58" i="98"/>
  <c r="AZ58" i="98"/>
  <c r="BA58" i="98" s="1"/>
  <c r="BB58" i="98" s="1"/>
  <c r="BD58" i="98"/>
  <c r="BF58" i="98"/>
  <c r="BG58" i="98" s="1"/>
  <c r="BH58" i="98" s="1"/>
  <c r="BK58" i="98"/>
  <c r="BL58" i="98" s="1"/>
  <c r="BP58" i="98"/>
  <c r="BQ58" i="98" s="1"/>
  <c r="BR58" i="98" s="1"/>
  <c r="BW58" i="98"/>
  <c r="BZ58" i="98"/>
  <c r="CA58" i="98" s="1"/>
  <c r="CE58" i="98"/>
  <c r="CF58" i="98" s="1"/>
  <c r="CG58" i="98" s="1"/>
  <c r="CK58" i="98"/>
  <c r="CL58" i="98" s="1"/>
  <c r="O59" i="98"/>
  <c r="R59" i="98"/>
  <c r="S59" i="98" s="1"/>
  <c r="T59" i="98" s="1"/>
  <c r="W59" i="98"/>
  <c r="AB59" i="98"/>
  <c r="AC59" i="98" s="1"/>
  <c r="AD59" i="98" s="1"/>
  <c r="AG59" i="98"/>
  <c r="AH59" i="98" s="1"/>
  <c r="AL59" i="98"/>
  <c r="AM59" i="98" s="1"/>
  <c r="AN59" i="98" s="1"/>
  <c r="AN86" i="98" s="1"/>
  <c r="AQ59" i="98"/>
  <c r="AR59" i="98" s="1"/>
  <c r="AR86" i="98" s="1"/>
  <c r="AV59" i="98"/>
  <c r="BA59" i="98"/>
  <c r="BB59" i="98" s="1"/>
  <c r="BC59" i="98" s="1"/>
  <c r="BF59" i="98"/>
  <c r="BG59" i="98" s="1"/>
  <c r="BM59" i="98"/>
  <c r="BP59" i="98"/>
  <c r="BQ59" i="98" s="1"/>
  <c r="BU59" i="98"/>
  <c r="BV59" i="98" s="1"/>
  <c r="BW59" i="98" s="1"/>
  <c r="BZ59" i="98"/>
  <c r="CE59" i="98"/>
  <c r="CF59" i="98" s="1"/>
  <c r="CJ59" i="98"/>
  <c r="CK59" i="98" s="1"/>
  <c r="CL59" i="98" s="1"/>
  <c r="AS60" i="98"/>
  <c r="AV60" i="98"/>
  <c r="AW60" i="98" s="1"/>
  <c r="AX60" i="98" s="1"/>
  <c r="BA60" i="98"/>
  <c r="BB60" i="98" s="1"/>
  <c r="BC60" i="98" s="1"/>
  <c r="BF60" i="98"/>
  <c r="BG60" i="98" s="1"/>
  <c r="BH60" i="98" s="1"/>
  <c r="BK60" i="98"/>
  <c r="BL60" i="98" s="1"/>
  <c r="BM60" i="98" s="1"/>
  <c r="BP60" i="98"/>
  <c r="BQ60" i="98" s="1"/>
  <c r="BR60" i="98" s="1"/>
  <c r="BU60" i="98"/>
  <c r="BV60" i="98" s="1"/>
  <c r="BW60" i="98" s="1"/>
  <c r="BZ60" i="98"/>
  <c r="CA60" i="98" s="1"/>
  <c r="CE60" i="98"/>
  <c r="CJ60" i="98"/>
  <c r="CK60" i="98" s="1"/>
  <c r="AN61" i="98"/>
  <c r="AN85" i="98" s="1"/>
  <c r="AQ61" i="98"/>
  <c r="AQ85" i="98" s="1"/>
  <c r="AV61" i="98"/>
  <c r="AW61" i="98" s="1"/>
  <c r="AX61" i="98" s="1"/>
  <c r="AX85" i="98" s="1"/>
  <c r="BA61" i="98"/>
  <c r="BB61" i="98" s="1"/>
  <c r="BC61" i="98" s="1"/>
  <c r="BF61" i="98"/>
  <c r="BG61" i="98" s="1"/>
  <c r="BH61" i="98" s="1"/>
  <c r="BH85" i="98" s="1"/>
  <c r="BK61" i="98"/>
  <c r="BK85" i="98" s="1"/>
  <c r="BP61" i="98"/>
  <c r="BQ61" i="98" s="1"/>
  <c r="BU61" i="98"/>
  <c r="BV61" i="98" s="1"/>
  <c r="BZ61" i="98"/>
  <c r="CA61" i="98" s="1"/>
  <c r="CE61" i="98"/>
  <c r="CJ61" i="98"/>
  <c r="CK61" i="98" s="1"/>
  <c r="CL61" i="98" s="1"/>
  <c r="O62" i="98"/>
  <c r="T62" i="98"/>
  <c r="Y62" i="98"/>
  <c r="Y80" i="98" s="1"/>
  <c r="AB62" i="98"/>
  <c r="AC62" i="98" s="1"/>
  <c r="AC80" i="98" s="1"/>
  <c r="AG62" i="98"/>
  <c r="AH62" i="98" s="1"/>
  <c r="AL62" i="98"/>
  <c r="AM62" i="98" s="1"/>
  <c r="AM80" i="98" s="1"/>
  <c r="AQ62" i="98"/>
  <c r="AV62" i="98"/>
  <c r="AW62" i="98" s="1"/>
  <c r="AX62" i="98" s="1"/>
  <c r="AX80" i="98" s="1"/>
  <c r="BA62" i="98"/>
  <c r="BB62" i="98" s="1"/>
  <c r="BB80" i="98" s="1"/>
  <c r="BF62" i="98"/>
  <c r="BG62" i="98" s="1"/>
  <c r="BK62" i="98"/>
  <c r="BL62" i="98" s="1"/>
  <c r="BL80" i="98" s="1"/>
  <c r="BP62" i="98"/>
  <c r="BQ62" i="98" s="1"/>
  <c r="BU62" i="98"/>
  <c r="BV62" i="98" s="1"/>
  <c r="BZ62" i="98"/>
  <c r="CA62" i="98" s="1"/>
  <c r="CA80" i="98" s="1"/>
  <c r="CE62" i="98"/>
  <c r="CF62" i="98" s="1"/>
  <c r="CJ62" i="98"/>
  <c r="CK62" i="98" s="1"/>
  <c r="CL62" i="98" s="1"/>
  <c r="M63" i="98"/>
  <c r="N63" i="98" s="1"/>
  <c r="O63" i="98" s="1"/>
  <c r="R63" i="98"/>
  <c r="S63" i="98" s="1"/>
  <c r="T63" i="98" s="1"/>
  <c r="W63" i="98"/>
  <c r="X63" i="98" s="1"/>
  <c r="Y63" i="98" s="1"/>
  <c r="AB63" i="98"/>
  <c r="AC63" i="98" s="1"/>
  <c r="AD63" i="98" s="1"/>
  <c r="AJ63" i="98"/>
  <c r="AO63" i="98"/>
  <c r="AS63" i="98"/>
  <c r="AV63" i="98"/>
  <c r="AX63" i="98" s="1"/>
  <c r="AZ63" i="98" s="1"/>
  <c r="BA63" i="98" s="1"/>
  <c r="BC63" i="98" s="1"/>
  <c r="BC86" i="98" s="1"/>
  <c r="BF63" i="98"/>
  <c r="BH63" i="98" s="1"/>
  <c r="BJ63" i="98" s="1"/>
  <c r="BK63" i="98" s="1"/>
  <c r="BP63" i="98"/>
  <c r="BQ63" i="98" s="1"/>
  <c r="BU63" i="98"/>
  <c r="BV63" i="98" s="1"/>
  <c r="BZ63" i="98"/>
  <c r="CA63" i="98" s="1"/>
  <c r="CE63" i="98"/>
  <c r="CJ63" i="98"/>
  <c r="CK63" i="98" s="1"/>
  <c r="CL63" i="98" s="1"/>
  <c r="CX145" i="98"/>
  <c r="P64" i="98"/>
  <c r="Q64" i="98"/>
  <c r="U64" i="98"/>
  <c r="V64" i="98"/>
  <c r="Z64" i="98"/>
  <c r="AA64" i="98"/>
  <c r="AF64" i="98"/>
  <c r="AK64" i="98"/>
  <c r="AP64" i="98"/>
  <c r="AU64" i="98"/>
  <c r="BD64" i="98"/>
  <c r="BE64" i="98"/>
  <c r="BI64" i="98"/>
  <c r="BN64" i="98"/>
  <c r="BO64" i="98"/>
  <c r="BS64" i="98"/>
  <c r="BT64" i="98"/>
  <c r="BY64" i="98"/>
  <c r="CI64" i="98"/>
  <c r="CS64" i="98"/>
  <c r="CT64" i="98"/>
  <c r="CU64" i="98"/>
  <c r="N66" i="98"/>
  <c r="R66" i="98"/>
  <c r="S66" i="98" s="1"/>
  <c r="T66" i="98" s="1"/>
  <c r="AB66" i="98"/>
  <c r="AC66" i="98" s="1"/>
  <c r="AD66" i="98" s="1"/>
  <c r="AG66" i="98"/>
  <c r="AH66" i="98" s="1"/>
  <c r="AL66" i="98"/>
  <c r="AM66" i="98" s="1"/>
  <c r="AN66" i="98" s="1"/>
  <c r="AQ66" i="98"/>
  <c r="AV66" i="98"/>
  <c r="AW66" i="98" s="1"/>
  <c r="BC66" i="98"/>
  <c r="BF66" i="98"/>
  <c r="BG66" i="98" s="1"/>
  <c r="BH66" i="98" s="1"/>
  <c r="BK66" i="98"/>
  <c r="BL66" i="98" s="1"/>
  <c r="BM66" i="98" s="1"/>
  <c r="BP66" i="98"/>
  <c r="BQ66" i="98" s="1"/>
  <c r="BR66" i="98" s="1"/>
  <c r="BU66" i="98"/>
  <c r="BV66" i="98" s="1"/>
  <c r="BW66" i="98" s="1"/>
  <c r="BZ66" i="98"/>
  <c r="CA66" i="98" s="1"/>
  <c r="CE66" i="98"/>
  <c r="CF66" i="98" s="1"/>
  <c r="CJ66" i="98"/>
  <c r="CK66" i="98" s="1"/>
  <c r="CL66" i="98" s="1"/>
  <c r="AQ68" i="98"/>
  <c r="AR68" i="98" s="1"/>
  <c r="AU68" i="98"/>
  <c r="AV68" i="98" s="1"/>
  <c r="AW68" i="98" s="1"/>
  <c r="AX68" i="98" s="1"/>
  <c r="AZ68" i="98" s="1"/>
  <c r="BA68" i="98" s="1"/>
  <c r="BB68" i="98" s="1"/>
  <c r="BC68" i="98" s="1"/>
  <c r="AY68" i="98"/>
  <c r="BD68" i="98"/>
  <c r="BF68" i="98"/>
  <c r="BG68" i="98" s="1"/>
  <c r="BH68" i="98" s="1"/>
  <c r="BK68" i="98"/>
  <c r="BM68" i="98" s="1"/>
  <c r="BO68" i="98" s="1"/>
  <c r="BU68" i="98"/>
  <c r="CV68" i="98"/>
  <c r="CW68" i="98" s="1"/>
  <c r="P69" i="98"/>
  <c r="BN69" i="98"/>
  <c r="AP72" i="98"/>
  <c r="AU72" i="98"/>
  <c r="AV72" i="98"/>
  <c r="AW72" i="98"/>
  <c r="AX72" i="98"/>
  <c r="AY72" i="98"/>
  <c r="AZ72" i="98"/>
  <c r="BA72" i="98"/>
  <c r="BB72" i="98"/>
  <c r="BC72" i="98"/>
  <c r="BD72" i="98"/>
  <c r="BE72" i="98"/>
  <c r="BF72" i="98"/>
  <c r="BG72" i="98"/>
  <c r="BH72" i="98"/>
  <c r="BI72" i="98"/>
  <c r="BJ72" i="98"/>
  <c r="BK72" i="98"/>
  <c r="BL72" i="98"/>
  <c r="BM72" i="98"/>
  <c r="BN72" i="98"/>
  <c r="BO72" i="98"/>
  <c r="BP72" i="98"/>
  <c r="BQ72" i="98"/>
  <c r="BR72" i="98"/>
  <c r="BS72" i="98"/>
  <c r="BT72" i="98"/>
  <c r="BU72" i="98"/>
  <c r="BV72" i="98"/>
  <c r="BW72" i="98"/>
  <c r="BX72" i="98"/>
  <c r="BY72" i="98"/>
  <c r="BZ72" i="98"/>
  <c r="CA72" i="98"/>
  <c r="CB72" i="98"/>
  <c r="CC72" i="98"/>
  <c r="CD72" i="98"/>
  <c r="CE72" i="98"/>
  <c r="CF72" i="98"/>
  <c r="CG72" i="98"/>
  <c r="CH72" i="98"/>
  <c r="CM72" i="98"/>
  <c r="CN72" i="98"/>
  <c r="CO72" i="98"/>
  <c r="CP72" i="98"/>
  <c r="CQ72" i="98"/>
  <c r="CS72" i="98"/>
  <c r="CT72" i="98"/>
  <c r="CU72" i="98"/>
  <c r="CV72" i="98"/>
  <c r="CW72" i="98"/>
  <c r="CX72" i="98"/>
  <c r="CY72" i="98"/>
  <c r="CZ72" i="98"/>
  <c r="DA72" i="98"/>
  <c r="DB72" i="98"/>
  <c r="DC72" i="98"/>
  <c r="DD72" i="98"/>
  <c r="DE72" i="98"/>
  <c r="DF72" i="98"/>
  <c r="DG72" i="98"/>
  <c r="DH72" i="98"/>
  <c r="DI72" i="98"/>
  <c r="DJ72" i="98"/>
  <c r="DK72" i="98"/>
  <c r="DL72" i="98"/>
  <c r="DM72" i="98"/>
  <c r="DN72" i="98"/>
  <c r="DO72" i="98"/>
  <c r="DP72" i="98"/>
  <c r="DQ72" i="98"/>
  <c r="Q73" i="98"/>
  <c r="BT73" i="98"/>
  <c r="CD73" i="98"/>
  <c r="L74" i="98"/>
  <c r="O74" i="98"/>
  <c r="P74" i="98"/>
  <c r="Q74" i="98"/>
  <c r="U74" i="98"/>
  <c r="V74" i="98"/>
  <c r="W74" i="98"/>
  <c r="X74" i="98"/>
  <c r="Y74" i="98"/>
  <c r="Z74" i="98"/>
  <c r="AA74" i="98"/>
  <c r="AE74" i="98"/>
  <c r="AF74" i="98"/>
  <c r="AG74" i="98"/>
  <c r="AK74" i="98"/>
  <c r="AN74" i="98"/>
  <c r="AO74" i="98"/>
  <c r="AP74" i="98"/>
  <c r="AQ74" i="98"/>
  <c r="AT74" i="98"/>
  <c r="AU74" i="98"/>
  <c r="AV74" i="98"/>
  <c r="AY74" i="98"/>
  <c r="AZ74" i="98"/>
  <c r="BD74" i="98"/>
  <c r="BE74" i="98"/>
  <c r="BI74" i="98"/>
  <c r="BJ74" i="98"/>
  <c r="BK74" i="98"/>
  <c r="BN74" i="98"/>
  <c r="BO74" i="98"/>
  <c r="BP74" i="98"/>
  <c r="BS74" i="98"/>
  <c r="BT74" i="98"/>
  <c r="BX74" i="98"/>
  <c r="BY74" i="98"/>
  <c r="BZ74" i="98"/>
  <c r="CD74" i="98"/>
  <c r="CE74" i="98"/>
  <c r="CM75" i="98"/>
  <c r="CS74" i="98"/>
  <c r="CT74" i="98"/>
  <c r="CU74" i="98"/>
  <c r="V79" i="98"/>
  <c r="W79" i="98"/>
  <c r="X79" i="98"/>
  <c r="Y79" i="98"/>
  <c r="Z79" i="98"/>
  <c r="AA79" i="98"/>
  <c r="AE79" i="98"/>
  <c r="AF79" i="98"/>
  <c r="AK79" i="98"/>
  <c r="AO79" i="98"/>
  <c r="AP79" i="98"/>
  <c r="AQ79" i="98"/>
  <c r="AR79" i="98"/>
  <c r="AT79" i="98"/>
  <c r="AU79" i="98"/>
  <c r="AY79" i="98"/>
  <c r="AZ79" i="98"/>
  <c r="BB79" i="98"/>
  <c r="BD79" i="98"/>
  <c r="BE79" i="98"/>
  <c r="BI79" i="98"/>
  <c r="BJ79" i="98"/>
  <c r="BK79" i="98"/>
  <c r="BL79" i="98"/>
  <c r="BN79" i="98"/>
  <c r="BO79" i="98"/>
  <c r="BS79" i="98"/>
  <c r="BT79" i="98"/>
  <c r="BU79" i="98"/>
  <c r="BV79" i="98"/>
  <c r="BX79" i="98"/>
  <c r="BY79" i="98"/>
  <c r="CC79" i="98"/>
  <c r="CD79" i="98"/>
  <c r="CE79" i="98"/>
  <c r="CF79" i="98"/>
  <c r="CH79" i="98"/>
  <c r="CM79" i="98"/>
  <c r="CN79" i="98"/>
  <c r="CO79" i="98"/>
  <c r="CP79" i="98"/>
  <c r="CQ79" i="98"/>
  <c r="CR79" i="98"/>
  <c r="CS79" i="98"/>
  <c r="CT79" i="98"/>
  <c r="CU79" i="98"/>
  <c r="V80" i="98"/>
  <c r="W80" i="98"/>
  <c r="X80" i="98"/>
  <c r="Z80" i="98"/>
  <c r="AA80" i="98"/>
  <c r="AE80" i="98"/>
  <c r="AF80" i="98"/>
  <c r="AK80" i="98"/>
  <c r="AL80" i="98"/>
  <c r="AO80" i="98"/>
  <c r="AP80" i="98"/>
  <c r="AQ80" i="98"/>
  <c r="AT80" i="98"/>
  <c r="AU80" i="98"/>
  <c r="AY80" i="98"/>
  <c r="AZ80" i="98"/>
  <c r="BD80" i="98"/>
  <c r="BE80" i="98"/>
  <c r="BI80" i="98"/>
  <c r="BJ80" i="98"/>
  <c r="BN80" i="98"/>
  <c r="BO80" i="98"/>
  <c r="BS80" i="98"/>
  <c r="BT80" i="98"/>
  <c r="BU80" i="98"/>
  <c r="BV80" i="98"/>
  <c r="BX80" i="98"/>
  <c r="BY80" i="98"/>
  <c r="CC80" i="98"/>
  <c r="CD80" i="98"/>
  <c r="CH80" i="98"/>
  <c r="CM80" i="98"/>
  <c r="CN80" i="98"/>
  <c r="CO80" i="98"/>
  <c r="CP80" i="98"/>
  <c r="CQ80" i="98"/>
  <c r="CR80" i="98"/>
  <c r="CS80" i="98"/>
  <c r="CT80" i="98"/>
  <c r="CU80" i="98"/>
  <c r="CV80" i="98"/>
  <c r="CX80" i="98"/>
  <c r="V81" i="98"/>
  <c r="W81" i="98"/>
  <c r="Z81" i="98"/>
  <c r="AA81" i="98"/>
  <c r="AB81" i="98"/>
  <c r="AE81" i="98"/>
  <c r="AF81" i="98"/>
  <c r="AG81" i="98"/>
  <c r="AK81" i="98"/>
  <c r="AL81" i="98"/>
  <c r="AO81" i="98"/>
  <c r="AP81" i="98"/>
  <c r="AT81" i="98"/>
  <c r="AU81" i="98"/>
  <c r="AY81" i="98"/>
  <c r="AZ81" i="98"/>
  <c r="BA81" i="98"/>
  <c r="BB81" i="98"/>
  <c r="BC81" i="98"/>
  <c r="BD81" i="98"/>
  <c r="BE81" i="98"/>
  <c r="BI81" i="98"/>
  <c r="BJ81" i="98"/>
  <c r="BN81" i="98"/>
  <c r="BO81" i="98"/>
  <c r="BS81" i="98"/>
  <c r="BT81" i="98"/>
  <c r="BU81" i="98"/>
  <c r="BV81" i="98"/>
  <c r="BW81" i="98"/>
  <c r="BX81" i="98"/>
  <c r="BY81" i="98"/>
  <c r="CC81" i="98"/>
  <c r="CD81" i="98"/>
  <c r="CE81" i="98"/>
  <c r="CF81" i="98"/>
  <c r="CG81" i="98"/>
  <c r="CH81" i="98"/>
  <c r="CM81" i="98"/>
  <c r="CN81" i="98"/>
  <c r="CO81" i="98"/>
  <c r="CP81" i="98"/>
  <c r="CQ81" i="98"/>
  <c r="CR81" i="98"/>
  <c r="CS81" i="98"/>
  <c r="CT81" i="98"/>
  <c r="CU81" i="98"/>
  <c r="CV81" i="98"/>
  <c r="CW81" i="98"/>
  <c r="CX81" i="98"/>
  <c r="CY81" i="98"/>
  <c r="CZ81" i="98"/>
  <c r="DA81" i="98"/>
  <c r="DC81" i="98"/>
  <c r="DD81" i="98"/>
  <c r="DE81" i="98"/>
  <c r="DF81" i="98"/>
  <c r="DH81" i="98"/>
  <c r="DI81" i="98"/>
  <c r="DJ81" i="98"/>
  <c r="DK81" i="98"/>
  <c r="DM81" i="98"/>
  <c r="DN81" i="98"/>
  <c r="DO81" i="98"/>
  <c r="DP81" i="98"/>
  <c r="DQ81" i="98"/>
  <c r="Z85" i="98"/>
  <c r="AA85" i="98"/>
  <c r="AB85" i="98"/>
  <c r="AC85" i="98"/>
  <c r="AD85" i="98"/>
  <c r="AE85" i="98"/>
  <c r="AF85" i="98"/>
  <c r="AG85" i="98"/>
  <c r="AH85" i="98"/>
  <c r="AI85" i="98"/>
  <c r="AJ85" i="98"/>
  <c r="AK85" i="98"/>
  <c r="AL85" i="98"/>
  <c r="AM85" i="98"/>
  <c r="AO85" i="98"/>
  <c r="AP85" i="98"/>
  <c r="AT85" i="98"/>
  <c r="AU85" i="98"/>
  <c r="AY85" i="98"/>
  <c r="AZ85" i="98"/>
  <c r="BB85" i="98"/>
  <c r="BC85" i="98"/>
  <c r="BD85" i="98"/>
  <c r="BE85" i="98"/>
  <c r="BI85" i="98"/>
  <c r="BJ85" i="98"/>
  <c r="BN85" i="98"/>
  <c r="BO85" i="98"/>
  <c r="BS85" i="98"/>
  <c r="BT85" i="98"/>
  <c r="BX85" i="98"/>
  <c r="BY85" i="98"/>
  <c r="BZ85" i="98"/>
  <c r="CC85" i="98"/>
  <c r="CD85" i="98"/>
  <c r="CE85" i="98"/>
  <c r="CH85" i="98"/>
  <c r="CM85" i="98"/>
  <c r="CN85" i="98"/>
  <c r="CO85" i="98"/>
  <c r="CP85" i="98"/>
  <c r="CQ85" i="98"/>
  <c r="CR85" i="98"/>
  <c r="CS85" i="98"/>
  <c r="CT85" i="98"/>
  <c r="CU85" i="98"/>
  <c r="Z86" i="98"/>
  <c r="AA86" i="98"/>
  <c r="AB86" i="98"/>
  <c r="AD86" i="98"/>
  <c r="AE86" i="98"/>
  <c r="AF86" i="98"/>
  <c r="AK86" i="98"/>
  <c r="AO86" i="98"/>
  <c r="AP86" i="98"/>
  <c r="AQ86" i="98"/>
  <c r="AT86" i="98"/>
  <c r="AU86" i="98"/>
  <c r="AY86" i="98"/>
  <c r="AZ86" i="98"/>
  <c r="BD86" i="98"/>
  <c r="BE86" i="98"/>
  <c r="BF86" i="98"/>
  <c r="BI86" i="98"/>
  <c r="BJ86" i="98"/>
  <c r="BN86" i="98"/>
  <c r="BO86" i="98"/>
  <c r="BQ86" i="98"/>
  <c r="BS86" i="98"/>
  <c r="BT86" i="98"/>
  <c r="BX86" i="98"/>
  <c r="BY86" i="98"/>
  <c r="BZ86" i="98"/>
  <c r="CC86" i="98"/>
  <c r="CD86" i="98"/>
  <c r="CH86" i="98"/>
  <c r="CM86" i="98"/>
  <c r="CN86" i="98"/>
  <c r="CO86" i="98"/>
  <c r="CP86" i="98"/>
  <c r="CQ86" i="98"/>
  <c r="CR86" i="98"/>
  <c r="CS86" i="98"/>
  <c r="CT86" i="98"/>
  <c r="CU86" i="98"/>
  <c r="CV86" i="98"/>
  <c r="CW86" i="98"/>
  <c r="CX86" i="98"/>
  <c r="Z87" i="98"/>
  <c r="AA87" i="98"/>
  <c r="AB87" i="98"/>
  <c r="AE87" i="98"/>
  <c r="AF87" i="98"/>
  <c r="AI87" i="98"/>
  <c r="AK87" i="98"/>
  <c r="AM87" i="98"/>
  <c r="AN87" i="98"/>
  <c r="AO87" i="98"/>
  <c r="AP87" i="98"/>
  <c r="AT87" i="98"/>
  <c r="AU87" i="98"/>
  <c r="AV87" i="98"/>
  <c r="AY87" i="98"/>
  <c r="AZ87" i="98"/>
  <c r="BD87" i="98"/>
  <c r="BE87" i="98"/>
  <c r="BG87" i="98"/>
  <c r="BH87" i="98"/>
  <c r="BI87" i="98"/>
  <c r="BJ87" i="98"/>
  <c r="BN87" i="98"/>
  <c r="BO87" i="98"/>
  <c r="BP87" i="98"/>
  <c r="BS87" i="98"/>
  <c r="BT87" i="98"/>
  <c r="BU87" i="98"/>
  <c r="BX87" i="98"/>
  <c r="BY87" i="98"/>
  <c r="CC87" i="98"/>
  <c r="CD87" i="98"/>
  <c r="CH87" i="98"/>
  <c r="CM87" i="98"/>
  <c r="CN87" i="98"/>
  <c r="CO87" i="98"/>
  <c r="CP87" i="98"/>
  <c r="CQ87" i="98"/>
  <c r="CR87" i="98"/>
  <c r="CS87" i="98"/>
  <c r="CT87" i="98"/>
  <c r="CU87" i="98"/>
  <c r="CR89" i="98"/>
  <c r="CS89" i="98"/>
  <c r="CT89" i="98"/>
  <c r="CU89" i="98"/>
  <c r="AU91" i="98"/>
  <c r="AV91" i="98"/>
  <c r="AZ91" i="98"/>
  <c r="BA91" i="98"/>
  <c r="BB91" i="98"/>
  <c r="BC91" i="98"/>
  <c r="BE91" i="98"/>
  <c r="BJ91" i="98"/>
  <c r="BO91" i="98"/>
  <c r="BT91" i="98"/>
  <c r="CC92" i="98"/>
  <c r="CD92" i="98"/>
  <c r="CE92" i="98"/>
  <c r="CH92" i="98"/>
  <c r="CM92" i="98"/>
  <c r="CN92" i="98"/>
  <c r="CR92" i="98"/>
  <c r="CS92" i="98"/>
  <c r="CT92" i="98"/>
  <c r="CU92" i="98"/>
  <c r="CD98" i="98"/>
  <c r="CP98" i="98"/>
  <c r="CR98" i="98"/>
  <c r="CR99" i="98" s="1"/>
  <c r="DM103" i="98"/>
  <c r="DN103" i="98"/>
  <c r="DO103" i="98"/>
  <c r="DP103" i="98"/>
  <c r="BA115" i="98"/>
  <c r="BF115" i="98"/>
  <c r="BG115" i="98" s="1"/>
  <c r="BH115" i="98" s="1"/>
  <c r="BK115" i="98"/>
  <c r="BP115" i="98"/>
  <c r="BQ115" i="98" s="1"/>
  <c r="BU115" i="98"/>
  <c r="BZ115" i="98"/>
  <c r="CA115" i="98" s="1"/>
  <c r="CB115" i="98" s="1"/>
  <c r="CE115" i="98"/>
  <c r="BA118" i="98"/>
  <c r="BF118" i="98"/>
  <c r="BG118" i="98" s="1"/>
  <c r="BH118" i="98" s="1"/>
  <c r="BK118" i="98"/>
  <c r="BP118" i="98"/>
  <c r="BU118" i="98"/>
  <c r="BZ118" i="98"/>
  <c r="CA118" i="98" s="1"/>
  <c r="CE118" i="98"/>
  <c r="BA121" i="98"/>
  <c r="BF121" i="98"/>
  <c r="BG121" i="98" s="1"/>
  <c r="BH121" i="98" s="1"/>
  <c r="BK121" i="98"/>
  <c r="BP121" i="98"/>
  <c r="BQ121" i="98" s="1"/>
  <c r="BU121" i="98"/>
  <c r="BZ121" i="98"/>
  <c r="CA121" i="98" s="1"/>
  <c r="CE121" i="98"/>
  <c r="CM121" i="98"/>
  <c r="CA125" i="98"/>
  <c r="CE125" i="98"/>
  <c r="CM125" i="98"/>
  <c r="L129" i="98"/>
  <c r="L130" i="98" s="1"/>
  <c r="O129" i="98"/>
  <c r="O130" i="98" s="1"/>
  <c r="P129" i="98"/>
  <c r="P130" i="98" s="1"/>
  <c r="Q129" i="98"/>
  <c r="Q130" i="98" s="1"/>
  <c r="U129" i="98"/>
  <c r="U130" i="98" s="1"/>
  <c r="V129" i="98"/>
  <c r="V130" i="98" s="1"/>
  <c r="W129" i="98"/>
  <c r="W130" i="98" s="1"/>
  <c r="X129" i="98"/>
  <c r="X130" i="98" s="1"/>
  <c r="Y129" i="98"/>
  <c r="Y130" i="98" s="1"/>
  <c r="Z129" i="98"/>
  <c r="AA129" i="98"/>
  <c r="AA130" i="98" s="1"/>
  <c r="AE129" i="98"/>
  <c r="AF129" i="98"/>
  <c r="AF130" i="98" s="1"/>
  <c r="AG129" i="98"/>
  <c r="AG130" i="98" s="1"/>
  <c r="AK129" i="98"/>
  <c r="AK130" i="98" s="1"/>
  <c r="AM129" i="98"/>
  <c r="AM130" i="98" s="1"/>
  <c r="AO129" i="98"/>
  <c r="AP129" i="98"/>
  <c r="AP130" i="98" s="1"/>
  <c r="AQ129" i="98"/>
  <c r="AQ130" i="98" s="1"/>
  <c r="AR129" i="98"/>
  <c r="AT129" i="98"/>
  <c r="AU129" i="98"/>
  <c r="AU130" i="98" s="1"/>
  <c r="AX129" i="98"/>
  <c r="AX130" i="98" s="1"/>
  <c r="AY129" i="98"/>
  <c r="AZ129" i="98"/>
  <c r="AZ130" i="98" s="1"/>
  <c r="BA129" i="98"/>
  <c r="BA130" i="98" s="1"/>
  <c r="BB129" i="98"/>
  <c r="BB130" i="98" s="1"/>
  <c r="BD129" i="98"/>
  <c r="BE129" i="98"/>
  <c r="BE130" i="98" s="1"/>
  <c r="BI129" i="98"/>
  <c r="BJ129" i="98"/>
  <c r="BJ130" i="98" s="1"/>
  <c r="BK129" i="98"/>
  <c r="BK130" i="98" s="1"/>
  <c r="BN129" i="98"/>
  <c r="BO129" i="98"/>
  <c r="BO130" i="98" s="1"/>
  <c r="BP129" i="98"/>
  <c r="BP130" i="98" s="1"/>
  <c r="BS129" i="98"/>
  <c r="BT129" i="98"/>
  <c r="BT130" i="98" s="1"/>
  <c r="BU129" i="98"/>
  <c r="BU130" i="98" s="1"/>
  <c r="BX129" i="98"/>
  <c r="BY129" i="98"/>
  <c r="BZ129" i="98"/>
  <c r="CD129" i="98"/>
  <c r="CE129" i="98"/>
  <c r="AR130" i="98"/>
  <c r="CM132" i="98"/>
  <c r="AQ133" i="98"/>
  <c r="BK133" i="98"/>
  <c r="CM133" i="98"/>
  <c r="CQ133" i="98"/>
  <c r="CR133" i="98" s="1"/>
  <c r="CS133" i="98"/>
  <c r="CT133" i="98"/>
  <c r="CU133" i="98"/>
  <c r="Z136" i="98"/>
  <c r="AA136" i="98"/>
  <c r="AE136" i="98"/>
  <c r="AF136" i="98"/>
  <c r="AK136" i="98"/>
  <c r="AO136" i="98"/>
  <c r="AP136" i="98"/>
  <c r="AT136" i="98"/>
  <c r="AY136" i="98"/>
  <c r="BD136" i="98"/>
  <c r="BE136" i="98"/>
  <c r="BI136" i="98"/>
  <c r="BJ136" i="98"/>
  <c r="BN136" i="98"/>
  <c r="BO136" i="98"/>
  <c r="BS136" i="98"/>
  <c r="BT136" i="98"/>
  <c r="BX136" i="98"/>
  <c r="BY136" i="98"/>
  <c r="BZ136" i="98"/>
  <c r="CC136" i="98"/>
  <c r="CD136" i="98"/>
  <c r="CE136" i="98"/>
  <c r="CF136" i="98"/>
  <c r="CH136" i="98"/>
  <c r="CI136" i="98"/>
  <c r="CM136" i="98"/>
  <c r="CN136" i="98"/>
  <c r="CO136" i="98"/>
  <c r="CP136" i="98"/>
  <c r="CQ136" i="98"/>
  <c r="CR136" i="98"/>
  <c r="CS136" i="98"/>
  <c r="CT136" i="98"/>
  <c r="CU136" i="98"/>
  <c r="CV136" i="98"/>
  <c r="CW136" i="98"/>
  <c r="CX136" i="98"/>
  <c r="Z137" i="98"/>
  <c r="AA137" i="98"/>
  <c r="AE137" i="98"/>
  <c r="AF137" i="98"/>
  <c r="AK137" i="98"/>
  <c r="AO137" i="98"/>
  <c r="AP137" i="98"/>
  <c r="AR137" i="98"/>
  <c r="AT137" i="98"/>
  <c r="AU137" i="98"/>
  <c r="AY137" i="98"/>
  <c r="BA137" i="98"/>
  <c r="BB137" i="98"/>
  <c r="BD137" i="98"/>
  <c r="BE137" i="98"/>
  <c r="BI137" i="98"/>
  <c r="BN137" i="98"/>
  <c r="BO137" i="98"/>
  <c r="BS137" i="98"/>
  <c r="BU137" i="98"/>
  <c r="BV137" i="98"/>
  <c r="BX137" i="98"/>
  <c r="BY137" i="98"/>
  <c r="CC137" i="98"/>
  <c r="CD137" i="98"/>
  <c r="CH137" i="98"/>
  <c r="CN137" i="98"/>
  <c r="CO137" i="98"/>
  <c r="CP137" i="98"/>
  <c r="CQ137" i="98"/>
  <c r="CR137" i="98"/>
  <c r="CS137" i="98"/>
  <c r="CT137" i="98"/>
  <c r="CU137" i="98"/>
  <c r="Z138" i="98"/>
  <c r="AA138" i="98"/>
  <c r="AE138" i="98"/>
  <c r="AF138" i="98"/>
  <c r="AK138" i="98"/>
  <c r="AO138" i="98"/>
  <c r="AP138" i="98"/>
  <c r="AQ138" i="98"/>
  <c r="AT138" i="98"/>
  <c r="AU138" i="98"/>
  <c r="AV138" i="98"/>
  <c r="AY138" i="98"/>
  <c r="AZ138" i="98"/>
  <c r="BD138" i="98"/>
  <c r="BE138" i="98"/>
  <c r="BF138" i="98"/>
  <c r="BI138" i="98"/>
  <c r="BN138" i="98"/>
  <c r="BO138" i="98"/>
  <c r="BS138" i="98"/>
  <c r="BT138" i="98"/>
  <c r="BU138" i="98"/>
  <c r="BV138" i="98"/>
  <c r="BW138" i="98"/>
  <c r="BX138" i="98"/>
  <c r="BY138" i="98"/>
  <c r="CC138" i="98"/>
  <c r="CD138" i="98"/>
  <c r="CE138" i="98"/>
  <c r="CH138" i="98"/>
  <c r="CM138" i="98"/>
  <c r="CN138" i="98"/>
  <c r="CO138" i="98"/>
  <c r="CP138" i="98"/>
  <c r="CQ138" i="98"/>
  <c r="CR138" i="98"/>
  <c r="CS138" i="98"/>
  <c r="CT138" i="98"/>
  <c r="CU138" i="98"/>
  <c r="Z140" i="98"/>
  <c r="AE140" i="98"/>
  <c r="AF140" i="98"/>
  <c r="AG140" i="98"/>
  <c r="AK140" i="98"/>
  <c r="AL140" i="98"/>
  <c r="AM140" i="98"/>
  <c r="AN140" i="98"/>
  <c r="AP140" i="98"/>
  <c r="AU140" i="98"/>
  <c r="AW140" i="98"/>
  <c r="AY140" i="98"/>
  <c r="BD140" i="98"/>
  <c r="BE140" i="98"/>
  <c r="BI140" i="98"/>
  <c r="BN140" i="98"/>
  <c r="BO140" i="98"/>
  <c r="BS140" i="98"/>
  <c r="BT140" i="98"/>
  <c r="BX140" i="98"/>
  <c r="BY140" i="98"/>
  <c r="CC140" i="98"/>
  <c r="CH140" i="98"/>
  <c r="CR140" i="98"/>
  <c r="CS140" i="98"/>
  <c r="CT140" i="98"/>
  <c r="CU140" i="98"/>
  <c r="Z145" i="98"/>
  <c r="AA145" i="98"/>
  <c r="AE145" i="98"/>
  <c r="AF145" i="98"/>
  <c r="AG145" i="98"/>
  <c r="AK145" i="98"/>
  <c r="AO145" i="98"/>
  <c r="AP145" i="98"/>
  <c r="AQ145" i="98"/>
  <c r="AT145" i="98"/>
  <c r="AU145" i="98"/>
  <c r="AY145" i="98"/>
  <c r="BD145" i="98"/>
  <c r="BE145" i="98"/>
  <c r="BF145" i="98"/>
  <c r="BI145" i="98"/>
  <c r="BN145" i="98"/>
  <c r="BO145" i="98"/>
  <c r="BS145" i="98"/>
  <c r="BT145" i="98"/>
  <c r="BX145" i="98"/>
  <c r="BY145" i="98"/>
  <c r="CC145" i="98"/>
  <c r="CD145" i="98"/>
  <c r="CH145" i="98"/>
  <c r="CM145" i="98"/>
  <c r="CN145" i="98"/>
  <c r="CO145" i="98"/>
  <c r="CP145" i="98"/>
  <c r="CQ145" i="98"/>
  <c r="CR145" i="98"/>
  <c r="CS145" i="98"/>
  <c r="CT145" i="98"/>
  <c r="CU145" i="98"/>
  <c r="CV145" i="98"/>
  <c r="BN146" i="98"/>
  <c r="CR151" i="98"/>
  <c r="CR152" i="98" s="1"/>
  <c r="CS151" i="98"/>
  <c r="CS152" i="98" s="1"/>
  <c r="CT151" i="98"/>
  <c r="CT152" i="98" s="1"/>
  <c r="CV154" i="98"/>
  <c r="CW154" i="98" s="1"/>
  <c r="CX154" i="98" s="1"/>
  <c r="CY154" i="98" s="1"/>
  <c r="AP73" i="98" l="1"/>
  <c r="AP67" i="98"/>
  <c r="Q75" i="98"/>
  <c r="CX18" i="98"/>
  <c r="CY18" i="98" s="1"/>
  <c r="CZ18" i="98" s="1"/>
  <c r="DA18" i="98" s="1"/>
  <c r="DC18" i="98" s="1"/>
  <c r="AL136" i="98"/>
  <c r="CN98" i="98"/>
  <c r="CN99" i="98" s="1"/>
  <c r="AS14" i="98"/>
  <c r="AS91" i="98" s="1"/>
  <c r="AR91" i="98"/>
  <c r="AG79" i="98"/>
  <c r="BT75" i="98"/>
  <c r="BT82" i="98" s="1"/>
  <c r="BE75" i="98"/>
  <c r="AU37" i="98"/>
  <c r="AU67" i="98" s="1"/>
  <c r="BG14" i="98"/>
  <c r="BH14" i="98" s="1"/>
  <c r="BH91" i="98" s="1"/>
  <c r="AG137" i="98"/>
  <c r="AP98" i="98"/>
  <c r="CE86" i="98"/>
  <c r="BK81" i="98"/>
  <c r="AQ81" i="98"/>
  <c r="N74" i="98"/>
  <c r="CF138" i="98"/>
  <c r="BU145" i="98"/>
  <c r="AL145" i="98"/>
  <c r="AQ137" i="98"/>
  <c r="N129" i="98"/>
  <c r="N130" i="98" s="1"/>
  <c r="AH87" i="98"/>
  <c r="BF85" i="98"/>
  <c r="BZ80" i="98"/>
  <c r="BF80" i="98"/>
  <c r="BA79" i="98"/>
  <c r="BA74" i="98"/>
  <c r="BJ145" i="98"/>
  <c r="AV140" i="98"/>
  <c r="AH140" i="98"/>
  <c r="AL138" i="98"/>
  <c r="AB138" i="98"/>
  <c r="CE137" i="98"/>
  <c r="CJ136" i="98"/>
  <c r="BF136" i="98"/>
  <c r="AU136" i="98"/>
  <c r="AB136" i="98"/>
  <c r="M129" i="98"/>
  <c r="M130" i="98" s="1"/>
  <c r="CO92" i="98"/>
  <c r="BP91" i="98"/>
  <c r="BF87" i="98"/>
  <c r="AL87" i="98"/>
  <c r="AG87" i="98"/>
  <c r="BP86" i="98"/>
  <c r="AC86" i="98"/>
  <c r="BA85" i="98"/>
  <c r="CE80" i="98"/>
  <c r="AG80" i="98"/>
  <c r="AB79" i="98"/>
  <c r="CD75" i="98"/>
  <c r="BU74" i="98"/>
  <c r="M74" i="98"/>
  <c r="AM64" i="98"/>
  <c r="M48" i="98"/>
  <c r="BH138" i="98"/>
  <c r="CE145" i="98"/>
  <c r="AR136" i="98"/>
  <c r="CR82" i="98"/>
  <c r="CN82" i="98"/>
  <c r="CM37" i="98"/>
  <c r="BJ75" i="98"/>
  <c r="BJ82" i="98" s="1"/>
  <c r="BJ88" i="98" s="1"/>
  <c r="CF137" i="98"/>
  <c r="CQ98" i="98"/>
  <c r="BN98" i="98"/>
  <c r="BU64" i="98"/>
  <c r="BP137" i="98"/>
  <c r="BF137" i="98"/>
  <c r="CP133" i="98"/>
  <c r="AW129" i="98"/>
  <c r="AW130" i="98" s="1"/>
  <c r="BU91" i="98"/>
  <c r="BX98" i="98"/>
  <c r="AV80" i="98"/>
  <c r="BQ79" i="98"/>
  <c r="AW79" i="98"/>
  <c r="AT75" i="98"/>
  <c r="AT82" i="98" s="1"/>
  <c r="AT88" i="98" s="1"/>
  <c r="BN67" i="98"/>
  <c r="BN70" i="98" s="1"/>
  <c r="BO69" i="98" s="1"/>
  <c r="BS69" i="98" s="1"/>
  <c r="AG48" i="98"/>
  <c r="AR138" i="98"/>
  <c r="BQ137" i="98"/>
  <c r="CQ132" i="98"/>
  <c r="CR132" i="98" s="1"/>
  <c r="AV36" i="98"/>
  <c r="BW136" i="98"/>
  <c r="AT67" i="98"/>
  <c r="CO133" i="98"/>
  <c r="AV129" i="98"/>
  <c r="AV130" i="98" s="1"/>
  <c r="BG138" i="98"/>
  <c r="BZ137" i="98"/>
  <c r="BQ129" i="98"/>
  <c r="AB129" i="98"/>
  <c r="AB130" i="98" s="1"/>
  <c r="BG91" i="98"/>
  <c r="AG86" i="98"/>
  <c r="BF81" i="98"/>
  <c r="BP79" i="98"/>
  <c r="AV79" i="98"/>
  <c r="AC79" i="98"/>
  <c r="BX75" i="98"/>
  <c r="BQ74" i="98"/>
  <c r="AW74" i="98"/>
  <c r="AB74" i="98"/>
  <c r="BW46" i="98"/>
  <c r="AV37" i="98"/>
  <c r="AV73" i="98" s="1"/>
  <c r="AV75" i="98" s="1"/>
  <c r="BZ36" i="98"/>
  <c r="BZ37" i="98" s="1"/>
  <c r="BI98" i="98"/>
  <c r="BI99" i="98" s="1"/>
  <c r="BI73" i="98"/>
  <c r="BO98" i="98"/>
  <c r="BO73" i="98"/>
  <c r="BO75" i="98" s="1"/>
  <c r="BO82" i="98" s="1"/>
  <c r="BO88" i="98" s="1"/>
  <c r="BM14" i="98"/>
  <c r="BM91" i="98" s="1"/>
  <c r="BL91" i="98"/>
  <c r="AB145" i="98"/>
  <c r="CE140" i="98"/>
  <c r="BU140" i="98"/>
  <c r="BA138" i="98"/>
  <c r="AG138" i="98"/>
  <c r="BT137" i="98"/>
  <c r="BK136" i="98"/>
  <c r="AV136" i="98"/>
  <c r="AQ136" i="98"/>
  <c r="BJ133" i="98"/>
  <c r="AP133" i="98"/>
  <c r="BH129" i="98"/>
  <c r="BH130" i="98" s="1"/>
  <c r="AL129" i="98"/>
  <c r="AL130" i="98" s="1"/>
  <c r="CO98" i="98"/>
  <c r="CO99" i="98" s="1"/>
  <c r="CE87" i="98"/>
  <c r="BB86" i="98"/>
  <c r="AW85" i="98"/>
  <c r="AV81" i="98"/>
  <c r="AB80" i="98"/>
  <c r="BZ79" i="98"/>
  <c r="BH74" i="98"/>
  <c r="AM74" i="98"/>
  <c r="AK67" i="98"/>
  <c r="BT48" i="98"/>
  <c r="BT98" i="98" s="1"/>
  <c r="AX145" i="98"/>
  <c r="AT140" i="98"/>
  <c r="BQ138" i="98"/>
  <c r="AL137" i="98"/>
  <c r="BV136" i="98"/>
  <c r="BP136" i="98"/>
  <c r="AG136" i="98"/>
  <c r="BG129" i="98"/>
  <c r="BG130" i="98" s="1"/>
  <c r="BK91" i="98"/>
  <c r="BA86" i="98"/>
  <c r="BP85" i="98"/>
  <c r="AV85" i="98"/>
  <c r="BF79" i="98"/>
  <c r="BG74" i="98"/>
  <c r="AL74" i="98"/>
  <c r="CJ64" i="98"/>
  <c r="BI67" i="98"/>
  <c r="BA48" i="98"/>
  <c r="BK36" i="98"/>
  <c r="BK37" i="98" s="1"/>
  <c r="BK73" i="98" s="1"/>
  <c r="BK75" i="98" s="1"/>
  <c r="BP138" i="98"/>
  <c r="AV137" i="98"/>
  <c r="AB137" i="98"/>
  <c r="BU136" i="98"/>
  <c r="BA136" i="98"/>
  <c r="AR133" i="98"/>
  <c r="BF129" i="98"/>
  <c r="BF130" i="98" s="1"/>
  <c r="R129" i="98"/>
  <c r="R130" i="98" s="1"/>
  <c r="BV91" i="98"/>
  <c r="BP81" i="98"/>
  <c r="BP80" i="98"/>
  <c r="AW80" i="98"/>
  <c r="AL79" i="98"/>
  <c r="BF74" i="98"/>
  <c r="R74" i="98"/>
  <c r="BI75" i="98"/>
  <c r="BI82" i="98" s="1"/>
  <c r="BI88" i="98" s="1"/>
  <c r="BO67" i="98"/>
  <c r="CB28" i="98"/>
  <c r="CB136" i="98" s="1"/>
  <c r="CA136" i="98"/>
  <c r="CO82" i="98"/>
  <c r="BU48" i="98"/>
  <c r="AA37" i="98"/>
  <c r="AA73" i="98" s="1"/>
  <c r="AA75" i="98" s="1"/>
  <c r="AA82" i="98" s="1"/>
  <c r="AA88" i="98" s="1"/>
  <c r="AI62" i="98"/>
  <c r="AI80" i="98" s="1"/>
  <c r="AH145" i="98"/>
  <c r="AH80" i="98"/>
  <c r="CX68" i="98"/>
  <c r="CY68" i="98" s="1"/>
  <c r="CZ68" i="98" s="1"/>
  <c r="DA68" i="98" s="1"/>
  <c r="DC68" i="98" s="1"/>
  <c r="AN47" i="98"/>
  <c r="AN138" i="98" s="1"/>
  <c r="AM138" i="98"/>
  <c r="AN41" i="98"/>
  <c r="AN79" i="98" s="1"/>
  <c r="AM137" i="98"/>
  <c r="AM79" i="98"/>
  <c r="BH45" i="98"/>
  <c r="BH81" i="98" s="1"/>
  <c r="BG81" i="98"/>
  <c r="CL28" i="98"/>
  <c r="CL136" i="98" s="1"/>
  <c r="CK136" i="98"/>
  <c r="BL57" i="98"/>
  <c r="CW53" i="98"/>
  <c r="BW53" i="98"/>
  <c r="BD75" i="98"/>
  <c r="CL53" i="98"/>
  <c r="CM53" i="98" s="1"/>
  <c r="BR53" i="98"/>
  <c r="CA46" i="98"/>
  <c r="AX24" i="98"/>
  <c r="BV57" i="98"/>
  <c r="CK57" i="98"/>
  <c r="BQ57" i="98"/>
  <c r="BQ87" i="98" s="1"/>
  <c r="CB41" i="98"/>
  <c r="CB79" i="98" s="1"/>
  <c r="CA79" i="98"/>
  <c r="BM40" i="98"/>
  <c r="BL129" i="98"/>
  <c r="BL130" i="98" s="1"/>
  <c r="BL133" i="98"/>
  <c r="BL74" i="98"/>
  <c r="CL14" i="98"/>
  <c r="CQ92" i="98" s="1"/>
  <c r="CP92" i="98"/>
  <c r="AD44" i="98"/>
  <c r="AD138" i="98" s="1"/>
  <c r="AC138" i="98"/>
  <c r="BW40" i="98"/>
  <c r="BV74" i="98"/>
  <c r="BV129" i="98"/>
  <c r="BV130" i="98" s="1"/>
  <c r="V67" i="98"/>
  <c r="V73" i="98"/>
  <c r="V75" i="98" s="1"/>
  <c r="V82" i="98" s="1"/>
  <c r="AI59" i="98"/>
  <c r="AI86" i="98" s="1"/>
  <c r="AH86" i="98"/>
  <c r="CM137" i="98"/>
  <c r="BD82" i="98"/>
  <c r="BD88" i="98" s="1"/>
  <c r="CJ48" i="98"/>
  <c r="CW42" i="98"/>
  <c r="BA36" i="98"/>
  <c r="BA37" i="98" s="1"/>
  <c r="CD82" i="98"/>
  <c r="AQ48" i="98"/>
  <c r="CI67" i="98"/>
  <c r="BF36" i="98"/>
  <c r="BF37" i="98" s="1"/>
  <c r="BF73" i="98" s="1"/>
  <c r="CU36" i="98"/>
  <c r="AI66" i="98"/>
  <c r="AJ66" i="98" s="1"/>
  <c r="BK42" i="98"/>
  <c r="BK137" i="98" s="1"/>
  <c r="BJ137" i="98"/>
  <c r="BY98" i="98"/>
  <c r="BY73" i="98"/>
  <c r="BY67" i="98"/>
  <c r="AI18" i="98"/>
  <c r="AJ18" i="98" s="1"/>
  <c r="AH136" i="98"/>
  <c r="BC16" i="98"/>
  <c r="BB136" i="98"/>
  <c r="BD67" i="98"/>
  <c r="BD98" i="98"/>
  <c r="BD99" i="98" s="1"/>
  <c r="BM45" i="98"/>
  <c r="BM81" i="98" s="1"/>
  <c r="BL81" i="98"/>
  <c r="AX45" i="98"/>
  <c r="AW81" i="98"/>
  <c r="AW137" i="98"/>
  <c r="BH41" i="98"/>
  <c r="BH48" i="98" s="1"/>
  <c r="BG137" i="98"/>
  <c r="BG79" i="98"/>
  <c r="AX16" i="98"/>
  <c r="AX136" i="98" s="1"/>
  <c r="AW136" i="98"/>
  <c r="BR133" i="98"/>
  <c r="BS133" i="98" s="1"/>
  <c r="BT133" i="98"/>
  <c r="BR74" i="98"/>
  <c r="BU133" i="98"/>
  <c r="BR129" i="98"/>
  <c r="BR130" i="98" s="1"/>
  <c r="BV133" i="98"/>
  <c r="BH24" i="98"/>
  <c r="BH136" i="98" s="1"/>
  <c r="BG136" i="98"/>
  <c r="BR15" i="98"/>
  <c r="BR136" i="98" s="1"/>
  <c r="BQ136" i="98"/>
  <c r="BR61" i="98"/>
  <c r="BR85" i="98" s="1"/>
  <c r="BQ85" i="98"/>
  <c r="BC44" i="98"/>
  <c r="BB138" i="98"/>
  <c r="BM15" i="98"/>
  <c r="BL136" i="98"/>
  <c r="AH47" i="98"/>
  <c r="CB21" i="98"/>
  <c r="BY75" i="98"/>
  <c r="BY82" i="98" s="1"/>
  <c r="BN75" i="98"/>
  <c r="BN82" i="98" s="1"/>
  <c r="BN88" i="98" s="1"/>
  <c r="BP48" i="98"/>
  <c r="Q48" i="98"/>
  <c r="Q67" i="98" s="1"/>
  <c r="CG41" i="98"/>
  <c r="CG79" i="98" s="1"/>
  <c r="AS41" i="98"/>
  <c r="AS79" i="98" s="1"/>
  <c r="AL36" i="98"/>
  <c r="CP82" i="98"/>
  <c r="BX82" i="98"/>
  <c r="AK75" i="98"/>
  <c r="AK82" i="98" s="1"/>
  <c r="AK88" i="98" s="1"/>
  <c r="CG40" i="98"/>
  <c r="CF48" i="98"/>
  <c r="CF74" i="98"/>
  <c r="CF129" i="98"/>
  <c r="T40" i="98"/>
  <c r="S74" i="98"/>
  <c r="S129" i="98"/>
  <c r="S130" i="98" s="1"/>
  <c r="BM32" i="98"/>
  <c r="BM36" i="98" s="1"/>
  <c r="BL36" i="98"/>
  <c r="AX57" i="98"/>
  <c r="AX87" i="98" s="1"/>
  <c r="AW87" i="98"/>
  <c r="BR45" i="98"/>
  <c r="BR81" i="98" s="1"/>
  <c r="BQ81" i="98"/>
  <c r="BQ48" i="98"/>
  <c r="BR43" i="98"/>
  <c r="BC40" i="98"/>
  <c r="BB74" i="98"/>
  <c r="AS45" i="98"/>
  <c r="AR81" i="98"/>
  <c r="Y45" i="98"/>
  <c r="Y81" i="98" s="1"/>
  <c r="X81" i="98"/>
  <c r="AD40" i="98"/>
  <c r="AC74" i="98"/>
  <c r="AW91" i="98"/>
  <c r="AX14" i="98"/>
  <c r="AX91" i="98" s="1"/>
  <c r="BV87" i="98"/>
  <c r="CL47" i="98"/>
  <c r="CL48" i="98" s="1"/>
  <c r="CK48" i="98"/>
  <c r="AN45" i="98"/>
  <c r="AM81" i="98"/>
  <c r="AR48" i="98"/>
  <c r="AR74" i="98"/>
  <c r="BB36" i="98"/>
  <c r="BC31" i="98"/>
  <c r="BC36" i="98" s="1"/>
  <c r="AI11" i="98"/>
  <c r="AJ11" i="98" s="1"/>
  <c r="CG66" i="98"/>
  <c r="AR32" i="98"/>
  <c r="AS32" i="98" s="1"/>
  <c r="CG23" i="98"/>
  <c r="AR23" i="98"/>
  <c r="AS23" i="98" s="1"/>
  <c r="BF48" i="98"/>
  <c r="CG34" i="98"/>
  <c r="AH33" i="98"/>
  <c r="AI33" i="98" s="1"/>
  <c r="CX22" i="98"/>
  <c r="CY22" i="98" s="1"/>
  <c r="CZ22" i="98" s="1"/>
  <c r="DA22" i="98" s="1"/>
  <c r="DC22" i="98" s="1"/>
  <c r="U66" i="98"/>
  <c r="BC47" i="98"/>
  <c r="BC138" i="98" s="1"/>
  <c r="AS44" i="98"/>
  <c r="AS138" i="98" s="1"/>
  <c r="CB43" i="98"/>
  <c r="CB42" i="98"/>
  <c r="CA36" i="98"/>
  <c r="BV68" i="98"/>
  <c r="BW68" i="98" s="1"/>
  <c r="BY68" i="98" s="1"/>
  <c r="BZ68" i="98" s="1"/>
  <c r="CA68" i="98" s="1"/>
  <c r="CB68" i="98" s="1"/>
  <c r="CD68" i="98" s="1"/>
  <c r="BZ47" i="98"/>
  <c r="BZ138" i="98" s="1"/>
  <c r="CA45" i="98"/>
  <c r="AH45" i="98"/>
  <c r="AS40" i="98"/>
  <c r="AP75" i="98"/>
  <c r="AP82" i="98" s="1"/>
  <c r="AP88" i="98" s="1"/>
  <c r="AF75" i="98"/>
  <c r="AF82" i="98" s="1"/>
  <c r="AF88" i="98" s="1"/>
  <c r="L75" i="98"/>
  <c r="CQ82" i="98"/>
  <c r="CT36" i="98"/>
  <c r="AB64" i="98"/>
  <c r="BZ64" i="98"/>
  <c r="CF80" i="98"/>
  <c r="CG62" i="98"/>
  <c r="CG80" i="98" s="1"/>
  <c r="CA145" i="98"/>
  <c r="BR63" i="98"/>
  <c r="BQ145" i="98"/>
  <c r="CB61" i="98"/>
  <c r="CB85" i="98" s="1"/>
  <c r="CA85" i="98"/>
  <c r="BH53" i="98"/>
  <c r="BJ53" i="98" s="1"/>
  <c r="BG140" i="98"/>
  <c r="BH62" i="98"/>
  <c r="BG80" i="98"/>
  <c r="BG145" i="98"/>
  <c r="BH59" i="98"/>
  <c r="BH86" i="98" s="1"/>
  <c r="BG86" i="98"/>
  <c r="BK145" i="98"/>
  <c r="BA145" i="98"/>
  <c r="AW145" i="98"/>
  <c r="BZ140" i="98"/>
  <c r="BU85" i="98"/>
  <c r="BG85" i="98"/>
  <c r="BK80" i="98"/>
  <c r="AQ64" i="98"/>
  <c r="AL64" i="98"/>
  <c r="CB63" i="98"/>
  <c r="CB62" i="98"/>
  <c r="CX53" i="98"/>
  <c r="BP145" i="98"/>
  <c r="AZ145" i="98"/>
  <c r="AV145" i="98"/>
  <c r="BZ87" i="98"/>
  <c r="BA87" i="98"/>
  <c r="AQ87" i="98"/>
  <c r="BU86" i="98"/>
  <c r="AM86" i="98"/>
  <c r="AV64" i="98"/>
  <c r="CW80" i="98"/>
  <c r="CB60" i="98"/>
  <c r="CB58" i="98"/>
  <c r="CW145" i="98"/>
  <c r="BZ145" i="98"/>
  <c r="BQ140" i="98"/>
  <c r="BF140" i="98"/>
  <c r="AQ140" i="98"/>
  <c r="AC87" i="98"/>
  <c r="AL86" i="98"/>
  <c r="BA80" i="98"/>
  <c r="BP64" i="98"/>
  <c r="AC145" i="98"/>
  <c r="BM62" i="98"/>
  <c r="BC62" i="98"/>
  <c r="BB145" i="98"/>
  <c r="BB87" i="98"/>
  <c r="BC57" i="98"/>
  <c r="BC87" i="98" s="1"/>
  <c r="BL63" i="98"/>
  <c r="BL145" i="98" s="1"/>
  <c r="BK86" i="98"/>
  <c r="BW63" i="98"/>
  <c r="BW86" i="98" s="1"/>
  <c r="BV86" i="98"/>
  <c r="BW62" i="98"/>
  <c r="BV145" i="98"/>
  <c r="AN62" i="98"/>
  <c r="AN64" i="98" s="1"/>
  <c r="AM145" i="98"/>
  <c r="AR62" i="98"/>
  <c r="AJ55" i="98"/>
  <c r="CM82" i="98"/>
  <c r="BE82" i="98"/>
  <c r="BE88" i="98" s="1"/>
  <c r="AS59" i="98"/>
  <c r="AS86" i="98" s="1"/>
  <c r="AJ57" i="98"/>
  <c r="BQ118" i="98"/>
  <c r="BR118" i="98" s="1"/>
  <c r="CB121" i="98"/>
  <c r="CB118" i="98"/>
  <c r="CZ154" i="98"/>
  <c r="DA154" i="98" s="1"/>
  <c r="DB154" i="98" s="1"/>
  <c r="BL115" i="98"/>
  <c r="BM115" i="98" s="1"/>
  <c r="AX74" i="98"/>
  <c r="BA133" i="98"/>
  <c r="BR138" i="98"/>
  <c r="BB133" i="98"/>
  <c r="CF125" i="98"/>
  <c r="CG125" i="98" s="1"/>
  <c r="CF121" i="98"/>
  <c r="CG121" i="98" s="1"/>
  <c r="CF115" i="98"/>
  <c r="CG115" i="98" s="1"/>
  <c r="BE67" i="98"/>
  <c r="BE98" i="98"/>
  <c r="BL121" i="98"/>
  <c r="BM121" i="98" s="1"/>
  <c r="AZ133" i="98"/>
  <c r="BL118" i="98"/>
  <c r="AR66" i="98"/>
  <c r="AS66" i="98" s="1"/>
  <c r="AX133" i="98"/>
  <c r="AY133" i="98" s="1"/>
  <c r="BR121" i="98"/>
  <c r="CF118" i="98"/>
  <c r="CG118" i="98" s="1"/>
  <c r="BR115" i="98"/>
  <c r="BP68" i="98"/>
  <c r="BQ68" i="98" s="1"/>
  <c r="BR68" i="98" s="1"/>
  <c r="CB125" i="98"/>
  <c r="BV121" i="98"/>
  <c r="BB121" i="98"/>
  <c r="BV118" i="98"/>
  <c r="BB118" i="98"/>
  <c r="BV115" i="98"/>
  <c r="BB115" i="98"/>
  <c r="CY86" i="98"/>
  <c r="BM58" i="98"/>
  <c r="AX56" i="98"/>
  <c r="S56" i="98"/>
  <c r="R64" i="98"/>
  <c r="AX66" i="98"/>
  <c r="BR62" i="98"/>
  <c r="BQ80" i="98"/>
  <c r="BW61" i="98"/>
  <c r="BV64" i="98"/>
  <c r="BV85" i="98"/>
  <c r="BL61" i="98"/>
  <c r="AW59" i="98"/>
  <c r="AW64" i="98" s="1"/>
  <c r="AV86" i="98"/>
  <c r="AH58" i="98"/>
  <c r="AG64" i="98"/>
  <c r="M55" i="98"/>
  <c r="L64" i="98"/>
  <c r="L67" i="98" s="1"/>
  <c r="L70" i="98" s="1"/>
  <c r="M69" i="98" s="1"/>
  <c r="CB66" i="98"/>
  <c r="AD62" i="98"/>
  <c r="AC64" i="98"/>
  <c r="BR59" i="98"/>
  <c r="BR86" i="98" s="1"/>
  <c r="AZ53" i="98"/>
  <c r="CF63" i="98"/>
  <c r="CF86" i="98" s="1"/>
  <c r="CL60" i="98"/>
  <c r="CK64" i="98"/>
  <c r="X59" i="98"/>
  <c r="W64" i="98"/>
  <c r="CF57" i="98"/>
  <c r="CE64" i="98"/>
  <c r="BG55" i="98"/>
  <c r="BF64" i="98"/>
  <c r="BF67" i="98" s="1"/>
  <c r="AR61" i="98"/>
  <c r="AS61" i="98" s="1"/>
  <c r="AS85" i="98" s="1"/>
  <c r="AR58" i="98"/>
  <c r="CA57" i="98"/>
  <c r="CA53" i="98"/>
  <c r="AW47" i="98"/>
  <c r="AV48" i="98"/>
  <c r="X47" i="98"/>
  <c r="W48" i="98"/>
  <c r="AC45" i="98"/>
  <c r="AB48" i="98"/>
  <c r="CB44" i="98"/>
  <c r="BK44" i="98"/>
  <c r="BJ48" i="98"/>
  <c r="BC42" i="98"/>
  <c r="BC137" i="98" s="1"/>
  <c r="AZ48" i="98"/>
  <c r="O48" i="98"/>
  <c r="CF60" i="98"/>
  <c r="CG60" i="98" s="1"/>
  <c r="CG59" i="98"/>
  <c r="AX58" i="98"/>
  <c r="AS57" i="98"/>
  <c r="DC47" i="98"/>
  <c r="CG47" i="98"/>
  <c r="CG138" i="98" s="1"/>
  <c r="BW43" i="98"/>
  <c r="BW137" i="98" s="1"/>
  <c r="BV48" i="98"/>
  <c r="AJ43" i="98"/>
  <c r="CZ42" i="98"/>
  <c r="DA42" i="98" s="1"/>
  <c r="DC42" i="98" s="1"/>
  <c r="CF61" i="98"/>
  <c r="CG61" i="98" s="1"/>
  <c r="CA59" i="98"/>
  <c r="CA86" i="98" s="1"/>
  <c r="BC58" i="98"/>
  <c r="S47" i="98"/>
  <c r="T47" i="98" s="1"/>
  <c r="T48" i="98" s="1"/>
  <c r="R48" i="98"/>
  <c r="CF35" i="98"/>
  <c r="CG35" i="98" s="1"/>
  <c r="CE36" i="98"/>
  <c r="CE37" i="98" s="1"/>
  <c r="AH34" i="98"/>
  <c r="AI34" i="98" s="1"/>
  <c r="AR33" i="98"/>
  <c r="AS33" i="98" s="1"/>
  <c r="AQ36" i="98"/>
  <c r="AQ37" i="98" s="1"/>
  <c r="AI32" i="98"/>
  <c r="M36" i="98"/>
  <c r="N32" i="98"/>
  <c r="BQ31" i="98"/>
  <c r="BP36" i="98"/>
  <c r="AX31" i="98"/>
  <c r="AX36" i="98" s="1"/>
  <c r="AW36" i="98"/>
  <c r="AW37" i="98" s="1"/>
  <c r="AJ31" i="98"/>
  <c r="W36" i="98"/>
  <c r="W37" i="98" s="1"/>
  <c r="X31" i="98"/>
  <c r="BM27" i="98"/>
  <c r="BL37" i="98"/>
  <c r="AM17" i="98"/>
  <c r="AL37" i="98"/>
  <c r="CA14" i="98"/>
  <c r="AN14" i="98"/>
  <c r="O14" i="98"/>
  <c r="CE48" i="98"/>
  <c r="BG48" i="98"/>
  <c r="AM48" i="98"/>
  <c r="AJ44" i="98"/>
  <c r="R36" i="98"/>
  <c r="S35" i="98"/>
  <c r="AD32" i="98"/>
  <c r="AC36" i="98"/>
  <c r="AD36" i="98" s="1"/>
  <c r="CA25" i="98"/>
  <c r="CB25" i="98" s="1"/>
  <c r="BB48" i="98"/>
  <c r="AL48" i="98"/>
  <c r="N48" i="98"/>
  <c r="CX43" i="98"/>
  <c r="CG42" i="98"/>
  <c r="AI41" i="98"/>
  <c r="AH40" i="98"/>
  <c r="BB37" i="98"/>
  <c r="AH35" i="98"/>
  <c r="AI35" i="98" s="1"/>
  <c r="BH32" i="98"/>
  <c r="BH36" i="98" s="1"/>
  <c r="BG36" i="98"/>
  <c r="BG37" i="98" s="1"/>
  <c r="CK31" i="98"/>
  <c r="CJ36" i="98"/>
  <c r="CJ37" i="98" s="1"/>
  <c r="X28" i="98"/>
  <c r="CF11" i="98"/>
  <c r="CG11" i="98" s="1"/>
  <c r="CA40" i="98"/>
  <c r="BV32" i="98"/>
  <c r="BU36" i="98"/>
  <c r="BU37" i="98" s="1"/>
  <c r="AM36" i="98"/>
  <c r="AN36" i="98" s="1"/>
  <c r="AN31" i="98"/>
  <c r="AI28" i="98"/>
  <c r="AI136" i="98" s="1"/>
  <c r="CA27" i="98"/>
  <c r="CB27" i="98" s="1"/>
  <c r="AZ21" i="98"/>
  <c r="BC21" i="98" s="1"/>
  <c r="AC21" i="98"/>
  <c r="AB37" i="98"/>
  <c r="CB35" i="98"/>
  <c r="CF33" i="98"/>
  <c r="CG33" i="98" s="1"/>
  <c r="AR31" i="98"/>
  <c r="AS31" i="98" s="1"/>
  <c r="CB26" i="98"/>
  <c r="CG24" i="98"/>
  <c r="CB32" i="98"/>
  <c r="AG36" i="98"/>
  <c r="AJ32" i="98"/>
  <c r="CG27" i="98"/>
  <c r="CX19" i="98"/>
  <c r="CW19" i="98"/>
  <c r="CW37" i="98" s="1"/>
  <c r="CA18" i="98"/>
  <c r="CB18" i="98" s="1"/>
  <c r="AR11" i="98"/>
  <c r="AS11" i="98" s="1"/>
  <c r="CF31" i="98"/>
  <c r="DD18" i="98"/>
  <c r="DE18" i="98" s="1"/>
  <c r="DF18" i="98" s="1"/>
  <c r="DH18" i="98" s="1"/>
  <c r="AH14" i="98"/>
  <c r="AJ23" i="98"/>
  <c r="CG20" i="98"/>
  <c r="AJ19" i="98"/>
  <c r="DB18" i="98"/>
  <c r="AJ17" i="98"/>
  <c r="CG15" i="98"/>
  <c r="CB20" i="98"/>
  <c r="CF16" i="98"/>
  <c r="CG16" i="98" s="1"/>
  <c r="CA15" i="98"/>
  <c r="CB15" i="98" s="1"/>
  <c r="AJ22" i="98"/>
  <c r="AS17" i="98"/>
  <c r="AS136" i="98" s="1"/>
  <c r="P48" i="98" l="1"/>
  <c r="BC136" i="98"/>
  <c r="BQ64" i="98"/>
  <c r="BV140" i="98"/>
  <c r="CM48" i="98"/>
  <c r="CM98" i="98" s="1"/>
  <c r="CM99" i="98" s="1"/>
  <c r="BW57" i="98"/>
  <c r="BF75" i="98"/>
  <c r="BF82" i="98" s="1"/>
  <c r="BF88" i="98" s="1"/>
  <c r="BM136" i="98"/>
  <c r="AI145" i="98"/>
  <c r="AJ62" i="98"/>
  <c r="AJ145" i="98" s="1"/>
  <c r="CQ99" i="98"/>
  <c r="BZ48" i="98"/>
  <c r="BK48" i="98"/>
  <c r="BK98" i="98" s="1"/>
  <c r="CB46" i="98"/>
  <c r="AJ59" i="98"/>
  <c r="AJ86" i="98" s="1"/>
  <c r="AV82" i="98"/>
  <c r="CC68" i="98"/>
  <c r="BH37" i="98"/>
  <c r="BH73" i="98" s="1"/>
  <c r="BH75" i="98" s="1"/>
  <c r="AX37" i="98"/>
  <c r="AX73" i="98" s="1"/>
  <c r="AX75" i="98" s="1"/>
  <c r="BL42" i="98"/>
  <c r="BL137" i="98" s="1"/>
  <c r="BL87" i="98"/>
  <c r="AU73" i="98"/>
  <c r="AU75" i="98" s="1"/>
  <c r="AU82" i="98" s="1"/>
  <c r="AU88" i="98" s="1"/>
  <c r="AU98" i="98"/>
  <c r="BK82" i="98"/>
  <c r="BK88" i="98" s="1"/>
  <c r="CJ67" i="98"/>
  <c r="AN48" i="98"/>
  <c r="AO48" i="98" s="1"/>
  <c r="BM57" i="98"/>
  <c r="BM87" i="98" s="1"/>
  <c r="CP99" i="98"/>
  <c r="BT67" i="98"/>
  <c r="AO64" i="98"/>
  <c r="AI36" i="98"/>
  <c r="AY36" i="98"/>
  <c r="AY37" i="98" s="1"/>
  <c r="S48" i="98"/>
  <c r="U48" i="98" s="1"/>
  <c r="AR64" i="98"/>
  <c r="BR57" i="98"/>
  <c r="CW64" i="98"/>
  <c r="CB53" i="98"/>
  <c r="CL57" i="98"/>
  <c r="CA87" i="98"/>
  <c r="CG57" i="98"/>
  <c r="CM140" i="98"/>
  <c r="BW87" i="98"/>
  <c r="CN53" i="98"/>
  <c r="BM37" i="98"/>
  <c r="BM132" i="98" s="1"/>
  <c r="BN132" i="98" s="1"/>
  <c r="BF98" i="98"/>
  <c r="BA73" i="98"/>
  <c r="BA75" i="98" s="1"/>
  <c r="BA82" i="98" s="1"/>
  <c r="BA88" i="98" s="1"/>
  <c r="BA98" i="98"/>
  <c r="BW129" i="98"/>
  <c r="BW130" i="98" s="1"/>
  <c r="BW74" i="98"/>
  <c r="BY133" i="98"/>
  <c r="BZ133" i="98"/>
  <c r="BW133" i="98"/>
  <c r="BX133" i="98" s="1"/>
  <c r="BM74" i="98"/>
  <c r="BO133" i="98"/>
  <c r="BP133" i="98"/>
  <c r="BQ133" i="98"/>
  <c r="BM129" i="98"/>
  <c r="BM130" i="98" s="1"/>
  <c r="BM133" i="98"/>
  <c r="BN133" i="98" s="1"/>
  <c r="BH140" i="98"/>
  <c r="AX81" i="98"/>
  <c r="AX137" i="98"/>
  <c r="BH79" i="98"/>
  <c r="BH137" i="98"/>
  <c r="CB36" i="98"/>
  <c r="CC36" i="98" s="1"/>
  <c r="CG63" i="98"/>
  <c r="CG145" i="98" s="1"/>
  <c r="BS68" i="98"/>
  <c r="BR137" i="98"/>
  <c r="AI47" i="98"/>
  <c r="AH138" i="98"/>
  <c r="DA53" i="98"/>
  <c r="DB42" i="98"/>
  <c r="CB57" i="98"/>
  <c r="AI45" i="98"/>
  <c r="AI137" i="98" s="1"/>
  <c r="AH81" i="98"/>
  <c r="AH137" i="98"/>
  <c r="BR48" i="98"/>
  <c r="BS48" i="98" s="1"/>
  <c r="AM37" i="98"/>
  <c r="AM73" i="98" s="1"/>
  <c r="AM75" i="98" s="1"/>
  <c r="AM82" i="98" s="1"/>
  <c r="AM88" i="98" s="1"/>
  <c r="CB59" i="98"/>
  <c r="CB86" i="98" s="1"/>
  <c r="BC48" i="98"/>
  <c r="AS48" i="98"/>
  <c r="AS74" i="98"/>
  <c r="AS129" i="98"/>
  <c r="AS130" i="98" s="1"/>
  <c r="AS133" i="98"/>
  <c r="AT133" i="98" s="1"/>
  <c r="AW133" i="98"/>
  <c r="AU133" i="98"/>
  <c r="AV133" i="98"/>
  <c r="CA81" i="98"/>
  <c r="CA137" i="98"/>
  <c r="BX68" i="98"/>
  <c r="AN81" i="98"/>
  <c r="AN137" i="98"/>
  <c r="AJ33" i="98"/>
  <c r="BC129" i="98"/>
  <c r="BC130" i="98" s="1"/>
  <c r="BC74" i="98"/>
  <c r="BF133" i="98"/>
  <c r="BC133" i="98"/>
  <c r="BD133" i="98" s="1"/>
  <c r="BG133" i="98"/>
  <c r="BE133" i="98"/>
  <c r="CF36" i="98"/>
  <c r="CF37" i="98" s="1"/>
  <c r="DB22" i="98"/>
  <c r="CB45" i="98"/>
  <c r="CB81" i="98" s="1"/>
  <c r="T74" i="98"/>
  <c r="T129" i="98"/>
  <c r="T130" i="98" s="1"/>
  <c r="CG74" i="98"/>
  <c r="CG129" i="98"/>
  <c r="CH129" i="98" s="1"/>
  <c r="CG133" i="98"/>
  <c r="CH133" i="98" s="1"/>
  <c r="CE68" i="98"/>
  <c r="CF68" i="98" s="1"/>
  <c r="CG68" i="98" s="1"/>
  <c r="CI68" i="98" s="1"/>
  <c r="CA47" i="98"/>
  <c r="CA48" i="98" s="1"/>
  <c r="AD74" i="98"/>
  <c r="AD129" i="98"/>
  <c r="AD130" i="98" s="1"/>
  <c r="AS81" i="98"/>
  <c r="AS137" i="98"/>
  <c r="DC154" i="98"/>
  <c r="DD154" i="98" s="1"/>
  <c r="BM80" i="98"/>
  <c r="BK53" i="98"/>
  <c r="BJ64" i="98"/>
  <c r="BJ140" i="98"/>
  <c r="AR145" i="98"/>
  <c r="AR80" i="98"/>
  <c r="CB145" i="98"/>
  <c r="CB80" i="98"/>
  <c r="BO70" i="98"/>
  <c r="BP69" i="98" s="1"/>
  <c r="BH80" i="98"/>
  <c r="BH145" i="98"/>
  <c r="AN145" i="98"/>
  <c r="AN80" i="98"/>
  <c r="BC145" i="98"/>
  <c r="BC80" i="98"/>
  <c r="BW64" i="98"/>
  <c r="BX64" i="98" s="1"/>
  <c r="BX67" i="98" s="1"/>
  <c r="BW140" i="98"/>
  <c r="BW80" i="98"/>
  <c r="BW145" i="98"/>
  <c r="CG86" i="98"/>
  <c r="AR85" i="98"/>
  <c r="AR140" i="98"/>
  <c r="AJ87" i="98"/>
  <c r="AJ140" i="98"/>
  <c r="AS62" i="98"/>
  <c r="BM63" i="98"/>
  <c r="BM86" i="98" s="1"/>
  <c r="BL86" i="98"/>
  <c r="AX132" i="98"/>
  <c r="AY132" i="98" s="1"/>
  <c r="W67" i="98"/>
  <c r="W73" i="98"/>
  <c r="W75" i="98" s="1"/>
  <c r="W82" i="98" s="1"/>
  <c r="CG85" i="98"/>
  <c r="DI18" i="98"/>
  <c r="AY73" i="98"/>
  <c r="AY75" i="98" s="1"/>
  <c r="AY82" i="98" s="1"/>
  <c r="AY88" i="98" s="1"/>
  <c r="CA74" i="98"/>
  <c r="CA129" i="98"/>
  <c r="CA133" i="98"/>
  <c r="AW73" i="98"/>
  <c r="AW75" i="98" s="1"/>
  <c r="AW82" i="98" s="1"/>
  <c r="AI79" i="98"/>
  <c r="R37" i="98"/>
  <c r="CF92" i="98"/>
  <c r="BP37" i="98"/>
  <c r="AD45" i="98"/>
  <c r="AC48" i="98"/>
  <c r="AC81" i="98"/>
  <c r="AC137" i="98"/>
  <c r="T56" i="98"/>
  <c r="S64" i="98"/>
  <c r="T64" i="98" s="1"/>
  <c r="BW118" i="98"/>
  <c r="AI14" i="98"/>
  <c r="AJ14" i="98" s="1"/>
  <c r="CY19" i="98"/>
  <c r="CZ19" i="98" s="1"/>
  <c r="DA19" i="98" s="1"/>
  <c r="DC19" i="98" s="1"/>
  <c r="DD20" i="98"/>
  <c r="DE20" i="98" s="1"/>
  <c r="DF20" i="98" s="1"/>
  <c r="DH20" i="98" s="1"/>
  <c r="CA37" i="98"/>
  <c r="CG48" i="98"/>
  <c r="CG137" i="98"/>
  <c r="AH36" i="98"/>
  <c r="AH37" i="98" s="1"/>
  <c r="DD42" i="98"/>
  <c r="DE42" i="98" s="1"/>
  <c r="DF42" i="98" s="1"/>
  <c r="DH42" i="98" s="1"/>
  <c r="BL44" i="98"/>
  <c r="BL48" i="98" s="1"/>
  <c r="BL98" i="98" s="1"/>
  <c r="BK138" i="98"/>
  <c r="AX47" i="98"/>
  <c r="AW48" i="98"/>
  <c r="AW67" i="98" s="1"/>
  <c r="AW138" i="98"/>
  <c r="BH55" i="98"/>
  <c r="BH64" i="98" s="1"/>
  <c r="BG64" i="98"/>
  <c r="BG67" i="98" s="1"/>
  <c r="AD80" i="98"/>
  <c r="AD145" i="98"/>
  <c r="BM61" i="98"/>
  <c r="BL85" i="98"/>
  <c r="AD64" i="98"/>
  <c r="AE64" i="98" s="1"/>
  <c r="CY145" i="98"/>
  <c r="AR36" i="98"/>
  <c r="AR37" i="98" s="1"/>
  <c r="BU67" i="98"/>
  <c r="BU73" i="98"/>
  <c r="BU75" i="98" s="1"/>
  <c r="BU82" i="98" s="1"/>
  <c r="BU98" i="98"/>
  <c r="CL31" i="98"/>
  <c r="CL36" i="98" s="1"/>
  <c r="CL37" i="98" s="1"/>
  <c r="CK36" i="98"/>
  <c r="CK37" i="98" s="1"/>
  <c r="CK67" i="98" s="1"/>
  <c r="CZ43" i="98"/>
  <c r="DA43" i="98" s="1"/>
  <c r="DC43" i="98" s="1"/>
  <c r="BC37" i="98"/>
  <c r="BG132" i="98" s="1"/>
  <c r="AL67" i="98"/>
  <c r="AL73" i="98"/>
  <c r="AL75" i="98" s="1"/>
  <c r="AL82" i="98" s="1"/>
  <c r="AL88" i="98" s="1"/>
  <c r="Y31" i="98"/>
  <c r="Y36" i="98" s="1"/>
  <c r="X36" i="98"/>
  <c r="X37" i="98" s="1"/>
  <c r="BW48" i="98"/>
  <c r="AS58" i="98"/>
  <c r="AS64" i="98" s="1"/>
  <c r="Y59" i="98"/>
  <c r="X64" i="98"/>
  <c r="Y64" i="98" s="1"/>
  <c r="CF145" i="98"/>
  <c r="BA53" i="98"/>
  <c r="N55" i="98"/>
  <c r="M64" i="98"/>
  <c r="BR80" i="98"/>
  <c r="BR145" i="98"/>
  <c r="CY80" i="98"/>
  <c r="DB68" i="98"/>
  <c r="BC121" i="98"/>
  <c r="AV88" i="98"/>
  <c r="AB67" i="98"/>
  <c r="AB73" i="98"/>
  <c r="AB75" i="98" s="1"/>
  <c r="AB82" i="98" s="1"/>
  <c r="AB88" i="98" s="1"/>
  <c r="BJ132" i="98"/>
  <c r="BL132" i="98"/>
  <c r="BL73" i="98"/>
  <c r="BL75" i="98" s="1"/>
  <c r="BL82" i="98" s="1"/>
  <c r="BM42" i="98"/>
  <c r="DD47" i="98"/>
  <c r="DE47" i="98" s="1"/>
  <c r="DF47" i="98" s="1"/>
  <c r="DH47" i="98" s="1"/>
  <c r="BJ67" i="98"/>
  <c r="BJ70" i="98" s="1"/>
  <c r="BJ98" i="98"/>
  <c r="AV98" i="98"/>
  <c r="AV67" i="98"/>
  <c r="DC66" i="98"/>
  <c r="AI58" i="98"/>
  <c r="AI64" i="98" s="1"/>
  <c r="AH64" i="98"/>
  <c r="BW85" i="98"/>
  <c r="BW115" i="98"/>
  <c r="BO71" i="98"/>
  <c r="AG37" i="98"/>
  <c r="AS36" i="98"/>
  <c r="AS37" i="98" s="1"/>
  <c r="AD21" i="98"/>
  <c r="AC37" i="98"/>
  <c r="AC136" i="98"/>
  <c r="DD22" i="98"/>
  <c r="DE22" i="98" s="1"/>
  <c r="DF22" i="98" s="1"/>
  <c r="DH22" i="98" s="1"/>
  <c r="AJ28" i="98"/>
  <c r="AJ136" i="98" s="1"/>
  <c r="BZ67" i="98"/>
  <c r="BZ73" i="98"/>
  <c r="BZ75" i="98" s="1"/>
  <c r="BZ82" i="98" s="1"/>
  <c r="BZ98" i="98"/>
  <c r="CE67" i="98"/>
  <c r="CE73" i="98"/>
  <c r="CE75" i="98" s="1"/>
  <c r="CE82" i="98" s="1"/>
  <c r="CE98" i="98"/>
  <c r="BB98" i="98"/>
  <c r="BB73" i="98"/>
  <c r="BB75" i="98" s="1"/>
  <c r="BB82" i="98" s="1"/>
  <c r="BB88" i="98" s="1"/>
  <c r="AI40" i="98"/>
  <c r="AH48" i="98"/>
  <c r="AH74" i="98"/>
  <c r="AH129" i="98"/>
  <c r="AH130" i="98" s="1"/>
  <c r="CB14" i="98"/>
  <c r="BR31" i="98"/>
  <c r="BR36" i="98" s="1"/>
  <c r="BR37" i="98" s="1"/>
  <c r="BQ36" i="98"/>
  <c r="BQ37" i="98" s="1"/>
  <c r="AJ34" i="98"/>
  <c r="AS140" i="98"/>
  <c r="AS87" i="98"/>
  <c r="DG18" i="98"/>
  <c r="CG31" i="98"/>
  <c r="CG36" i="98" s="1"/>
  <c r="CG37" i="98" s="1"/>
  <c r="AZ37" i="98"/>
  <c r="AZ136" i="98"/>
  <c r="BW32" i="98"/>
  <c r="BW36" i="98" s="1"/>
  <c r="BW37" i="98" s="1"/>
  <c r="BV36" i="98"/>
  <c r="BV37" i="98" s="1"/>
  <c r="CB40" i="98"/>
  <c r="Y28" i="98"/>
  <c r="BG73" i="98"/>
  <c r="BG75" i="98" s="1"/>
  <c r="BG82" i="98" s="1"/>
  <c r="BG88" i="98" s="1"/>
  <c r="BG98" i="98"/>
  <c r="AJ35" i="98"/>
  <c r="M37" i="98"/>
  <c r="AJ41" i="98"/>
  <c r="T35" i="98"/>
  <c r="T36" i="98" s="1"/>
  <c r="T37" i="98" s="1"/>
  <c r="S36" i="98"/>
  <c r="S37" i="98" s="1"/>
  <c r="CH48" i="98"/>
  <c r="AN17" i="98"/>
  <c r="AN136" i="98" s="1"/>
  <c r="AM136" i="98"/>
  <c r="O32" i="98"/>
  <c r="O36" i="98" s="1"/>
  <c r="O37" i="98" s="1"/>
  <c r="N36" i="98"/>
  <c r="N37" i="98" s="1"/>
  <c r="AQ67" i="98"/>
  <c r="AQ73" i="98"/>
  <c r="AQ75" i="98" s="1"/>
  <c r="AQ82" i="98" s="1"/>
  <c r="AQ88" i="98" s="1"/>
  <c r="AQ98" i="98"/>
  <c r="CF85" i="98"/>
  <c r="DB47" i="98"/>
  <c r="Y47" i="98"/>
  <c r="Y48" i="98" s="1"/>
  <c r="X48" i="98"/>
  <c r="CA64" i="98"/>
  <c r="CA140" i="98"/>
  <c r="CF87" i="98"/>
  <c r="CF64" i="98"/>
  <c r="CF140" i="98"/>
  <c r="AX59" i="98"/>
  <c r="AW86" i="98"/>
  <c r="AZ56" i="98"/>
  <c r="BC56" i="98" s="1"/>
  <c r="AX140" i="98"/>
  <c r="DD68" i="98"/>
  <c r="DE68" i="98" s="1"/>
  <c r="DF68" i="98" s="1"/>
  <c r="DH68" i="98" s="1"/>
  <c r="BC115" i="98"/>
  <c r="BC118" i="98"/>
  <c r="BW121" i="98"/>
  <c r="BM118" i="98"/>
  <c r="CP12" i="8"/>
  <c r="CQ12" i="8"/>
  <c r="CR12" i="8"/>
  <c r="CS12" i="8"/>
  <c r="BO132" i="98" l="1"/>
  <c r="CD53" i="98"/>
  <c r="AJ80" i="98"/>
  <c r="BK132" i="98"/>
  <c r="BH67" i="98"/>
  <c r="AX82" i="98"/>
  <c r="BH132" i="98"/>
  <c r="BI132" i="98" s="1"/>
  <c r="BH98" i="98"/>
  <c r="AM67" i="98"/>
  <c r="Z36" i="98"/>
  <c r="Z37" i="98" s="1"/>
  <c r="AJ36" i="98"/>
  <c r="BM73" i="98"/>
  <c r="BM75" i="98" s="1"/>
  <c r="BM82" i="98" s="1"/>
  <c r="CB140" i="98"/>
  <c r="CB64" i="98"/>
  <c r="CC64" i="98" s="1"/>
  <c r="BH82" i="98"/>
  <c r="BH88" i="98" s="1"/>
  <c r="DG20" i="98"/>
  <c r="CL64" i="98"/>
  <c r="CM64" i="98" s="1"/>
  <c r="CM67" i="98" s="1"/>
  <c r="CB87" i="98"/>
  <c r="CN140" i="98"/>
  <c r="CN64" i="98"/>
  <c r="CO53" i="98"/>
  <c r="DC53" i="98"/>
  <c r="CG87" i="98"/>
  <c r="BR87" i="98"/>
  <c r="BR64" i="98"/>
  <c r="BR67" i="98" s="1"/>
  <c r="BR140" i="98"/>
  <c r="DG22" i="98"/>
  <c r="CZ86" i="98"/>
  <c r="CB137" i="98"/>
  <c r="AI138" i="98"/>
  <c r="AJ47" i="98"/>
  <c r="AJ138" i="98" s="1"/>
  <c r="DB43" i="98"/>
  <c r="BZ132" i="98"/>
  <c r="BM145" i="98"/>
  <c r="CA138" i="98"/>
  <c r="CB47" i="98"/>
  <c r="CB138" i="98" s="1"/>
  <c r="DB53" i="98"/>
  <c r="AI81" i="98"/>
  <c r="AJ45" i="98"/>
  <c r="AJ81" i="98" s="1"/>
  <c r="Z48" i="98"/>
  <c r="CH68" i="98"/>
  <c r="CJ68" i="98"/>
  <c r="CK68" i="98" s="1"/>
  <c r="CL68" i="98" s="1"/>
  <c r="BL99" i="98"/>
  <c r="BH99" i="98"/>
  <c r="CH37" i="98"/>
  <c r="CH98" i="98" s="1"/>
  <c r="CH99" i="98" s="1"/>
  <c r="DG47" i="98"/>
  <c r="AS145" i="98"/>
  <c r="AS80" i="98"/>
  <c r="AJ64" i="98"/>
  <c r="BL53" i="98"/>
  <c r="BK140" i="98"/>
  <c r="BK64" i="98"/>
  <c r="BK67" i="98" s="1"/>
  <c r="BL88" i="98"/>
  <c r="CH75" i="98"/>
  <c r="CH82" i="98" s="1"/>
  <c r="X67" i="98"/>
  <c r="X73" i="98"/>
  <c r="X75" i="98" s="1"/>
  <c r="X82" i="98" s="1"/>
  <c r="AR67" i="98"/>
  <c r="AR73" i="98"/>
  <c r="AR75" i="98" s="1"/>
  <c r="AR82" i="98" s="1"/>
  <c r="AR88" i="98" s="1"/>
  <c r="AR98" i="98"/>
  <c r="CG73" i="98"/>
  <c r="CG75" i="98" s="1"/>
  <c r="CG82" i="98" s="1"/>
  <c r="CG132" i="98"/>
  <c r="CH132" i="98" s="1"/>
  <c r="CG98" i="98"/>
  <c r="AH67" i="98"/>
  <c r="AH73" i="98"/>
  <c r="AH75" i="98" s="1"/>
  <c r="AH82" i="98" s="1"/>
  <c r="AH88" i="98" s="1"/>
  <c r="S67" i="98"/>
  <c r="S73" i="98"/>
  <c r="S75" i="98" s="1"/>
  <c r="AZ98" i="98"/>
  <c r="BA132" i="98"/>
  <c r="AZ73" i="98"/>
  <c r="AZ75" i="98" s="1"/>
  <c r="AZ82" i="98" s="1"/>
  <c r="AZ88" i="98" s="1"/>
  <c r="AZ132" i="98"/>
  <c r="O73" i="98"/>
  <c r="O75" i="98" s="1"/>
  <c r="AD37" i="98"/>
  <c r="AD136" i="98"/>
  <c r="BM44" i="98"/>
  <c r="BM138" i="98" s="1"/>
  <c r="BL138" i="98"/>
  <c r="CA67" i="98"/>
  <c r="CA73" i="98"/>
  <c r="CA75" i="98" s="1"/>
  <c r="CA82" i="98" s="1"/>
  <c r="CA132" i="98"/>
  <c r="CA98" i="98"/>
  <c r="AS67" i="98"/>
  <c r="AS73" i="98"/>
  <c r="AS75" i="98" s="1"/>
  <c r="AS132" i="98"/>
  <c r="AT132" i="98" s="1"/>
  <c r="AS98" i="98"/>
  <c r="AU132" i="98"/>
  <c r="AV132" i="98"/>
  <c r="AJ58" i="98"/>
  <c r="DG68" i="98"/>
  <c r="N73" i="98"/>
  <c r="N75" i="98" s="1"/>
  <c r="T67" i="98"/>
  <c r="T73" i="98"/>
  <c r="T75" i="98" s="1"/>
  <c r="BV67" i="98"/>
  <c r="BV73" i="98"/>
  <c r="BV75" i="98" s="1"/>
  <c r="BV82" i="98" s="1"/>
  <c r="BV132" i="98"/>
  <c r="BV98" i="98"/>
  <c r="AN37" i="98"/>
  <c r="AJ79" i="98"/>
  <c r="AJ137" i="98"/>
  <c r="Y37" i="98"/>
  <c r="BW67" i="98"/>
  <c r="BW73" i="98"/>
  <c r="BW75" i="98" s="1"/>
  <c r="BW82" i="98" s="1"/>
  <c r="BY132" i="98"/>
  <c r="BW132" i="98"/>
  <c r="BX132" i="98" s="1"/>
  <c r="BW98" i="98"/>
  <c r="CG92" i="98"/>
  <c r="AI48" i="98"/>
  <c r="AJ48" i="98" s="1"/>
  <c r="AI129" i="98"/>
  <c r="AI130" i="98" s="1"/>
  <c r="AI74" i="98"/>
  <c r="AG67" i="98"/>
  <c r="AG73" i="98"/>
  <c r="AG75" i="98" s="1"/>
  <c r="AG82" i="98" s="1"/>
  <c r="AG88" i="98" s="1"/>
  <c r="DI47" i="98"/>
  <c r="DJ47" i="98" s="1"/>
  <c r="DK47" i="98" s="1"/>
  <c r="DM47" i="98" s="1"/>
  <c r="P36" i="98"/>
  <c r="P37" i="98" s="1"/>
  <c r="AZ64" i="98"/>
  <c r="AZ67" i="98" s="1"/>
  <c r="CL67" i="98"/>
  <c r="CO132" i="98"/>
  <c r="CP132" i="98"/>
  <c r="CN132" i="98"/>
  <c r="AX138" i="98"/>
  <c r="AX48" i="98"/>
  <c r="DG42" i="98"/>
  <c r="DB19" i="98"/>
  <c r="AI37" i="98"/>
  <c r="AJ37" i="98" s="1"/>
  <c r="BS36" i="98"/>
  <c r="R67" i="98"/>
  <c r="R73" i="98"/>
  <c r="R75" i="98" s="1"/>
  <c r="AW98" i="98"/>
  <c r="DJ18" i="98"/>
  <c r="CG53" i="98"/>
  <c r="CD64" i="98"/>
  <c r="CD140" i="98"/>
  <c r="Z73" i="98"/>
  <c r="Z75" i="98" s="1"/>
  <c r="Z82" i="98" s="1"/>
  <c r="Z88" i="98" s="1"/>
  <c r="M67" i="98"/>
  <c r="M70" i="98" s="1"/>
  <c r="M73" i="98"/>
  <c r="M75" i="98" s="1"/>
  <c r="CF67" i="98"/>
  <c r="CF98" i="98"/>
  <c r="CF73" i="98"/>
  <c r="CF75" i="98" s="1"/>
  <c r="CF82" i="98" s="1"/>
  <c r="AC67" i="98"/>
  <c r="AC73" i="98"/>
  <c r="AC75" i="98" s="1"/>
  <c r="AC82" i="98" s="1"/>
  <c r="AC88" i="98" s="1"/>
  <c r="BJ99" i="98"/>
  <c r="DA62" i="98"/>
  <c r="DB62" i="98" s="1"/>
  <c r="CZ80" i="98"/>
  <c r="BB53" i="98"/>
  <c r="BA64" i="98"/>
  <c r="BA67" i="98" s="1"/>
  <c r="BA140" i="98"/>
  <c r="DD43" i="98"/>
  <c r="DE43" i="98" s="1"/>
  <c r="DF43" i="98" s="1"/>
  <c r="DH43" i="98" s="1"/>
  <c r="DE154" i="98"/>
  <c r="BM85" i="98"/>
  <c r="BM88" i="98" s="1"/>
  <c r="BK99" i="98"/>
  <c r="DI20" i="98"/>
  <c r="DJ20" i="98" s="1"/>
  <c r="DK20" i="98" s="1"/>
  <c r="DM20" i="98" s="1"/>
  <c r="BS37" i="98"/>
  <c r="BP67" i="98"/>
  <c r="BP70" i="98" s="1"/>
  <c r="BP98" i="98"/>
  <c r="BP73" i="98"/>
  <c r="BP75" i="98" s="1"/>
  <c r="BP82" i="98" s="1"/>
  <c r="BP88" i="98" s="1"/>
  <c r="BP132" i="98"/>
  <c r="U36" i="98"/>
  <c r="U37" i="98" s="1"/>
  <c r="AW132" i="98"/>
  <c r="AJ40" i="98"/>
  <c r="DI68" i="98"/>
  <c r="DJ68" i="98" s="1"/>
  <c r="DK68" i="98" s="1"/>
  <c r="DM68" i="98" s="1"/>
  <c r="CB74" i="98"/>
  <c r="CB129" i="98"/>
  <c r="CC129" i="98" s="1"/>
  <c r="CE133" i="98"/>
  <c r="CF133" i="98"/>
  <c r="CB133" i="98"/>
  <c r="CC133" i="98" s="1"/>
  <c r="CD133" i="98"/>
  <c r="BQ67" i="98"/>
  <c r="BQ73" i="98"/>
  <c r="BQ75" i="98" s="1"/>
  <c r="BQ82" i="98" s="1"/>
  <c r="BQ88" i="98" s="1"/>
  <c r="BQ132" i="98"/>
  <c r="BQ98" i="98"/>
  <c r="BJ71" i="98"/>
  <c r="BK69" i="98"/>
  <c r="O55" i="98"/>
  <c r="N64" i="98"/>
  <c r="O64" i="98" s="1"/>
  <c r="O67" i="98" s="1"/>
  <c r="BU132" i="98"/>
  <c r="DA86" i="98"/>
  <c r="CZ145" i="98"/>
  <c r="AW88" i="98"/>
  <c r="AX86" i="98"/>
  <c r="AX88" i="98" s="1"/>
  <c r="AX64" i="98"/>
  <c r="AY64" i="98" s="1"/>
  <c r="BR132" i="98"/>
  <c r="BS132" i="98" s="1"/>
  <c r="BR98" i="98"/>
  <c r="BR73" i="98"/>
  <c r="BR75" i="98" s="1"/>
  <c r="BR82" i="98" s="1"/>
  <c r="BR88" i="98" s="1"/>
  <c r="BT132" i="98"/>
  <c r="BB132" i="98"/>
  <c r="DI22" i="98"/>
  <c r="DJ22" i="98" s="1"/>
  <c r="DK22" i="98" s="1"/>
  <c r="DM22" i="98" s="1"/>
  <c r="DD66" i="98"/>
  <c r="DE66" i="98" s="1"/>
  <c r="DF66" i="98" s="1"/>
  <c r="DH66" i="98" s="1"/>
  <c r="BM137" i="98"/>
  <c r="AZ140" i="98"/>
  <c r="BC73" i="98"/>
  <c r="BC75" i="98" s="1"/>
  <c r="BC82" i="98" s="1"/>
  <c r="BC88" i="98" s="1"/>
  <c r="BE132" i="98"/>
  <c r="BF132" i="98"/>
  <c r="BC132" i="98"/>
  <c r="BD132" i="98" s="1"/>
  <c r="BC98" i="98"/>
  <c r="DI42" i="98"/>
  <c r="DJ42" i="98" s="1"/>
  <c r="DK42" i="98" s="1"/>
  <c r="DM42" i="98" s="1"/>
  <c r="DD19" i="98"/>
  <c r="DE19" i="98" s="1"/>
  <c r="DF19" i="98" s="1"/>
  <c r="DH19" i="98" s="1"/>
  <c r="AD81" i="98"/>
  <c r="AD137" i="98"/>
  <c r="AD48" i="98"/>
  <c r="AE48" i="98" s="1"/>
  <c r="CB37" i="98"/>
  <c r="CF132" i="98" s="1"/>
  <c r="CF142" i="1"/>
  <c r="CE142" i="1"/>
  <c r="CG43" i="1"/>
  <c r="CG35" i="1"/>
  <c r="CH32" i="1"/>
  <c r="CL46" i="1"/>
  <c r="CL32" i="1"/>
  <c r="CL28" i="1"/>
  <c r="DB64" i="98" l="1"/>
  <c r="Z67" i="98"/>
  <c r="BM48" i="98"/>
  <c r="BM98" i="98" s="1"/>
  <c r="BP99" i="98" s="1"/>
  <c r="CB48" i="98"/>
  <c r="CC48" i="98" s="1"/>
  <c r="DD53" i="98"/>
  <c r="CP53" i="98"/>
  <c r="CO140" i="98"/>
  <c r="CO64" i="98"/>
  <c r="CM68" i="98"/>
  <c r="DG19" i="98"/>
  <c r="DL22" i="98"/>
  <c r="CC37" i="98"/>
  <c r="DB80" i="98"/>
  <c r="DL42" i="98"/>
  <c r="BU99" i="98"/>
  <c r="DG66" i="98"/>
  <c r="BK70" i="98"/>
  <c r="BK71" i="98" s="1"/>
  <c r="AS82" i="98"/>
  <c r="AS88" i="98" s="1"/>
  <c r="BM53" i="98"/>
  <c r="BL64" i="98"/>
  <c r="BL67" i="98" s="1"/>
  <c r="BL140" i="98"/>
  <c r="DN68" i="98"/>
  <c r="DO68" i="98" s="1"/>
  <c r="DP68" i="98" s="1"/>
  <c r="DR68" i="98" s="1"/>
  <c r="BS67" i="98"/>
  <c r="BS70" i="98" s="1"/>
  <c r="BS73" i="98"/>
  <c r="BS75" i="98" s="1"/>
  <c r="BS82" i="98" s="1"/>
  <c r="BS98" i="98"/>
  <c r="DN20" i="98"/>
  <c r="DO20" i="98" s="1"/>
  <c r="DP20" i="98" s="1"/>
  <c r="DR20" i="98" s="1"/>
  <c r="DF154" i="98"/>
  <c r="P67" i="98"/>
  <c r="P70" i="98" s="1"/>
  <c r="Q69" i="98" s="1"/>
  <c r="P73" i="98"/>
  <c r="P75" i="98" s="1"/>
  <c r="DC63" i="98"/>
  <c r="DC86" i="98" s="1"/>
  <c r="DA145" i="98"/>
  <c r="DL68" i="98"/>
  <c r="DL20" i="98"/>
  <c r="AN67" i="98"/>
  <c r="AP132" i="98"/>
  <c r="AN73" i="98"/>
  <c r="AN75" i="98" s="1"/>
  <c r="AN82" i="98" s="1"/>
  <c r="AN88" i="98" s="1"/>
  <c r="AO37" i="98"/>
  <c r="AQ132" i="98"/>
  <c r="CA99" i="98"/>
  <c r="DI19" i="98"/>
  <c r="BC99" i="98"/>
  <c r="BF99" i="98"/>
  <c r="BE99" i="98"/>
  <c r="DI66" i="98"/>
  <c r="DJ66" i="98" s="1"/>
  <c r="DK66" i="98" s="1"/>
  <c r="DM66" i="98" s="1"/>
  <c r="BT99" i="98"/>
  <c r="AT98" i="98"/>
  <c r="U67" i="98"/>
  <c r="U73" i="98"/>
  <c r="U75" i="98" s="1"/>
  <c r="BP71" i="98"/>
  <c r="BQ69" i="98"/>
  <c r="BQ70" i="98" s="1"/>
  <c r="DG43" i="98"/>
  <c r="CG64" i="98"/>
  <c r="CG67" i="98" s="1"/>
  <c r="CG140" i="98"/>
  <c r="AI67" i="98"/>
  <c r="AI73" i="98"/>
  <c r="AI75" i="98" s="1"/>
  <c r="AI82" i="98" s="1"/>
  <c r="AI88" i="98" s="1"/>
  <c r="BV99" i="98"/>
  <c r="AR132" i="98"/>
  <c r="AJ67" i="98"/>
  <c r="AJ73" i="98"/>
  <c r="AD67" i="98"/>
  <c r="AD73" i="98"/>
  <c r="AD75" i="98" s="1"/>
  <c r="AD82" i="98" s="1"/>
  <c r="AD88" i="98" s="1"/>
  <c r="AE37" i="98"/>
  <c r="CB73" i="98"/>
  <c r="CB75" i="98" s="1"/>
  <c r="CB82" i="98" s="1"/>
  <c r="CD132" i="98"/>
  <c r="CB132" i="98"/>
  <c r="CC132" i="98" s="1"/>
  <c r="CE132" i="98"/>
  <c r="DC62" i="98"/>
  <c r="DA80" i="98"/>
  <c r="DK18" i="98"/>
  <c r="DN47" i="98"/>
  <c r="DO47" i="98" s="1"/>
  <c r="DP47" i="98" s="1"/>
  <c r="DR47" i="98" s="1"/>
  <c r="BY99" i="98"/>
  <c r="DN42" i="98"/>
  <c r="DO42" i="98" s="1"/>
  <c r="DP42" i="98" s="1"/>
  <c r="DR42" i="98" s="1"/>
  <c r="DN22" i="98"/>
  <c r="DO22" i="98" s="1"/>
  <c r="DP22" i="98" s="1"/>
  <c r="DR22" i="98" s="1"/>
  <c r="BG99" i="98"/>
  <c r="AJ74" i="98"/>
  <c r="AJ129" i="98"/>
  <c r="DI43" i="98"/>
  <c r="DJ43" i="98" s="1"/>
  <c r="DK43" i="98" s="1"/>
  <c r="DM43" i="98" s="1"/>
  <c r="BC53" i="98"/>
  <c r="BB64" i="98"/>
  <c r="BB67" i="98" s="1"/>
  <c r="BB140" i="98"/>
  <c r="BZ99" i="98"/>
  <c r="CD67" i="98"/>
  <c r="AX67" i="98"/>
  <c r="AX98" i="98"/>
  <c r="AY48" i="98"/>
  <c r="AY67" i="98" s="1"/>
  <c r="DB136" i="98"/>
  <c r="DL47" i="98"/>
  <c r="Y67" i="98"/>
  <c r="Y73" i="98"/>
  <c r="Y75" i="98" s="1"/>
  <c r="Y82" i="98" s="1"/>
  <c r="N67" i="98"/>
  <c r="N70" i="98" s="1"/>
  <c r="O69" i="98" s="1"/>
  <c r="O70" i="98" s="1"/>
  <c r="CG99" i="98"/>
  <c r="CH24" i="1"/>
  <c r="CH25" i="1"/>
  <c r="CH26" i="1"/>
  <c r="CU50" i="8"/>
  <c r="CV50" i="8" s="1"/>
  <c r="CW50" i="8" s="1"/>
  <c r="CU48" i="8"/>
  <c r="CV48" i="8" s="1"/>
  <c r="CV46" i="8"/>
  <c r="CX46" i="8" s="1"/>
  <c r="CU36" i="8"/>
  <c r="CU41" i="8" s="1"/>
  <c r="CV36" i="8"/>
  <c r="CV41" i="8" s="1"/>
  <c r="CW36" i="8"/>
  <c r="CW41" i="8" s="1"/>
  <c r="CX13" i="8"/>
  <c r="CY13" i="8" s="1"/>
  <c r="CX19" i="8"/>
  <c r="CX24" i="8"/>
  <c r="CY24" i="8" s="1"/>
  <c r="CX26" i="8"/>
  <c r="CY26" i="8" s="1"/>
  <c r="CX32" i="8"/>
  <c r="CX40" i="8"/>
  <c r="CY40" i="8" s="1"/>
  <c r="CY44" i="8"/>
  <c r="CX45" i="8"/>
  <c r="CY45" i="8" s="1"/>
  <c r="CY50" i="8"/>
  <c r="CZ50" i="8" s="1"/>
  <c r="DA50" i="8" s="1"/>
  <c r="BQ99" i="98" l="1"/>
  <c r="CB67" i="98"/>
  <c r="CB98" i="98"/>
  <c r="CF99" i="98" s="1"/>
  <c r="CC67" i="98"/>
  <c r="CC98" i="98"/>
  <c r="CC99" i="98" s="1"/>
  <c r="CP140" i="98"/>
  <c r="CQ53" i="98"/>
  <c r="CP64" i="98"/>
  <c r="DS22" i="98"/>
  <c r="DT22" i="98" s="1"/>
  <c r="DU22" i="98" s="1"/>
  <c r="DW22" i="98" s="1"/>
  <c r="DS68" i="98"/>
  <c r="DT68" i="98" s="1"/>
  <c r="DU68" i="98" s="1"/>
  <c r="DW68" i="98" s="1"/>
  <c r="DE53" i="98"/>
  <c r="DS47" i="98"/>
  <c r="DT47" i="98" s="1"/>
  <c r="DU47" i="98" s="1"/>
  <c r="DW47" i="98" s="1"/>
  <c r="DS42" i="98"/>
  <c r="DS20" i="98"/>
  <c r="DT20" i="98" s="1"/>
  <c r="DU20" i="98" s="1"/>
  <c r="DW20" i="98" s="1"/>
  <c r="BL69" i="98"/>
  <c r="CC75" i="98"/>
  <c r="CC82" i="98" s="1"/>
  <c r="DQ42" i="98"/>
  <c r="DQ22" i="98"/>
  <c r="BL70" i="98"/>
  <c r="DL43" i="98"/>
  <c r="DB50" i="8"/>
  <c r="DD50" i="8" s="1"/>
  <c r="CY46" i="8"/>
  <c r="CZ46" i="8"/>
  <c r="DQ47" i="98"/>
  <c r="DQ20" i="98"/>
  <c r="BM140" i="98"/>
  <c r="BM64" i="98"/>
  <c r="BM67" i="98" s="1"/>
  <c r="DB145" i="98"/>
  <c r="DB86" i="98"/>
  <c r="CH64" i="98"/>
  <c r="CH67" i="98" s="1"/>
  <c r="BC64" i="98"/>
  <c r="BC67" i="98" s="1"/>
  <c r="BC140" i="98"/>
  <c r="DM18" i="98"/>
  <c r="AO67" i="98"/>
  <c r="AO73" i="98"/>
  <c r="AO75" i="98" s="1"/>
  <c r="AO82" i="98" s="1"/>
  <c r="AO88" i="98" s="1"/>
  <c r="DD63" i="98"/>
  <c r="DD86" i="98" s="1"/>
  <c r="DC145" i="98"/>
  <c r="BT69" i="98"/>
  <c r="U69" i="98"/>
  <c r="U70" i="98" s="1"/>
  <c r="V69" i="98" s="1"/>
  <c r="Q70" i="98"/>
  <c r="R69" i="98" s="1"/>
  <c r="R70" i="98" s="1"/>
  <c r="S69" i="98" s="1"/>
  <c r="S70" i="98" s="1"/>
  <c r="T69" i="98" s="1"/>
  <c r="T70" i="98" s="1"/>
  <c r="DJ19" i="98"/>
  <c r="AY98" i="98"/>
  <c r="DN43" i="98"/>
  <c r="DO43" i="98" s="1"/>
  <c r="DP43" i="98" s="1"/>
  <c r="DR43" i="98" s="1"/>
  <c r="DL18" i="98"/>
  <c r="DD62" i="98"/>
  <c r="DC80" i="98"/>
  <c r="CD99" i="98"/>
  <c r="AJ75" i="98"/>
  <c r="AJ82" i="98" s="1"/>
  <c r="AJ88" i="98" s="1"/>
  <c r="BO99" i="98"/>
  <c r="BL71" i="98"/>
  <c r="BM69" i="98"/>
  <c r="DL66" i="98"/>
  <c r="DQ68" i="98"/>
  <c r="AE73" i="98"/>
  <c r="AE75" i="98" s="1"/>
  <c r="AE82" i="98" s="1"/>
  <c r="AE88" i="98" s="1"/>
  <c r="AE67" i="98"/>
  <c r="DN66" i="98"/>
  <c r="DO66" i="98" s="1"/>
  <c r="DP66" i="98" s="1"/>
  <c r="DR66" i="98" s="1"/>
  <c r="DG154" i="98"/>
  <c r="BQ71" i="98"/>
  <c r="BR69" i="98"/>
  <c r="BR70" i="98" s="1"/>
  <c r="BR71" i="98" s="1"/>
  <c r="CY19" i="8"/>
  <c r="CY32" i="8"/>
  <c r="CY36" i="8" s="1"/>
  <c r="CY41" i="8" s="1"/>
  <c r="CE99" i="98" l="1"/>
  <c r="CB99" i="98"/>
  <c r="BM70" i="98"/>
  <c r="BM71" i="98" s="1"/>
  <c r="DV47" i="98"/>
  <c r="DV68" i="98"/>
  <c r="DV22" i="98"/>
  <c r="CQ140" i="98"/>
  <c r="CQ64" i="98"/>
  <c r="DX68" i="98"/>
  <c r="DY68" i="98" s="1"/>
  <c r="DZ68" i="98" s="1"/>
  <c r="DX22" i="98"/>
  <c r="DY22" i="98" s="1"/>
  <c r="DZ22" i="98" s="1"/>
  <c r="EA22" i="98" s="1"/>
  <c r="DF53" i="98"/>
  <c r="DS66" i="98"/>
  <c r="DT66" i="98" s="1"/>
  <c r="DU66" i="98" s="1"/>
  <c r="DW66" i="98" s="1"/>
  <c r="DX47" i="98"/>
  <c r="DY47" i="98" s="1"/>
  <c r="DZ47" i="98" s="1"/>
  <c r="DV20" i="98"/>
  <c r="DS43" i="98"/>
  <c r="DT43" i="98" s="1"/>
  <c r="DU43" i="98" s="1"/>
  <c r="DW43" i="98" s="1"/>
  <c r="DX20" i="98"/>
  <c r="DY20" i="98" s="1"/>
  <c r="DZ20" i="98" s="1"/>
  <c r="DT42" i="98"/>
  <c r="DC46" i="8"/>
  <c r="DD46" i="8" s="1"/>
  <c r="DQ43" i="98"/>
  <c r="DQ66" i="98"/>
  <c r="BX69" i="98"/>
  <c r="BX70" i="98" s="1"/>
  <c r="BT70" i="98"/>
  <c r="Z69" i="98"/>
  <c r="Z70" i="98" s="1"/>
  <c r="V70" i="98"/>
  <c r="W69" i="98" s="1"/>
  <c r="W70" i="98" s="1"/>
  <c r="X69" i="98" s="1"/>
  <c r="X70" i="98" s="1"/>
  <c r="Y69" i="98" s="1"/>
  <c r="Y70" i="98" s="1"/>
  <c r="DE63" i="98"/>
  <c r="DE86" i="98" s="1"/>
  <c r="DD145" i="98"/>
  <c r="DN18" i="98"/>
  <c r="DH154" i="98"/>
  <c r="DE62" i="98"/>
  <c r="DD80" i="98"/>
  <c r="DK19" i="98"/>
  <c r="DL19" i="98" s="1"/>
  <c r="DV66" i="98" l="1"/>
  <c r="EA68" i="98"/>
  <c r="DG53" i="98"/>
  <c r="DH53" i="98"/>
  <c r="EA20" i="98"/>
  <c r="DX66" i="98"/>
  <c r="DY66" i="98" s="1"/>
  <c r="DZ66" i="98" s="1"/>
  <c r="EA47" i="98"/>
  <c r="DU42" i="98"/>
  <c r="DV42" i="98" s="1"/>
  <c r="DX43" i="98"/>
  <c r="DY43" i="98" s="1"/>
  <c r="DZ43" i="98" s="1"/>
  <c r="DV43" i="98"/>
  <c r="DO18" i="98"/>
  <c r="DE145" i="98"/>
  <c r="DF63" i="98"/>
  <c r="BX71" i="98"/>
  <c r="BY69" i="98"/>
  <c r="DM19" i="98"/>
  <c r="DI154" i="98"/>
  <c r="AA69" i="98"/>
  <c r="BT71" i="98"/>
  <c r="BU69" i="98"/>
  <c r="BU70" i="98" s="1"/>
  <c r="DF62" i="98"/>
  <c r="DG62" i="98" s="1"/>
  <c r="DG80" i="98" s="1"/>
  <c r="DE80" i="98"/>
  <c r="EA43" i="98" l="1"/>
  <c r="DI53" i="98"/>
  <c r="EA66" i="98"/>
  <c r="DW42" i="98"/>
  <c r="DG63" i="98"/>
  <c r="DF86" i="98"/>
  <c r="CC69" i="98"/>
  <c r="CC70" i="98" s="1"/>
  <c r="BY70" i="98"/>
  <c r="DN19" i="98"/>
  <c r="DP18" i="98"/>
  <c r="DR18" i="98" s="1"/>
  <c r="DH62" i="98"/>
  <c r="DF80" i="98"/>
  <c r="DH86" i="98"/>
  <c r="DF145" i="98"/>
  <c r="BV69" i="98"/>
  <c r="BV70" i="98" s="1"/>
  <c r="BU71" i="98"/>
  <c r="AE69" i="98"/>
  <c r="AE70" i="98" s="1"/>
  <c r="AA70" i="98"/>
  <c r="DJ154" i="98"/>
  <c r="DJ53" i="98" l="1"/>
  <c r="DS18" i="98"/>
  <c r="DX42" i="98"/>
  <c r="DG145" i="98"/>
  <c r="DG86" i="98"/>
  <c r="CD69" i="98"/>
  <c r="AF69" i="98"/>
  <c r="BV71" i="98"/>
  <c r="BW69" i="98"/>
  <c r="BW70" i="98" s="1"/>
  <c r="DI62" i="98"/>
  <c r="DH80" i="98"/>
  <c r="AB69" i="98"/>
  <c r="AB70" i="98" s="1"/>
  <c r="AA71" i="98"/>
  <c r="DI63" i="98"/>
  <c r="DH145" i="98"/>
  <c r="DO19" i="98"/>
  <c r="DK154" i="98"/>
  <c r="DQ18" i="98"/>
  <c r="BZ69" i="98"/>
  <c r="BZ70" i="98" s="1"/>
  <c r="BY71" i="98"/>
  <c r="DK53" i="98" l="1"/>
  <c r="DL53" i="98" s="1"/>
  <c r="DY42" i="98"/>
  <c r="DT18" i="98"/>
  <c r="DI86" i="98"/>
  <c r="BZ71" i="98"/>
  <c r="CA69" i="98"/>
  <c r="CA70" i="98" s="1"/>
  <c r="AB71" i="98"/>
  <c r="AC69" i="98"/>
  <c r="AC70" i="98" s="1"/>
  <c r="DJ62" i="98"/>
  <c r="DI80" i="98"/>
  <c r="DL154" i="98"/>
  <c r="DJ63" i="98"/>
  <c r="DJ86" i="98" s="1"/>
  <c r="DI145" i="98"/>
  <c r="AJ69" i="98"/>
  <c r="AJ70" i="98" s="1"/>
  <c r="AF70" i="98"/>
  <c r="DP19" i="98"/>
  <c r="DR19" i="98" s="1"/>
  <c r="CH69" i="98"/>
  <c r="CH70" i="98" s="1"/>
  <c r="CD70" i="98"/>
  <c r="DM53" i="98" l="1"/>
  <c r="DU18" i="98"/>
  <c r="DS19" i="98"/>
  <c r="DZ42" i="98"/>
  <c r="EA42" i="98" s="1"/>
  <c r="CD71" i="98"/>
  <c r="CE69" i="98"/>
  <c r="CE70" i="98" s="1"/>
  <c r="AK69" i="98"/>
  <c r="DM154" i="98"/>
  <c r="AC71" i="98"/>
  <c r="AD69" i="98"/>
  <c r="AD70" i="98" s="1"/>
  <c r="AD71" i="98" s="1"/>
  <c r="AF71" i="98"/>
  <c r="AG69" i="98"/>
  <c r="AG70" i="98" s="1"/>
  <c r="DK63" i="98"/>
  <c r="DJ145" i="98"/>
  <c r="DK62" i="98"/>
  <c r="DL62" i="98" s="1"/>
  <c r="DL80" i="98" s="1"/>
  <c r="DJ80" i="98"/>
  <c r="CI69" i="98"/>
  <c r="CB69" i="98"/>
  <c r="CB70" i="98" s="1"/>
  <c r="CB71" i="98" s="1"/>
  <c r="CA71" i="98"/>
  <c r="DQ19" i="98"/>
  <c r="DN53" i="98" l="1"/>
  <c r="DW18" i="98"/>
  <c r="DV18" i="98"/>
  <c r="DT19" i="98"/>
  <c r="DL63" i="98"/>
  <c r="DK86" i="98"/>
  <c r="CM69" i="98"/>
  <c r="CM71" i="98" s="1"/>
  <c r="CI70" i="98"/>
  <c r="CJ69" i="98" s="1"/>
  <c r="CJ70" i="98" s="1"/>
  <c r="CK69" i="98" s="1"/>
  <c r="CK70" i="98" s="1"/>
  <c r="CL69" i="98" s="1"/>
  <c r="CL70" i="98" s="1"/>
  <c r="DN154" i="98"/>
  <c r="AO69" i="98"/>
  <c r="AO70" i="98" s="1"/>
  <c r="AK70" i="98"/>
  <c r="DM63" i="98"/>
  <c r="DM86" i="98" s="1"/>
  <c r="DK145" i="98"/>
  <c r="CF69" i="98"/>
  <c r="CF70" i="98" s="1"/>
  <c r="CE71" i="98"/>
  <c r="DM62" i="98"/>
  <c r="DK80" i="98"/>
  <c r="AG71" i="98"/>
  <c r="AH69" i="98"/>
  <c r="AH70" i="98" s="1"/>
  <c r="DO53" i="98" l="1"/>
  <c r="DU19" i="98"/>
  <c r="DV19" i="98" s="1"/>
  <c r="DX18" i="98"/>
  <c r="DL145" i="98"/>
  <c r="DL86" i="98"/>
  <c r="AK71" i="98"/>
  <c r="AL69" i="98"/>
  <c r="AL70" i="98" s="1"/>
  <c r="AP69" i="98"/>
  <c r="DN62" i="98"/>
  <c r="DM80" i="98"/>
  <c r="AI69" i="98"/>
  <c r="AI70" i="98" s="1"/>
  <c r="AI71" i="98" s="1"/>
  <c r="AH71" i="98"/>
  <c r="CF71" i="98"/>
  <c r="CG69" i="98"/>
  <c r="CG70" i="98" s="1"/>
  <c r="CG71" i="98" s="1"/>
  <c r="DN63" i="98"/>
  <c r="DN86" i="98" s="1"/>
  <c r="DM145" i="98"/>
  <c r="DO154" i="98"/>
  <c r="DP53" i="98" l="1"/>
  <c r="DQ53" i="98" s="1"/>
  <c r="DY18" i="98"/>
  <c r="DW19" i="98"/>
  <c r="DO63" i="98"/>
  <c r="DO86" i="98" s="1"/>
  <c r="DN145" i="98"/>
  <c r="DO62" i="98"/>
  <c r="DN80" i="98"/>
  <c r="DP154" i="98"/>
  <c r="AM69" i="98"/>
  <c r="AM70" i="98" s="1"/>
  <c r="AL71" i="98"/>
  <c r="AT69" i="98"/>
  <c r="AT70" i="98" s="1"/>
  <c r="AP70" i="98"/>
  <c r="DR53" i="98" l="1"/>
  <c r="DZ18" i="98"/>
  <c r="DX19" i="98"/>
  <c r="DQ154" i="98"/>
  <c r="DR154" i="98" s="1"/>
  <c r="DP62" i="98"/>
  <c r="DR62" i="98" s="1"/>
  <c r="DO80" i="98"/>
  <c r="AU69" i="98"/>
  <c r="AU70" i="98" s="1"/>
  <c r="AY69" i="98"/>
  <c r="AY70" i="98" s="1"/>
  <c r="AT71" i="98"/>
  <c r="AN69" i="98"/>
  <c r="AN70" i="98" s="1"/>
  <c r="AN71" i="98" s="1"/>
  <c r="AM71" i="98"/>
  <c r="AQ69" i="98"/>
  <c r="AQ70" i="98" s="1"/>
  <c r="AP71" i="98"/>
  <c r="DP63" i="98"/>
  <c r="DO145" i="98"/>
  <c r="DR140" i="98" l="1"/>
  <c r="DS53" i="98"/>
  <c r="DS154" i="98"/>
  <c r="DR151" i="98"/>
  <c r="DR41" i="98" s="1"/>
  <c r="DS62" i="98"/>
  <c r="DR80" i="98"/>
  <c r="DY19" i="98"/>
  <c r="DP86" i="98"/>
  <c r="DR63" i="98"/>
  <c r="EA18" i="98"/>
  <c r="AV69" i="98"/>
  <c r="AV70" i="98" s="1"/>
  <c r="AU71" i="98"/>
  <c r="DP80" i="98"/>
  <c r="DQ62" i="98"/>
  <c r="DQ80" i="98" s="1"/>
  <c r="AR69" i="98"/>
  <c r="AR70" i="98" s="1"/>
  <c r="AQ71" i="98"/>
  <c r="AZ69" i="98"/>
  <c r="AY71" i="98"/>
  <c r="DP145" i="98"/>
  <c r="DQ63" i="98"/>
  <c r="DQ86" i="98" s="1"/>
  <c r="DI54" i="8"/>
  <c r="DH54" i="8"/>
  <c r="DG54" i="8"/>
  <c r="DF54" i="8"/>
  <c r="DE54" i="8"/>
  <c r="DT53" i="98" l="1"/>
  <c r="DS140" i="98"/>
  <c r="DR79" i="98"/>
  <c r="DR137" i="98"/>
  <c r="DT154" i="98"/>
  <c r="DS151" i="98"/>
  <c r="DS41" i="98" s="1"/>
  <c r="DS80" i="98"/>
  <c r="DT62" i="98"/>
  <c r="DZ19" i="98"/>
  <c r="DR145" i="98"/>
  <c r="DS63" i="98"/>
  <c r="DQ145" i="98"/>
  <c r="AR71" i="98"/>
  <c r="AS69" i="98"/>
  <c r="AS70" i="98" s="1"/>
  <c r="AS71" i="98" s="1"/>
  <c r="BD69" i="98"/>
  <c r="BD70" i="98" s="1"/>
  <c r="AZ70" i="98"/>
  <c r="AV71" i="98"/>
  <c r="AW69" i="98"/>
  <c r="AW70" i="98" s="1"/>
  <c r="DU53" i="98" l="1"/>
  <c r="DV53" i="98" s="1"/>
  <c r="DV140" i="98" s="1"/>
  <c r="DT140" i="98"/>
  <c r="DS79" i="98"/>
  <c r="DS137" i="98"/>
  <c r="DT151" i="98"/>
  <c r="DT41" i="98" s="1"/>
  <c r="DU154" i="98"/>
  <c r="EA19" i="98"/>
  <c r="DS145" i="98"/>
  <c r="DT63" i="98"/>
  <c r="DT80" i="98"/>
  <c r="DU62" i="98"/>
  <c r="BD71" i="98"/>
  <c r="BE69" i="98"/>
  <c r="AW71" i="98"/>
  <c r="AX69" i="98"/>
  <c r="AX70" i="98" s="1"/>
  <c r="AX71" i="98" s="1"/>
  <c r="AZ71" i="98"/>
  <c r="BA69" i="98"/>
  <c r="BA70" i="98" s="1"/>
  <c r="CZ45" i="8"/>
  <c r="CZ54" i="8"/>
  <c r="DA54" i="8"/>
  <c r="DB54" i="8"/>
  <c r="DC54" i="8"/>
  <c r="DD54" i="8"/>
  <c r="CZ83" i="8"/>
  <c r="DA83" i="8"/>
  <c r="DB83" i="8"/>
  <c r="DC83" i="8"/>
  <c r="DD83" i="8"/>
  <c r="CZ133" i="8"/>
  <c r="DA133" i="8"/>
  <c r="DB133" i="8"/>
  <c r="DC133" i="8"/>
  <c r="DD133" i="8"/>
  <c r="DD210" i="8"/>
  <c r="DW53" i="98" l="1"/>
  <c r="DU140" i="98"/>
  <c r="DV154" i="98"/>
  <c r="DU151" i="98"/>
  <c r="DU41" i="98" s="1"/>
  <c r="DT79" i="98"/>
  <c r="DT137" i="98"/>
  <c r="DU63" i="98"/>
  <c r="DV63" i="98" s="1"/>
  <c r="DT145" i="98"/>
  <c r="DW62" i="98"/>
  <c r="DU80" i="98"/>
  <c r="DV62" i="98"/>
  <c r="DV80" i="98" s="1"/>
  <c r="DB45" i="8"/>
  <c r="DC45" i="8" s="1"/>
  <c r="DD45" i="8" s="1"/>
  <c r="DE45" i="8" s="1"/>
  <c r="DF45" i="8" s="1"/>
  <c r="DG45" i="8" s="1"/>
  <c r="DH45" i="8" s="1"/>
  <c r="DI45" i="8" s="1"/>
  <c r="DJ45" i="8" s="1"/>
  <c r="DK45" i="8" s="1"/>
  <c r="DL45" i="8" s="1"/>
  <c r="DM45" i="8" s="1"/>
  <c r="DN45" i="8" s="1"/>
  <c r="DO45" i="8" s="1"/>
  <c r="DP45" i="8" s="1"/>
  <c r="DQ45" i="8" s="1"/>
  <c r="DR45" i="8" s="1"/>
  <c r="DS45" i="8" s="1"/>
  <c r="DT45" i="8" s="1"/>
  <c r="DU45" i="8" s="1"/>
  <c r="DV45" i="8" s="1"/>
  <c r="DW45" i="8" s="1"/>
  <c r="DX45" i="8" s="1"/>
  <c r="DY45" i="8" s="1"/>
  <c r="DZ45" i="8" s="1"/>
  <c r="EA45" i="8" s="1"/>
  <c r="EB45" i="8" s="1"/>
  <c r="EC45" i="8" s="1"/>
  <c r="BA71" i="98"/>
  <c r="BB69" i="98"/>
  <c r="BB70" i="98" s="1"/>
  <c r="BI69" i="98"/>
  <c r="BI70" i="98" s="1"/>
  <c r="BI71" i="98" s="1"/>
  <c r="BE70" i="98"/>
  <c r="CZ44" i="8"/>
  <c r="CZ98" i="8"/>
  <c r="DW140" i="98" l="1"/>
  <c r="DX53" i="98"/>
  <c r="DV41" i="98"/>
  <c r="DU79" i="98"/>
  <c r="DU137" i="98"/>
  <c r="DV151" i="98"/>
  <c r="DW154" i="98"/>
  <c r="DV145" i="98"/>
  <c r="DX62" i="98"/>
  <c r="DW80" i="98"/>
  <c r="DU145" i="98"/>
  <c r="DW63" i="98"/>
  <c r="BE71" i="98"/>
  <c r="BF69" i="98"/>
  <c r="BF70" i="98" s="1"/>
  <c r="BC69" i="98"/>
  <c r="BC70" i="98" s="1"/>
  <c r="BC71" i="98" s="1"/>
  <c r="BB71" i="98"/>
  <c r="CZ78" i="8"/>
  <c r="DD39" i="8"/>
  <c r="DE39" i="8" s="1"/>
  <c r="DF39" i="8" s="1"/>
  <c r="DG39" i="8" s="1"/>
  <c r="DH39" i="8" s="1"/>
  <c r="DB44" i="8"/>
  <c r="CZ37" i="8"/>
  <c r="DA78" i="8"/>
  <c r="DA98" i="8"/>
  <c r="DA114" i="8"/>
  <c r="DC44" i="8" l="1"/>
  <c r="DC49" i="8" s="1"/>
  <c r="DC51" i="8" s="1"/>
  <c r="DB49" i="8"/>
  <c r="DB51" i="8" s="1"/>
  <c r="DX140" i="98"/>
  <c r="DY53" i="98"/>
  <c r="DX154" i="98"/>
  <c r="DW151" i="98"/>
  <c r="DW41" i="98" s="1"/>
  <c r="DV79" i="98"/>
  <c r="DV137" i="98"/>
  <c r="DB37" i="8"/>
  <c r="DW145" i="98"/>
  <c r="DX63" i="98"/>
  <c r="DX80" i="98"/>
  <c r="DY62" i="98"/>
  <c r="DI39" i="8"/>
  <c r="DJ39" i="8" s="1"/>
  <c r="DK39" i="8" s="1"/>
  <c r="DL39" i="8" s="1"/>
  <c r="DM39" i="8" s="1"/>
  <c r="BG69" i="98"/>
  <c r="BG70" i="98" s="1"/>
  <c r="BF71" i="98"/>
  <c r="DB78" i="8"/>
  <c r="DD44" i="8"/>
  <c r="DB98" i="8"/>
  <c r="DB114" i="8"/>
  <c r="DC78" i="8" l="1"/>
  <c r="DZ53" i="98"/>
  <c r="DZ140" i="98" s="1"/>
  <c r="DY140" i="98"/>
  <c r="DW79" i="98"/>
  <c r="DW137" i="98"/>
  <c r="DY154" i="98"/>
  <c r="DX151" i="98"/>
  <c r="DX41" i="98" s="1"/>
  <c r="DY80" i="98"/>
  <c r="DZ62" i="98"/>
  <c r="DZ80" i="98" s="1"/>
  <c r="DY63" i="98"/>
  <c r="DX145" i="98"/>
  <c r="DN39" i="8"/>
  <c r="DO39" i="8" s="1"/>
  <c r="DP39" i="8" s="1"/>
  <c r="DQ39" i="8" s="1"/>
  <c r="DR39" i="8" s="1"/>
  <c r="BH69" i="98"/>
  <c r="BH70" i="98" s="1"/>
  <c r="BH71" i="98" s="1"/>
  <c r="BG71" i="98"/>
  <c r="DE44" i="8"/>
  <c r="DF44" i="8" s="1"/>
  <c r="DG44" i="8" s="1"/>
  <c r="DH44" i="8" s="1"/>
  <c r="DI44" i="8" s="1"/>
  <c r="DJ44" i="8" s="1"/>
  <c r="DD78" i="8"/>
  <c r="DC98" i="8"/>
  <c r="DC114" i="8"/>
  <c r="EA62" i="98" l="1"/>
  <c r="EA80" i="98" s="1"/>
  <c r="EA53" i="98"/>
  <c r="EA140" i="98" s="1"/>
  <c r="DY151" i="98"/>
  <c r="DY41" i="98" s="1"/>
  <c r="DZ154" i="98"/>
  <c r="DX79" i="98"/>
  <c r="DX137" i="98"/>
  <c r="DY145" i="98"/>
  <c r="DZ63" i="98"/>
  <c r="DZ145" i="98" s="1"/>
  <c r="DS39" i="8"/>
  <c r="DT39" i="8" s="1"/>
  <c r="DU39" i="8" s="1"/>
  <c r="DV39" i="8" s="1"/>
  <c r="DW39" i="8" s="1"/>
  <c r="DK44" i="8"/>
  <c r="EA63" i="98" l="1"/>
  <c r="EA145" i="98" s="1"/>
  <c r="EA154" i="98"/>
  <c r="EA151" i="98" s="1"/>
  <c r="DZ151" i="98"/>
  <c r="DZ41" i="98" s="1"/>
  <c r="DY79" i="98"/>
  <c r="DY137" i="98"/>
  <c r="DT114" i="8"/>
  <c r="DT98" i="8"/>
  <c r="DL44" i="8"/>
  <c r="DZ79" i="98" l="1"/>
  <c r="DZ137" i="98"/>
  <c r="EA41" i="98"/>
  <c r="DU114" i="8"/>
  <c r="DU98" i="8"/>
  <c r="DM44" i="8"/>
  <c r="EA79" i="98" l="1"/>
  <c r="EA137" i="98"/>
  <c r="DV114" i="8"/>
  <c r="DV98" i="8"/>
  <c r="DN44" i="8"/>
  <c r="DW114" i="8" l="1"/>
  <c r="DW98" i="8"/>
  <c r="DX39" i="8"/>
  <c r="DY39" i="8" s="1"/>
  <c r="DZ39" i="8" s="1"/>
  <c r="EA39" i="8" s="1"/>
  <c r="EB39" i="8" s="1"/>
  <c r="DO44" i="8"/>
  <c r="DY114" i="8" l="1"/>
  <c r="DY98" i="8"/>
  <c r="DP44" i="8"/>
  <c r="DZ98" i="8" l="1"/>
  <c r="DZ114" i="8"/>
  <c r="DQ44" i="8"/>
  <c r="EA98" i="8" l="1"/>
  <c r="EA114" i="8"/>
  <c r="DR44" i="8"/>
  <c r="EB114" i="8" l="1"/>
  <c r="EB98" i="8"/>
  <c r="EC39" i="8"/>
  <c r="DS44" i="8"/>
  <c r="DT44" i="8" s="1"/>
  <c r="DU44" i="8" l="1"/>
  <c r="DT78" i="8"/>
  <c r="DU78" i="8" l="1"/>
  <c r="DV44" i="8"/>
  <c r="DW44" i="8" l="1"/>
  <c r="DV78" i="8"/>
  <c r="DX44" i="8" l="1"/>
  <c r="DW78" i="8"/>
  <c r="DY44" i="8" l="1"/>
  <c r="DX78" i="8"/>
  <c r="DZ44" i="8" l="1"/>
  <c r="DY78" i="8"/>
  <c r="DZ78" i="8" l="1"/>
  <c r="EA44" i="8"/>
  <c r="EA78" i="8" l="1"/>
  <c r="EB44" i="8"/>
  <c r="EC44" i="8" l="1"/>
  <c r="EC78" i="8" s="1"/>
  <c r="EB78" i="8"/>
  <c r="CO36" i="1" l="1"/>
  <c r="DR245" i="8" l="1"/>
  <c r="DQ245" i="8"/>
  <c r="DP245" i="8"/>
  <c r="DO245" i="8"/>
  <c r="CX228" i="8"/>
  <c r="CX235" i="8"/>
  <c r="CY235" i="8" s="1"/>
  <c r="CX236" i="8"/>
  <c r="CY236" i="8" s="1"/>
  <c r="CX237" i="8"/>
  <c r="CY237" i="8" s="1"/>
  <c r="CX238" i="8"/>
  <c r="CY238" i="8" s="1"/>
  <c r="CX239" i="8"/>
  <c r="CY239" i="8" s="1"/>
  <c r="CX240" i="8"/>
  <c r="CY241" i="8"/>
  <c r="CZ241" i="8" s="1"/>
  <c r="DF15" i="98"/>
  <c r="DD15" i="98"/>
  <c r="DI210" i="8"/>
  <c r="DI133" i="8"/>
  <c r="DH133" i="8"/>
  <c r="DG133" i="8"/>
  <c r="DF133" i="8"/>
  <c r="DE133" i="8"/>
  <c r="DI83" i="8"/>
  <c r="DH83" i="8"/>
  <c r="DG83" i="8"/>
  <c r="DF83" i="8"/>
  <c r="DE83" i="8"/>
  <c r="CY240" i="8" l="1"/>
  <c r="CY228" i="8"/>
  <c r="CZ228" i="8" s="1"/>
  <c r="DC15" i="98"/>
  <c r="DE15" i="98"/>
  <c r="CR37" i="1"/>
  <c r="DG37" i="1"/>
  <c r="CZ240" i="8"/>
  <c r="DA240" i="8" s="1"/>
  <c r="CZ236" i="8"/>
  <c r="DA236" i="8" s="1"/>
  <c r="DB236" i="8" s="1"/>
  <c r="DC236" i="8" s="1"/>
  <c r="DD236" i="8" s="1"/>
  <c r="DE236" i="8" s="1"/>
  <c r="DF236" i="8" s="1"/>
  <c r="DG236" i="8" s="1"/>
  <c r="DH236" i="8" s="1"/>
  <c r="DI236" i="8" s="1"/>
  <c r="DJ236" i="8" s="1"/>
  <c r="DK236" i="8" s="1"/>
  <c r="DL236" i="8" s="1"/>
  <c r="DM236" i="8" s="1"/>
  <c r="DN236" i="8" s="1"/>
  <c r="DO236" i="8" s="1"/>
  <c r="DP236" i="8" s="1"/>
  <c r="DQ236" i="8" s="1"/>
  <c r="CZ237" i="8"/>
  <c r="DB237" i="8" s="1"/>
  <c r="DC237" i="8" s="1"/>
  <c r="DD237" i="8" s="1"/>
  <c r="DE237" i="8" s="1"/>
  <c r="DF237" i="8" s="1"/>
  <c r="DG237" i="8" s="1"/>
  <c r="DH237" i="8" s="1"/>
  <c r="DI237" i="8" s="1"/>
  <c r="DJ237" i="8" s="1"/>
  <c r="DK237" i="8" s="1"/>
  <c r="DL237" i="8" s="1"/>
  <c r="DM237" i="8" s="1"/>
  <c r="DN237" i="8" s="1"/>
  <c r="DO237" i="8" s="1"/>
  <c r="DP237" i="8" s="1"/>
  <c r="DQ237" i="8" s="1"/>
  <c r="DR237" i="8" s="1"/>
  <c r="DS237" i="8" s="1"/>
  <c r="DT237" i="8" s="1"/>
  <c r="DU237" i="8" s="1"/>
  <c r="DV237" i="8" s="1"/>
  <c r="DW237" i="8" s="1"/>
  <c r="DX237" i="8" s="1"/>
  <c r="DY237" i="8" s="1"/>
  <c r="DZ237" i="8" s="1"/>
  <c r="EA237" i="8" s="1"/>
  <c r="EB237" i="8" s="1"/>
  <c r="EC237" i="8" s="1"/>
  <c r="CZ239" i="8"/>
  <c r="DA239" i="8" s="1"/>
  <c r="DB239" i="8" s="1"/>
  <c r="DC239" i="8" s="1"/>
  <c r="DD239" i="8" s="1"/>
  <c r="DE239" i="8" s="1"/>
  <c r="DF239" i="8" s="1"/>
  <c r="DG239" i="8" s="1"/>
  <c r="DH239" i="8" s="1"/>
  <c r="DI239" i="8" s="1"/>
  <c r="DJ239" i="8" s="1"/>
  <c r="DK239" i="8" s="1"/>
  <c r="DL239" i="8" s="1"/>
  <c r="DM239" i="8" s="1"/>
  <c r="DN239" i="8" s="1"/>
  <c r="DO239" i="8" s="1"/>
  <c r="DP239" i="8" s="1"/>
  <c r="DQ239" i="8" s="1"/>
  <c r="DR239" i="8" s="1"/>
  <c r="DS239" i="8" s="1"/>
  <c r="DT239" i="8" s="1"/>
  <c r="DU239" i="8" s="1"/>
  <c r="DV239" i="8" s="1"/>
  <c r="DW239" i="8" s="1"/>
  <c r="DX239" i="8" s="1"/>
  <c r="DY239" i="8" s="1"/>
  <c r="DZ239" i="8" s="1"/>
  <c r="EA239" i="8" s="1"/>
  <c r="EB239" i="8" s="1"/>
  <c r="EC239" i="8" s="1"/>
  <c r="CZ235" i="8"/>
  <c r="DA235" i="8" s="1"/>
  <c r="DB235" i="8" s="1"/>
  <c r="DC235" i="8" s="1"/>
  <c r="DD235" i="8" s="1"/>
  <c r="DE235" i="8" s="1"/>
  <c r="DF235" i="8" s="1"/>
  <c r="CZ238" i="8"/>
  <c r="DA238" i="8" s="1"/>
  <c r="DB238" i="8" s="1"/>
  <c r="DC238" i="8" s="1"/>
  <c r="DD238" i="8" s="1"/>
  <c r="DE238" i="8" s="1"/>
  <c r="DF238" i="8" s="1"/>
  <c r="DG238" i="8" s="1"/>
  <c r="DH238" i="8" s="1"/>
  <c r="DI238" i="8" s="1"/>
  <c r="DJ238" i="8" s="1"/>
  <c r="DK238" i="8" s="1"/>
  <c r="DL238" i="8" s="1"/>
  <c r="DM238" i="8" s="1"/>
  <c r="DN238" i="8" s="1"/>
  <c r="DO238" i="8" s="1"/>
  <c r="DP238" i="8" s="1"/>
  <c r="DQ238" i="8" s="1"/>
  <c r="DR238" i="8" s="1"/>
  <c r="DS238" i="8" s="1"/>
  <c r="DT238" i="8" s="1"/>
  <c r="DU238" i="8" s="1"/>
  <c r="DV238" i="8" s="1"/>
  <c r="DW238" i="8" s="1"/>
  <c r="DX238" i="8" s="1"/>
  <c r="DY238" i="8" s="1"/>
  <c r="DZ238" i="8" s="1"/>
  <c r="EA238" i="8" s="1"/>
  <c r="EB238" i="8" s="1"/>
  <c r="EC238" i="8" s="1"/>
  <c r="DA228" i="8"/>
  <c r="DA271" i="8" l="1"/>
  <c r="CY186" i="1" s="1"/>
  <c r="DB240" i="8"/>
  <c r="DC240" i="8" s="1"/>
  <c r="DD240" i="8" s="1"/>
  <c r="DG15" i="98"/>
  <c r="DR236" i="8"/>
  <c r="DG235" i="8"/>
  <c r="DB228" i="8"/>
  <c r="DA272" i="8" l="1"/>
  <c r="DE240" i="8"/>
  <c r="DF240" i="8" s="1"/>
  <c r="DG240" i="8" s="1"/>
  <c r="DH240" i="8" s="1"/>
  <c r="DI240" i="8" s="1"/>
  <c r="DJ240" i="8" s="1"/>
  <c r="DK240" i="8" s="1"/>
  <c r="DL240" i="8" s="1"/>
  <c r="DM240" i="8" s="1"/>
  <c r="DN240" i="8" s="1"/>
  <c r="DH235" i="8"/>
  <c r="DI235" i="8" s="1"/>
  <c r="DS236" i="8"/>
  <c r="DT236" i="8" s="1"/>
  <c r="DC228" i="8"/>
  <c r="DO240" i="8" l="1"/>
  <c r="DP240" i="8" s="1"/>
  <c r="DQ240" i="8" s="1"/>
  <c r="DR240" i="8" s="1"/>
  <c r="DS240" i="8" s="1"/>
  <c r="DU236" i="8"/>
  <c r="DD241" i="8"/>
  <c r="DE241" i="8" s="1"/>
  <c r="DF241" i="8" s="1"/>
  <c r="DG241" i="8" s="1"/>
  <c r="DH241" i="8" s="1"/>
  <c r="DI241" i="8" s="1"/>
  <c r="DJ241" i="8" s="1"/>
  <c r="DK241" i="8" s="1"/>
  <c r="DL241" i="8" s="1"/>
  <c r="DM241" i="8" s="1"/>
  <c r="DD228" i="8"/>
  <c r="DJ235" i="8"/>
  <c r="DT240" i="8" l="1"/>
  <c r="DU240" i="8" s="1"/>
  <c r="DV240" i="8" s="1"/>
  <c r="DW240" i="8" s="1"/>
  <c r="DX240" i="8" s="1"/>
  <c r="DV236" i="8"/>
  <c r="DK235" i="8"/>
  <c r="DE228" i="8"/>
  <c r="DY240" i="8" l="1"/>
  <c r="DZ240" i="8" s="1"/>
  <c r="EA240" i="8" s="1"/>
  <c r="EB240" i="8" s="1"/>
  <c r="EC240" i="8" s="1"/>
  <c r="DW236" i="8"/>
  <c r="DL235" i="8"/>
  <c r="DN241" i="8" l="1"/>
  <c r="DO241" i="8" s="1"/>
  <c r="DP241" i="8" s="1"/>
  <c r="DQ241" i="8" s="1"/>
  <c r="DR241" i="8" s="1"/>
  <c r="DX236" i="8"/>
  <c r="DM235" i="8"/>
  <c r="DY236" i="8" l="1"/>
  <c r="DN235" i="8"/>
  <c r="DZ236" i="8" l="1"/>
  <c r="DO235" i="8"/>
  <c r="EA236" i="8" l="1"/>
  <c r="DP235" i="8"/>
  <c r="DS241" i="8" l="1"/>
  <c r="DT241" i="8" s="1"/>
  <c r="DU241" i="8" s="1"/>
  <c r="DV241" i="8" s="1"/>
  <c r="DW241" i="8" s="1"/>
  <c r="EB236" i="8"/>
  <c r="EC236" i="8" l="1"/>
  <c r="DX241" i="8" l="1"/>
  <c r="DY241" i="8" s="1"/>
  <c r="DZ241" i="8" s="1"/>
  <c r="EA241" i="8" s="1"/>
  <c r="EB241" i="8" s="1"/>
  <c r="EC241" i="8" l="1"/>
  <c r="CM85" i="1" l="1"/>
  <c r="CH85" i="1"/>
  <c r="EG112" i="1" l="1"/>
  <c r="EG111" i="1"/>
  <c r="EG110" i="1"/>
  <c r="ED111" i="1"/>
  <c r="ED110" i="1"/>
  <c r="K109" i="1"/>
  <c r="F109" i="1"/>
  <c r="K108" i="1"/>
  <c r="F108" i="1"/>
  <c r="K107" i="1"/>
  <c r="F107" i="1"/>
  <c r="EF110" i="1" l="1"/>
  <c r="EH110" i="1"/>
  <c r="EH111" i="1"/>
  <c r="EF111" i="1"/>
  <c r="CU149" i="1" l="1"/>
  <c r="CU152" i="1" s="1"/>
  <c r="CU154" i="1" l="1"/>
  <c r="CU56" i="1"/>
  <c r="H19" i="95" l="1"/>
  <c r="G19" i="95"/>
  <c r="F19" i="95"/>
  <c r="E19" i="95"/>
  <c r="D19" i="95"/>
  <c r="J18" i="95"/>
  <c r="I18" i="95"/>
  <c r="H18" i="95"/>
  <c r="G18" i="95"/>
  <c r="F18" i="95"/>
  <c r="E18" i="95"/>
  <c r="D18" i="95"/>
  <c r="P13" i="95"/>
  <c r="O13" i="95"/>
  <c r="N13" i="95"/>
  <c r="M13" i="95"/>
  <c r="L13" i="95"/>
  <c r="K13" i="95"/>
  <c r="J13" i="95"/>
  <c r="CU156" i="1" l="1"/>
  <c r="CU57" i="1" l="1"/>
  <c r="CU158" i="1"/>
  <c r="DM124" i="8" l="1"/>
  <c r="DR124" i="8" s="1"/>
  <c r="DW124" i="8" s="1"/>
  <c r="EB124" i="8" s="1"/>
  <c r="CU169" i="1" l="1"/>
  <c r="CT173" i="1"/>
  <c r="CS173" i="1"/>
  <c r="CQ178" i="1"/>
  <c r="CQ177" i="1" s="1"/>
  <c r="CQ179" i="1" s="1"/>
  <c r="CR176" i="1"/>
  <c r="CS175" i="1"/>
  <c r="CQ175" i="1"/>
  <c r="CP175" i="1"/>
  <c r="CO175" i="1"/>
  <c r="CN178" i="1"/>
  <c r="CN177" i="1" s="1"/>
  <c r="CN179" i="1" s="1"/>
  <c r="CO178" i="1"/>
  <c r="CO177" i="1" s="1"/>
  <c r="CO179" i="1" s="1"/>
  <c r="CP178" i="1"/>
  <c r="CP173" i="1"/>
  <c r="CT169" i="1"/>
  <c r="CS169" i="1"/>
  <c r="CQ169" i="1"/>
  <c r="CP169" i="1"/>
  <c r="CO169" i="1"/>
  <c r="CN169" i="1"/>
  <c r="CP177" i="1" l="1"/>
  <c r="CP179" i="1" s="1"/>
  <c r="CJ12" i="8" l="1"/>
  <c r="CH71" i="98" s="1"/>
  <c r="CJ13" i="8"/>
  <c r="CJ14" i="8"/>
  <c r="CJ15" i="8"/>
  <c r="CJ16" i="8"/>
  <c r="CJ17" i="8"/>
  <c r="CJ18" i="8"/>
  <c r="CJ19" i="8"/>
  <c r="CF20" i="8"/>
  <c r="CG20" i="8"/>
  <c r="CG28" i="8" s="1"/>
  <c r="CH20" i="8"/>
  <c r="CH28" i="8" s="1"/>
  <c r="CI20" i="8"/>
  <c r="CJ20" i="8" s="1"/>
  <c r="CJ21" i="8"/>
  <c r="CJ22" i="8"/>
  <c r="CJ23" i="8"/>
  <c r="CJ24" i="8"/>
  <c r="CJ25" i="8"/>
  <c r="CI26" i="8"/>
  <c r="CJ26" i="8" s="1"/>
  <c r="CJ27" i="8"/>
  <c r="CJ31" i="8"/>
  <c r="CJ32" i="8"/>
  <c r="CJ33" i="8"/>
  <c r="CJ34" i="8"/>
  <c r="CJ35" i="8"/>
  <c r="CF36" i="8"/>
  <c r="CF41" i="8" s="1"/>
  <c r="CG36" i="8"/>
  <c r="CG41" i="8" s="1"/>
  <c r="CH36" i="8"/>
  <c r="CI36" i="8"/>
  <c r="CJ36" i="8" s="1"/>
  <c r="CJ38" i="8"/>
  <c r="CJ39" i="8"/>
  <c r="CH40" i="8"/>
  <c r="CI40" i="8" s="1"/>
  <c r="CJ40" i="8" s="1"/>
  <c r="CH44" i="8"/>
  <c r="CH49" i="8" s="1"/>
  <c r="CJ44" i="8"/>
  <c r="CJ47" i="8"/>
  <c r="CJ48" i="8"/>
  <c r="CG49" i="8"/>
  <c r="CI49" i="8"/>
  <c r="CF50" i="8"/>
  <c r="CG50" i="8"/>
  <c r="CH50" i="8"/>
  <c r="CI50" i="8"/>
  <c r="CJ50" i="8" s="1"/>
  <c r="CM46" i="8"/>
  <c r="CL43" i="8"/>
  <c r="CM37" i="8"/>
  <c r="CN30" i="8"/>
  <c r="CM30" i="8"/>
  <c r="CL30" i="8"/>
  <c r="CK30" i="8"/>
  <c r="CS30" i="8"/>
  <c r="CR30" i="8"/>
  <c r="CQ30" i="8"/>
  <c r="CP30" i="8"/>
  <c r="CP43" i="8"/>
  <c r="CS37" i="8"/>
  <c r="CG51" i="8" l="1"/>
  <c r="CG52" i="8" s="1"/>
  <c r="CI51" i="8"/>
  <c r="CR46" i="8"/>
  <c r="CH51" i="8"/>
  <c r="CJ49" i="8"/>
  <c r="CJ51" i="8" s="1"/>
  <c r="CN46" i="8"/>
  <c r="CP46" i="8"/>
  <c r="CQ37" i="8"/>
  <c r="CL46" i="8"/>
  <c r="CK46" i="8"/>
  <c r="CS43" i="8"/>
  <c r="CS46" i="8"/>
  <c r="CU46" i="8" s="1"/>
  <c r="CW46" i="8" s="1"/>
  <c r="CP37" i="8"/>
  <c r="CN37" i="8"/>
  <c r="CK37" i="8"/>
  <c r="CQ43" i="8"/>
  <c r="CQ46" i="8"/>
  <c r="CR37" i="8"/>
  <c r="CL37" i="8"/>
  <c r="CR43" i="8"/>
  <c r="CK43" i="8"/>
  <c r="CI41" i="8"/>
  <c r="CJ41" i="8" s="1"/>
  <c r="CI28" i="8"/>
  <c r="CJ28" i="8" s="1"/>
  <c r="CH41" i="8"/>
  <c r="CM43" i="8"/>
  <c r="CN43" i="8"/>
  <c r="DE46" i="8" l="1"/>
  <c r="DG46" i="8" s="1"/>
  <c r="CH52" i="8"/>
  <c r="CJ52" i="8"/>
  <c r="CI52" i="8"/>
  <c r="DE37" i="8" l="1"/>
  <c r="DD37" i="8"/>
  <c r="DF46" i="8"/>
  <c r="DH46" i="8" s="1"/>
  <c r="DI46" i="8" s="1"/>
  <c r="DF37" i="8" l="1"/>
  <c r="DG37" i="8"/>
  <c r="DH37" i="8" l="1"/>
  <c r="DJ46" i="8"/>
  <c r="DI37" i="8" l="1"/>
  <c r="DJ37" i="8"/>
  <c r="DL46" i="8"/>
  <c r="DK46" i="8"/>
  <c r="DL37" i="8" l="1"/>
  <c r="DK37" i="8"/>
  <c r="DM46" i="8"/>
  <c r="DM37" i="8" l="1"/>
  <c r="DO46" i="8"/>
  <c r="DN46" i="8"/>
  <c r="CS171" i="1"/>
  <c r="DN37" i="8" l="1"/>
  <c r="DO37" i="8"/>
  <c r="DQ46" i="8"/>
  <c r="DP46" i="8"/>
  <c r="DQ37" i="8" l="1"/>
  <c r="DP37" i="8"/>
  <c r="DR46" i="8"/>
  <c r="DT46" i="8" s="1"/>
  <c r="DV46" i="8" s="1"/>
  <c r="CT135" i="1"/>
  <c r="CT178" i="1"/>
  <c r="CT177" i="1" s="1"/>
  <c r="CT179" i="1" s="1"/>
  <c r="CS178" i="1"/>
  <c r="CS177" i="1" s="1"/>
  <c r="CS179" i="1" s="1"/>
  <c r="CW53" i="1"/>
  <c r="CW60" i="1" s="1"/>
  <c r="CW52" i="1"/>
  <c r="CW34" i="1"/>
  <c r="CW33" i="1"/>
  <c r="CW31" i="1"/>
  <c r="CW27" i="1"/>
  <c r="DR37" i="8" l="1"/>
  <c r="DS46" i="8"/>
  <c r="DU46" i="8" s="1"/>
  <c r="DW46" i="8" s="1"/>
  <c r="DX46" i="8" l="1"/>
  <c r="DZ46" i="8" s="1"/>
  <c r="EB46" i="8" s="1"/>
  <c r="EC46" i="8" s="1"/>
  <c r="DY46" i="8"/>
  <c r="EA46" i="8" s="1"/>
  <c r="DS37" i="8"/>
  <c r="DT37" i="8"/>
  <c r="DV37" i="8" s="1"/>
  <c r="CS149" i="1"/>
  <c r="DU37" i="8" l="1"/>
  <c r="DW37" i="8" s="1"/>
  <c r="CT36" i="1"/>
  <c r="CS152" i="1"/>
  <c r="CS56" i="1" s="1"/>
  <c r="DX37" i="8" l="1"/>
  <c r="DZ37" i="8" s="1"/>
  <c r="EB37" i="8" s="1"/>
  <c r="EC37" i="8" s="1"/>
  <c r="DY37" i="8"/>
  <c r="EA37" i="8" s="1"/>
  <c r="CS154" i="1"/>
  <c r="CS156" i="1" s="1"/>
  <c r="CS158" i="1" s="1"/>
  <c r="CS57" i="1" l="1"/>
  <c r="CS61" i="1" l="1"/>
  <c r="CR26" i="1" l="1"/>
  <c r="CR25" i="1"/>
  <c r="CS89" i="1"/>
  <c r="CT89" i="1"/>
  <c r="K18" i="95" l="1"/>
  <c r="CL37" i="1" l="1"/>
  <c r="CP36" i="1"/>
  <c r="CK149" i="1"/>
  <c r="CK152" i="1" s="1"/>
  <c r="CK56" i="1" s="1"/>
  <c r="CJ149" i="1"/>
  <c r="CJ152" i="1" s="1"/>
  <c r="CJ56" i="1" s="1"/>
  <c r="CI149" i="1"/>
  <c r="CI152" i="1" s="1"/>
  <c r="CI56" i="1" s="1"/>
  <c r="CL149" i="1"/>
  <c r="CL152" i="1" s="1"/>
  <c r="CL154" i="1" s="1"/>
  <c r="CK154" i="1" l="1"/>
  <c r="CK156" i="1" s="1"/>
  <c r="CL56" i="1"/>
  <c r="CJ154" i="1"/>
  <c r="CJ57" i="1" s="1"/>
  <c r="CM149" i="1"/>
  <c r="CM152" i="1" s="1"/>
  <c r="CM154" i="1" s="1"/>
  <c r="CM156" i="1" s="1"/>
  <c r="CI154" i="1"/>
  <c r="CI156" i="1" s="1"/>
  <c r="CL156" i="1"/>
  <c r="CL57" i="1"/>
  <c r="CK57" i="1" l="1"/>
  <c r="CJ156" i="1"/>
  <c r="CI57" i="1"/>
  <c r="CI180" i="1"/>
  <c r="CI179" i="1"/>
  <c r="CI178" i="1"/>
  <c r="CL176" i="1"/>
  <c r="CJ175" i="1"/>
  <c r="CI171" i="1"/>
  <c r="CJ170" i="1"/>
  <c r="CJ173" i="1" s="1"/>
  <c r="CJ169" i="1"/>
  <c r="CI167" i="1"/>
  <c r="CJ166" i="1"/>
  <c r="CI165" i="1"/>
  <c r="CI135" i="1"/>
  <c r="CI121" i="1"/>
  <c r="CI122" i="1" s="1"/>
  <c r="CI120" i="1"/>
  <c r="CI119" i="1"/>
  <c r="CG116" i="1"/>
  <c r="CG115" i="1"/>
  <c r="CI79" i="1"/>
  <c r="CI60" i="1"/>
  <c r="CM56" i="1"/>
  <c r="CM53" i="1"/>
  <c r="CM52" i="1"/>
  <c r="CQ149" i="1"/>
  <c r="CQ152" i="1" l="1"/>
  <c r="CQ154" i="1" s="1"/>
  <c r="CQ156" i="1" s="1"/>
  <c r="CI208" i="1"/>
  <c r="CI215" i="1"/>
  <c r="CI177" i="1"/>
  <c r="CL224" i="1"/>
  <c r="CI89" i="1"/>
  <c r="CL36" i="1" l="1"/>
  <c r="CQ186" i="1"/>
  <c r="CI186" i="1"/>
  <c r="CI220" i="1"/>
  <c r="CJ220" i="1"/>
  <c r="CJ36" i="1"/>
  <c r="CK220" i="1"/>
  <c r="CL220" i="1"/>
  <c r="CK36" i="1"/>
  <c r="CI190" i="1" l="1"/>
  <c r="CT171" i="1" l="1"/>
  <c r="CU178" i="1" l="1"/>
  <c r="CI36" i="1" l="1"/>
  <c r="CI214" i="1" l="1"/>
  <c r="CM36" i="1"/>
  <c r="CM214" i="1" s="1"/>
  <c r="CQ22" i="1" l="1"/>
  <c r="CQ93" i="98"/>
  <c r="CN93" i="98"/>
  <c r="CP93" i="98"/>
  <c r="CO93" i="98"/>
  <c r="CN40" i="8" l="1"/>
  <c r="CK40" i="8"/>
  <c r="CM40" i="8"/>
  <c r="CL40" i="8"/>
  <c r="CN48" i="8"/>
  <c r="CM48" i="8"/>
  <c r="CK48" i="8"/>
  <c r="CL48" i="8"/>
  <c r="CL47" i="8"/>
  <c r="CK47" i="8"/>
  <c r="CM47" i="8"/>
  <c r="CN47" i="8"/>
  <c r="CR38" i="8"/>
  <c r="CP38" i="8"/>
  <c r="CS38" i="8"/>
  <c r="CQ38" i="8"/>
  <c r="CL12" i="8"/>
  <c r="CJ71" i="98" s="1"/>
  <c r="CM12" i="8"/>
  <c r="CK71" i="98" s="1"/>
  <c r="CK12" i="8"/>
  <c r="CI71" i="98" s="1"/>
  <c r="CN12" i="8"/>
  <c r="CL71" i="98" s="1"/>
  <c r="CN22" i="8"/>
  <c r="CM22" i="8"/>
  <c r="CK22" i="8"/>
  <c r="CL22" i="8"/>
  <c r="CN45" i="8"/>
  <c r="CM45" i="8"/>
  <c r="CL45" i="8"/>
  <c r="CK45" i="8"/>
  <c r="CM50" i="8"/>
  <c r="CL50" i="8"/>
  <c r="CK50" i="8"/>
  <c r="CN50" i="8"/>
  <c r="CM21" i="8"/>
  <c r="CK21" i="8"/>
  <c r="CN21" i="8"/>
  <c r="CL21" i="8"/>
  <c r="CM35" i="8"/>
  <c r="CK35" i="8"/>
  <c r="CN35" i="8"/>
  <c r="CL35" i="8"/>
  <c r="CL38" i="8"/>
  <c r="CM38" i="8"/>
  <c r="CK38" i="8"/>
  <c r="CN38" i="8"/>
  <c r="CR47" i="8"/>
  <c r="CS47" i="8"/>
  <c r="CP47" i="8"/>
  <c r="CQ47" i="8"/>
  <c r="CR21" i="8"/>
  <c r="CQ21" i="8"/>
  <c r="CS21" i="8"/>
  <c r="CP21" i="8"/>
  <c r="CM44" i="8"/>
  <c r="CL44" i="8"/>
  <c r="CK44" i="8"/>
  <c r="CN44" i="8"/>
  <c r="CR45" i="8"/>
  <c r="CQ45" i="8"/>
  <c r="CS45" i="8"/>
  <c r="CP45" i="8"/>
  <c r="CR19" i="8"/>
  <c r="CP19" i="8"/>
  <c r="CQ19" i="8"/>
  <c r="CS19" i="8"/>
  <c r="CR16" i="8"/>
  <c r="CQ16" i="8"/>
  <c r="CS16" i="8"/>
  <c r="CP16" i="8"/>
  <c r="CR35" i="8"/>
  <c r="CQ35" i="8"/>
  <c r="CS35" i="8"/>
  <c r="CP35" i="8"/>
  <c r="CM31" i="8" l="1"/>
  <c r="CL31" i="8"/>
  <c r="CN31" i="8"/>
  <c r="CK31" i="8"/>
  <c r="CM19" i="8"/>
  <c r="CK19" i="8"/>
  <c r="CN19" i="8"/>
  <c r="CL19" i="8"/>
  <c r="CM17" i="8"/>
  <c r="CN17" i="8"/>
  <c r="CK17" i="8"/>
  <c r="CL17" i="8"/>
  <c r="CN14" i="8"/>
  <c r="CM14" i="8"/>
  <c r="CL14" i="8"/>
  <c r="CK14" i="8"/>
  <c r="CR48" i="8"/>
  <c r="CQ48" i="8"/>
  <c r="CS48" i="8"/>
  <c r="CP48" i="8"/>
  <c r="CL24" i="8"/>
  <c r="CM24" i="8"/>
  <c r="CN24" i="8"/>
  <c r="CK24" i="8"/>
  <c r="CR40" i="8"/>
  <c r="CP40" i="8"/>
  <c r="CQ40" i="8"/>
  <c r="CS40" i="8"/>
  <c r="CM33" i="8"/>
  <c r="CN33" i="8"/>
  <c r="CL33" i="8"/>
  <c r="CK33" i="8"/>
  <c r="CR39" i="8"/>
  <c r="CP39" i="8"/>
  <c r="CS39" i="8"/>
  <c r="CQ39" i="8"/>
  <c r="CM15" i="8"/>
  <c r="CL15" i="8"/>
  <c r="CN15" i="8"/>
  <c r="CK15" i="8"/>
  <c r="CM39" i="8"/>
  <c r="CL39" i="8"/>
  <c r="CN39" i="8"/>
  <c r="CK39" i="8"/>
  <c r="CM13" i="8"/>
  <c r="CN13" i="8"/>
  <c r="CL13" i="8"/>
  <c r="CK13" i="8"/>
  <c r="CM27" i="8"/>
  <c r="CL27" i="8"/>
  <c r="CN27" i="8"/>
  <c r="CK27" i="8"/>
  <c r="CM23" i="8"/>
  <c r="CL23" i="8"/>
  <c r="CN23" i="8"/>
  <c r="CK23" i="8"/>
  <c r="CL34" i="8"/>
  <c r="CN34" i="8"/>
  <c r="CK34" i="8"/>
  <c r="CM34" i="8"/>
  <c r="CN18" i="8"/>
  <c r="CL18" i="8"/>
  <c r="CK18" i="8"/>
  <c r="CM18" i="8"/>
  <c r="CR22" i="8"/>
  <c r="CQ22" i="8"/>
  <c r="CP22" i="8"/>
  <c r="CS22" i="8"/>
  <c r="CR44" i="8"/>
  <c r="CQ44" i="8"/>
  <c r="CP44" i="8"/>
  <c r="CS44" i="8"/>
  <c r="CR33" i="8"/>
  <c r="CQ33" i="8"/>
  <c r="CP33" i="8"/>
  <c r="CS33" i="8"/>
  <c r="CS35" i="98" s="1"/>
  <c r="CV35" i="98" s="1"/>
  <c r="CR14" i="8"/>
  <c r="CQ14" i="8"/>
  <c r="CP14" i="8"/>
  <c r="CS14" i="8"/>
  <c r="CS31" i="98" s="1"/>
  <c r="CR17" i="8"/>
  <c r="CQ17" i="8"/>
  <c r="CP17" i="8"/>
  <c r="CS17" i="8"/>
  <c r="CS33" i="98" s="1"/>
  <c r="CV33" i="98" s="1"/>
  <c r="CR31" i="8"/>
  <c r="CQ31" i="8"/>
  <c r="CS31" i="8"/>
  <c r="CS34" i="98" s="1"/>
  <c r="CV34" i="98" s="1"/>
  <c r="CP31" i="8"/>
  <c r="CR25" i="8"/>
  <c r="CQ25" i="8"/>
  <c r="CS25" i="8"/>
  <c r="CP25" i="8"/>
  <c r="CR26" i="8"/>
  <c r="CP26" i="8"/>
  <c r="CQ26" i="8"/>
  <c r="CS26" i="8"/>
  <c r="CN25" i="8"/>
  <c r="CM25" i="8"/>
  <c r="CK25" i="8"/>
  <c r="CL25" i="8"/>
  <c r="CN26" i="8"/>
  <c r="CK26" i="8"/>
  <c r="CM26" i="8"/>
  <c r="CL26" i="8"/>
  <c r="CR18" i="8"/>
  <c r="CQ18" i="8"/>
  <c r="CS18" i="8"/>
  <c r="CP18" i="8"/>
  <c r="CR27" i="8"/>
  <c r="CQ27" i="8"/>
  <c r="CP27" i="8"/>
  <c r="CS27" i="8"/>
  <c r="CR34" i="8"/>
  <c r="CP34" i="8"/>
  <c r="CQ34" i="8"/>
  <c r="CS34" i="8"/>
  <c r="CR15" i="8"/>
  <c r="CP15" i="8"/>
  <c r="CQ15" i="8"/>
  <c r="CS15" i="8"/>
  <c r="CS32" i="98" s="1"/>
  <c r="CV32" i="98" s="1"/>
  <c r="CR24" i="8"/>
  <c r="CQ24" i="8"/>
  <c r="CP24" i="8"/>
  <c r="CS24" i="8"/>
  <c r="CR23" i="8"/>
  <c r="CP23" i="8"/>
  <c r="CQ23" i="8"/>
  <c r="CS23" i="8"/>
  <c r="CL49" i="8"/>
  <c r="CM49" i="8"/>
  <c r="CN49" i="8"/>
  <c r="CK49" i="8"/>
  <c r="CV31" i="98" l="1"/>
  <c r="CS36" i="98"/>
  <c r="CV36" i="98" s="1"/>
  <c r="CZ40" i="8"/>
  <c r="DA40" i="8" s="1"/>
  <c r="CL16" i="8"/>
  <c r="CL20" i="8" s="1"/>
  <c r="CL28" i="8" s="1"/>
  <c r="CK16" i="8"/>
  <c r="CK20" i="8" s="1"/>
  <c r="CK28" i="8" s="1"/>
  <c r="CM16" i="8"/>
  <c r="CM20" i="8" s="1"/>
  <c r="CM28" i="8" s="1"/>
  <c r="CN16" i="8"/>
  <c r="CN20" i="8" s="1"/>
  <c r="CN28" i="8" s="1"/>
  <c r="CN32" i="8"/>
  <c r="CM32" i="8"/>
  <c r="CM36" i="8" s="1"/>
  <c r="CM41" i="8" s="1"/>
  <c r="CK32" i="8"/>
  <c r="CK36" i="8" s="1"/>
  <c r="CK41" i="8" s="1"/>
  <c r="CL32" i="8"/>
  <c r="CL36" i="8" s="1"/>
  <c r="CL41" i="8" s="1"/>
  <c r="CN36" i="8"/>
  <c r="CN51" i="8"/>
  <c r="CM51" i="8"/>
  <c r="CL51" i="8"/>
  <c r="CK51" i="8"/>
  <c r="DB40" i="8" l="1"/>
  <c r="CM52" i="8"/>
  <c r="CK52" i="8"/>
  <c r="CL52" i="8"/>
  <c r="CN41" i="8"/>
  <c r="CN52" i="8" s="1"/>
  <c r="DE40" i="8" l="1"/>
  <c r="DF40" i="8" s="1"/>
  <c r="DG40" i="8" s="1"/>
  <c r="DH40" i="8" s="1"/>
  <c r="DD40" i="8"/>
  <c r="CR13" i="8"/>
  <c r="CQ13" i="8"/>
  <c r="CS13" i="8"/>
  <c r="CP13" i="8"/>
  <c r="CW37" i="1" l="1"/>
  <c r="DI40" i="8"/>
  <c r="DJ40" i="8"/>
  <c r="DK40" i="8" s="1"/>
  <c r="DL40" i="8" s="1"/>
  <c r="DM40" i="8" s="1"/>
  <c r="CR32" i="8"/>
  <c r="CP32" i="8"/>
  <c r="CQ32" i="8"/>
  <c r="CS32" i="8"/>
  <c r="DN40" i="8" l="1"/>
  <c r="DO40" i="8"/>
  <c r="DP40" i="8" s="1"/>
  <c r="DQ40" i="8" s="1"/>
  <c r="DR40" i="8" s="1"/>
  <c r="DG173" i="1"/>
  <c r="DF167" i="1"/>
  <c r="DF215" i="1" s="1"/>
  <c r="DE167" i="1"/>
  <c r="DD167" i="1"/>
  <c r="DD215" i="1" s="1"/>
  <c r="DC167" i="1"/>
  <c r="DC215" i="1" s="1"/>
  <c r="DG165" i="1"/>
  <c r="DF165" i="1"/>
  <c r="DE165" i="1"/>
  <c r="DD165" i="1"/>
  <c r="DC165" i="1"/>
  <c r="DG135" i="1"/>
  <c r="DF135" i="1"/>
  <c r="DE135" i="1"/>
  <c r="DD135" i="1"/>
  <c r="DC135" i="1"/>
  <c r="DG129" i="1"/>
  <c r="DG56" i="1"/>
  <c r="DG53" i="1"/>
  <c r="DG52" i="1"/>
  <c r="DG48" i="1"/>
  <c r="DA167" i="1"/>
  <c r="DA215" i="1" s="1"/>
  <c r="CZ167" i="1"/>
  <c r="CY167" i="1"/>
  <c r="CX167" i="1"/>
  <c r="CX215" i="1" s="1"/>
  <c r="DB165" i="1"/>
  <c r="DA165" i="1"/>
  <c r="CZ165" i="1"/>
  <c r="CY165" i="1"/>
  <c r="CX165" i="1"/>
  <c r="DB135" i="1"/>
  <c r="DA135" i="1"/>
  <c r="CZ135" i="1"/>
  <c r="CY135" i="1"/>
  <c r="CX135" i="1"/>
  <c r="DB129" i="1"/>
  <c r="ED102" i="1"/>
  <c r="ED101" i="1"/>
  <c r="ED100" i="1"/>
  <c r="DB56" i="1"/>
  <c r="DB53" i="1"/>
  <c r="DB52" i="1"/>
  <c r="DB48" i="1"/>
  <c r="CQ157" i="1"/>
  <c r="CQ158" i="1" s="1"/>
  <c r="ED105" i="1"/>
  <c r="EG105" i="1"/>
  <c r="CL120" i="8"/>
  <c r="CL119" i="8"/>
  <c r="CL124" i="8" s="1"/>
  <c r="CK119" i="8"/>
  <c r="DQ48" i="1"/>
  <c r="DL48" i="1"/>
  <c r="DN16" i="98"/>
  <c r="CI90" i="1"/>
  <c r="CG120" i="8"/>
  <c r="AF119" i="1"/>
  <c r="AK119" i="1"/>
  <c r="BE119" i="1"/>
  <c r="BX119" i="1"/>
  <c r="AR120" i="1"/>
  <c r="BF120" i="1"/>
  <c r="BZ120" i="1"/>
  <c r="CF120" i="1"/>
  <c r="AL167" i="1"/>
  <c r="BF167" i="1"/>
  <c r="BP10" i="8"/>
  <c r="BY10" i="8"/>
  <c r="R12" i="8"/>
  <c r="W12" i="8"/>
  <c r="AB12" i="8"/>
  <c r="Z71" i="98" s="1"/>
  <c r="AG12" i="8"/>
  <c r="AE71" i="98" s="1"/>
  <c r="AL12" i="8"/>
  <c r="AQ12" i="8"/>
  <c r="BP12" i="8"/>
  <c r="BU12" i="8"/>
  <c r="BY12" i="8"/>
  <c r="BW115" i="1" s="1"/>
  <c r="CE12" i="8"/>
  <c r="CC71" i="98" s="1"/>
  <c r="R13" i="8"/>
  <c r="W13" i="8"/>
  <c r="AB13" i="8"/>
  <c r="AG13" i="8"/>
  <c r="AL13" i="8"/>
  <c r="AQ13" i="8"/>
  <c r="BG13" i="8"/>
  <c r="BN13" i="8"/>
  <c r="BP13" i="8"/>
  <c r="BU13" i="8"/>
  <c r="BY13" i="8"/>
  <c r="CE13" i="8"/>
  <c r="R14" i="8"/>
  <c r="W14" i="8"/>
  <c r="X100" i="8" s="1"/>
  <c r="AB14" i="8"/>
  <c r="AC100" i="8" s="1"/>
  <c r="AG14" i="8"/>
  <c r="AH100" i="8" s="1"/>
  <c r="AL14" i="8"/>
  <c r="AM100" i="8" s="1"/>
  <c r="AQ14" i="8"/>
  <c r="AR100" i="8" s="1"/>
  <c r="BP14" i="8"/>
  <c r="BU14" i="8"/>
  <c r="BY14" i="8"/>
  <c r="CE14" i="8"/>
  <c r="CK100" i="8"/>
  <c r="R15" i="8"/>
  <c r="W15" i="8"/>
  <c r="X101" i="8" s="1"/>
  <c r="AB15" i="8"/>
  <c r="AC101" i="8" s="1"/>
  <c r="AG15" i="8"/>
  <c r="AH101" i="8" s="1"/>
  <c r="AL15" i="8"/>
  <c r="AM101" i="8" s="1"/>
  <c r="AQ15" i="8"/>
  <c r="AR101" i="8" s="1"/>
  <c r="BP15" i="8"/>
  <c r="BU15" i="8"/>
  <c r="BY15" i="8"/>
  <c r="CE15" i="8"/>
  <c r="AL16" i="8"/>
  <c r="AQ16" i="8"/>
  <c r="AW16" i="8"/>
  <c r="AX16" i="8" s="1"/>
  <c r="AX20" i="8" s="1"/>
  <c r="AX28" i="8" s="1"/>
  <c r="AZ16" i="8"/>
  <c r="BB16" i="8" s="1"/>
  <c r="BG16" i="8"/>
  <c r="BP16" i="8"/>
  <c r="BU16" i="8"/>
  <c r="BY16" i="8"/>
  <c r="CE16" i="8"/>
  <c r="H17" i="8"/>
  <c r="H20" i="8" s="1"/>
  <c r="R17" i="8"/>
  <c r="W17" i="8"/>
  <c r="X102" i="8" s="1"/>
  <c r="AB17" i="8"/>
  <c r="AC102" i="8" s="1"/>
  <c r="AE17" i="8"/>
  <c r="AG17" i="8"/>
  <c r="AL17" i="8"/>
  <c r="AM102" i="8" s="1"/>
  <c r="AQ17" i="8"/>
  <c r="AR102" i="8" s="1"/>
  <c r="BP17" i="8"/>
  <c r="BU17" i="8"/>
  <c r="BY17" i="8"/>
  <c r="CE17" i="8"/>
  <c r="AL18" i="8"/>
  <c r="AQ18" i="8"/>
  <c r="AR103" i="8" s="1"/>
  <c r="BP18" i="8"/>
  <c r="BU18" i="8"/>
  <c r="BY18" i="8"/>
  <c r="CE18" i="8"/>
  <c r="R19" i="8"/>
  <c r="W19" i="8"/>
  <c r="X104" i="8" s="1"/>
  <c r="AB19" i="8"/>
  <c r="AC104" i="8" s="1"/>
  <c r="AG19" i="8"/>
  <c r="AH104" i="8" s="1"/>
  <c r="AL19" i="8"/>
  <c r="AQ19" i="8"/>
  <c r="AR104" i="8" s="1"/>
  <c r="BP19" i="8"/>
  <c r="BU19" i="8"/>
  <c r="BY19" i="8"/>
  <c r="CE19" i="8"/>
  <c r="M20" i="8"/>
  <c r="N20" i="8"/>
  <c r="N28" i="8" s="1"/>
  <c r="O20" i="8"/>
  <c r="P20" i="8"/>
  <c r="P28" i="8" s="1"/>
  <c r="Q20" i="8"/>
  <c r="R20" i="8" s="1"/>
  <c r="S20" i="8"/>
  <c r="T20" i="8"/>
  <c r="T28" i="8" s="1"/>
  <c r="U20" i="8"/>
  <c r="U28" i="8" s="1"/>
  <c r="V20" i="8"/>
  <c r="W20" i="8" s="1"/>
  <c r="X20" i="8"/>
  <c r="Y20" i="8"/>
  <c r="Y28" i="8" s="1"/>
  <c r="Y58" i="8" s="1"/>
  <c r="Z20" i="8"/>
  <c r="Z28" i="8" s="1"/>
  <c r="AA20" i="8"/>
  <c r="AA28" i="8" s="1"/>
  <c r="AB28" i="8" s="1"/>
  <c r="AC20" i="8"/>
  <c r="AD20" i="8"/>
  <c r="AF20" i="8"/>
  <c r="AG20" i="8" s="1"/>
  <c r="AH20" i="8"/>
  <c r="AH28" i="8" s="1"/>
  <c r="AI20" i="8"/>
  <c r="AJ20" i="8"/>
  <c r="AJ28" i="8" s="1"/>
  <c r="AK20" i="8"/>
  <c r="AK28" i="8" s="1"/>
  <c r="AM20" i="8"/>
  <c r="AM28" i="8" s="1"/>
  <c r="AN20" i="8"/>
  <c r="AO20" i="8"/>
  <c r="AO28" i="8" s="1"/>
  <c r="AP20" i="8"/>
  <c r="AQ20" i="8" s="1"/>
  <c r="AR20" i="8"/>
  <c r="AR28" i="8" s="1"/>
  <c r="AS20" i="8"/>
  <c r="AT20" i="8"/>
  <c r="AT28" i="8" s="1"/>
  <c r="AU20" i="8"/>
  <c r="AU28" i="8" s="1"/>
  <c r="AV20" i="8"/>
  <c r="AV28" i="8" s="1"/>
  <c r="AY20" i="8"/>
  <c r="BE20" i="8"/>
  <c r="BE28" i="8" s="1"/>
  <c r="BF20" i="8"/>
  <c r="BF28" i="8" s="1"/>
  <c r="BH20" i="8"/>
  <c r="BI20" i="8"/>
  <c r="BI28" i="8" s="1"/>
  <c r="BJ20" i="8"/>
  <c r="BJ28" i="8" s="1"/>
  <c r="BK20" i="8"/>
  <c r="BK28" i="8" s="1"/>
  <c r="BL20" i="8"/>
  <c r="BM20" i="8"/>
  <c r="BM28" i="8" s="1"/>
  <c r="BO20" i="8"/>
  <c r="BQ20" i="8"/>
  <c r="BR20" i="8"/>
  <c r="BS20" i="8"/>
  <c r="BT20" i="8"/>
  <c r="BV20" i="8"/>
  <c r="BW20" i="8"/>
  <c r="BX20" i="8"/>
  <c r="CA20" i="8"/>
  <c r="CB20" i="8"/>
  <c r="CC20" i="8"/>
  <c r="CD20" i="8"/>
  <c r="R21" i="8"/>
  <c r="W21" i="8"/>
  <c r="AB21" i="8"/>
  <c r="AG21" i="8"/>
  <c r="AL21" i="8"/>
  <c r="AQ21" i="8"/>
  <c r="BP21" i="8"/>
  <c r="BU21" i="8"/>
  <c r="BY21" i="8"/>
  <c r="CE21" i="8"/>
  <c r="AG22" i="8"/>
  <c r="AL22" i="8"/>
  <c r="AQ22" i="8"/>
  <c r="BP22" i="8"/>
  <c r="BU22" i="8"/>
  <c r="BY22" i="8"/>
  <c r="CE22" i="8"/>
  <c r="R23" i="8"/>
  <c r="W23" i="8"/>
  <c r="X106" i="8" s="1"/>
  <c r="AB23" i="8"/>
  <c r="AC106" i="8" s="1"/>
  <c r="AG23" i="8"/>
  <c r="AH106" i="8" s="1"/>
  <c r="AL23" i="8"/>
  <c r="AM106" i="8" s="1"/>
  <c r="AQ23" i="8"/>
  <c r="AR106" i="8" s="1"/>
  <c r="BP23" i="8"/>
  <c r="BU23" i="8"/>
  <c r="BY23" i="8"/>
  <c r="CE23" i="8"/>
  <c r="R24" i="8"/>
  <c r="W24" i="8"/>
  <c r="X107" i="8" s="1"/>
  <c r="AB24" i="8"/>
  <c r="AC107" i="8" s="1"/>
  <c r="AG24" i="8"/>
  <c r="AH107" i="8" s="1"/>
  <c r="AL24" i="8"/>
  <c r="AM107" i="8" s="1"/>
  <c r="AQ24" i="8"/>
  <c r="AR107" i="8" s="1"/>
  <c r="BP24" i="8"/>
  <c r="BU24" i="8"/>
  <c r="BY24" i="8"/>
  <c r="BY107" i="8" s="1"/>
  <c r="CE24" i="8"/>
  <c r="BP25" i="8"/>
  <c r="BU25" i="8"/>
  <c r="BY25" i="8"/>
  <c r="CD92" i="8" s="1"/>
  <c r="CE25" i="8"/>
  <c r="BY26" i="8"/>
  <c r="CE26" i="8"/>
  <c r="CF26" i="8" s="1"/>
  <c r="CF28" i="8" s="1"/>
  <c r="CZ26" i="8"/>
  <c r="R27" i="8"/>
  <c r="W27" i="8"/>
  <c r="X109" i="8" s="1"/>
  <c r="AB27" i="8"/>
  <c r="AC27" i="8"/>
  <c r="AD27" i="8"/>
  <c r="AG27" i="8"/>
  <c r="AH109" i="8" s="1"/>
  <c r="AL27" i="8"/>
  <c r="AM109" i="8" s="1"/>
  <c r="AQ27" i="8"/>
  <c r="AR109" i="8" s="1"/>
  <c r="BP27" i="8"/>
  <c r="BQ109" i="8" s="1"/>
  <c r="BU27" i="8"/>
  <c r="BY27" i="8"/>
  <c r="CE27" i="8"/>
  <c r="R31" i="8"/>
  <c r="W31" i="8"/>
  <c r="X111" i="8" s="1"/>
  <c r="AB31" i="8"/>
  <c r="AC111" i="8" s="1"/>
  <c r="AG31" i="8"/>
  <c r="AH111" i="8" s="1"/>
  <c r="AL31" i="8"/>
  <c r="AM111" i="8" s="1"/>
  <c r="AQ31" i="8"/>
  <c r="AR111" i="8" s="1"/>
  <c r="BP31" i="8"/>
  <c r="BU31" i="8"/>
  <c r="BY31" i="8"/>
  <c r="BY111" i="8" s="1"/>
  <c r="CE31" i="8"/>
  <c r="AL32" i="8"/>
  <c r="AQ32" i="8"/>
  <c r="AW32" i="8"/>
  <c r="AX32" i="8" s="1"/>
  <c r="AX36" i="8" s="1"/>
  <c r="BB32" i="8"/>
  <c r="BC32" i="8" s="1"/>
  <c r="BP32" i="8"/>
  <c r="BU32" i="8"/>
  <c r="BY32" i="8"/>
  <c r="CE32" i="8"/>
  <c r="R33" i="8"/>
  <c r="W33" i="8"/>
  <c r="X112" i="8" s="1"/>
  <c r="AB33" i="8"/>
  <c r="AC112" i="8" s="1"/>
  <c r="AG33" i="8"/>
  <c r="AH112" i="8" s="1"/>
  <c r="AL33" i="8"/>
  <c r="AM112" i="8" s="1"/>
  <c r="AQ33" i="8"/>
  <c r="AR112" i="8" s="1"/>
  <c r="BP33" i="8"/>
  <c r="BU33" i="8"/>
  <c r="BY33" i="8"/>
  <c r="CE33" i="8"/>
  <c r="AL34" i="8"/>
  <c r="AQ34" i="8"/>
  <c r="AR113" i="8" s="1"/>
  <c r="BP34" i="8"/>
  <c r="BU34" i="8"/>
  <c r="BY34" i="8"/>
  <c r="CE34" i="8"/>
  <c r="R35" i="8"/>
  <c r="W35" i="8"/>
  <c r="AB35" i="8"/>
  <c r="AG35" i="8"/>
  <c r="AL35" i="8"/>
  <c r="AQ35" i="8"/>
  <c r="BP35" i="8"/>
  <c r="BU35" i="8"/>
  <c r="BY35" i="8"/>
  <c r="CE35" i="8"/>
  <c r="H36" i="8"/>
  <c r="H41" i="8" s="1"/>
  <c r="M36" i="8"/>
  <c r="M41" i="8" s="1"/>
  <c r="M52" i="8" s="1"/>
  <c r="N36" i="8"/>
  <c r="N41" i="8" s="1"/>
  <c r="N52" i="8" s="1"/>
  <c r="O36" i="8"/>
  <c r="P36" i="8"/>
  <c r="Q36" i="8"/>
  <c r="Q41" i="8" s="1"/>
  <c r="Q52" i="8" s="1"/>
  <c r="R52" i="8" s="1"/>
  <c r="S36" i="8"/>
  <c r="S41" i="8" s="1"/>
  <c r="S52" i="8" s="1"/>
  <c r="T36" i="8"/>
  <c r="T63" i="8" s="1"/>
  <c r="U36" i="8"/>
  <c r="V36" i="8"/>
  <c r="W36" i="8" s="1"/>
  <c r="X36" i="8"/>
  <c r="X63" i="8" s="1"/>
  <c r="Y36" i="8"/>
  <c r="Y41" i="8" s="1"/>
  <c r="Y52" i="8" s="1"/>
  <c r="Z36" i="8"/>
  <c r="Z41" i="8" s="1"/>
  <c r="Z52" i="8" s="1"/>
  <c r="AA36" i="8"/>
  <c r="AC36" i="8"/>
  <c r="AC41" i="8" s="1"/>
  <c r="AD36" i="8"/>
  <c r="AE36" i="8"/>
  <c r="AE41" i="8" s="1"/>
  <c r="AE52" i="8" s="1"/>
  <c r="AF36" i="8"/>
  <c r="AH36" i="8"/>
  <c r="AH41" i="8" s="1"/>
  <c r="AH52" i="8" s="1"/>
  <c r="AI36" i="8"/>
  <c r="AI41" i="8" s="1"/>
  <c r="AI52" i="8" s="1"/>
  <c r="AJ36" i="8"/>
  <c r="AJ63" i="8" s="1"/>
  <c r="AK36" i="8"/>
  <c r="AK41" i="8" s="1"/>
  <c r="AK52" i="8" s="1"/>
  <c r="AL52" i="8" s="1"/>
  <c r="AM36" i="8"/>
  <c r="AM41" i="8" s="1"/>
  <c r="AM52" i="8" s="1"/>
  <c r="AN36" i="8"/>
  <c r="AN63" i="8" s="1"/>
  <c r="AO36" i="8"/>
  <c r="AP36" i="8"/>
  <c r="AQ36" i="8" s="1"/>
  <c r="AR36" i="8"/>
  <c r="AS36" i="8"/>
  <c r="AS41" i="8" s="1"/>
  <c r="AT36" i="8"/>
  <c r="AT41" i="8" s="1"/>
  <c r="AU36" i="8"/>
  <c r="AU41" i="8" s="1"/>
  <c r="AV36" i="8"/>
  <c r="AV63" i="8" s="1"/>
  <c r="AY36" i="8"/>
  <c r="AY41" i="8" s="1"/>
  <c r="AZ36" i="8"/>
  <c r="AZ41" i="8" s="1"/>
  <c r="BA36" i="8"/>
  <c r="BA41" i="8" s="1"/>
  <c r="BE36" i="8"/>
  <c r="BG36" i="8"/>
  <c r="BG41" i="8" s="1"/>
  <c r="BH36" i="8"/>
  <c r="BH63" i="8" s="1"/>
  <c r="BI36" i="8"/>
  <c r="BJ36" i="8"/>
  <c r="BJ41" i="8" s="1"/>
  <c r="BK36" i="8"/>
  <c r="BK41" i="8" s="1"/>
  <c r="BL36" i="8"/>
  <c r="BL41" i="8" s="1"/>
  <c r="BM36" i="8"/>
  <c r="BM63" i="8" s="1"/>
  <c r="BN36" i="8"/>
  <c r="BN41" i="8" s="1"/>
  <c r="BO36" i="8"/>
  <c r="BP36" i="8" s="1"/>
  <c r="BQ36" i="8"/>
  <c r="BQ41" i="8" s="1"/>
  <c r="BR36" i="8"/>
  <c r="BR63" i="8" s="1"/>
  <c r="BS36" i="8"/>
  <c r="BS41" i="8" s="1"/>
  <c r="BT36" i="8"/>
  <c r="BV36" i="8"/>
  <c r="BV41" i="8" s="1"/>
  <c r="BW36" i="8"/>
  <c r="BW41" i="8" s="1"/>
  <c r="BX36" i="8"/>
  <c r="BZ36" i="8"/>
  <c r="BZ63" i="8" s="1"/>
  <c r="CA36" i="8"/>
  <c r="CA41" i="8" s="1"/>
  <c r="CB36" i="8"/>
  <c r="CC36" i="8"/>
  <c r="CC63" i="8" s="1"/>
  <c r="CD36" i="8"/>
  <c r="CE36" i="8" s="1"/>
  <c r="R38" i="8"/>
  <c r="W38" i="8"/>
  <c r="AB38" i="8"/>
  <c r="AG38" i="8"/>
  <c r="AL38" i="8"/>
  <c r="AJ116" i="1" s="1"/>
  <c r="AQ38" i="8"/>
  <c r="BP38" i="8"/>
  <c r="BU38" i="8"/>
  <c r="BS116" i="1" s="1"/>
  <c r="BY38" i="8"/>
  <c r="CE38" i="8"/>
  <c r="R39" i="8"/>
  <c r="W39" i="8"/>
  <c r="X114" i="8" s="1"/>
  <c r="AB39" i="8"/>
  <c r="AC114" i="8" s="1"/>
  <c r="AG39" i="8"/>
  <c r="AH114" i="8" s="1"/>
  <c r="AL39" i="8"/>
  <c r="AM114" i="8" s="1"/>
  <c r="AQ39" i="8"/>
  <c r="AR114" i="8" s="1"/>
  <c r="BP39" i="8"/>
  <c r="BU39" i="8"/>
  <c r="BY39" i="8"/>
  <c r="CE39" i="8"/>
  <c r="R40" i="8"/>
  <c r="W40" i="8"/>
  <c r="AB40" i="8"/>
  <c r="AG40" i="8"/>
  <c r="AL40" i="8"/>
  <c r="AQ40" i="8"/>
  <c r="AW40" i="8"/>
  <c r="AX40" i="8" s="1"/>
  <c r="AY40" i="8" s="1"/>
  <c r="AZ40" i="8" s="1"/>
  <c r="BA40" i="8" s="1"/>
  <c r="BC40" i="8"/>
  <c r="BD40" i="8" s="1"/>
  <c r="BE40" i="8" s="1"/>
  <c r="BI40" i="8"/>
  <c r="BM40" i="8"/>
  <c r="BO40" i="8"/>
  <c r="BP40" i="8" s="1"/>
  <c r="BU40" i="8"/>
  <c r="BX40" i="8"/>
  <c r="BY40" i="8"/>
  <c r="CB40" i="8"/>
  <c r="CC40" i="8" s="1"/>
  <c r="CC41" i="8" s="1"/>
  <c r="CE40" i="8"/>
  <c r="BY43" i="8"/>
  <c r="BP44" i="8"/>
  <c r="BU44" i="8"/>
  <c r="BY44" i="8"/>
  <c r="CE44" i="8"/>
  <c r="CF44" i="8" s="1"/>
  <c r="CF49" i="8" s="1"/>
  <c r="CF51" i="8" s="1"/>
  <c r="CF52" i="8" s="1"/>
  <c r="BP47" i="8"/>
  <c r="BU47" i="8"/>
  <c r="BY47" i="8"/>
  <c r="CE47" i="8"/>
  <c r="BP48" i="8"/>
  <c r="BU48" i="8"/>
  <c r="BY48" i="8"/>
  <c r="CE48" i="8"/>
  <c r="CF79" i="8" s="1"/>
  <c r="BL49" i="8"/>
  <c r="BM49" i="8"/>
  <c r="BM51" i="8" s="1"/>
  <c r="BM67" i="8" s="1"/>
  <c r="BN49" i="8"/>
  <c r="BO76" i="8" s="1"/>
  <c r="BO49" i="8"/>
  <c r="BO51" i="8" s="1"/>
  <c r="BO67" i="8" s="1"/>
  <c r="BQ49" i="8"/>
  <c r="BQ51" i="8" s="1"/>
  <c r="BR49" i="8"/>
  <c r="BR51" i="8" s="1"/>
  <c r="BS49" i="8"/>
  <c r="BS51" i="8" s="1"/>
  <c r="BT49" i="8"/>
  <c r="BT51" i="8" s="1"/>
  <c r="BT67" i="8" s="1"/>
  <c r="BV49" i="8"/>
  <c r="BV51" i="8" s="1"/>
  <c r="BV67" i="8" s="1"/>
  <c r="BW49" i="8"/>
  <c r="BW51" i="8" s="1"/>
  <c r="BW67" i="8" s="1"/>
  <c r="BX49" i="8"/>
  <c r="BX51" i="8" s="1"/>
  <c r="BZ49" i="8"/>
  <c r="BZ51" i="8" s="1"/>
  <c r="BZ67" i="8" s="1"/>
  <c r="CA49" i="8"/>
  <c r="CA51" i="8" s="1"/>
  <c r="CB76" i="8" s="1"/>
  <c r="CB49" i="8"/>
  <c r="CC49" i="8"/>
  <c r="CD49" i="8"/>
  <c r="BP50" i="8"/>
  <c r="BU50" i="8"/>
  <c r="BY50" i="8"/>
  <c r="CB50" i="8"/>
  <c r="CC50" i="8"/>
  <c r="CD50" i="8"/>
  <c r="R51" i="8"/>
  <c r="W51" i="8"/>
  <c r="AG51" i="8"/>
  <c r="AL51" i="8"/>
  <c r="AQ51" i="8"/>
  <c r="AV76" i="8" s="1"/>
  <c r="AR51" i="8"/>
  <c r="AR67" i="8" s="1"/>
  <c r="AS51" i="8"/>
  <c r="AS67" i="8" s="1"/>
  <c r="AT51" i="8"/>
  <c r="AT67" i="8" s="1"/>
  <c r="AU51" i="8"/>
  <c r="AU67" i="8" s="1"/>
  <c r="AW51" i="8"/>
  <c r="AX51" i="8"/>
  <c r="AY76" i="8" s="1"/>
  <c r="AY51" i="8"/>
  <c r="AY67" i="8" s="1"/>
  <c r="AZ51" i="8"/>
  <c r="BA51" i="8"/>
  <c r="BA67" i="8" s="1"/>
  <c r="BB51" i="8"/>
  <c r="BB67" i="8" s="1"/>
  <c r="BC51" i="8"/>
  <c r="BC67" i="8" s="1"/>
  <c r="BD51" i="8"/>
  <c r="BD67" i="8" s="1"/>
  <c r="BE51" i="8"/>
  <c r="BE67" i="8" s="1"/>
  <c r="BF51" i="8"/>
  <c r="BG76" i="8" s="1"/>
  <c r="BG51" i="8"/>
  <c r="BH76" i="8" s="1"/>
  <c r="BH51" i="8"/>
  <c r="BI51" i="8"/>
  <c r="BI67" i="8" s="1"/>
  <c r="BJ51" i="8"/>
  <c r="BJ67" i="8" s="1"/>
  <c r="BK51" i="8"/>
  <c r="BK67" i="8" s="1"/>
  <c r="AM54" i="8"/>
  <c r="AN54" i="8"/>
  <c r="AO54" i="8"/>
  <c r="AP54" i="8"/>
  <c r="AQ54" i="8"/>
  <c r="AR54" i="8"/>
  <c r="AS54" i="8"/>
  <c r="AT54" i="8"/>
  <c r="AU54" i="8"/>
  <c r="AV54" i="8"/>
  <c r="AW54" i="8"/>
  <c r="AX54" i="8"/>
  <c r="AY54" i="8"/>
  <c r="AZ54" i="8"/>
  <c r="BA54" i="8"/>
  <c r="BB54" i="8"/>
  <c r="BC54" i="8"/>
  <c r="BD54" i="8"/>
  <c r="BE54" i="8"/>
  <c r="BF54" i="8"/>
  <c r="BG54" i="8"/>
  <c r="BH54" i="8"/>
  <c r="BI54" i="8"/>
  <c r="BJ54" i="8"/>
  <c r="BK54" i="8"/>
  <c r="BL54" i="8"/>
  <c r="BM54" i="8"/>
  <c r="BN54" i="8"/>
  <c r="BO54" i="8"/>
  <c r="BP54" i="8"/>
  <c r="BQ54" i="8"/>
  <c r="BR54" i="8"/>
  <c r="BS54" i="8"/>
  <c r="BT54" i="8"/>
  <c r="BU54" i="8"/>
  <c r="BV54" i="8"/>
  <c r="BW54" i="8"/>
  <c r="BX54" i="8"/>
  <c r="BY54" i="8"/>
  <c r="BZ54" i="8"/>
  <c r="CA54" i="8"/>
  <c r="CB54" i="8"/>
  <c r="CC54" i="8"/>
  <c r="CD54" i="8"/>
  <c r="CE54" i="8"/>
  <c r="CF54" i="8"/>
  <c r="CG54" i="8"/>
  <c r="CH54" i="8"/>
  <c r="CI54" i="8"/>
  <c r="CJ54" i="8"/>
  <c r="CK54" i="8"/>
  <c r="CL54" i="8"/>
  <c r="CM54" i="8"/>
  <c r="CN54" i="8"/>
  <c r="CO54" i="8"/>
  <c r="CP54" i="8"/>
  <c r="CQ54" i="8"/>
  <c r="CR54" i="8"/>
  <c r="CS54" i="8"/>
  <c r="CT54" i="8"/>
  <c r="CU54" i="8"/>
  <c r="CV54" i="8"/>
  <c r="CW54" i="8"/>
  <c r="CX54" i="8"/>
  <c r="CY54" i="8"/>
  <c r="DJ54" i="8"/>
  <c r="DK54" i="8"/>
  <c r="DL54" i="8"/>
  <c r="DM54" i="8"/>
  <c r="DN54" i="8"/>
  <c r="DO54" i="8"/>
  <c r="DP54" i="8"/>
  <c r="DQ54" i="8"/>
  <c r="DR54" i="8"/>
  <c r="DS54" i="8"/>
  <c r="I62" i="8"/>
  <c r="J62" i="8"/>
  <c r="K62" i="8"/>
  <c r="L62" i="8"/>
  <c r="CG62" i="8"/>
  <c r="I63" i="8"/>
  <c r="J63" i="8"/>
  <c r="K63" i="8"/>
  <c r="L63" i="8"/>
  <c r="AT63" i="8"/>
  <c r="CF63" i="8"/>
  <c r="CG63" i="8"/>
  <c r="CH63" i="8"/>
  <c r="CI63" i="8"/>
  <c r="CK63" i="8"/>
  <c r="CL63" i="8"/>
  <c r="AH67" i="8"/>
  <c r="AI67" i="8"/>
  <c r="AJ67" i="8"/>
  <c r="AK67" i="8"/>
  <c r="AM67" i="8"/>
  <c r="AN67" i="8"/>
  <c r="AO67" i="8"/>
  <c r="AP67" i="8"/>
  <c r="AV67" i="8"/>
  <c r="AI76" i="8"/>
  <c r="AJ76" i="8"/>
  <c r="AK76" i="8"/>
  <c r="AN76" i="8"/>
  <c r="AO76" i="8"/>
  <c r="AP76" i="8"/>
  <c r="AU76" i="8"/>
  <c r="AW76" i="8"/>
  <c r="BA76" i="8"/>
  <c r="BN76" i="8"/>
  <c r="AR78" i="8"/>
  <c r="AS78" i="8"/>
  <c r="AT78" i="8"/>
  <c r="AU78" i="8"/>
  <c r="AV78" i="8"/>
  <c r="AW78" i="8"/>
  <c r="AX78" i="8"/>
  <c r="AY78" i="8"/>
  <c r="AZ78" i="8"/>
  <c r="BA78" i="8"/>
  <c r="BB78" i="8"/>
  <c r="BC78" i="8"/>
  <c r="BD78" i="8"/>
  <c r="BE78" i="8"/>
  <c r="BF78" i="8"/>
  <c r="BG78" i="8"/>
  <c r="BH78" i="8"/>
  <c r="BI78" i="8"/>
  <c r="BJ78" i="8"/>
  <c r="BK78" i="8"/>
  <c r="BL78" i="8"/>
  <c r="BM78" i="8"/>
  <c r="BN78" i="8"/>
  <c r="BO78" i="8"/>
  <c r="BR78" i="8"/>
  <c r="BS78" i="8"/>
  <c r="BT78" i="8"/>
  <c r="BW78" i="8"/>
  <c r="BX78" i="8"/>
  <c r="CA78" i="8"/>
  <c r="CB78" i="8"/>
  <c r="CC78" i="8"/>
  <c r="CD78" i="8"/>
  <c r="CL78" i="8"/>
  <c r="CM78" i="8"/>
  <c r="CN78" i="8"/>
  <c r="CS78" i="8"/>
  <c r="AR79" i="8"/>
  <c r="AS79" i="8"/>
  <c r="AT79" i="8"/>
  <c r="AU79" i="8"/>
  <c r="AV79" i="8"/>
  <c r="AW79" i="8"/>
  <c r="AX79" i="8"/>
  <c r="AY79" i="8"/>
  <c r="AZ79" i="8"/>
  <c r="BA79" i="8"/>
  <c r="BB79" i="8"/>
  <c r="BC79" i="8"/>
  <c r="BD79" i="8"/>
  <c r="BE79" i="8"/>
  <c r="BF79" i="8"/>
  <c r="BG79" i="8"/>
  <c r="BH79" i="8"/>
  <c r="BI79" i="8"/>
  <c r="BJ79" i="8"/>
  <c r="BJ133" i="8" s="1"/>
  <c r="BK79" i="8"/>
  <c r="BL79" i="8"/>
  <c r="BM79" i="8"/>
  <c r="BM133" i="8" s="1"/>
  <c r="BN79" i="8"/>
  <c r="BN133" i="8" s="1"/>
  <c r="BO79" i="8"/>
  <c r="BO133" i="8" s="1"/>
  <c r="BR79" i="8"/>
  <c r="BS79" i="8"/>
  <c r="BT79" i="8"/>
  <c r="BW79" i="8"/>
  <c r="BX79" i="8"/>
  <c r="CA79" i="8"/>
  <c r="CB79" i="8"/>
  <c r="CC79" i="8"/>
  <c r="CD79" i="8"/>
  <c r="CG79" i="8"/>
  <c r="CH79" i="8"/>
  <c r="CI79" i="8"/>
  <c r="CK79" i="8"/>
  <c r="CL79" i="8"/>
  <c r="CM79" i="8"/>
  <c r="CN79" i="8"/>
  <c r="CO79" i="8"/>
  <c r="CQ79" i="8"/>
  <c r="CR79" i="8"/>
  <c r="X83" i="8"/>
  <c r="Y83" i="8"/>
  <c r="Z83" i="8"/>
  <c r="AA83" i="8"/>
  <c r="AB83" i="8"/>
  <c r="AC83" i="8"/>
  <c r="AD83" i="8"/>
  <c r="AE83" i="8"/>
  <c r="AF83" i="8"/>
  <c r="AG83" i="8"/>
  <c r="AH83" i="8"/>
  <c r="AI83" i="8"/>
  <c r="AJ83" i="8"/>
  <c r="AK83" i="8"/>
  <c r="AL83" i="8"/>
  <c r="AM83" i="8"/>
  <c r="AN83" i="8"/>
  <c r="AO83" i="8"/>
  <c r="AP83" i="8"/>
  <c r="AQ83" i="8"/>
  <c r="AR83" i="8"/>
  <c r="AS83" i="8"/>
  <c r="AT83" i="8"/>
  <c r="AU83" i="8"/>
  <c r="AV83" i="8"/>
  <c r="AW83" i="8"/>
  <c r="AX83" i="8"/>
  <c r="AY83" i="8"/>
  <c r="AZ83" i="8"/>
  <c r="BA83" i="8"/>
  <c r="BB83" i="8"/>
  <c r="BC83" i="8"/>
  <c r="BD83" i="8"/>
  <c r="BE83" i="8"/>
  <c r="BF83" i="8"/>
  <c r="BG83" i="8"/>
  <c r="BH83" i="8"/>
  <c r="BI83" i="8"/>
  <c r="BJ83" i="8"/>
  <c r="BK83" i="8"/>
  <c r="BL83" i="8"/>
  <c r="BM83" i="8"/>
  <c r="BN83" i="8"/>
  <c r="BO83" i="8"/>
  <c r="BP83" i="8"/>
  <c r="BQ83" i="8"/>
  <c r="BR83" i="8"/>
  <c r="BS83" i="8"/>
  <c r="BT83" i="8"/>
  <c r="BU83" i="8"/>
  <c r="BV83" i="8"/>
  <c r="BW83" i="8"/>
  <c r="BX83" i="8"/>
  <c r="BY83" i="8"/>
  <c r="BZ83" i="8"/>
  <c r="CA83" i="8"/>
  <c r="CB83" i="8"/>
  <c r="CC83" i="8"/>
  <c r="CD83" i="8"/>
  <c r="CE83" i="8"/>
  <c r="CF83" i="8"/>
  <c r="CG83" i="8"/>
  <c r="CH83" i="8"/>
  <c r="CI83" i="8"/>
  <c r="CJ83" i="8"/>
  <c r="CK83" i="8"/>
  <c r="CL83" i="8"/>
  <c r="CM83" i="8"/>
  <c r="CN83" i="8"/>
  <c r="CO83" i="8"/>
  <c r="CP83" i="8"/>
  <c r="CQ83" i="8"/>
  <c r="CR83" i="8"/>
  <c r="CS83" i="8"/>
  <c r="CT83" i="8"/>
  <c r="CU83" i="8"/>
  <c r="CV83" i="8"/>
  <c r="CW83" i="8"/>
  <c r="CX83" i="8"/>
  <c r="CY83" i="8"/>
  <c r="DJ83" i="8"/>
  <c r="DK83" i="8"/>
  <c r="DL83" i="8"/>
  <c r="DM83" i="8"/>
  <c r="DN83" i="8"/>
  <c r="DO83" i="8"/>
  <c r="DP83" i="8"/>
  <c r="DQ83" i="8"/>
  <c r="DR83" i="8"/>
  <c r="DS83" i="8"/>
  <c r="X84" i="8"/>
  <c r="Y84" i="8"/>
  <c r="Z84" i="8"/>
  <c r="AA84" i="8"/>
  <c r="AC84" i="8"/>
  <c r="AD84" i="8"/>
  <c r="AE84" i="8"/>
  <c r="AF84" i="8"/>
  <c r="AH84" i="8"/>
  <c r="AI84" i="8"/>
  <c r="AJ84" i="8"/>
  <c r="AK84" i="8"/>
  <c r="AM84" i="8"/>
  <c r="AN84" i="8"/>
  <c r="AO84" i="8"/>
  <c r="AP84" i="8"/>
  <c r="AR84" i="8"/>
  <c r="AS84" i="8"/>
  <c r="AT84" i="8"/>
  <c r="AU84" i="8"/>
  <c r="AW84" i="8"/>
  <c r="AX84" i="8"/>
  <c r="AY84" i="8"/>
  <c r="AZ84" i="8"/>
  <c r="BB84" i="8"/>
  <c r="BC84" i="8"/>
  <c r="BD84" i="8"/>
  <c r="BE84" i="8"/>
  <c r="BG84" i="8"/>
  <c r="BH84" i="8"/>
  <c r="BI84" i="8"/>
  <c r="BJ84" i="8"/>
  <c r="BL84" i="8"/>
  <c r="BM84" i="8"/>
  <c r="BN84" i="8"/>
  <c r="BO84" i="8"/>
  <c r="BQ84" i="8"/>
  <c r="BR84" i="8"/>
  <c r="BS84" i="8"/>
  <c r="BT84" i="8"/>
  <c r="BV84" i="8"/>
  <c r="BW84" i="8"/>
  <c r="BX84" i="8"/>
  <c r="CA84" i="8"/>
  <c r="CB84" i="8"/>
  <c r="CC84" i="8"/>
  <c r="CF84" i="8"/>
  <c r="CG84" i="8"/>
  <c r="CH84" i="8"/>
  <c r="CI84" i="8"/>
  <c r="CK84" i="8"/>
  <c r="CL84" i="8"/>
  <c r="CM84" i="8"/>
  <c r="CN84" i="8"/>
  <c r="CP84" i="8"/>
  <c r="CQ84" i="8"/>
  <c r="CR84" i="8"/>
  <c r="X85" i="8"/>
  <c r="Y85" i="8"/>
  <c r="Z85" i="8"/>
  <c r="AA85" i="8"/>
  <c r="AC85" i="8"/>
  <c r="AD85" i="8"/>
  <c r="AE85" i="8"/>
  <c r="AF85" i="8"/>
  <c r="AH85" i="8"/>
  <c r="AI85" i="8"/>
  <c r="AJ85" i="8"/>
  <c r="AK85" i="8"/>
  <c r="AM85" i="8"/>
  <c r="AN85" i="8"/>
  <c r="AO85" i="8"/>
  <c r="AP85" i="8"/>
  <c r="AR85" i="8"/>
  <c r="AS85" i="8"/>
  <c r="AT85" i="8"/>
  <c r="AU85" i="8"/>
  <c r="AW85" i="8"/>
  <c r="AX85" i="8"/>
  <c r="AY85" i="8"/>
  <c r="AZ85" i="8"/>
  <c r="BB85" i="8"/>
  <c r="BC85" i="8"/>
  <c r="BD85" i="8"/>
  <c r="BE85" i="8"/>
  <c r="BG85" i="8"/>
  <c r="BH85" i="8"/>
  <c r="BI85" i="8"/>
  <c r="BJ85" i="8"/>
  <c r="BL85" i="8"/>
  <c r="BM85" i="8"/>
  <c r="BN85" i="8"/>
  <c r="BO85" i="8"/>
  <c r="BQ85" i="8"/>
  <c r="BR85" i="8"/>
  <c r="BS85" i="8"/>
  <c r="BT85" i="8"/>
  <c r="BV85" i="8"/>
  <c r="BW85" i="8"/>
  <c r="BX85" i="8"/>
  <c r="CA85" i="8"/>
  <c r="CB85" i="8"/>
  <c r="CC85" i="8"/>
  <c r="CF85" i="8"/>
  <c r="CG85" i="8"/>
  <c r="CH85" i="8"/>
  <c r="CI85" i="8"/>
  <c r="CK85" i="8"/>
  <c r="CL85" i="8"/>
  <c r="CM85" i="8"/>
  <c r="CN85" i="8"/>
  <c r="CP85" i="8"/>
  <c r="CQ85" i="8"/>
  <c r="CR85" i="8"/>
  <c r="X86" i="8"/>
  <c r="Y86" i="8"/>
  <c r="Z86" i="8"/>
  <c r="AA86" i="8"/>
  <c r="AC86" i="8"/>
  <c r="AD86" i="8"/>
  <c r="AF86" i="8"/>
  <c r="AH86" i="8"/>
  <c r="AI86" i="8"/>
  <c r="AK86" i="8"/>
  <c r="AM86" i="8"/>
  <c r="AN86" i="8"/>
  <c r="AO86" i="8"/>
  <c r="AP86" i="8"/>
  <c r="AR86" i="8"/>
  <c r="AS86" i="8"/>
  <c r="AT86" i="8"/>
  <c r="AU86" i="8"/>
  <c r="AW86" i="8"/>
  <c r="AX86" i="8"/>
  <c r="AY86" i="8"/>
  <c r="AZ86" i="8"/>
  <c r="BB86" i="8"/>
  <c r="BC86" i="8"/>
  <c r="BD86" i="8"/>
  <c r="BE86" i="8"/>
  <c r="BG86" i="8"/>
  <c r="BH86" i="8"/>
  <c r="BI86" i="8"/>
  <c r="BJ86" i="8"/>
  <c r="BL86" i="8"/>
  <c r="BM86" i="8"/>
  <c r="BN86" i="8"/>
  <c r="BO86" i="8"/>
  <c r="BQ86" i="8"/>
  <c r="BR86" i="8"/>
  <c r="BS86" i="8"/>
  <c r="BT86" i="8"/>
  <c r="BV86" i="8"/>
  <c r="BW86" i="8"/>
  <c r="BX86" i="8"/>
  <c r="CA86" i="8"/>
  <c r="CB86" i="8"/>
  <c r="CC86" i="8"/>
  <c r="CF86" i="8"/>
  <c r="CG86" i="8"/>
  <c r="CH86" i="8"/>
  <c r="CI86" i="8"/>
  <c r="CK86" i="8"/>
  <c r="CL86" i="8"/>
  <c r="CM86" i="8"/>
  <c r="CN86" i="8"/>
  <c r="CP86" i="8"/>
  <c r="CQ86" i="8"/>
  <c r="CR86" i="8"/>
  <c r="AP87" i="8"/>
  <c r="AS87" i="8"/>
  <c r="AT87" i="8"/>
  <c r="AU87" i="8"/>
  <c r="AW87" i="8"/>
  <c r="AX87" i="8"/>
  <c r="AY87" i="8"/>
  <c r="AZ87" i="8"/>
  <c r="BB87" i="8"/>
  <c r="BC87" i="8"/>
  <c r="BD87" i="8"/>
  <c r="BE87" i="8"/>
  <c r="BG87" i="8"/>
  <c r="BH87" i="8"/>
  <c r="BI87" i="8"/>
  <c r="BJ87" i="8"/>
  <c r="BL87" i="8"/>
  <c r="BM87" i="8"/>
  <c r="BN87" i="8"/>
  <c r="BO87" i="8"/>
  <c r="BQ87" i="8"/>
  <c r="BR87" i="8"/>
  <c r="BS87" i="8"/>
  <c r="BT87" i="8"/>
  <c r="BV87" i="8"/>
  <c r="BW87" i="8"/>
  <c r="BX87" i="8"/>
  <c r="CA87" i="8"/>
  <c r="CB87" i="8"/>
  <c r="CC87" i="8"/>
  <c r="CF87" i="8"/>
  <c r="CG87" i="8"/>
  <c r="CH87" i="8"/>
  <c r="CI87" i="8"/>
  <c r="CK87" i="8"/>
  <c r="CL87" i="8"/>
  <c r="CM87" i="8"/>
  <c r="CN87" i="8"/>
  <c r="CP87" i="8"/>
  <c r="CQ87" i="8"/>
  <c r="CR87" i="8"/>
  <c r="CS87" i="8"/>
  <c r="X88" i="8"/>
  <c r="Y88" i="8"/>
  <c r="Z88" i="8"/>
  <c r="AA88" i="8"/>
  <c r="AC88" i="8"/>
  <c r="AD88" i="8"/>
  <c r="AE88" i="8"/>
  <c r="AF88" i="8"/>
  <c r="AH88" i="8"/>
  <c r="AI88" i="8"/>
  <c r="AJ88" i="8"/>
  <c r="AK88" i="8"/>
  <c r="AM88" i="8"/>
  <c r="AN88" i="8"/>
  <c r="AO88" i="8"/>
  <c r="AP88" i="8"/>
  <c r="AR88" i="8"/>
  <c r="AS88" i="8"/>
  <c r="AT88" i="8"/>
  <c r="AU88" i="8"/>
  <c r="AW88" i="8"/>
  <c r="AX88" i="8"/>
  <c r="AY88" i="8"/>
  <c r="AZ88" i="8"/>
  <c r="BB88" i="8"/>
  <c r="BC88" i="8"/>
  <c r="BD88" i="8"/>
  <c r="BE88" i="8"/>
  <c r="BG88" i="8"/>
  <c r="BH88" i="8"/>
  <c r="BI88" i="8"/>
  <c r="BJ88" i="8"/>
  <c r="BL88" i="8"/>
  <c r="BM88" i="8"/>
  <c r="BN88" i="8"/>
  <c r="BO88" i="8"/>
  <c r="BQ88" i="8"/>
  <c r="BR88" i="8"/>
  <c r="BS88" i="8"/>
  <c r="BT88" i="8"/>
  <c r="BV88" i="8"/>
  <c r="BW88" i="8"/>
  <c r="BX88" i="8"/>
  <c r="CA88" i="8"/>
  <c r="CB88" i="8"/>
  <c r="CC88" i="8"/>
  <c r="CF88" i="8"/>
  <c r="CG88" i="8"/>
  <c r="CH88" i="8"/>
  <c r="CI88" i="8"/>
  <c r="CK88" i="8"/>
  <c r="CL88" i="8"/>
  <c r="CM88" i="8"/>
  <c r="CN88" i="8"/>
  <c r="CP88" i="8"/>
  <c r="CQ88" i="8"/>
  <c r="CR88" i="8"/>
  <c r="X90" i="8"/>
  <c r="Y90" i="8"/>
  <c r="Z90" i="8"/>
  <c r="AA90" i="8"/>
  <c r="AC90" i="8"/>
  <c r="AD90" i="8"/>
  <c r="AE90" i="8"/>
  <c r="AF90" i="8"/>
  <c r="AH90" i="8"/>
  <c r="AI90" i="8"/>
  <c r="AJ90" i="8"/>
  <c r="AK90" i="8"/>
  <c r="AM90" i="8"/>
  <c r="AN90" i="8"/>
  <c r="AO90" i="8"/>
  <c r="AP90" i="8"/>
  <c r="AR90" i="8"/>
  <c r="AS90" i="8"/>
  <c r="AT90" i="8"/>
  <c r="AU90" i="8"/>
  <c r="AW90" i="8"/>
  <c r="AX90" i="8"/>
  <c r="AY90" i="8"/>
  <c r="AZ90" i="8"/>
  <c r="BB90" i="8"/>
  <c r="BC90" i="8"/>
  <c r="BD90" i="8"/>
  <c r="BE90" i="8"/>
  <c r="BG90" i="8"/>
  <c r="BH90" i="8"/>
  <c r="BI90" i="8"/>
  <c r="BJ90" i="8"/>
  <c r="BL90" i="8"/>
  <c r="BM90" i="8"/>
  <c r="BN90" i="8"/>
  <c r="BO90" i="8"/>
  <c r="BQ90" i="8"/>
  <c r="BR90" i="8"/>
  <c r="BS90" i="8"/>
  <c r="BT90" i="8"/>
  <c r="BV90" i="8"/>
  <c r="BW90" i="8"/>
  <c r="BX90" i="8"/>
  <c r="CA90" i="8"/>
  <c r="CB90" i="8"/>
  <c r="CC90" i="8"/>
  <c r="CF90" i="8"/>
  <c r="CG90" i="8"/>
  <c r="CH90" i="8"/>
  <c r="CI90" i="8"/>
  <c r="CK90" i="8"/>
  <c r="CL90" i="8"/>
  <c r="CM90" i="8"/>
  <c r="CN90" i="8"/>
  <c r="CP90" i="8"/>
  <c r="CQ90" i="8"/>
  <c r="CR90" i="8"/>
  <c r="CS90" i="8"/>
  <c r="X91" i="8"/>
  <c r="Y91" i="8"/>
  <c r="Z91" i="8"/>
  <c r="AA91" i="8"/>
  <c r="AC91" i="8"/>
  <c r="AD91" i="8"/>
  <c r="AE91" i="8"/>
  <c r="AF91" i="8"/>
  <c r="AH91" i="8"/>
  <c r="AI91" i="8"/>
  <c r="AJ91" i="8"/>
  <c r="AK91" i="8"/>
  <c r="AM91" i="8"/>
  <c r="AN91" i="8"/>
  <c r="AO91" i="8"/>
  <c r="AP91" i="8"/>
  <c r="AR91" i="8"/>
  <c r="AS91" i="8"/>
  <c r="AT91" i="8"/>
  <c r="AU91" i="8"/>
  <c r="AW91" i="8"/>
  <c r="AX91" i="8"/>
  <c r="AY91" i="8"/>
  <c r="AZ91" i="8"/>
  <c r="BB91" i="8"/>
  <c r="BC91" i="8"/>
  <c r="BD91" i="8"/>
  <c r="BE91" i="8"/>
  <c r="BG91" i="8"/>
  <c r="BH91" i="8"/>
  <c r="BI91" i="8"/>
  <c r="BJ91" i="8"/>
  <c r="BL91" i="8"/>
  <c r="BM91" i="8"/>
  <c r="BN91" i="8"/>
  <c r="BO91" i="8"/>
  <c r="BQ91" i="8"/>
  <c r="BR91" i="8"/>
  <c r="BS91" i="8"/>
  <c r="BT91" i="8"/>
  <c r="BV91" i="8"/>
  <c r="BW91" i="8"/>
  <c r="BX91" i="8"/>
  <c r="CA91" i="8"/>
  <c r="CB91" i="8"/>
  <c r="CC91" i="8"/>
  <c r="CF91" i="8"/>
  <c r="CG91" i="8"/>
  <c r="CH91" i="8"/>
  <c r="CI91" i="8"/>
  <c r="CK91" i="8"/>
  <c r="CL91" i="8"/>
  <c r="CM91" i="8"/>
  <c r="CN91" i="8"/>
  <c r="BE92" i="8"/>
  <c r="BG92" i="8"/>
  <c r="BH92" i="8"/>
  <c r="BI92" i="8"/>
  <c r="BJ92" i="8"/>
  <c r="BL92" i="8"/>
  <c r="BM92" i="8"/>
  <c r="BN92" i="8"/>
  <c r="BO92" i="8"/>
  <c r="BQ92" i="8"/>
  <c r="BR92" i="8"/>
  <c r="BS92" i="8"/>
  <c r="BT92" i="8"/>
  <c r="BV92" i="8"/>
  <c r="BW92" i="8"/>
  <c r="BX92" i="8"/>
  <c r="CA92" i="8"/>
  <c r="CB92" i="8"/>
  <c r="CC92" i="8"/>
  <c r="CF92" i="8"/>
  <c r="CG92" i="8"/>
  <c r="CH92" i="8"/>
  <c r="CI92" i="8"/>
  <c r="CK92" i="8"/>
  <c r="CL92" i="8"/>
  <c r="CM92" i="8"/>
  <c r="CN92" i="8"/>
  <c r="CP92" i="8"/>
  <c r="CQ92" i="8"/>
  <c r="CR92" i="8"/>
  <c r="X93" i="8"/>
  <c r="Y93" i="8"/>
  <c r="Z93" i="8"/>
  <c r="AA93" i="8"/>
  <c r="AE93" i="8"/>
  <c r="AF93" i="8"/>
  <c r="AJ93" i="8"/>
  <c r="AK93" i="8"/>
  <c r="AM93" i="8"/>
  <c r="AN93" i="8"/>
  <c r="AO93" i="8"/>
  <c r="AP93" i="8"/>
  <c r="AR93" i="8"/>
  <c r="AS93" i="8"/>
  <c r="AT93" i="8"/>
  <c r="AU93" i="8"/>
  <c r="AW93" i="8"/>
  <c r="AX93" i="8"/>
  <c r="AY93" i="8"/>
  <c r="AZ93" i="8"/>
  <c r="BB93" i="8"/>
  <c r="BC93" i="8"/>
  <c r="BD93" i="8"/>
  <c r="BE93" i="8"/>
  <c r="BG93" i="8"/>
  <c r="BH93" i="8"/>
  <c r="BI93" i="8"/>
  <c r="BJ93" i="8"/>
  <c r="BL93" i="8"/>
  <c r="BM93" i="8"/>
  <c r="BN93" i="8"/>
  <c r="BO93" i="8"/>
  <c r="BQ93" i="8"/>
  <c r="BR93" i="8"/>
  <c r="BS93" i="8"/>
  <c r="BT93" i="8"/>
  <c r="BV93" i="8"/>
  <c r="BW93" i="8"/>
  <c r="BX93" i="8"/>
  <c r="CA93" i="8"/>
  <c r="CB93" i="8"/>
  <c r="CC93" i="8"/>
  <c r="CF93" i="8"/>
  <c r="CG93" i="8"/>
  <c r="CH93" i="8"/>
  <c r="CI93" i="8"/>
  <c r="CK93" i="8"/>
  <c r="CL93" i="8"/>
  <c r="CM93" i="8"/>
  <c r="CN93" i="8"/>
  <c r="CP93" i="8"/>
  <c r="CQ93" i="8"/>
  <c r="CR93" i="8"/>
  <c r="CS93" i="8"/>
  <c r="X95" i="8"/>
  <c r="Y95" i="8"/>
  <c r="Z95" i="8"/>
  <c r="AA95" i="8"/>
  <c r="AC95" i="8"/>
  <c r="AD95" i="8"/>
  <c r="AE95" i="8"/>
  <c r="AF95" i="8"/>
  <c r="AH95" i="8"/>
  <c r="AI95" i="8"/>
  <c r="AJ95" i="8"/>
  <c r="AK95" i="8"/>
  <c r="AM95" i="8"/>
  <c r="AN95" i="8"/>
  <c r="AO95" i="8"/>
  <c r="AP95" i="8"/>
  <c r="AR95" i="8"/>
  <c r="AS95" i="8"/>
  <c r="AT95" i="8"/>
  <c r="AU95" i="8"/>
  <c r="AW95" i="8"/>
  <c r="AX95" i="8"/>
  <c r="AY95" i="8"/>
  <c r="AZ95" i="8"/>
  <c r="BB95" i="8"/>
  <c r="BC95" i="8"/>
  <c r="BD95" i="8"/>
  <c r="BE95" i="8"/>
  <c r="BG95" i="8"/>
  <c r="BH95" i="8"/>
  <c r="BI95" i="8"/>
  <c r="BJ95" i="8"/>
  <c r="BL95" i="8"/>
  <c r="BM95" i="8"/>
  <c r="BN95" i="8"/>
  <c r="BO95" i="8"/>
  <c r="BQ95" i="8"/>
  <c r="BR95" i="8"/>
  <c r="BS95" i="8"/>
  <c r="BT95" i="8"/>
  <c r="BV95" i="8"/>
  <c r="BW95" i="8"/>
  <c r="BX95" i="8"/>
  <c r="CA95" i="8"/>
  <c r="CB95" i="8"/>
  <c r="CC95" i="8"/>
  <c r="CF95" i="8"/>
  <c r="CG95" i="8"/>
  <c r="CH95" i="8"/>
  <c r="CI95" i="8"/>
  <c r="CK95" i="8"/>
  <c r="CL95" i="8"/>
  <c r="CM95" i="8"/>
  <c r="CN95" i="8"/>
  <c r="CP95" i="8"/>
  <c r="CQ95" i="8"/>
  <c r="CR95" i="8"/>
  <c r="X96" i="8"/>
  <c r="Y96" i="8"/>
  <c r="Z96" i="8"/>
  <c r="AA96" i="8"/>
  <c r="AC96" i="8"/>
  <c r="AD96" i="8"/>
  <c r="AE96" i="8"/>
  <c r="AF96" i="8"/>
  <c r="AH96" i="8"/>
  <c r="AI96" i="8"/>
  <c r="AJ96" i="8"/>
  <c r="AK96" i="8"/>
  <c r="AM96" i="8"/>
  <c r="AN96" i="8"/>
  <c r="AO96" i="8"/>
  <c r="AP96" i="8"/>
  <c r="AR96" i="8"/>
  <c r="AS96" i="8"/>
  <c r="AT96" i="8"/>
  <c r="AU96" i="8"/>
  <c r="AW96" i="8"/>
  <c r="AX96" i="8"/>
  <c r="AY96" i="8"/>
  <c r="AZ96" i="8"/>
  <c r="BB96" i="8"/>
  <c r="BC96" i="8"/>
  <c r="BD96" i="8"/>
  <c r="BE96" i="8"/>
  <c r="BG96" i="8"/>
  <c r="BH96" i="8"/>
  <c r="BI96" i="8"/>
  <c r="BJ96" i="8"/>
  <c r="BL96" i="8"/>
  <c r="BM96" i="8"/>
  <c r="BN96" i="8"/>
  <c r="BO96" i="8"/>
  <c r="BQ96" i="8"/>
  <c r="BR96" i="8"/>
  <c r="BS96" i="8"/>
  <c r="BT96" i="8"/>
  <c r="BV96" i="8"/>
  <c r="BW96" i="8"/>
  <c r="BX96" i="8"/>
  <c r="CA96" i="8"/>
  <c r="CB96" i="8"/>
  <c r="CC96" i="8"/>
  <c r="CF96" i="8"/>
  <c r="CG96" i="8"/>
  <c r="CH96" i="8"/>
  <c r="CI96" i="8"/>
  <c r="CK96" i="8"/>
  <c r="CL96" i="8"/>
  <c r="CM96" i="8"/>
  <c r="CN96" i="8"/>
  <c r="CP96" i="8"/>
  <c r="CQ96" i="8"/>
  <c r="CR96" i="8"/>
  <c r="AP97" i="8"/>
  <c r="AS97" i="8"/>
  <c r="AT97" i="8"/>
  <c r="AU97" i="8"/>
  <c r="AW97" i="8"/>
  <c r="AX97" i="8"/>
  <c r="AY97" i="8"/>
  <c r="AZ97" i="8"/>
  <c r="BB97" i="8"/>
  <c r="BC97" i="8"/>
  <c r="BD97" i="8"/>
  <c r="BE97" i="8"/>
  <c r="BG97" i="8"/>
  <c r="BH97" i="8"/>
  <c r="BI97" i="8"/>
  <c r="BJ97" i="8"/>
  <c r="BL97" i="8"/>
  <c r="BM97" i="8"/>
  <c r="BN97" i="8"/>
  <c r="BO97" i="8"/>
  <c r="BQ97" i="8"/>
  <c r="BR97" i="8"/>
  <c r="BS97" i="8"/>
  <c r="BT97" i="8"/>
  <c r="BV97" i="8"/>
  <c r="BW97" i="8"/>
  <c r="BX97" i="8"/>
  <c r="CA97" i="8"/>
  <c r="CB97" i="8"/>
  <c r="CC97" i="8"/>
  <c r="CF97" i="8"/>
  <c r="CG97" i="8"/>
  <c r="CH97" i="8"/>
  <c r="CI97" i="8"/>
  <c r="CK97" i="8"/>
  <c r="CL97" i="8"/>
  <c r="CM97" i="8"/>
  <c r="CN97" i="8"/>
  <c r="CP97" i="8"/>
  <c r="CQ97" i="8"/>
  <c r="CR97" i="8"/>
  <c r="X98" i="8"/>
  <c r="Y98" i="8"/>
  <c r="Z98" i="8"/>
  <c r="AA98" i="8"/>
  <c r="AC98" i="8"/>
  <c r="AD98" i="8"/>
  <c r="AE98" i="8"/>
  <c r="AF98" i="8"/>
  <c r="AH98" i="8"/>
  <c r="AI98" i="8"/>
  <c r="AJ98" i="8"/>
  <c r="AK98" i="8"/>
  <c r="AM98" i="8"/>
  <c r="AN98" i="8"/>
  <c r="AO98" i="8"/>
  <c r="AP98" i="8"/>
  <c r="AR98" i="8"/>
  <c r="AS98" i="8"/>
  <c r="AT98" i="8"/>
  <c r="AU98" i="8"/>
  <c r="AW98" i="8"/>
  <c r="AX98" i="8"/>
  <c r="AY98" i="8"/>
  <c r="AZ98" i="8"/>
  <c r="BB98" i="8"/>
  <c r="BC98" i="8"/>
  <c r="BD98" i="8"/>
  <c r="BE98" i="8"/>
  <c r="BG98" i="8"/>
  <c r="BH98" i="8"/>
  <c r="BI98" i="8"/>
  <c r="BJ98" i="8"/>
  <c r="BL98" i="8"/>
  <c r="BM98" i="8"/>
  <c r="BN98" i="8"/>
  <c r="BO98" i="8"/>
  <c r="BQ98" i="8"/>
  <c r="BR98" i="8"/>
  <c r="BS98" i="8"/>
  <c r="BT98" i="8"/>
  <c r="BV98" i="8"/>
  <c r="BW98" i="8"/>
  <c r="BX98" i="8"/>
  <c r="CA98" i="8"/>
  <c r="CB98" i="8"/>
  <c r="CC98" i="8"/>
  <c r="CF98" i="8"/>
  <c r="CG98" i="8"/>
  <c r="CH98" i="8"/>
  <c r="CI98" i="8"/>
  <c r="CK98" i="8"/>
  <c r="CL98" i="8"/>
  <c r="CM98" i="8"/>
  <c r="CN98" i="8"/>
  <c r="CP98" i="8"/>
  <c r="CQ98" i="8"/>
  <c r="CR98" i="8"/>
  <c r="CS98" i="8"/>
  <c r="Y100" i="8"/>
  <c r="Z100" i="8"/>
  <c r="AA100" i="8"/>
  <c r="AD100" i="8"/>
  <c r="AE100" i="8"/>
  <c r="AF100" i="8"/>
  <c r="AI100" i="8"/>
  <c r="AJ100" i="8"/>
  <c r="AK100" i="8"/>
  <c r="AN100" i="8"/>
  <c r="AO100" i="8"/>
  <c r="AP100" i="8"/>
  <c r="AS100" i="8"/>
  <c r="AT100" i="8"/>
  <c r="AU100" i="8"/>
  <c r="AW100" i="8"/>
  <c r="AX100" i="8"/>
  <c r="AY100" i="8"/>
  <c r="AZ100" i="8"/>
  <c r="BB100" i="8"/>
  <c r="BC100" i="8"/>
  <c r="BD100" i="8"/>
  <c r="BE100" i="8"/>
  <c r="BG100" i="8"/>
  <c r="BH100" i="8"/>
  <c r="BI100" i="8"/>
  <c r="BJ100" i="8"/>
  <c r="BL100" i="8"/>
  <c r="BM100" i="8"/>
  <c r="BN100" i="8"/>
  <c r="BO100" i="8"/>
  <c r="BR100" i="8"/>
  <c r="BS100" i="8"/>
  <c r="BT100" i="8"/>
  <c r="BW100" i="8"/>
  <c r="BX100" i="8"/>
  <c r="CA100" i="8"/>
  <c r="CB100" i="8"/>
  <c r="CC100" i="8"/>
  <c r="CD100" i="8"/>
  <c r="CG100" i="8"/>
  <c r="CH100" i="8"/>
  <c r="CI100" i="8"/>
  <c r="CL100" i="8"/>
  <c r="CM100" i="8"/>
  <c r="CN100" i="8"/>
  <c r="CP100" i="8"/>
  <c r="CQ100" i="8"/>
  <c r="CR100" i="8"/>
  <c r="Y101" i="8"/>
  <c r="Z101" i="8"/>
  <c r="AA101" i="8"/>
  <c r="AD101" i="8"/>
  <c r="AE101" i="8"/>
  <c r="AF101" i="8"/>
  <c r="AI101" i="8"/>
  <c r="AJ101" i="8"/>
  <c r="AK101" i="8"/>
  <c r="AN101" i="8"/>
  <c r="AO101" i="8"/>
  <c r="AP101" i="8"/>
  <c r="AS101" i="8"/>
  <c r="AT101" i="8"/>
  <c r="AU101" i="8"/>
  <c r="AW101" i="8"/>
  <c r="AX101" i="8"/>
  <c r="AY101" i="8"/>
  <c r="AZ101" i="8"/>
  <c r="BB101" i="8"/>
  <c r="BC101" i="8"/>
  <c r="BD101" i="8"/>
  <c r="BE101" i="8"/>
  <c r="BG101" i="8"/>
  <c r="BH101" i="8"/>
  <c r="BI101" i="8"/>
  <c r="BJ101" i="8"/>
  <c r="BL101" i="8"/>
  <c r="BM101" i="8"/>
  <c r="BN101" i="8"/>
  <c r="BO101" i="8"/>
  <c r="BR101" i="8"/>
  <c r="BS101" i="8"/>
  <c r="BT101" i="8"/>
  <c r="BW101" i="8"/>
  <c r="BX101" i="8"/>
  <c r="CA101" i="8"/>
  <c r="CB101" i="8"/>
  <c r="CC101" i="8"/>
  <c r="CD101" i="8"/>
  <c r="CG101" i="8"/>
  <c r="CH101" i="8"/>
  <c r="CI101" i="8"/>
  <c r="CK101" i="8"/>
  <c r="CL101" i="8"/>
  <c r="CM101" i="8"/>
  <c r="CN101" i="8"/>
  <c r="CQ101" i="8"/>
  <c r="CR101" i="8"/>
  <c r="Y102" i="8"/>
  <c r="Z102" i="8"/>
  <c r="AA102" i="8"/>
  <c r="AD102" i="8"/>
  <c r="AI102" i="8"/>
  <c r="AJ102" i="8"/>
  <c r="AK102" i="8"/>
  <c r="AN102" i="8"/>
  <c r="AO102" i="8"/>
  <c r="AP102" i="8"/>
  <c r="AS102" i="8"/>
  <c r="AT102" i="8"/>
  <c r="AU102" i="8"/>
  <c r="AW102" i="8"/>
  <c r="AX102" i="8"/>
  <c r="AY102" i="8"/>
  <c r="AZ102" i="8"/>
  <c r="BB102" i="8"/>
  <c r="BC102" i="8"/>
  <c r="BD102" i="8"/>
  <c r="BE102" i="8"/>
  <c r="BG102" i="8"/>
  <c r="BH102" i="8"/>
  <c r="BI102" i="8"/>
  <c r="BJ102" i="8"/>
  <c r="BL102" i="8"/>
  <c r="BM102" i="8"/>
  <c r="BN102" i="8"/>
  <c r="BO102" i="8"/>
  <c r="BR102" i="8"/>
  <c r="BS102" i="8"/>
  <c r="BT102" i="8"/>
  <c r="BW102" i="8"/>
  <c r="BX102" i="8"/>
  <c r="CA102" i="8"/>
  <c r="CB102" i="8"/>
  <c r="CC102" i="8"/>
  <c r="CD102" i="8"/>
  <c r="CG102" i="8"/>
  <c r="CH102" i="8"/>
  <c r="CI102" i="8"/>
  <c r="CL102" i="8"/>
  <c r="CM102" i="8"/>
  <c r="CN102" i="8"/>
  <c r="CQ102" i="8"/>
  <c r="CR102" i="8"/>
  <c r="AO103" i="8"/>
  <c r="AP103" i="8"/>
  <c r="AS103" i="8"/>
  <c r="AT103" i="8"/>
  <c r="AU103" i="8"/>
  <c r="AW103" i="8"/>
  <c r="AX103" i="8"/>
  <c r="AY103" i="8"/>
  <c r="AZ103" i="8"/>
  <c r="BB103" i="8"/>
  <c r="BC103" i="8"/>
  <c r="BD103" i="8"/>
  <c r="BE103" i="8"/>
  <c r="BG103" i="8"/>
  <c r="BH103" i="8"/>
  <c r="BI103" i="8"/>
  <c r="BJ103" i="8"/>
  <c r="BL103" i="8"/>
  <c r="BM103" i="8"/>
  <c r="BN103" i="8"/>
  <c r="BO103" i="8"/>
  <c r="BR103" i="8"/>
  <c r="BS103" i="8"/>
  <c r="BT103" i="8"/>
  <c r="BV103" i="8"/>
  <c r="BW103" i="8"/>
  <c r="BX103" i="8"/>
  <c r="CA103" i="8"/>
  <c r="CB103" i="8"/>
  <c r="CC103" i="8"/>
  <c r="CD103" i="8"/>
  <c r="CG103" i="8"/>
  <c r="CH103" i="8"/>
  <c r="CI103" i="8"/>
  <c r="CK103" i="8"/>
  <c r="CL103" i="8"/>
  <c r="CM103" i="8"/>
  <c r="CN103" i="8"/>
  <c r="CQ103" i="8"/>
  <c r="CR103" i="8"/>
  <c r="Y104" i="8"/>
  <c r="Z104" i="8"/>
  <c r="AA104" i="8"/>
  <c r="AD104" i="8"/>
  <c r="AE104" i="8"/>
  <c r="AF104" i="8"/>
  <c r="AI104" i="8"/>
  <c r="AJ104" i="8"/>
  <c r="AK104" i="8"/>
  <c r="AN104" i="8"/>
  <c r="AO104" i="8"/>
  <c r="AP104" i="8"/>
  <c r="AS104" i="8"/>
  <c r="AT104" i="8"/>
  <c r="AU104" i="8"/>
  <c r="AW104" i="8"/>
  <c r="AX104" i="8"/>
  <c r="AY104" i="8"/>
  <c r="AZ104" i="8"/>
  <c r="BB104" i="8"/>
  <c r="BC104" i="8"/>
  <c r="BD104" i="8"/>
  <c r="BE104" i="8"/>
  <c r="BG104" i="8"/>
  <c r="BH104" i="8"/>
  <c r="BI104" i="8"/>
  <c r="BJ104" i="8"/>
  <c r="BL104" i="8"/>
  <c r="BM104" i="8"/>
  <c r="BN104" i="8"/>
  <c r="BO104" i="8"/>
  <c r="BR104" i="8"/>
  <c r="BS104" i="8"/>
  <c r="BT104" i="8"/>
  <c r="BW104" i="8"/>
  <c r="BX104" i="8"/>
  <c r="CA104" i="8"/>
  <c r="CB104" i="8"/>
  <c r="CC104" i="8"/>
  <c r="CD104" i="8"/>
  <c r="CG104" i="8"/>
  <c r="CH104" i="8"/>
  <c r="CI104" i="8"/>
  <c r="CL104" i="8"/>
  <c r="CM104" i="8"/>
  <c r="CN104" i="8"/>
  <c r="Y106" i="8"/>
  <c r="Z106" i="8"/>
  <c r="AA106" i="8"/>
  <c r="AD106" i="8"/>
  <c r="AE106" i="8"/>
  <c r="AF106" i="8"/>
  <c r="AI106" i="8"/>
  <c r="AJ106" i="8"/>
  <c r="AK106" i="8"/>
  <c r="AN106" i="8"/>
  <c r="AO106" i="8"/>
  <c r="AP106" i="8"/>
  <c r="AS106" i="8"/>
  <c r="AT106" i="8"/>
  <c r="AU106" i="8"/>
  <c r="AW106" i="8"/>
  <c r="AX106" i="8"/>
  <c r="AY106" i="8"/>
  <c r="AZ106" i="8"/>
  <c r="BB106" i="8"/>
  <c r="BC106" i="8"/>
  <c r="BD106" i="8"/>
  <c r="BE106" i="8"/>
  <c r="BG106" i="8"/>
  <c r="BH106" i="8"/>
  <c r="BI106" i="8"/>
  <c r="BJ106" i="8"/>
  <c r="BL106" i="8"/>
  <c r="BM106" i="8"/>
  <c r="BN106" i="8"/>
  <c r="BO106" i="8"/>
  <c r="BR106" i="8"/>
  <c r="BS106" i="8"/>
  <c r="BT106" i="8"/>
  <c r="BW106" i="8"/>
  <c r="BX106" i="8"/>
  <c r="CA106" i="8"/>
  <c r="CB106" i="8"/>
  <c r="CC106" i="8"/>
  <c r="CD106" i="8"/>
  <c r="CG106" i="8"/>
  <c r="CH106" i="8"/>
  <c r="CI106" i="8"/>
  <c r="CL106" i="8"/>
  <c r="CM106" i="8"/>
  <c r="CN106" i="8"/>
  <c r="CQ106" i="8"/>
  <c r="CR106" i="8"/>
  <c r="Y107" i="8"/>
  <c r="Z107" i="8"/>
  <c r="AA107" i="8"/>
  <c r="AD107" i="8"/>
  <c r="AE107" i="8"/>
  <c r="AF107" i="8"/>
  <c r="AI107" i="8"/>
  <c r="AJ107" i="8"/>
  <c r="AK107" i="8"/>
  <c r="AN107" i="8"/>
  <c r="AO107" i="8"/>
  <c r="AP107" i="8"/>
  <c r="AS107" i="8"/>
  <c r="AT107" i="8"/>
  <c r="AU107" i="8"/>
  <c r="AW107" i="8"/>
  <c r="AX107" i="8"/>
  <c r="AY107" i="8"/>
  <c r="AZ107" i="8"/>
  <c r="BB107" i="8"/>
  <c r="BC107" i="8"/>
  <c r="BD107" i="8"/>
  <c r="BE107" i="8"/>
  <c r="BG107" i="8"/>
  <c r="BH107" i="8"/>
  <c r="BI107" i="8"/>
  <c r="BJ107" i="8"/>
  <c r="BL107" i="8"/>
  <c r="BM107" i="8"/>
  <c r="BN107" i="8"/>
  <c r="BO107" i="8"/>
  <c r="BR107" i="8"/>
  <c r="BS107" i="8"/>
  <c r="BT107" i="8"/>
  <c r="BW107" i="8"/>
  <c r="BX107" i="8"/>
  <c r="CA107" i="8"/>
  <c r="CB107" i="8"/>
  <c r="CC107" i="8"/>
  <c r="CD107" i="8"/>
  <c r="CG107" i="8"/>
  <c r="CH107" i="8"/>
  <c r="CI107" i="8"/>
  <c r="CK107" i="8"/>
  <c r="BB108" i="8"/>
  <c r="BC108" i="8"/>
  <c r="BD108" i="8"/>
  <c r="BE108" i="8"/>
  <c r="BG108" i="8"/>
  <c r="BH108" i="8"/>
  <c r="BI108" i="8"/>
  <c r="BJ108" i="8"/>
  <c r="BL108" i="8"/>
  <c r="BM108" i="8"/>
  <c r="BN108" i="8"/>
  <c r="BO108" i="8"/>
  <c r="BR108" i="8"/>
  <c r="BS108" i="8"/>
  <c r="BT108" i="8"/>
  <c r="BW108" i="8"/>
  <c r="BX108" i="8"/>
  <c r="CA108" i="8"/>
  <c r="CB108" i="8"/>
  <c r="CC108" i="8"/>
  <c r="CD108" i="8"/>
  <c r="CG108" i="8"/>
  <c r="CH108" i="8"/>
  <c r="CI108" i="8"/>
  <c r="CL108" i="8"/>
  <c r="CM108" i="8"/>
  <c r="CN108" i="8"/>
  <c r="CQ108" i="8"/>
  <c r="CR108" i="8"/>
  <c r="Y109" i="8"/>
  <c r="Z109" i="8"/>
  <c r="AA109" i="8"/>
  <c r="AF109" i="8"/>
  <c r="AI109" i="8"/>
  <c r="AJ109" i="8"/>
  <c r="AK109" i="8"/>
  <c r="AN109" i="8"/>
  <c r="AO109" i="8"/>
  <c r="AP109" i="8"/>
  <c r="AS109" i="8"/>
  <c r="AT109" i="8"/>
  <c r="AU109" i="8"/>
  <c r="AW109" i="8"/>
  <c r="AX109" i="8"/>
  <c r="AY109" i="8"/>
  <c r="AZ109" i="8"/>
  <c r="BB109" i="8"/>
  <c r="BC109" i="8"/>
  <c r="BD109" i="8"/>
  <c r="BE109" i="8"/>
  <c r="BG109" i="8"/>
  <c r="BH109" i="8"/>
  <c r="BI109" i="8"/>
  <c r="BJ109" i="8"/>
  <c r="BL109" i="8"/>
  <c r="BM109" i="8"/>
  <c r="BN109" i="8"/>
  <c r="BO109" i="8"/>
  <c r="BR109" i="8"/>
  <c r="BS109" i="8"/>
  <c r="BT109" i="8"/>
  <c r="BW109" i="8"/>
  <c r="BX109" i="8"/>
  <c r="CA109" i="8"/>
  <c r="CB109" i="8"/>
  <c r="CC109" i="8"/>
  <c r="CD109" i="8"/>
  <c r="CG109" i="8"/>
  <c r="CH109" i="8"/>
  <c r="CI109" i="8"/>
  <c r="CL109" i="8"/>
  <c r="CM109" i="8"/>
  <c r="CN109" i="8"/>
  <c r="CQ109" i="8"/>
  <c r="CR109" i="8"/>
  <c r="CS109" i="8"/>
  <c r="Y111" i="8"/>
  <c r="Z111" i="8"/>
  <c r="AA111" i="8"/>
  <c r="AD111" i="8"/>
  <c r="AE111" i="8"/>
  <c r="AF111" i="8"/>
  <c r="AI111" i="8"/>
  <c r="AJ111" i="8"/>
  <c r="AK111" i="8"/>
  <c r="AN111" i="8"/>
  <c r="AO111" i="8"/>
  <c r="AP111" i="8"/>
  <c r="AS111" i="8"/>
  <c r="AT111" i="8"/>
  <c r="AU111" i="8"/>
  <c r="AW111" i="8"/>
  <c r="AX111" i="8"/>
  <c r="AY111" i="8"/>
  <c r="AZ111" i="8"/>
  <c r="BB111" i="8"/>
  <c r="BC111" i="8"/>
  <c r="BD111" i="8"/>
  <c r="BE111" i="8"/>
  <c r="BG111" i="8"/>
  <c r="BH111" i="8"/>
  <c r="BI111" i="8"/>
  <c r="BJ111" i="8"/>
  <c r="BL111" i="8"/>
  <c r="BM111" i="8"/>
  <c r="BN111" i="8"/>
  <c r="BO111" i="8"/>
  <c r="BR111" i="8"/>
  <c r="BS111" i="8"/>
  <c r="BT111" i="8"/>
  <c r="BW111" i="8"/>
  <c r="BX111" i="8"/>
  <c r="CA111" i="8"/>
  <c r="CB111" i="8"/>
  <c r="CC111" i="8"/>
  <c r="CD111" i="8"/>
  <c r="CG111" i="8"/>
  <c r="CH111" i="8"/>
  <c r="CI111" i="8"/>
  <c r="CL111" i="8"/>
  <c r="CM111" i="8"/>
  <c r="CN111" i="8"/>
  <c r="CP111" i="8"/>
  <c r="CQ111" i="8"/>
  <c r="CR111" i="8"/>
  <c r="Y112" i="8"/>
  <c r="Z112" i="8"/>
  <c r="AA112" i="8"/>
  <c r="AD112" i="8"/>
  <c r="AE112" i="8"/>
  <c r="AF112" i="8"/>
  <c r="AI112" i="8"/>
  <c r="AJ112" i="8"/>
  <c r="AK112" i="8"/>
  <c r="AN112" i="8"/>
  <c r="AO112" i="8"/>
  <c r="AP112" i="8"/>
  <c r="AS112" i="8"/>
  <c r="AT112" i="8"/>
  <c r="AU112" i="8"/>
  <c r="AW112" i="8"/>
  <c r="AX112" i="8"/>
  <c r="AY112" i="8"/>
  <c r="AZ112" i="8"/>
  <c r="BB112" i="8"/>
  <c r="BC112" i="8"/>
  <c r="BD112" i="8"/>
  <c r="BE112" i="8"/>
  <c r="BG112" i="8"/>
  <c r="BH112" i="8"/>
  <c r="BI112" i="8"/>
  <c r="BJ112" i="8"/>
  <c r="BL112" i="8"/>
  <c r="BM112" i="8"/>
  <c r="BN112" i="8"/>
  <c r="BO112" i="8"/>
  <c r="BR112" i="8"/>
  <c r="BS112" i="8"/>
  <c r="BT112" i="8"/>
  <c r="BW112" i="8"/>
  <c r="BX112" i="8"/>
  <c r="CA112" i="8"/>
  <c r="CB112" i="8"/>
  <c r="CC112" i="8"/>
  <c r="CD112" i="8"/>
  <c r="CG112" i="8"/>
  <c r="CH112" i="8"/>
  <c r="CI112" i="8"/>
  <c r="CL112" i="8"/>
  <c r="CM112" i="8"/>
  <c r="CN112" i="8"/>
  <c r="CP112" i="8"/>
  <c r="CQ112" i="8"/>
  <c r="CR112" i="8"/>
  <c r="AO113" i="8"/>
  <c r="AP113" i="8"/>
  <c r="AS113" i="8"/>
  <c r="AT113" i="8"/>
  <c r="AU113" i="8"/>
  <c r="AW113" i="8"/>
  <c r="AX113" i="8"/>
  <c r="AY113" i="8"/>
  <c r="AZ113" i="8"/>
  <c r="BB113" i="8"/>
  <c r="BC113" i="8"/>
  <c r="BD113" i="8"/>
  <c r="BE113" i="8"/>
  <c r="BG113" i="8"/>
  <c r="BH113" i="8"/>
  <c r="BI113" i="8"/>
  <c r="BJ113" i="8"/>
  <c r="BL113" i="8"/>
  <c r="BM113" i="8"/>
  <c r="BN113" i="8"/>
  <c r="BO113" i="8"/>
  <c r="BR113" i="8"/>
  <c r="BS113" i="8"/>
  <c r="BT113" i="8"/>
  <c r="BW113" i="8"/>
  <c r="BX113" i="8"/>
  <c r="CA113" i="8"/>
  <c r="CB113" i="8"/>
  <c r="CC113" i="8"/>
  <c r="CD113" i="8"/>
  <c r="CG113" i="8"/>
  <c r="CH113" i="8"/>
  <c r="CI113" i="8"/>
  <c r="CK113" i="8"/>
  <c r="CL113" i="8"/>
  <c r="CM113" i="8"/>
  <c r="CN113" i="8"/>
  <c r="CQ113" i="8"/>
  <c r="CR113" i="8"/>
  <c r="Y114" i="8"/>
  <c r="Z114" i="8"/>
  <c r="AA114" i="8"/>
  <c r="AD114" i="8"/>
  <c r="AE114" i="8"/>
  <c r="AF114" i="8"/>
  <c r="AI114" i="8"/>
  <c r="AJ114" i="8"/>
  <c r="AK114" i="8"/>
  <c r="AN114" i="8"/>
  <c r="AO114" i="8"/>
  <c r="AP114" i="8"/>
  <c r="AS114" i="8"/>
  <c r="AT114" i="8"/>
  <c r="AU114" i="8"/>
  <c r="AW114" i="8"/>
  <c r="AX114" i="8"/>
  <c r="AY114" i="8"/>
  <c r="AZ114" i="8"/>
  <c r="BB114" i="8"/>
  <c r="BC114" i="8"/>
  <c r="BD114" i="8"/>
  <c r="BE114" i="8"/>
  <c r="BG114" i="8"/>
  <c r="BH114" i="8"/>
  <c r="BI114" i="8"/>
  <c r="BJ114" i="8"/>
  <c r="BL114" i="8"/>
  <c r="BM114" i="8"/>
  <c r="BN114" i="8"/>
  <c r="BO114" i="8"/>
  <c r="BR114" i="8"/>
  <c r="BS114" i="8"/>
  <c r="BT114" i="8"/>
  <c r="BW114" i="8"/>
  <c r="BX114" i="8"/>
  <c r="CA114" i="8"/>
  <c r="CB114" i="8"/>
  <c r="CC114" i="8"/>
  <c r="CD114" i="8"/>
  <c r="CG114" i="8"/>
  <c r="CH114" i="8"/>
  <c r="CI114" i="8"/>
  <c r="CK114" i="8"/>
  <c r="CL114" i="8"/>
  <c r="CM114" i="8"/>
  <c r="CN114" i="8"/>
  <c r="CQ114" i="8"/>
  <c r="CR114" i="8"/>
  <c r="CS114" i="8"/>
  <c r="AH119" i="8"/>
  <c r="AH124" i="8" s="1"/>
  <c r="AI119" i="8"/>
  <c r="AJ119" i="8"/>
  <c r="AJ125" i="8" s="1"/>
  <c r="AK119" i="8"/>
  <c r="AM119" i="8"/>
  <c r="AM127" i="8" s="1"/>
  <c r="AN119" i="8"/>
  <c r="AO119" i="8"/>
  <c r="AO124" i="8" s="1"/>
  <c r="AP119" i="8"/>
  <c r="AP127" i="8" s="1"/>
  <c r="AR119" i="8"/>
  <c r="AR124" i="8" s="1"/>
  <c r="AS119" i="8"/>
  <c r="AT119" i="8"/>
  <c r="AT127" i="8" s="1"/>
  <c r="AU119" i="8"/>
  <c r="AU127" i="8" s="1"/>
  <c r="AW119" i="8"/>
  <c r="AW124" i="8" s="1"/>
  <c r="AX119" i="8"/>
  <c r="AX124" i="8" s="1"/>
  <c r="AY119" i="8"/>
  <c r="AY124" i="8" s="1"/>
  <c r="AZ119" i="8"/>
  <c r="AZ124" i="8" s="1"/>
  <c r="BB119" i="8"/>
  <c r="BB127" i="8" s="1"/>
  <c r="BC119" i="8"/>
  <c r="BC124" i="8" s="1"/>
  <c r="BD119" i="8"/>
  <c r="BD124" i="8" s="1"/>
  <c r="BE119" i="8"/>
  <c r="BE124" i="8" s="1"/>
  <c r="BG119" i="8"/>
  <c r="BG124" i="8" s="1"/>
  <c r="BH119" i="8"/>
  <c r="BI119" i="8"/>
  <c r="BI124" i="8" s="1"/>
  <c r="BJ119" i="8"/>
  <c r="BJ124" i="8" s="1"/>
  <c r="BL119" i="8"/>
  <c r="BL127" i="8" s="1"/>
  <c r="BM119" i="8"/>
  <c r="BM127" i="8" s="1"/>
  <c r="BN119" i="8"/>
  <c r="BN124" i="8" s="1"/>
  <c r="BO119" i="8"/>
  <c r="BO124" i="8" s="1"/>
  <c r="BQ119" i="8"/>
  <c r="BQ124" i="8" s="1"/>
  <c r="BR119" i="8"/>
  <c r="BR124" i="8" s="1"/>
  <c r="BW124" i="8" s="1"/>
  <c r="CB124" i="8" s="1"/>
  <c r="BS119" i="8"/>
  <c r="BS124" i="8" s="1"/>
  <c r="BX124" i="8" s="1"/>
  <c r="CC124" i="8" s="1"/>
  <c r="BT119" i="8"/>
  <c r="BT124" i="8" s="1"/>
  <c r="BY124" i="8" s="1"/>
  <c r="CD124" i="8" s="1"/>
  <c r="BV119" i="8"/>
  <c r="BV127" i="8" s="1"/>
  <c r="BW119" i="8"/>
  <c r="BW127" i="8" s="1"/>
  <c r="BX119" i="8"/>
  <c r="BY119" i="8"/>
  <c r="BY127" i="8" s="1"/>
  <c r="CA119" i="8"/>
  <c r="CB119" i="8"/>
  <c r="CB127" i="8" s="1"/>
  <c r="CC119" i="8"/>
  <c r="CC127" i="8" s="1"/>
  <c r="CD119" i="8"/>
  <c r="CD127" i="8" s="1"/>
  <c r="CF119" i="8"/>
  <c r="CG119" i="8"/>
  <c r="CG124" i="8" s="1"/>
  <c r="CH119" i="8"/>
  <c r="CH124" i="8" s="1"/>
  <c r="CI119" i="8"/>
  <c r="CI124" i="8" s="1"/>
  <c r="AH120" i="8"/>
  <c r="AI120" i="8"/>
  <c r="AJ120" i="8"/>
  <c r="AK120" i="8"/>
  <c r="AM120" i="8"/>
  <c r="AN120" i="8"/>
  <c r="AO120" i="8"/>
  <c r="AP120" i="8"/>
  <c r="AR120" i="8"/>
  <c r="AS120" i="8"/>
  <c r="AT120" i="8"/>
  <c r="AU120" i="8"/>
  <c r="AW120" i="8"/>
  <c r="AX120" i="8"/>
  <c r="AY120" i="8"/>
  <c r="AZ120" i="8"/>
  <c r="BB120" i="8"/>
  <c r="BC120" i="8"/>
  <c r="BD120" i="8"/>
  <c r="BE120" i="8"/>
  <c r="BG120" i="8"/>
  <c r="BH120" i="8"/>
  <c r="BI120" i="8"/>
  <c r="BL120" i="8"/>
  <c r="BM120" i="8"/>
  <c r="BN120" i="8"/>
  <c r="BO120" i="8"/>
  <c r="BQ120" i="8"/>
  <c r="BR120" i="8"/>
  <c r="BS120" i="8"/>
  <c r="BT120" i="8"/>
  <c r="BV120" i="8"/>
  <c r="BW120" i="8"/>
  <c r="BX120" i="8"/>
  <c r="BY120" i="8"/>
  <c r="CA120" i="8"/>
  <c r="CB120" i="8"/>
  <c r="CC120" i="8"/>
  <c r="CD120" i="8"/>
  <c r="CK120" i="8"/>
  <c r="CM120" i="8"/>
  <c r="CN120" i="8"/>
  <c r="AH121" i="8"/>
  <c r="AI121" i="8"/>
  <c r="AJ121" i="8"/>
  <c r="AK121" i="8"/>
  <c r="AM121" i="8"/>
  <c r="AM125" i="8" s="1"/>
  <c r="AN121" i="8"/>
  <c r="AN125" i="8" s="1"/>
  <c r="AO121" i="8"/>
  <c r="AO125" i="8" s="1"/>
  <c r="AP121" i="8"/>
  <c r="AP125" i="8" s="1"/>
  <c r="AR133" i="8"/>
  <c r="AS133" i="8"/>
  <c r="AU133" i="8"/>
  <c r="BA133" i="8"/>
  <c r="BF133" i="8"/>
  <c r="BH133" i="8"/>
  <c r="BI133" i="8"/>
  <c r="BQ133" i="8"/>
  <c r="BS133" i="8"/>
  <c r="BT133" i="8"/>
  <c r="BV133" i="8"/>
  <c r="BW133" i="8"/>
  <c r="BX133" i="8"/>
  <c r="BY133" i="8"/>
  <c r="CA133" i="8"/>
  <c r="CB133" i="8"/>
  <c r="CD133" i="8"/>
  <c r="CG133" i="8"/>
  <c r="CH133" i="8"/>
  <c r="CI133" i="8"/>
  <c r="CJ133" i="8"/>
  <c r="CK133" i="8"/>
  <c r="CL133" i="8"/>
  <c r="CM133" i="8"/>
  <c r="CN133" i="8"/>
  <c r="CO133" i="8"/>
  <c r="CP133" i="8"/>
  <c r="CQ133" i="8"/>
  <c r="CR133" i="8"/>
  <c r="CS133" i="8"/>
  <c r="CT133" i="8"/>
  <c r="CU133" i="8"/>
  <c r="CV133" i="8"/>
  <c r="CW133" i="8"/>
  <c r="CX133" i="8"/>
  <c r="CY133" i="8"/>
  <c r="BA142" i="8"/>
  <c r="BF142" i="8"/>
  <c r="BK142" i="8"/>
  <c r="BA158" i="8"/>
  <c r="BF158" i="8"/>
  <c r="BK158" i="8"/>
  <c r="BA159" i="8"/>
  <c r="BF159" i="8"/>
  <c r="BK159" i="8"/>
  <c r="CO176" i="8"/>
  <c r="CO177" i="8"/>
  <c r="CT177" i="8" s="1"/>
  <c r="CO178" i="8"/>
  <c r="CT178" i="8" s="1"/>
  <c r="CO179" i="8"/>
  <c r="CT179" i="8" s="1"/>
  <c r="CY179" i="8" s="1"/>
  <c r="CO180" i="8"/>
  <c r="CT180" i="8" s="1"/>
  <c r="CY180" i="8" s="1"/>
  <c r="CO181" i="8"/>
  <c r="CT181" i="8" s="1"/>
  <c r="CO182" i="8"/>
  <c r="CT182" i="8" s="1"/>
  <c r="CY182" i="8" s="1"/>
  <c r="CO183" i="8"/>
  <c r="CT183" i="8" s="1"/>
  <c r="CY183" i="8" s="1"/>
  <c r="DD183" i="8" s="1"/>
  <c r="CO184" i="8"/>
  <c r="CT184" i="8" s="1"/>
  <c r="CY184" i="8" s="1"/>
  <c r="DD184" i="8" s="1"/>
  <c r="CO185" i="8"/>
  <c r="CO186" i="8"/>
  <c r="BF187" i="8"/>
  <c r="BK187" i="8"/>
  <c r="BP187" i="8"/>
  <c r="BU187" i="8"/>
  <c r="BZ187" i="8"/>
  <c r="CE187" i="8"/>
  <c r="CO187" i="8"/>
  <c r="CO188" i="8"/>
  <c r="CT188" i="8" s="1"/>
  <c r="CY188" i="8" s="1"/>
  <c r="DD188" i="8" s="1"/>
  <c r="CO189" i="8"/>
  <c r="CT189" i="8" s="1"/>
  <c r="CY189" i="8" s="1"/>
  <c r="DD189" i="8" s="1"/>
  <c r="BF190" i="8"/>
  <c r="BK190" i="8"/>
  <c r="BP190" i="8"/>
  <c r="BU190" i="8"/>
  <c r="BZ190" i="8"/>
  <c r="CE190" i="8"/>
  <c r="CO190" i="8"/>
  <c r="CT190" i="8" s="1"/>
  <c r="CY190" i="8" s="1"/>
  <c r="DD190" i="8" s="1"/>
  <c r="CO191" i="8"/>
  <c r="CT191" i="8" s="1"/>
  <c r="CY191" i="8" s="1"/>
  <c r="DD191" i="8" s="1"/>
  <c r="CO192" i="8"/>
  <c r="CT192" i="8" s="1"/>
  <c r="CY192" i="8" s="1"/>
  <c r="DD192" i="8" s="1"/>
  <c r="CO193" i="8"/>
  <c r="CT193" i="8" s="1"/>
  <c r="CY193" i="8" s="1"/>
  <c r="DD193" i="8" s="1"/>
  <c r="CO194" i="8"/>
  <c r="CT194" i="8" s="1"/>
  <c r="CY194" i="8" s="1"/>
  <c r="DD194" i="8" s="1"/>
  <c r="CO195" i="8"/>
  <c r="CT195" i="8" s="1"/>
  <c r="CY195" i="8" s="1"/>
  <c r="DD195" i="8" s="1"/>
  <c r="CO196" i="8"/>
  <c r="CT196" i="8" s="1"/>
  <c r="CY196" i="8" s="1"/>
  <c r="DD196" i="8" s="1"/>
  <c r="CO200" i="8"/>
  <c r="CT200" i="8" s="1"/>
  <c r="CY200" i="8" s="1"/>
  <c r="DD200" i="8" s="1"/>
  <c r="CO201" i="8"/>
  <c r="CT201" i="8" s="1"/>
  <c r="CY201" i="8" s="1"/>
  <c r="DD201" i="8" s="1"/>
  <c r="CO202" i="8"/>
  <c r="CT202" i="8" s="1"/>
  <c r="CY202" i="8" s="1"/>
  <c r="DD202" i="8" s="1"/>
  <c r="CO203" i="8"/>
  <c r="CT203" i="8" s="1"/>
  <c r="CY203" i="8" s="1"/>
  <c r="DD203" i="8" s="1"/>
  <c r="CO204" i="8"/>
  <c r="CT204" i="8" s="1"/>
  <c r="CY204" i="8" s="1"/>
  <c r="DD204" i="8" s="1"/>
  <c r="CO205" i="8"/>
  <c r="CT205" i="8" s="1"/>
  <c r="CY205" i="8" s="1"/>
  <c r="DD205" i="8" s="1"/>
  <c r="BF207" i="8"/>
  <c r="BK207" i="8"/>
  <c r="BP207" i="8"/>
  <c r="BU207" i="8"/>
  <c r="BZ207" i="8"/>
  <c r="CE207" i="8"/>
  <c r="CJ207" i="8"/>
  <c r="BF210" i="8"/>
  <c r="BK210" i="8"/>
  <c r="BP210" i="8"/>
  <c r="BU210" i="8"/>
  <c r="BZ210" i="8"/>
  <c r="CE210" i="8"/>
  <c r="CJ210" i="8"/>
  <c r="CO210" i="8"/>
  <c r="CT210" i="8"/>
  <c r="CY210" i="8"/>
  <c r="DN210" i="8"/>
  <c r="DS210" i="8"/>
  <c r="ED7" i="1"/>
  <c r="EG9" i="1"/>
  <c r="Z13" i="1"/>
  <c r="AE13" i="1"/>
  <c r="Z14" i="1"/>
  <c r="AE14" i="1"/>
  <c r="B17" i="1"/>
  <c r="C17" i="1"/>
  <c r="D17" i="1"/>
  <c r="E17" i="1"/>
  <c r="F17" i="1"/>
  <c r="G17" i="1"/>
  <c r="H17" i="1"/>
  <c r="I17" i="1"/>
  <c r="J17" i="1"/>
  <c r="K17" i="1"/>
  <c r="L17" i="1"/>
  <c r="M17" i="1"/>
  <c r="N17" i="1"/>
  <c r="O17" i="1"/>
  <c r="P17" i="1"/>
  <c r="Q17" i="1"/>
  <c r="R17" i="1"/>
  <c r="S17" i="1"/>
  <c r="T17" i="1"/>
  <c r="U17" i="1"/>
  <c r="V17" i="1"/>
  <c r="W17" i="1"/>
  <c r="X17" i="1"/>
  <c r="Y17" i="1"/>
  <c r="AA17" i="1"/>
  <c r="AA83" i="1" s="1"/>
  <c r="AB17" i="1"/>
  <c r="AC17" i="1"/>
  <c r="AD17" i="1"/>
  <c r="AD83" i="1" s="1"/>
  <c r="Z20" i="1"/>
  <c r="Z130" i="98" s="1"/>
  <c r="AE20" i="1"/>
  <c r="AE130" i="98" s="1"/>
  <c r="AJ20" i="1"/>
  <c r="AO20" i="1"/>
  <c r="AO130" i="98" s="1"/>
  <c r="AT20" i="1"/>
  <c r="AT130" i="98" s="1"/>
  <c r="AY20" i="1"/>
  <c r="AY130" i="98" s="1"/>
  <c r="BD20" i="1"/>
  <c r="BI20" i="1"/>
  <c r="BI130" i="98" s="1"/>
  <c r="BN20" i="1"/>
  <c r="BN130" i="98" s="1"/>
  <c r="BX20" i="1"/>
  <c r="Z21" i="1"/>
  <c r="AE21" i="1"/>
  <c r="AJ21" i="1"/>
  <c r="AO21" i="1"/>
  <c r="AT21" i="1"/>
  <c r="AY21" i="1"/>
  <c r="BD21" i="1"/>
  <c r="BI21" i="1"/>
  <c r="BN21" i="1"/>
  <c r="BX21" i="1"/>
  <c r="B22" i="1"/>
  <c r="B38" i="1" s="1"/>
  <c r="B73" i="1" s="1"/>
  <c r="C22" i="1"/>
  <c r="D22" i="1"/>
  <c r="D71" i="1" s="1"/>
  <c r="E22" i="1"/>
  <c r="E38" i="1" s="1"/>
  <c r="F22" i="1"/>
  <c r="G22" i="1"/>
  <c r="H22" i="1"/>
  <c r="H38" i="1" s="1"/>
  <c r="I22" i="1"/>
  <c r="I38" i="1" s="1"/>
  <c r="J22" i="1"/>
  <c r="J38" i="1" s="1"/>
  <c r="J39" i="1" s="1"/>
  <c r="K22" i="1"/>
  <c r="L22" i="1"/>
  <c r="L91" i="98" s="1"/>
  <c r="M22" i="1"/>
  <c r="M91" i="98" s="1"/>
  <c r="N22" i="1"/>
  <c r="N71" i="1" s="1"/>
  <c r="O22" i="1"/>
  <c r="O91" i="98" s="1"/>
  <c r="P22" i="1"/>
  <c r="P91" i="98" s="1"/>
  <c r="Q22" i="1"/>
  <c r="Q91" i="98" s="1"/>
  <c r="R22" i="1"/>
  <c r="R91" i="98" s="1"/>
  <c r="S22" i="1"/>
  <c r="S91" i="98" s="1"/>
  <c r="T22" i="1"/>
  <c r="U22" i="1"/>
  <c r="U91" i="98" s="1"/>
  <c r="V22" i="1"/>
  <c r="W22" i="1"/>
  <c r="W91" i="98" s="1"/>
  <c r="X22" i="1"/>
  <c r="Y22" i="1"/>
  <c r="Y91" i="98" s="1"/>
  <c r="AA22" i="1"/>
  <c r="AA91" i="98" s="1"/>
  <c r="AB22" i="1"/>
  <c r="AB91" i="98" s="1"/>
  <c r="AC22" i="1"/>
  <c r="AC38" i="1" s="1"/>
  <c r="AD22" i="1"/>
  <c r="AD91" i="98" s="1"/>
  <c r="AF22" i="1"/>
  <c r="AF91" i="98" s="1"/>
  <c r="AG22" i="1"/>
  <c r="AG91" i="98" s="1"/>
  <c r="AH22" i="1"/>
  <c r="AI22" i="1"/>
  <c r="AI91" i="98" s="1"/>
  <c r="AK22" i="1"/>
  <c r="AK91" i="98" s="1"/>
  <c r="AL22" i="1"/>
  <c r="AL91" i="98" s="1"/>
  <c r="AM22" i="1"/>
  <c r="AN22" i="1"/>
  <c r="AN38" i="1" s="1"/>
  <c r="AN39" i="1" s="1"/>
  <c r="AP22" i="1"/>
  <c r="AP91" i="98" s="1"/>
  <c r="AQ22" i="1"/>
  <c r="AQ91" i="98" s="1"/>
  <c r="AR22" i="1"/>
  <c r="AR71" i="1" s="1"/>
  <c r="AS22" i="1"/>
  <c r="AS71" i="1" s="1"/>
  <c r="AU22" i="1"/>
  <c r="AU88" i="1" s="1"/>
  <c r="AV22" i="1"/>
  <c r="AW22" i="1"/>
  <c r="AY118" i="8" s="1"/>
  <c r="AY123" i="8" s="1"/>
  <c r="AX22" i="1"/>
  <c r="AZ118" i="8" s="1"/>
  <c r="AZ123" i="8" s="1"/>
  <c r="AZ22" i="1"/>
  <c r="BB118" i="8" s="1"/>
  <c r="BB123" i="8" s="1"/>
  <c r="BA22" i="1"/>
  <c r="BB22" i="1"/>
  <c r="BD118" i="8" s="1"/>
  <c r="BD123" i="8" s="1"/>
  <c r="BC22" i="1"/>
  <c r="BC88" i="1" s="1"/>
  <c r="BE22" i="1"/>
  <c r="BG118" i="8" s="1"/>
  <c r="BG123" i="8" s="1"/>
  <c r="BF22" i="1"/>
  <c r="BG22" i="1"/>
  <c r="BI118" i="8" s="1"/>
  <c r="BI123" i="8" s="1"/>
  <c r="BH22" i="1"/>
  <c r="BJ22" i="1"/>
  <c r="BK22" i="1"/>
  <c r="BL22" i="1"/>
  <c r="BN118" i="8" s="1"/>
  <c r="BN123" i="8" s="1"/>
  <c r="BM22" i="1"/>
  <c r="BO22" i="1"/>
  <c r="BP22" i="1"/>
  <c r="BR22" i="1"/>
  <c r="BT118" i="8" s="1"/>
  <c r="BT123" i="8" s="1"/>
  <c r="BY123" i="8" s="1"/>
  <c r="CD123" i="8" s="1"/>
  <c r="BT22" i="1"/>
  <c r="BT80" i="1" s="1"/>
  <c r="BU22" i="1"/>
  <c r="BV22" i="1"/>
  <c r="BW22" i="1"/>
  <c r="BW80" i="1" s="1"/>
  <c r="F24" i="1"/>
  <c r="F67" i="1" s="1"/>
  <c r="K24" i="1"/>
  <c r="K67" i="1" s="1"/>
  <c r="P24" i="1"/>
  <c r="U24" i="1"/>
  <c r="Z24" i="1"/>
  <c r="AE24" i="1"/>
  <c r="AJ24" i="1"/>
  <c r="AO24" i="1"/>
  <c r="AO67" i="1" s="1"/>
  <c r="AT24" i="1"/>
  <c r="AY24" i="1"/>
  <c r="BD24" i="1"/>
  <c r="BI24" i="1"/>
  <c r="BN24" i="1"/>
  <c r="BS24" i="1"/>
  <c r="BX24" i="1"/>
  <c r="CC24" i="1"/>
  <c r="F25" i="1"/>
  <c r="F68" i="1" s="1"/>
  <c r="K25" i="1"/>
  <c r="P25" i="1"/>
  <c r="U25" i="1"/>
  <c r="U68" i="1" s="1"/>
  <c r="Z25" i="1"/>
  <c r="AE25" i="1"/>
  <c r="AJ25" i="1"/>
  <c r="AO25" i="1"/>
  <c r="AY25" i="1"/>
  <c r="BD25" i="1"/>
  <c r="BI25" i="1"/>
  <c r="BN25" i="1"/>
  <c r="BS25" i="1"/>
  <c r="BX25" i="1"/>
  <c r="CC25" i="1"/>
  <c r="F26" i="1"/>
  <c r="F69" i="1" s="1"/>
  <c r="K26" i="1"/>
  <c r="K69" i="1" s="1"/>
  <c r="P26" i="1"/>
  <c r="P69" i="1" s="1"/>
  <c r="U26" i="1"/>
  <c r="U69" i="1" s="1"/>
  <c r="Z26" i="1"/>
  <c r="AE26" i="1"/>
  <c r="AJ26" i="1"/>
  <c r="AO26" i="1"/>
  <c r="AT26" i="1"/>
  <c r="AY26" i="1"/>
  <c r="BD26" i="1"/>
  <c r="BI26" i="1"/>
  <c r="BN26" i="1"/>
  <c r="BS26" i="1"/>
  <c r="BX26" i="1"/>
  <c r="CC26" i="1"/>
  <c r="F28" i="1"/>
  <c r="K28" i="1"/>
  <c r="P28" i="1"/>
  <c r="U28" i="1"/>
  <c r="Z28" i="1"/>
  <c r="AE28" i="1"/>
  <c r="AJ28" i="1"/>
  <c r="AO28" i="1"/>
  <c r="AT28" i="1"/>
  <c r="AY28" i="1"/>
  <c r="BD28" i="1"/>
  <c r="BH28" i="1"/>
  <c r="BH224" i="1" s="1"/>
  <c r="BI224" i="1" s="1"/>
  <c r="BN28" i="1"/>
  <c r="BS28" i="1"/>
  <c r="BX28" i="1"/>
  <c r="Z30" i="1"/>
  <c r="AE30" i="1"/>
  <c r="AJ30" i="1"/>
  <c r="AO30" i="1"/>
  <c r="AT30" i="1"/>
  <c r="AY30" i="1"/>
  <c r="BD30" i="1"/>
  <c r="BI30" i="1"/>
  <c r="BN30" i="1"/>
  <c r="BS30" i="1"/>
  <c r="BX30" i="1"/>
  <c r="CC30" i="1"/>
  <c r="AT32" i="1"/>
  <c r="AY32" i="1"/>
  <c r="BD32" i="1"/>
  <c r="BI32" i="1"/>
  <c r="BS32" i="1"/>
  <c r="AO35" i="1"/>
  <c r="AT35" i="1"/>
  <c r="AY35" i="1"/>
  <c r="BD35" i="1"/>
  <c r="BI35" i="1"/>
  <c r="BS35" i="1"/>
  <c r="BX35" i="1"/>
  <c r="CC35" i="1"/>
  <c r="AO36" i="1"/>
  <c r="AP36" i="1"/>
  <c r="AQ36" i="1"/>
  <c r="AS121" i="8" s="1"/>
  <c r="AS125" i="8" s="1"/>
  <c r="AR36" i="1"/>
  <c r="AS36" i="1"/>
  <c r="AS214" i="1" s="1"/>
  <c r="AU36" i="1"/>
  <c r="AW121" i="8" s="1"/>
  <c r="AW125" i="8" s="1"/>
  <c r="AV36" i="1"/>
  <c r="AV214" i="1" s="1"/>
  <c r="AW36" i="1"/>
  <c r="AX36" i="1"/>
  <c r="AZ36" i="1"/>
  <c r="BB121" i="8" s="1"/>
  <c r="BB125" i="8" s="1"/>
  <c r="BA36" i="1"/>
  <c r="BA214" i="1" s="1"/>
  <c r="BB36" i="1"/>
  <c r="BC36" i="1"/>
  <c r="BC214" i="1" s="1"/>
  <c r="BE36" i="1"/>
  <c r="BG121" i="8" s="1"/>
  <c r="BG125" i="8" s="1"/>
  <c r="BF36" i="1"/>
  <c r="BH121" i="8" s="1"/>
  <c r="BH125" i="8" s="1"/>
  <c r="BG36" i="1"/>
  <c r="BH36" i="1"/>
  <c r="BH214" i="1" s="1"/>
  <c r="BK36" i="1"/>
  <c r="BL36" i="1"/>
  <c r="BN121" i="8" s="1"/>
  <c r="BN125" i="8" s="1"/>
  <c r="BM36" i="1"/>
  <c r="BM214" i="1" s="1"/>
  <c r="BO36" i="1"/>
  <c r="BO38" i="1" s="1"/>
  <c r="BP36" i="1"/>
  <c r="BR121" i="8" s="1"/>
  <c r="BR125" i="8" s="1"/>
  <c r="BW125" i="8" s="1"/>
  <c r="CB125" i="8" s="1"/>
  <c r="BQ36" i="1"/>
  <c r="BS121" i="8" s="1"/>
  <c r="BS125" i="8" s="1"/>
  <c r="BX125" i="8" s="1"/>
  <c r="CC125" i="8" s="1"/>
  <c r="BR36" i="1"/>
  <c r="BT121" i="8" s="1"/>
  <c r="BT125" i="8" s="1"/>
  <c r="BY125" i="8" s="1"/>
  <c r="CD125" i="8" s="1"/>
  <c r="BT36" i="1"/>
  <c r="BV121" i="8" s="1"/>
  <c r="BV125" i="8" s="1"/>
  <c r="BU36" i="1"/>
  <c r="BV36" i="1"/>
  <c r="BX121" i="8" s="1"/>
  <c r="BW36" i="1"/>
  <c r="BY36" i="1"/>
  <c r="CA121" i="8" s="1"/>
  <c r="CA125" i="8" s="1"/>
  <c r="BZ36" i="1"/>
  <c r="CB121" i="8" s="1"/>
  <c r="CB36" i="1"/>
  <c r="CD121" i="8" s="1"/>
  <c r="CD36" i="1"/>
  <c r="CE36" i="1"/>
  <c r="CF36" i="1"/>
  <c r="CG36" i="1"/>
  <c r="Z37" i="1"/>
  <c r="AJ37" i="1"/>
  <c r="AO37" i="1"/>
  <c r="AR37" i="1"/>
  <c r="AY37" i="1"/>
  <c r="BD37" i="1"/>
  <c r="BI37" i="1"/>
  <c r="BS37" i="1"/>
  <c r="BX37" i="1"/>
  <c r="CC37" i="1"/>
  <c r="CH37" i="1"/>
  <c r="F43" i="1"/>
  <c r="K43" i="1"/>
  <c r="P43" i="1"/>
  <c r="U43" i="1"/>
  <c r="Z43" i="1"/>
  <c r="AJ43" i="1"/>
  <c r="AL212" i="8" s="1"/>
  <c r="AL213" i="8" s="1"/>
  <c r="AO43" i="1"/>
  <c r="AQ212" i="8" s="1"/>
  <c r="AQ213" i="8" s="1"/>
  <c r="AT43" i="1"/>
  <c r="AV212" i="8" s="1"/>
  <c r="AV213" i="8" s="1"/>
  <c r="AY43" i="1"/>
  <c r="BA212" i="8" s="1"/>
  <c r="BA213" i="8" s="1"/>
  <c r="BD43" i="1"/>
  <c r="BI43" i="1"/>
  <c r="BN43" i="1"/>
  <c r="BP212" i="8" s="1"/>
  <c r="BS43" i="1"/>
  <c r="BU212" i="8" s="1"/>
  <c r="BX43" i="1"/>
  <c r="CC43" i="1"/>
  <c r="D46" i="1"/>
  <c r="F46" i="1" s="1"/>
  <c r="I46" i="1"/>
  <c r="K46" i="1" s="1"/>
  <c r="P46" i="1"/>
  <c r="Q46" i="1"/>
  <c r="R46" i="1"/>
  <c r="Z46" i="1"/>
  <c r="AJ46" i="1"/>
  <c r="AO46" i="1"/>
  <c r="AY46" i="1"/>
  <c r="BD46" i="1"/>
  <c r="BI46" i="1"/>
  <c r="BN46" i="1"/>
  <c r="BS46" i="1"/>
  <c r="BX46" i="1"/>
  <c r="CC46" i="1"/>
  <c r="BI48" i="1"/>
  <c r="BN48" i="1"/>
  <c r="BS48" i="1"/>
  <c r="BX48" i="1"/>
  <c r="CC48" i="1"/>
  <c r="B49" i="1"/>
  <c r="F52" i="1"/>
  <c r="K52" i="1"/>
  <c r="P52" i="1"/>
  <c r="U52" i="1"/>
  <c r="Z52" i="1"/>
  <c r="AE52" i="1"/>
  <c r="AJ52" i="1"/>
  <c r="AO52" i="1"/>
  <c r="AT52" i="1"/>
  <c r="AY52" i="1"/>
  <c r="BD52" i="1"/>
  <c r="BI52" i="1"/>
  <c r="BN52" i="1"/>
  <c r="BS52" i="1"/>
  <c r="BX52" i="1"/>
  <c r="CC52" i="1"/>
  <c r="CH52" i="1"/>
  <c r="CR52" i="1"/>
  <c r="DL52" i="1"/>
  <c r="DQ52" i="1"/>
  <c r="EF52" i="1"/>
  <c r="F53" i="1"/>
  <c r="F60" i="1" s="1"/>
  <c r="K53" i="1"/>
  <c r="P53" i="1"/>
  <c r="U53" i="1"/>
  <c r="W53" i="1"/>
  <c r="X53" i="1"/>
  <c r="AE53" i="1"/>
  <c r="AJ53" i="1"/>
  <c r="AO53" i="1"/>
  <c r="AT53" i="1"/>
  <c r="AY53" i="1"/>
  <c r="BD53" i="1"/>
  <c r="BI53" i="1"/>
  <c r="BN53" i="1"/>
  <c r="BS53" i="1"/>
  <c r="BX53" i="1"/>
  <c r="CC53" i="1"/>
  <c r="CC60" i="1" s="1"/>
  <c r="CH53" i="1"/>
  <c r="CH60" i="1" s="1"/>
  <c r="CR53" i="1"/>
  <c r="CR60" i="1" s="1"/>
  <c r="DL53" i="1"/>
  <c r="DQ53" i="1"/>
  <c r="EF53" i="1"/>
  <c r="F56" i="1"/>
  <c r="K56" i="1"/>
  <c r="P56" i="1"/>
  <c r="U56" i="1"/>
  <c r="V56" i="1"/>
  <c r="AE56" i="1"/>
  <c r="AJ56" i="1"/>
  <c r="AO56" i="1"/>
  <c r="AT56" i="1"/>
  <c r="BI56" i="1"/>
  <c r="BN56" i="1"/>
  <c r="DL56" i="1"/>
  <c r="DQ56" i="1"/>
  <c r="F57" i="1"/>
  <c r="K57" i="1"/>
  <c r="P57" i="1"/>
  <c r="S57" i="1"/>
  <c r="U57" i="1" s="1"/>
  <c r="W57" i="1"/>
  <c r="X57" i="1"/>
  <c r="AC57" i="1"/>
  <c r="AE57" i="1" s="1"/>
  <c r="AP57" i="1"/>
  <c r="AQ57" i="1"/>
  <c r="BN57" i="1"/>
  <c r="BA60" i="1"/>
  <c r="BB60" i="1"/>
  <c r="BC60" i="1"/>
  <c r="BE60" i="1"/>
  <c r="BF60" i="1"/>
  <c r="BG60" i="1"/>
  <c r="BH60" i="1"/>
  <c r="BJ60" i="1"/>
  <c r="BK60" i="1"/>
  <c r="BL60" i="1"/>
  <c r="BM60" i="1"/>
  <c r="BO60" i="1"/>
  <c r="BP60" i="1"/>
  <c r="BQ60" i="1"/>
  <c r="BR60" i="1"/>
  <c r="BT60" i="1"/>
  <c r="BU60" i="1"/>
  <c r="BV60" i="1"/>
  <c r="BW60" i="1"/>
  <c r="BY60" i="1"/>
  <c r="BZ60" i="1"/>
  <c r="CA60" i="1"/>
  <c r="CB60" i="1"/>
  <c r="CD60" i="1"/>
  <c r="CE60" i="1"/>
  <c r="CF60" i="1"/>
  <c r="CG60" i="1"/>
  <c r="CJ60" i="1"/>
  <c r="CK60" i="1"/>
  <c r="CL60" i="1"/>
  <c r="CN60" i="1"/>
  <c r="CO60" i="1"/>
  <c r="CP60" i="1"/>
  <c r="BD61" i="1"/>
  <c r="BE61" i="1"/>
  <c r="BH61" i="1"/>
  <c r="BJ61" i="1"/>
  <c r="BK61" i="1"/>
  <c r="BL61" i="1"/>
  <c r="BM61" i="1"/>
  <c r="CO61" i="1"/>
  <c r="BD64" i="1"/>
  <c r="BI64" i="1"/>
  <c r="CC64" i="1"/>
  <c r="CH64" i="1"/>
  <c r="CM64" i="1"/>
  <c r="B65" i="1"/>
  <c r="C65" i="1"/>
  <c r="C61" i="1" s="1"/>
  <c r="D65" i="1"/>
  <c r="E65" i="1"/>
  <c r="F65" i="1"/>
  <c r="G65" i="1"/>
  <c r="G60" i="1" s="1"/>
  <c r="H65" i="1"/>
  <c r="H60" i="1" s="1"/>
  <c r="I65" i="1"/>
  <c r="I61" i="1" s="1"/>
  <c r="J65" i="1"/>
  <c r="J61" i="1" s="1"/>
  <c r="K65" i="1"/>
  <c r="L65" i="1"/>
  <c r="L61" i="1" s="1"/>
  <c r="M65" i="1"/>
  <c r="N65" i="1"/>
  <c r="N60" i="1" s="1"/>
  <c r="O65" i="1"/>
  <c r="O60" i="1" s="1"/>
  <c r="P65" i="1"/>
  <c r="Q65" i="1"/>
  <c r="R65" i="1"/>
  <c r="R60" i="1" s="1"/>
  <c r="S65" i="1"/>
  <c r="S60" i="1" s="1"/>
  <c r="T65" i="1"/>
  <c r="T61" i="1" s="1"/>
  <c r="V65" i="1"/>
  <c r="V60" i="1" s="1"/>
  <c r="W65" i="1"/>
  <c r="W60" i="1" s="1"/>
  <c r="X65" i="1"/>
  <c r="Y65" i="1"/>
  <c r="Z65" i="1"/>
  <c r="AA65" i="1"/>
  <c r="AA61" i="1" s="1"/>
  <c r="AB65" i="1"/>
  <c r="AB61" i="1" s="1"/>
  <c r="AC65" i="1"/>
  <c r="AC60" i="1" s="1"/>
  <c r="AD65" i="1"/>
  <c r="AE65" i="1"/>
  <c r="AE64" i="1" s="1"/>
  <c r="AF65" i="1"/>
  <c r="AH65" i="1"/>
  <c r="AI65" i="1"/>
  <c r="AJ65" i="1"/>
  <c r="AK65" i="1"/>
  <c r="AL65" i="1"/>
  <c r="AM65" i="1"/>
  <c r="AN65" i="1"/>
  <c r="AP65" i="1"/>
  <c r="AQ65" i="1"/>
  <c r="AR65" i="1"/>
  <c r="AS65" i="1"/>
  <c r="AT65" i="1"/>
  <c r="AU65" i="1"/>
  <c r="AU60" i="1" s="1"/>
  <c r="AV65" i="1"/>
  <c r="AW65" i="1"/>
  <c r="AX65" i="1"/>
  <c r="AY65" i="1"/>
  <c r="AY64" i="1" s="1"/>
  <c r="AZ65" i="1"/>
  <c r="BN65" i="1"/>
  <c r="BS65" i="1"/>
  <c r="BX65" i="1"/>
  <c r="BX180" i="1" s="1"/>
  <c r="B67" i="1"/>
  <c r="G67" i="1"/>
  <c r="H67" i="1"/>
  <c r="I67" i="1"/>
  <c r="J67" i="1"/>
  <c r="L67" i="1"/>
  <c r="M67" i="1"/>
  <c r="N67" i="1"/>
  <c r="O67" i="1"/>
  <c r="Q67" i="1"/>
  <c r="R67" i="1"/>
  <c r="S67" i="1"/>
  <c r="T67" i="1"/>
  <c r="V67" i="1"/>
  <c r="W67" i="1"/>
  <c r="X67" i="1"/>
  <c r="Y67" i="1"/>
  <c r="AA67" i="1"/>
  <c r="AB67" i="1"/>
  <c r="AC67" i="1"/>
  <c r="AD67" i="1"/>
  <c r="AF67" i="1"/>
  <c r="AG67" i="1"/>
  <c r="AH67" i="1"/>
  <c r="AI67" i="1"/>
  <c r="AK67" i="1"/>
  <c r="AL67" i="1"/>
  <c r="AM67" i="1"/>
  <c r="AN67" i="1"/>
  <c r="AP67" i="1"/>
  <c r="AQ67" i="1"/>
  <c r="AR67" i="1"/>
  <c r="AS67" i="1"/>
  <c r="AU67" i="1"/>
  <c r="AV67" i="1"/>
  <c r="AW67" i="1"/>
  <c r="AX67" i="1"/>
  <c r="AZ67" i="1"/>
  <c r="BA67" i="1"/>
  <c r="BB67" i="1"/>
  <c r="BC67" i="1"/>
  <c r="BE67" i="1"/>
  <c r="BF67" i="1"/>
  <c r="BG67" i="1"/>
  <c r="BH67" i="1"/>
  <c r="BJ67" i="1"/>
  <c r="BK67" i="1"/>
  <c r="BL67" i="1"/>
  <c r="BM67" i="1"/>
  <c r="BO67" i="1"/>
  <c r="BP67" i="1"/>
  <c r="BR67" i="1"/>
  <c r="BT67" i="1"/>
  <c r="BU67" i="1"/>
  <c r="BV67" i="1"/>
  <c r="BW67" i="1"/>
  <c r="B68" i="1"/>
  <c r="G68" i="1"/>
  <c r="H68" i="1"/>
  <c r="I68" i="1"/>
  <c r="J68" i="1"/>
  <c r="L68" i="1"/>
  <c r="M68" i="1"/>
  <c r="N68" i="1"/>
  <c r="O68" i="1"/>
  <c r="Q68" i="1"/>
  <c r="R68" i="1"/>
  <c r="S68" i="1"/>
  <c r="T68" i="1"/>
  <c r="V68" i="1"/>
  <c r="W68" i="1"/>
  <c r="X68" i="1"/>
  <c r="Y68" i="1"/>
  <c r="AA68" i="1"/>
  <c r="AB68" i="1"/>
  <c r="AC68" i="1"/>
  <c r="AD68" i="1"/>
  <c r="AF68" i="1"/>
  <c r="AG68" i="1"/>
  <c r="AH68" i="1"/>
  <c r="AI68" i="1"/>
  <c r="AK68" i="1"/>
  <c r="AL68" i="1"/>
  <c r="AM68" i="1"/>
  <c r="AN68" i="1"/>
  <c r="AP68" i="1"/>
  <c r="AQ68" i="1"/>
  <c r="AR68" i="1"/>
  <c r="AS68" i="1"/>
  <c r="AU68" i="1"/>
  <c r="AV68" i="1"/>
  <c r="AW68" i="1"/>
  <c r="AX68" i="1"/>
  <c r="AZ68" i="1"/>
  <c r="BA68" i="1"/>
  <c r="BB68" i="1"/>
  <c r="BC68" i="1"/>
  <c r="BE68" i="1"/>
  <c r="BF68" i="1"/>
  <c r="BG68" i="1"/>
  <c r="BH68" i="1"/>
  <c r="BJ68" i="1"/>
  <c r="BK68" i="1"/>
  <c r="BL68" i="1"/>
  <c r="BM68" i="1"/>
  <c r="BO68" i="1"/>
  <c r="BP68" i="1"/>
  <c r="BR68" i="1"/>
  <c r="BT68" i="1"/>
  <c r="BU68" i="1"/>
  <c r="BV68" i="1"/>
  <c r="BW68" i="1"/>
  <c r="B69" i="1"/>
  <c r="G69" i="1"/>
  <c r="H69" i="1"/>
  <c r="I69" i="1"/>
  <c r="J69" i="1"/>
  <c r="L69" i="1"/>
  <c r="M69" i="1"/>
  <c r="N69" i="1"/>
  <c r="O69" i="1"/>
  <c r="Q69" i="1"/>
  <c r="R69" i="1"/>
  <c r="S69" i="1"/>
  <c r="T69" i="1"/>
  <c r="V69" i="1"/>
  <c r="W69" i="1"/>
  <c r="X69" i="1"/>
  <c r="Y69" i="1"/>
  <c r="AA69" i="1"/>
  <c r="AB69" i="1"/>
  <c r="AC69" i="1"/>
  <c r="AD69" i="1"/>
  <c r="AF69" i="1"/>
  <c r="AG69" i="1"/>
  <c r="AH69" i="1"/>
  <c r="AI69" i="1"/>
  <c r="AK69" i="1"/>
  <c r="AL69" i="1"/>
  <c r="AM69" i="1"/>
  <c r="AN69" i="1"/>
  <c r="AP69" i="1"/>
  <c r="AQ69" i="1"/>
  <c r="AR69" i="1"/>
  <c r="AS69" i="1"/>
  <c r="AU69" i="1"/>
  <c r="AV69" i="1"/>
  <c r="AW69" i="1"/>
  <c r="AX69" i="1"/>
  <c r="AZ69" i="1"/>
  <c r="BA69" i="1"/>
  <c r="BB69" i="1"/>
  <c r="BC69" i="1"/>
  <c r="BE69" i="1"/>
  <c r="BF69" i="1"/>
  <c r="BG69" i="1"/>
  <c r="BH69" i="1"/>
  <c r="BJ69" i="1"/>
  <c r="BK69" i="1"/>
  <c r="BL69" i="1"/>
  <c r="BM69" i="1"/>
  <c r="BO69" i="1"/>
  <c r="BP69" i="1"/>
  <c r="BR69" i="1"/>
  <c r="BT69" i="1"/>
  <c r="BU69" i="1"/>
  <c r="BV69" i="1"/>
  <c r="BW69" i="1"/>
  <c r="B70" i="1"/>
  <c r="C70" i="1"/>
  <c r="D70" i="1"/>
  <c r="E70" i="1"/>
  <c r="G70" i="1"/>
  <c r="H70" i="1"/>
  <c r="I70" i="1"/>
  <c r="J70" i="1"/>
  <c r="L70" i="1"/>
  <c r="M70" i="1"/>
  <c r="N70" i="1"/>
  <c r="O70" i="1"/>
  <c r="Q70" i="1"/>
  <c r="R70" i="1"/>
  <c r="S70" i="1"/>
  <c r="T70" i="1"/>
  <c r="V70" i="1"/>
  <c r="W70" i="1"/>
  <c r="X70" i="1"/>
  <c r="Y70" i="1"/>
  <c r="AA70" i="1"/>
  <c r="AB70" i="1"/>
  <c r="AC70" i="1"/>
  <c r="AD70" i="1"/>
  <c r="AF70" i="1"/>
  <c r="AG70" i="1"/>
  <c r="AH70" i="1"/>
  <c r="AI70" i="1"/>
  <c r="AK70" i="1"/>
  <c r="AL70" i="1"/>
  <c r="AM70" i="1"/>
  <c r="AN70" i="1"/>
  <c r="AP70" i="1"/>
  <c r="AQ70" i="1"/>
  <c r="AR70" i="1"/>
  <c r="AS70" i="1"/>
  <c r="AU70" i="1"/>
  <c r="AV70" i="1"/>
  <c r="AW70" i="1"/>
  <c r="AX70" i="1"/>
  <c r="AZ70" i="1"/>
  <c r="BA70" i="1"/>
  <c r="BB70" i="1"/>
  <c r="BC70" i="1"/>
  <c r="BE70" i="1"/>
  <c r="BF70" i="1"/>
  <c r="BG70" i="1"/>
  <c r="BH70" i="1"/>
  <c r="BJ70" i="1"/>
  <c r="BK70" i="1"/>
  <c r="BL70" i="1"/>
  <c r="BM70" i="1"/>
  <c r="BO70" i="1"/>
  <c r="BP70" i="1"/>
  <c r="BR70" i="1"/>
  <c r="BT70" i="1"/>
  <c r="BU70" i="1"/>
  <c r="BV70" i="1"/>
  <c r="BW70" i="1"/>
  <c r="B78" i="1"/>
  <c r="G86" i="1"/>
  <c r="H86" i="1"/>
  <c r="I86" i="1"/>
  <c r="J86" i="1"/>
  <c r="K86" i="1"/>
  <c r="L86" i="1"/>
  <c r="M86" i="1"/>
  <c r="N86" i="1"/>
  <c r="O86" i="1"/>
  <c r="P86" i="1"/>
  <c r="Q86" i="1"/>
  <c r="R86" i="1"/>
  <c r="S86" i="1"/>
  <c r="T86" i="1"/>
  <c r="U86" i="1"/>
  <c r="V86" i="1"/>
  <c r="W86" i="1"/>
  <c r="X86" i="1"/>
  <c r="Y86" i="1"/>
  <c r="AA86" i="1"/>
  <c r="AB86" i="1"/>
  <c r="AC86" i="1"/>
  <c r="AD86" i="1"/>
  <c r="AF86" i="1"/>
  <c r="AG86" i="1"/>
  <c r="AH86" i="1"/>
  <c r="AI86" i="1"/>
  <c r="AK86" i="1"/>
  <c r="AL86" i="1"/>
  <c r="AM86" i="1"/>
  <c r="AN86" i="1"/>
  <c r="AP86" i="1"/>
  <c r="AQ86" i="1"/>
  <c r="AR86" i="1"/>
  <c r="AS86" i="1"/>
  <c r="AU86" i="1"/>
  <c r="AV86" i="1"/>
  <c r="AW86" i="1"/>
  <c r="AX86" i="1"/>
  <c r="AZ86" i="1"/>
  <c r="BA86" i="1"/>
  <c r="BB86" i="1"/>
  <c r="BC86" i="1"/>
  <c r="BE86" i="1"/>
  <c r="BF86" i="1"/>
  <c r="BG86" i="1"/>
  <c r="BH86" i="1"/>
  <c r="BJ86" i="1"/>
  <c r="BK86" i="1"/>
  <c r="BL86" i="1"/>
  <c r="BM86" i="1"/>
  <c r="BO86" i="1"/>
  <c r="BP86" i="1"/>
  <c r="BR86" i="1"/>
  <c r="BT86" i="1"/>
  <c r="BU86" i="1"/>
  <c r="BW86" i="1"/>
  <c r="G87" i="1"/>
  <c r="H87" i="1"/>
  <c r="I87" i="1"/>
  <c r="J87" i="1"/>
  <c r="K87" i="1"/>
  <c r="L87" i="1"/>
  <c r="M87" i="1"/>
  <c r="N87" i="1"/>
  <c r="O87" i="1"/>
  <c r="P87" i="1"/>
  <c r="Q87" i="1"/>
  <c r="R87" i="1"/>
  <c r="S87" i="1"/>
  <c r="T87" i="1"/>
  <c r="U87" i="1"/>
  <c r="V87" i="1"/>
  <c r="W87" i="1"/>
  <c r="X87" i="1"/>
  <c r="Y87" i="1"/>
  <c r="AA87" i="1"/>
  <c r="AB87" i="1"/>
  <c r="AC87" i="1"/>
  <c r="AD87" i="1"/>
  <c r="AF87" i="1"/>
  <c r="AG87" i="1"/>
  <c r="AH87" i="1"/>
  <c r="AI87" i="1"/>
  <c r="AK87" i="1"/>
  <c r="AL87" i="1"/>
  <c r="AM87" i="1"/>
  <c r="AN87" i="1"/>
  <c r="AP87" i="1"/>
  <c r="AQ87" i="1"/>
  <c r="AR87" i="1"/>
  <c r="AS87" i="1"/>
  <c r="AU87" i="1"/>
  <c r="AV87" i="1"/>
  <c r="AW87" i="1"/>
  <c r="AX87" i="1"/>
  <c r="AZ87" i="1"/>
  <c r="BA87" i="1"/>
  <c r="BB87" i="1"/>
  <c r="BC87" i="1"/>
  <c r="BE87" i="1"/>
  <c r="BF87" i="1"/>
  <c r="BG87" i="1"/>
  <c r="BH87" i="1"/>
  <c r="BJ87" i="1"/>
  <c r="BK87" i="1"/>
  <c r="BL87" i="1"/>
  <c r="BM87" i="1"/>
  <c r="BO87" i="1"/>
  <c r="BP87" i="1"/>
  <c r="BR87" i="1"/>
  <c r="BT87" i="1"/>
  <c r="BU87" i="1"/>
  <c r="BW87" i="1"/>
  <c r="CB87" i="1"/>
  <c r="G89" i="1"/>
  <c r="H89" i="1"/>
  <c r="I89" i="1"/>
  <c r="J89" i="1"/>
  <c r="L89" i="1"/>
  <c r="M89" i="1"/>
  <c r="N89" i="1"/>
  <c r="O89" i="1"/>
  <c r="Q89" i="1"/>
  <c r="R89" i="1"/>
  <c r="S89" i="1"/>
  <c r="T89" i="1"/>
  <c r="V89" i="1"/>
  <c r="W89" i="1"/>
  <c r="X89" i="1"/>
  <c r="Y89" i="1"/>
  <c r="AA89" i="1"/>
  <c r="AB89" i="1"/>
  <c r="AC89" i="1"/>
  <c r="AD89" i="1"/>
  <c r="AF89" i="1"/>
  <c r="AG89" i="1"/>
  <c r="AH89" i="1"/>
  <c r="AI89" i="1"/>
  <c r="AK89" i="1"/>
  <c r="AL89" i="1"/>
  <c r="AM89" i="1"/>
  <c r="AN89" i="1"/>
  <c r="AP89" i="1"/>
  <c r="AQ89" i="1"/>
  <c r="AR89" i="1"/>
  <c r="AS89" i="1"/>
  <c r="AU89" i="1"/>
  <c r="AV89" i="1"/>
  <c r="AW89" i="1"/>
  <c r="AX89" i="1"/>
  <c r="AZ89" i="1"/>
  <c r="BA89" i="1"/>
  <c r="BB89" i="1"/>
  <c r="BC89" i="1"/>
  <c r="BE89" i="1"/>
  <c r="BF89" i="1"/>
  <c r="BG89" i="1"/>
  <c r="BH89" i="1"/>
  <c r="BJ89" i="1"/>
  <c r="BK89" i="1"/>
  <c r="BL89" i="1"/>
  <c r="BM89" i="1"/>
  <c r="BO89" i="1"/>
  <c r="BP89" i="1"/>
  <c r="BQ89" i="1"/>
  <c r="BR89" i="1"/>
  <c r="BT89" i="1"/>
  <c r="BU89" i="1"/>
  <c r="BV89" i="1"/>
  <c r="BW89" i="1"/>
  <c r="BY89" i="1"/>
  <c r="BZ89" i="1"/>
  <c r="CA89" i="1"/>
  <c r="CB89" i="1"/>
  <c r="CD89" i="1"/>
  <c r="CE89" i="1"/>
  <c r="CF89" i="1"/>
  <c r="CG89" i="1"/>
  <c r="G90" i="1"/>
  <c r="H90" i="1"/>
  <c r="I90" i="1"/>
  <c r="J90" i="1"/>
  <c r="L90" i="1"/>
  <c r="M90" i="1"/>
  <c r="N90" i="1"/>
  <c r="O90" i="1"/>
  <c r="Q90" i="1"/>
  <c r="R90" i="1"/>
  <c r="S90" i="1"/>
  <c r="T90" i="1"/>
  <c r="V90" i="1"/>
  <c r="W90" i="1"/>
  <c r="X90" i="1"/>
  <c r="Y90" i="1"/>
  <c r="AA90" i="1"/>
  <c r="AB90" i="1"/>
  <c r="AC90" i="1"/>
  <c r="AD90" i="1"/>
  <c r="AF90" i="1"/>
  <c r="AG90" i="1"/>
  <c r="AH90" i="1"/>
  <c r="AI90" i="1"/>
  <c r="AK90" i="1"/>
  <c r="AL90" i="1"/>
  <c r="AM90" i="1"/>
  <c r="AN90" i="1"/>
  <c r="AP90" i="1"/>
  <c r="AQ90" i="1"/>
  <c r="AR90" i="1"/>
  <c r="AS90" i="1"/>
  <c r="AU90" i="1"/>
  <c r="AV90" i="1"/>
  <c r="AW90" i="1"/>
  <c r="AX90" i="1"/>
  <c r="AZ90" i="1"/>
  <c r="BA90" i="1"/>
  <c r="BB90" i="1"/>
  <c r="BC90" i="1"/>
  <c r="BE90" i="1"/>
  <c r="BF90" i="1"/>
  <c r="BG90" i="1"/>
  <c r="BJ90" i="1"/>
  <c r="BK90" i="1"/>
  <c r="BL90" i="1"/>
  <c r="BO90" i="1"/>
  <c r="BP90" i="1"/>
  <c r="BQ90" i="1"/>
  <c r="BR90" i="1"/>
  <c r="BT90" i="1"/>
  <c r="BU90" i="1"/>
  <c r="BV90" i="1"/>
  <c r="BW90" i="1"/>
  <c r="BY90" i="1"/>
  <c r="BZ90" i="1"/>
  <c r="CA90" i="1"/>
  <c r="CB90" i="1"/>
  <c r="F100" i="1"/>
  <c r="K100" i="1"/>
  <c r="EG100" i="1"/>
  <c r="F101" i="1"/>
  <c r="K101" i="1"/>
  <c r="EG101" i="1"/>
  <c r="F102" i="1"/>
  <c r="K102" i="1"/>
  <c r="EG102" i="1"/>
  <c r="I13" i="95"/>
  <c r="AF115" i="1"/>
  <c r="AG115" i="1"/>
  <c r="AH115" i="1"/>
  <c r="AI115" i="1"/>
  <c r="AK115" i="1"/>
  <c r="AL115" i="1"/>
  <c r="AM115" i="1"/>
  <c r="AN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O115" i="1"/>
  <c r="BP115" i="1"/>
  <c r="BQ115" i="1"/>
  <c r="BR115" i="1"/>
  <c r="BT115" i="1"/>
  <c r="BU115" i="1"/>
  <c r="BV115" i="1"/>
  <c r="BX115" i="1"/>
  <c r="BY115" i="1"/>
  <c r="BZ115" i="1"/>
  <c r="CA115" i="1"/>
  <c r="CB115" i="1"/>
  <c r="CD115" i="1"/>
  <c r="CE115" i="1"/>
  <c r="CF115" i="1"/>
  <c r="CH115" i="1"/>
  <c r="CI115" i="1"/>
  <c r="CJ115" i="1"/>
  <c r="CK115" i="1"/>
  <c r="CL115" i="1"/>
  <c r="CM115" i="1"/>
  <c r="CN115" i="1"/>
  <c r="CO115" i="1"/>
  <c r="CP115" i="1"/>
  <c r="AF116" i="1"/>
  <c r="AG116" i="1"/>
  <c r="AH116" i="1"/>
  <c r="AI116" i="1"/>
  <c r="AK116" i="1"/>
  <c r="AL116" i="1"/>
  <c r="AM116" i="1"/>
  <c r="AN116" i="1"/>
  <c r="AP116" i="1"/>
  <c r="AQ116" i="1"/>
  <c r="AR116" i="1"/>
  <c r="AS116" i="1"/>
  <c r="AT116" i="1"/>
  <c r="AU116" i="1"/>
  <c r="AV116" i="1"/>
  <c r="AW116" i="1"/>
  <c r="AX116" i="1"/>
  <c r="AY116" i="1"/>
  <c r="AZ116" i="1"/>
  <c r="BA116" i="1"/>
  <c r="BB116" i="1"/>
  <c r="BC116" i="1"/>
  <c r="BD116" i="1"/>
  <c r="BE116" i="1"/>
  <c r="BF116" i="1"/>
  <c r="BG116" i="1"/>
  <c r="BH116" i="1"/>
  <c r="BI116" i="1"/>
  <c r="BJ116" i="1"/>
  <c r="BK116" i="1"/>
  <c r="BL116" i="1"/>
  <c r="BM116" i="1"/>
  <c r="BO116" i="1"/>
  <c r="BP116" i="1"/>
  <c r="BQ116" i="1"/>
  <c r="BR116" i="1"/>
  <c r="BT116" i="1"/>
  <c r="BU116" i="1"/>
  <c r="BV116" i="1"/>
  <c r="BX116" i="1"/>
  <c r="BY116" i="1"/>
  <c r="BZ116" i="1"/>
  <c r="CA116" i="1"/>
  <c r="CB116" i="1"/>
  <c r="CD116" i="1"/>
  <c r="CE116" i="1"/>
  <c r="CF116" i="1"/>
  <c r="CI116" i="1"/>
  <c r="CJ116" i="1"/>
  <c r="CK116" i="1"/>
  <c r="CL116" i="1"/>
  <c r="CM116" i="1"/>
  <c r="CN116" i="1"/>
  <c r="CO116" i="1"/>
  <c r="CP116" i="1"/>
  <c r="AF120" i="1"/>
  <c r="AK120" i="1"/>
  <c r="AO120" i="1"/>
  <c r="AP120" i="1"/>
  <c r="AT120" i="1"/>
  <c r="AU120" i="1"/>
  <c r="AY120" i="1"/>
  <c r="AZ120" i="1"/>
  <c r="BD120" i="1"/>
  <c r="BE120" i="1"/>
  <c r="BI120" i="1"/>
  <c r="BJ120" i="1"/>
  <c r="BN120" i="1"/>
  <c r="BO120" i="1"/>
  <c r="BS120" i="1"/>
  <c r="BT120" i="1"/>
  <c r="BX120" i="1"/>
  <c r="BY120" i="1"/>
  <c r="CC120" i="1"/>
  <c r="CD120" i="1"/>
  <c r="CH120" i="1"/>
  <c r="CM120" i="1"/>
  <c r="AP123" i="1"/>
  <c r="AQ123" i="1"/>
  <c r="AR123" i="1"/>
  <c r="AS123" i="1"/>
  <c r="AU123" i="1"/>
  <c r="AV123" i="1"/>
  <c r="AW123" i="1"/>
  <c r="AX123" i="1"/>
  <c r="BA123" i="1"/>
  <c r="BB123" i="1"/>
  <c r="BC123" i="1"/>
  <c r="BE123" i="1"/>
  <c r="BF123" i="1"/>
  <c r="BG123" i="1"/>
  <c r="BH123" i="1"/>
  <c r="CB123" i="1"/>
  <c r="CD123" i="1"/>
  <c r="CE123" i="1"/>
  <c r="CF123" i="1"/>
  <c r="CG123" i="1"/>
  <c r="CL123" i="1"/>
  <c r="CQ123" i="1"/>
  <c r="AO124" i="1"/>
  <c r="F129" i="1"/>
  <c r="K129" i="1"/>
  <c r="P129" i="1"/>
  <c r="U129" i="1"/>
  <c r="Z129" i="1"/>
  <c r="AE129" i="1"/>
  <c r="AJ129" i="1"/>
  <c r="AO129" i="1"/>
  <c r="AT129" i="1"/>
  <c r="AY129" i="1"/>
  <c r="BD129" i="1"/>
  <c r="BI129" i="1"/>
  <c r="BN129" i="1"/>
  <c r="BS129" i="1"/>
  <c r="BX129" i="1"/>
  <c r="CC129" i="1"/>
  <c r="CH129" i="1"/>
  <c r="CM129" i="1"/>
  <c r="CR129" i="1"/>
  <c r="CW129" i="1"/>
  <c r="DL129" i="1"/>
  <c r="DQ129"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C135" i="1"/>
  <c r="AD135" i="1"/>
  <c r="AE135" i="1"/>
  <c r="AF135" i="1"/>
  <c r="AG135" i="1"/>
  <c r="AH135" i="1"/>
  <c r="AI135" i="1"/>
  <c r="AJ135" i="1"/>
  <c r="AK135" i="1"/>
  <c r="AL135" i="1"/>
  <c r="AM135" i="1"/>
  <c r="AN135" i="1"/>
  <c r="AO135" i="1"/>
  <c r="AP135" i="1"/>
  <c r="AQ135" i="1"/>
  <c r="AR135" i="1"/>
  <c r="AS135" i="1"/>
  <c r="AT135" i="1"/>
  <c r="AU135" i="1"/>
  <c r="AV135" i="1"/>
  <c r="AW135" i="1"/>
  <c r="AX135" i="1"/>
  <c r="AY135" i="1"/>
  <c r="AZ135" i="1"/>
  <c r="BA135" i="1"/>
  <c r="BB135" i="1"/>
  <c r="BC135" i="1"/>
  <c r="BD135" i="1"/>
  <c r="BE135" i="1"/>
  <c r="BF135" i="1"/>
  <c r="BG135" i="1"/>
  <c r="BH135" i="1"/>
  <c r="BI135" i="1"/>
  <c r="BJ135" i="1"/>
  <c r="BK135" i="1"/>
  <c r="BL135" i="1"/>
  <c r="BM135" i="1"/>
  <c r="BN135" i="1"/>
  <c r="BO135" i="1"/>
  <c r="BP135" i="1"/>
  <c r="BQ135" i="1"/>
  <c r="BR135" i="1"/>
  <c r="BS135" i="1"/>
  <c r="BT135" i="1"/>
  <c r="BU135" i="1"/>
  <c r="BV135" i="1"/>
  <c r="BW135" i="1"/>
  <c r="BX135" i="1"/>
  <c r="BY135" i="1"/>
  <c r="BZ135" i="1"/>
  <c r="CA135" i="1"/>
  <c r="CB135" i="1"/>
  <c r="CC135" i="1"/>
  <c r="CD135" i="1"/>
  <c r="CE135" i="1"/>
  <c r="CF135" i="1"/>
  <c r="CG135" i="1"/>
  <c r="CH135" i="1"/>
  <c r="CJ135" i="1"/>
  <c r="CK135" i="1"/>
  <c r="CL135" i="1"/>
  <c r="CM135" i="1"/>
  <c r="CN135" i="1"/>
  <c r="CO135" i="1"/>
  <c r="CP135" i="1"/>
  <c r="CQ135" i="1"/>
  <c r="CR135" i="1"/>
  <c r="CS135" i="1"/>
  <c r="CU135" i="1"/>
  <c r="CV135" i="1"/>
  <c r="CW135" i="1"/>
  <c r="DH135" i="1"/>
  <c r="DI135" i="1"/>
  <c r="DJ135" i="1"/>
  <c r="DK135" i="1"/>
  <c r="DL135" i="1"/>
  <c r="DM135" i="1"/>
  <c r="DN135" i="1"/>
  <c r="DO135" i="1"/>
  <c r="DP135" i="1"/>
  <c r="DQ135" i="1"/>
  <c r="BS142" i="1"/>
  <c r="BX142" i="1"/>
  <c r="CC142" i="1"/>
  <c r="CH142" i="1"/>
  <c r="BS143" i="1"/>
  <c r="BX143" i="1"/>
  <c r="CC143" i="1"/>
  <c r="CH143" i="1"/>
  <c r="BS145" i="1"/>
  <c r="BW145" i="1"/>
  <c r="BX145" i="1" s="1"/>
  <c r="CC145" i="1"/>
  <c r="CH145" i="1"/>
  <c r="BS140" i="1"/>
  <c r="BX140" i="1"/>
  <c r="CC140" i="1"/>
  <c r="CH140" i="1"/>
  <c r="BS146" i="1"/>
  <c r="BX146" i="1"/>
  <c r="CC146" i="1"/>
  <c r="CH146" i="1"/>
  <c r="BS148" i="1"/>
  <c r="BX148" i="1"/>
  <c r="BY148" i="1"/>
  <c r="CF148" i="1"/>
  <c r="CF149" i="1" s="1"/>
  <c r="BO149" i="1"/>
  <c r="BO152" i="1" s="1"/>
  <c r="BO56" i="1" s="1"/>
  <c r="BP149" i="1"/>
  <c r="BP152" i="1" s="1"/>
  <c r="BQ149" i="1"/>
  <c r="BQ152" i="1" s="1"/>
  <c r="BR149" i="1"/>
  <c r="BT149" i="1"/>
  <c r="BT152" i="1" s="1"/>
  <c r="BU149" i="1"/>
  <c r="BV149" i="1"/>
  <c r="BZ149" i="1"/>
  <c r="BZ152" i="1" s="1"/>
  <c r="BZ154" i="1" s="1"/>
  <c r="CA149" i="1"/>
  <c r="CA152" i="1" s="1"/>
  <c r="CA154" i="1" s="1"/>
  <c r="CB149" i="1"/>
  <c r="CD149" i="1"/>
  <c r="CD152" i="1" s="1"/>
  <c r="CE149" i="1"/>
  <c r="CE152" i="1" s="1"/>
  <c r="CE154" i="1" s="1"/>
  <c r="CG149" i="1"/>
  <c r="BS150" i="1"/>
  <c r="BX150" i="1"/>
  <c r="CC150" i="1"/>
  <c r="CH150" i="1"/>
  <c r="BS153" i="1"/>
  <c r="BX153" i="1"/>
  <c r="CC153" i="1"/>
  <c r="CH153" i="1"/>
  <c r="BS155" i="1"/>
  <c r="BX155" i="1"/>
  <c r="CC155" i="1"/>
  <c r="CH155" i="1"/>
  <c r="BO157" i="1"/>
  <c r="BP157" i="1"/>
  <c r="BQ157" i="1"/>
  <c r="BR157" i="1"/>
  <c r="BT157" i="1"/>
  <c r="BU157" i="1"/>
  <c r="BV157" i="1"/>
  <c r="BW157" i="1"/>
  <c r="BY157" i="1"/>
  <c r="BZ157" i="1"/>
  <c r="CA157" i="1"/>
  <c r="CB157" i="1"/>
  <c r="CC157" i="1"/>
  <c r="CD157" i="1"/>
  <c r="CE157" i="1"/>
  <c r="CF157" i="1"/>
  <c r="CG157" i="1"/>
  <c r="CH157"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J165" i="1"/>
  <c r="CK165" i="1"/>
  <c r="CL165" i="1"/>
  <c r="CM165" i="1"/>
  <c r="CN165" i="1"/>
  <c r="CO165" i="1"/>
  <c r="CP165" i="1"/>
  <c r="CQ165" i="1"/>
  <c r="CR165" i="1"/>
  <c r="CS165" i="1"/>
  <c r="CT165" i="1"/>
  <c r="CU165" i="1"/>
  <c r="CV165" i="1"/>
  <c r="CW165" i="1"/>
  <c r="DH165" i="1"/>
  <c r="DI165" i="1"/>
  <c r="DJ165" i="1"/>
  <c r="DK165" i="1"/>
  <c r="DL165" i="1"/>
  <c r="DM165" i="1"/>
  <c r="DN165" i="1"/>
  <c r="DO165" i="1"/>
  <c r="DP165" i="1"/>
  <c r="DQ165" i="1"/>
  <c r="BE166" i="1"/>
  <c r="BJ166" i="1"/>
  <c r="BK166" i="1"/>
  <c r="BO166" i="1"/>
  <c r="BT166" i="1"/>
  <c r="BU166" i="1"/>
  <c r="BV166" i="1"/>
  <c r="BW166" i="1"/>
  <c r="BY166" i="1"/>
  <c r="BZ166" i="1"/>
  <c r="CA166" i="1"/>
  <c r="CB166" i="1"/>
  <c r="CE166" i="1"/>
  <c r="CF166" i="1"/>
  <c r="CG166" i="1"/>
  <c r="CK166" i="1"/>
  <c r="CL166" i="1"/>
  <c r="CO166" i="1"/>
  <c r="CP166" i="1"/>
  <c r="CQ166" i="1"/>
  <c r="AF167" i="1"/>
  <c r="AK167" i="1"/>
  <c r="AO167" i="1"/>
  <c r="AO215" i="1" s="1"/>
  <c r="AP167" i="1"/>
  <c r="AP168" i="1" s="1"/>
  <c r="AT167" i="1"/>
  <c r="AT215" i="1" s="1"/>
  <c r="AU167" i="1"/>
  <c r="AU168" i="1" s="1"/>
  <c r="AV167" i="1"/>
  <c r="AV168" i="1" s="1"/>
  <c r="AY167" i="1"/>
  <c r="AY215" i="1" s="1"/>
  <c r="AZ167" i="1"/>
  <c r="BD167" i="1"/>
  <c r="BD215" i="1" s="1"/>
  <c r="BE167" i="1"/>
  <c r="BE168" i="1" s="1"/>
  <c r="BH167" i="1"/>
  <c r="BJ167" i="1"/>
  <c r="BK167" i="1"/>
  <c r="BL167" i="1"/>
  <c r="BL170" i="1" s="1"/>
  <c r="BO167" i="1"/>
  <c r="BP167" i="1"/>
  <c r="BP170" i="1" s="1"/>
  <c r="BP173" i="1" s="1"/>
  <c r="BT167" i="1"/>
  <c r="BY167" i="1"/>
  <c r="CD167" i="1"/>
  <c r="CD215" i="1" s="1"/>
  <c r="CJ167" i="1"/>
  <c r="CJ215" i="1" s="1"/>
  <c r="CN167" i="1"/>
  <c r="CO167" i="1"/>
  <c r="CS167" i="1"/>
  <c r="CT167" i="1"/>
  <c r="CU167" i="1"/>
  <c r="CV167" i="1"/>
  <c r="DH167" i="1"/>
  <c r="DH215" i="1" s="1"/>
  <c r="DI167" i="1"/>
  <c r="DI215" i="1" s="1"/>
  <c r="DJ167" i="1"/>
  <c r="DJ215" i="1" s="1"/>
  <c r="DK167" i="1"/>
  <c r="DK215" i="1" s="1"/>
  <c r="DM167" i="1"/>
  <c r="DM215" i="1" s="1"/>
  <c r="DN167" i="1"/>
  <c r="DN215" i="1" s="1"/>
  <c r="DO167" i="1"/>
  <c r="DO215" i="1" s="1"/>
  <c r="DP167" i="1"/>
  <c r="DP215" i="1" s="1"/>
  <c r="BN168" i="1"/>
  <c r="BS168" i="1"/>
  <c r="BX168" i="1"/>
  <c r="BJ169" i="1"/>
  <c r="BK169" i="1"/>
  <c r="BL169" i="1"/>
  <c r="BM169" i="1"/>
  <c r="BO169" i="1"/>
  <c r="BP169" i="1"/>
  <c r="BQ169" i="1"/>
  <c r="BR169" i="1"/>
  <c r="BT169" i="1"/>
  <c r="BU169" i="1"/>
  <c r="BV169" i="1"/>
  <c r="BW169" i="1"/>
  <c r="BY169" i="1"/>
  <c r="BZ169" i="1"/>
  <c r="CA169" i="1"/>
  <c r="CB169" i="1"/>
  <c r="CD169" i="1"/>
  <c r="CE169" i="1"/>
  <c r="CF169" i="1"/>
  <c r="CG169" i="1"/>
  <c r="CK169" i="1"/>
  <c r="CL169" i="1"/>
  <c r="BF170" i="1"/>
  <c r="BI170" i="1" s="1"/>
  <c r="CC170" i="1"/>
  <c r="BO171" i="1"/>
  <c r="BS171" i="1"/>
  <c r="BT171" i="1"/>
  <c r="BX171" i="1"/>
  <c r="BY171" i="1"/>
  <c r="BZ171" i="1"/>
  <c r="CC171" i="1"/>
  <c r="CD171" i="1"/>
  <c r="CJ171" i="1"/>
  <c r="CJ172" i="1" s="1"/>
  <c r="CN171" i="1"/>
  <c r="CO171" i="1"/>
  <c r="BW173" i="1"/>
  <c r="BY173" i="1"/>
  <c r="BZ173" i="1"/>
  <c r="CA173" i="1"/>
  <c r="CB173" i="1"/>
  <c r="CE173" i="1"/>
  <c r="CF173" i="1"/>
  <c r="CG173" i="1"/>
  <c r="CK173" i="1"/>
  <c r="CL173" i="1"/>
  <c r="CO173" i="1"/>
  <c r="DL173" i="1"/>
  <c r="DQ173" i="1"/>
  <c r="BM174" i="1"/>
  <c r="CC174" i="1"/>
  <c r="CD175" i="1" s="1"/>
  <c r="CH174" i="1"/>
  <c r="CI166" i="1" s="1"/>
  <c r="CM174" i="1"/>
  <c r="CN175" i="1" s="1"/>
  <c r="BT175" i="1"/>
  <c r="BU175" i="1"/>
  <c r="BV175" i="1"/>
  <c r="BW175" i="1"/>
  <c r="BY175" i="1"/>
  <c r="BZ175" i="1"/>
  <c r="CA175" i="1"/>
  <c r="CE175" i="1"/>
  <c r="CF175" i="1"/>
  <c r="CG175" i="1"/>
  <c r="CK175" i="1"/>
  <c r="BR176" i="1"/>
  <c r="CB176" i="1"/>
  <c r="CL175" i="1"/>
  <c r="CF177" i="1"/>
  <c r="CG177" i="1"/>
  <c r="CH177" i="1"/>
  <c r="CM177" i="1"/>
  <c r="AP178" i="1"/>
  <c r="AQ166" i="1" s="1"/>
  <c r="BA178" i="1"/>
  <c r="BB166" i="1" s="1"/>
  <c r="BB178" i="1"/>
  <c r="BC166" i="1" s="1"/>
  <c r="BC178" i="1"/>
  <c r="BD178" i="1"/>
  <c r="BD177" i="1" s="1"/>
  <c r="BE178" i="1"/>
  <c r="BF166" i="1" s="1"/>
  <c r="BF178" i="1"/>
  <c r="BG166" i="1" s="1"/>
  <c r="BG178" i="1"/>
  <c r="BH166" i="1" s="1"/>
  <c r="BH178" i="1"/>
  <c r="BI178" i="1"/>
  <c r="BI177" i="1" s="1"/>
  <c r="BJ178" i="1"/>
  <c r="BK178" i="1"/>
  <c r="BL166" i="1" s="1"/>
  <c r="BL178" i="1"/>
  <c r="BM166" i="1" s="1"/>
  <c r="BM178" i="1"/>
  <c r="BO178" i="1"/>
  <c r="BP166" i="1" s="1"/>
  <c r="BP178" i="1"/>
  <c r="BQ166" i="1" s="1"/>
  <c r="BQ178" i="1"/>
  <c r="BR166" i="1" s="1"/>
  <c r="BR178" i="1"/>
  <c r="BS178" i="1"/>
  <c r="BS177" i="1" s="1"/>
  <c r="BT178" i="1"/>
  <c r="BT177" i="1" s="1"/>
  <c r="BU178" i="1"/>
  <c r="BU177" i="1" s="1"/>
  <c r="BV178" i="1"/>
  <c r="BV177" i="1" s="1"/>
  <c r="BW178" i="1"/>
  <c r="BW177" i="1" s="1"/>
  <c r="BY178" i="1"/>
  <c r="BY177" i="1" s="1"/>
  <c r="BZ178" i="1"/>
  <c r="BZ177" i="1" s="1"/>
  <c r="CA178" i="1"/>
  <c r="CA177" i="1" s="1"/>
  <c r="CB178" i="1"/>
  <c r="CC178" i="1"/>
  <c r="CC177" i="1" s="1"/>
  <c r="CD178" i="1"/>
  <c r="CD177" i="1" s="1"/>
  <c r="CE178" i="1"/>
  <c r="CE177" i="1" s="1"/>
  <c r="CJ178" i="1"/>
  <c r="CJ177" i="1" s="1"/>
  <c r="CK178" i="1"/>
  <c r="BA179" i="1"/>
  <c r="BB179" i="1"/>
  <c r="BC179" i="1"/>
  <c r="BD179" i="1" s="1"/>
  <c r="BD174" i="1" s="1"/>
  <c r="BE179" i="1"/>
  <c r="BF179" i="1"/>
  <c r="BG179" i="1"/>
  <c r="BH179" i="1"/>
  <c r="BI179" i="1" s="1"/>
  <c r="BJ179" i="1"/>
  <c r="BK179" i="1"/>
  <c r="BL179" i="1"/>
  <c r="BM179" i="1"/>
  <c r="BN179" i="1" s="1"/>
  <c r="BO179" i="1"/>
  <c r="BP179" i="1"/>
  <c r="BQ179" i="1"/>
  <c r="BR179" i="1"/>
  <c r="BS179" i="1" s="1"/>
  <c r="BT179" i="1"/>
  <c r="BU179" i="1"/>
  <c r="BV179" i="1"/>
  <c r="BX179" i="1"/>
  <c r="BY179" i="1"/>
  <c r="BZ179" i="1"/>
  <c r="CC179" i="1"/>
  <c r="CD179" i="1"/>
  <c r="CE179" i="1"/>
  <c r="CF179" i="1"/>
  <c r="CG179" i="1"/>
  <c r="CH179" i="1" s="1"/>
  <c r="CJ179" i="1"/>
  <c r="CK179" i="1"/>
  <c r="CL179" i="1"/>
  <c r="CM179" i="1" s="1"/>
  <c r="BD180" i="1"/>
  <c r="BE180" i="1"/>
  <c r="BF180" i="1"/>
  <c r="BG180" i="1"/>
  <c r="BH180" i="1"/>
  <c r="BI180" i="1"/>
  <c r="BJ180" i="1"/>
  <c r="BK180" i="1"/>
  <c r="BL180" i="1"/>
  <c r="BM180" i="1"/>
  <c r="BO180" i="1"/>
  <c r="BP180" i="1"/>
  <c r="BQ180" i="1"/>
  <c r="BR180" i="1"/>
  <c r="BT180" i="1"/>
  <c r="BU180" i="1"/>
  <c r="BV180" i="1"/>
  <c r="BW180" i="1"/>
  <c r="BY180" i="1"/>
  <c r="BZ180" i="1"/>
  <c r="CA180" i="1"/>
  <c r="CB180" i="1"/>
  <c r="CC180" i="1"/>
  <c r="CD180" i="1"/>
  <c r="CE180" i="1"/>
  <c r="CF180" i="1"/>
  <c r="CG180" i="1"/>
  <c r="CH180" i="1"/>
  <c r="CJ180" i="1"/>
  <c r="CK180" i="1"/>
  <c r="CL180" i="1"/>
  <c r="CM180" i="1"/>
  <c r="CN180" i="1"/>
  <c r="CO180" i="1"/>
  <c r="CP180" i="1"/>
  <c r="AP182" i="1"/>
  <c r="BR186" i="1"/>
  <c r="BW186" i="1"/>
  <c r="CB186" i="1"/>
  <c r="CH186" i="1"/>
  <c r="CH190" i="1" s="1"/>
  <c r="CJ186" i="1"/>
  <c r="CK186" i="1"/>
  <c r="CK190" i="1" s="1"/>
  <c r="CL186" i="1"/>
  <c r="CO186" i="1"/>
  <c r="CO190" i="1" s="1"/>
  <c r="CP186" i="1"/>
  <c r="CP190" i="1" s="1"/>
  <c r="BR188" i="1"/>
  <c r="BW188" i="1"/>
  <c r="CB188" i="1"/>
  <c r="CG188" i="1"/>
  <c r="CH189" i="1"/>
  <c r="BO190" i="1"/>
  <c r="BP190" i="1"/>
  <c r="BQ190" i="1"/>
  <c r="BS190" i="1"/>
  <c r="BT190" i="1"/>
  <c r="BU190" i="1"/>
  <c r="BV190" i="1"/>
  <c r="BX190" i="1"/>
  <c r="BY190" i="1"/>
  <c r="BZ190" i="1"/>
  <c r="CA190" i="1"/>
  <c r="CC190" i="1"/>
  <c r="CD190" i="1"/>
  <c r="CE190" i="1"/>
  <c r="CF190" i="1"/>
  <c r="AP192" i="1"/>
  <c r="AQ192" i="1"/>
  <c r="AR192" i="1"/>
  <c r="AS192" i="1"/>
  <c r="AU192" i="1"/>
  <c r="AU193" i="1" s="1"/>
  <c r="AV192" i="1"/>
  <c r="AV193" i="1" s="1"/>
  <c r="AW192" i="1"/>
  <c r="AW193" i="1" s="1"/>
  <c r="AX192" i="1"/>
  <c r="AZ192" i="1"/>
  <c r="BE192" i="1"/>
  <c r="BJ192" i="1"/>
  <c r="BO192" i="1"/>
  <c r="BO194" i="1" s="1"/>
  <c r="BO123" i="1" s="1"/>
  <c r="BP192" i="1"/>
  <c r="BT192" i="1"/>
  <c r="BT194" i="1" s="1"/>
  <c r="BY192" i="1"/>
  <c r="BY194" i="1" s="1"/>
  <c r="CB192" i="1"/>
  <c r="CD192" i="1"/>
  <c r="CE192" i="1"/>
  <c r="CF192" i="1"/>
  <c r="CG192" i="1"/>
  <c r="CG193" i="1" s="1"/>
  <c r="CL192" i="1"/>
  <c r="AT193" i="1"/>
  <c r="AY193" i="1"/>
  <c r="AO194" i="1"/>
  <c r="AO123" i="1" s="1"/>
  <c r="AZ194" i="1"/>
  <c r="BE195" i="1" s="1"/>
  <c r="CI194" i="1"/>
  <c r="CJ194" i="1"/>
  <c r="CJ123" i="1" s="1"/>
  <c r="CK194" i="1"/>
  <c r="CK192" i="1" s="1"/>
  <c r="CN194" i="1"/>
  <c r="CN192" i="1" s="1"/>
  <c r="CO194" i="1"/>
  <c r="CO123" i="1" s="1"/>
  <c r="CP194" i="1"/>
  <c r="CP123" i="1" s="1"/>
  <c r="CS123" i="1"/>
  <c r="CT123" i="1"/>
  <c r="CU123" i="1"/>
  <c r="CV123" i="1"/>
  <c r="BF195" i="1"/>
  <c r="BG195" i="1"/>
  <c r="BH195" i="1"/>
  <c r="CG195" i="1"/>
  <c r="CL195" i="1"/>
  <c r="CQ195" i="1"/>
  <c r="AP208" i="1"/>
  <c r="AQ208" i="1"/>
  <c r="AR208" i="1"/>
  <c r="AS208" i="1"/>
  <c r="AU208" i="1"/>
  <c r="AV208" i="1"/>
  <c r="AW208" i="1"/>
  <c r="AX208" i="1"/>
  <c r="AZ208" i="1"/>
  <c r="BA208" i="1"/>
  <c r="BB208" i="1"/>
  <c r="BC208" i="1"/>
  <c r="BE208" i="1"/>
  <c r="BF208" i="1"/>
  <c r="BG208" i="1"/>
  <c r="BH208" i="1"/>
  <c r="BJ208" i="1"/>
  <c r="BK208" i="1"/>
  <c r="BL208" i="1"/>
  <c r="BM208" i="1"/>
  <c r="BO208" i="1"/>
  <c r="BP208" i="1"/>
  <c r="BQ208" i="1"/>
  <c r="BR208" i="1"/>
  <c r="BT208" i="1"/>
  <c r="BU208" i="1"/>
  <c r="BV208" i="1"/>
  <c r="BW208" i="1"/>
  <c r="BY208" i="1"/>
  <c r="BZ208" i="1"/>
  <c r="CA208" i="1"/>
  <c r="CB208" i="1"/>
  <c r="CD208" i="1"/>
  <c r="CE208" i="1"/>
  <c r="CF208" i="1"/>
  <c r="CG208" i="1"/>
  <c r="AP209" i="1"/>
  <c r="AQ209" i="1"/>
  <c r="AR209" i="1"/>
  <c r="AS209" i="1"/>
  <c r="AU209" i="1"/>
  <c r="AV209" i="1"/>
  <c r="AW209" i="1"/>
  <c r="AX209" i="1"/>
  <c r="AZ209" i="1"/>
  <c r="BA209" i="1"/>
  <c r="BB209" i="1"/>
  <c r="BC209" i="1"/>
  <c r="BE209" i="1"/>
  <c r="BF209" i="1"/>
  <c r="BG209" i="1"/>
  <c r="BH209" i="1"/>
  <c r="BJ209" i="1"/>
  <c r="BK209" i="1"/>
  <c r="BL209" i="1"/>
  <c r="BM209" i="1"/>
  <c r="BO209" i="1"/>
  <c r="BP209" i="1"/>
  <c r="BQ209" i="1"/>
  <c r="BR209" i="1"/>
  <c r="BT209" i="1"/>
  <c r="BU209" i="1"/>
  <c r="BV209" i="1"/>
  <c r="BW209" i="1"/>
  <c r="BY209" i="1"/>
  <c r="BZ209" i="1"/>
  <c r="CA209" i="1"/>
  <c r="CB209" i="1"/>
  <c r="CL210" i="1"/>
  <c r="AP214" i="1"/>
  <c r="AU214" i="1"/>
  <c r="AZ214" i="1"/>
  <c r="BE214" i="1"/>
  <c r="BK214" i="1"/>
  <c r="L220" i="1"/>
  <c r="M220" i="1"/>
  <c r="N220" i="1"/>
  <c r="O220" i="1"/>
  <c r="P220" i="1" s="1"/>
  <c r="Q220" i="1"/>
  <c r="R220" i="1"/>
  <c r="S220" i="1"/>
  <c r="T220" i="1"/>
  <c r="U220" i="1" s="1"/>
  <c r="V220" i="1"/>
  <c r="W220" i="1"/>
  <c r="X220" i="1"/>
  <c r="Y220" i="1"/>
  <c r="Z220" i="1" s="1"/>
  <c r="AA220" i="1"/>
  <c r="AB220" i="1"/>
  <c r="AC220" i="1"/>
  <c r="AD220" i="1"/>
  <c r="AE220" i="1" s="1"/>
  <c r="AF220" i="1"/>
  <c r="AG220" i="1"/>
  <c r="AH220" i="1"/>
  <c r="AI220" i="1"/>
  <c r="AJ220" i="1" s="1"/>
  <c r="AK220" i="1"/>
  <c r="AL220" i="1"/>
  <c r="AM220" i="1"/>
  <c r="AN220" i="1"/>
  <c r="AO220" i="1" s="1"/>
  <c r="AP220" i="1"/>
  <c r="AQ220" i="1"/>
  <c r="AR220" i="1"/>
  <c r="AS220" i="1"/>
  <c r="AT220" i="1" s="1"/>
  <c r="AU220" i="1"/>
  <c r="AV220" i="1"/>
  <c r="AW220" i="1"/>
  <c r="AX220" i="1"/>
  <c r="AY220" i="1" s="1"/>
  <c r="AZ220" i="1"/>
  <c r="BA220" i="1"/>
  <c r="BB220" i="1"/>
  <c r="BC220" i="1"/>
  <c r="BD220" i="1" s="1"/>
  <c r="BE220" i="1"/>
  <c r="BF220" i="1"/>
  <c r="BG220" i="1"/>
  <c r="BH220" i="1"/>
  <c r="BI220" i="1" s="1"/>
  <c r="BJ220" i="1"/>
  <c r="BK220" i="1"/>
  <c r="BL220" i="1"/>
  <c r="BM220" i="1"/>
  <c r="BN220" i="1" s="1"/>
  <c r="BO220" i="1"/>
  <c r="BP220" i="1"/>
  <c r="BQ220" i="1"/>
  <c r="BR220" i="1"/>
  <c r="BS220" i="1" s="1"/>
  <c r="BT220" i="1"/>
  <c r="BU220" i="1"/>
  <c r="BV220" i="1"/>
  <c r="BW220" i="1"/>
  <c r="BX220" i="1" s="1"/>
  <c r="BY220" i="1"/>
  <c r="BZ220" i="1"/>
  <c r="CA220" i="1"/>
  <c r="CB220" i="1"/>
  <c r="CC220" i="1" s="1"/>
  <c r="CD220" i="1"/>
  <c r="CE220" i="1"/>
  <c r="CF220" i="1"/>
  <c r="CG220" i="1"/>
  <c r="CH220" i="1" s="1"/>
  <c r="CM220" i="1"/>
  <c r="L224" i="1"/>
  <c r="M224" i="1"/>
  <c r="N224" i="1"/>
  <c r="O224" i="1"/>
  <c r="Q224" i="1"/>
  <c r="R224" i="1"/>
  <c r="S224" i="1"/>
  <c r="T224" i="1"/>
  <c r="V224" i="1"/>
  <c r="W224" i="1"/>
  <c r="X224" i="1"/>
  <c r="Y224" i="1"/>
  <c r="AA224" i="1"/>
  <c r="AB224" i="1"/>
  <c r="AC224" i="1"/>
  <c r="AD224" i="1"/>
  <c r="AE224" i="1" s="1"/>
  <c r="AF224" i="1"/>
  <c r="AG224" i="1"/>
  <c r="AH224" i="1"/>
  <c r="AI224" i="1"/>
  <c r="AK224" i="1"/>
  <c r="AL224" i="1"/>
  <c r="AM224" i="1"/>
  <c r="AN224" i="1"/>
  <c r="AP224" i="1"/>
  <c r="AQ224" i="1"/>
  <c r="AR224" i="1"/>
  <c r="AS224" i="1"/>
  <c r="AU224" i="1"/>
  <c r="AV224" i="1"/>
  <c r="AW224" i="1"/>
  <c r="AX224" i="1"/>
  <c r="AY224" i="1" s="1"/>
  <c r="AZ224" i="1"/>
  <c r="BA224" i="1"/>
  <c r="BB224" i="1"/>
  <c r="BC224" i="1"/>
  <c r="BE224" i="1"/>
  <c r="BF224" i="1"/>
  <c r="BG224" i="1"/>
  <c r="BL224" i="1"/>
  <c r="BM224" i="1"/>
  <c r="BN224" i="1" s="1"/>
  <c r="BO224" i="1"/>
  <c r="BP224" i="1"/>
  <c r="BQ224" i="1"/>
  <c r="BR224" i="1"/>
  <c r="BS224" i="1" s="1"/>
  <c r="BT224" i="1"/>
  <c r="BU224" i="1"/>
  <c r="BV224" i="1"/>
  <c r="BW224" i="1"/>
  <c r="BY224" i="1"/>
  <c r="BZ224" i="1"/>
  <c r="CA224" i="1"/>
  <c r="CB224" i="1"/>
  <c r="AO229" i="1"/>
  <c r="AT229" i="1"/>
  <c r="AY229" i="1"/>
  <c r="BD229" i="1"/>
  <c r="BI229" i="1"/>
  <c r="BN229" i="1"/>
  <c r="BS229" i="1"/>
  <c r="BX229" i="1"/>
  <c r="CC229" i="1"/>
  <c r="AF64" i="1"/>
  <c r="O61" i="1"/>
  <c r="BW121" i="8"/>
  <c r="AF60" i="1"/>
  <c r="AB60" i="1"/>
  <c r="AU64" i="1"/>
  <c r="C60" i="1"/>
  <c r="AP60" i="1"/>
  <c r="BH118" i="8"/>
  <c r="BH123" i="8" s="1"/>
  <c r="CP61" i="1"/>
  <c r="EF56" i="1"/>
  <c r="BD60" i="1"/>
  <c r="BM121" i="8"/>
  <c r="BM125" i="8" s="1"/>
  <c r="BK38" i="1"/>
  <c r="AR121" i="8"/>
  <c r="AR125" i="8" s="1"/>
  <c r="CP220" i="1"/>
  <c r="CO220" i="1"/>
  <c r="CN220" i="1"/>
  <c r="CN186" i="1"/>
  <c r="CL61" i="1"/>
  <c r="CJ79" i="1"/>
  <c r="CK79" i="1"/>
  <c r="CL79" i="1"/>
  <c r="H61" i="1"/>
  <c r="AT37" i="1"/>
  <c r="W38" i="1"/>
  <c r="AO22" i="1"/>
  <c r="AK227" i="1" s="1"/>
  <c r="BH67" i="8"/>
  <c r="EF104" i="1"/>
  <c r="AX179" i="1"/>
  <c r="AY179" i="1" s="1"/>
  <c r="AY174" i="1" s="1"/>
  <c r="AY176" i="1" s="1"/>
  <c r="AY194" i="1" s="1"/>
  <c r="AX64" i="1"/>
  <c r="AT64" i="1"/>
  <c r="BV80" i="1"/>
  <c r="CE50" i="8"/>
  <c r="BP38" i="1"/>
  <c r="BP73" i="1" s="1"/>
  <c r="BR118" i="8"/>
  <c r="BR123" i="8" s="1"/>
  <c r="BW123" i="8" s="1"/>
  <c r="CB123" i="8" s="1"/>
  <c r="BB88" i="1"/>
  <c r="AL71" i="1"/>
  <c r="AQ88" i="1"/>
  <c r="AC88" i="1"/>
  <c r="CN67" i="8"/>
  <c r="BZ192" i="1"/>
  <c r="CI62" i="8"/>
  <c r="CG120" i="1"/>
  <c r="BN116" i="1"/>
  <c r="CO78" i="8"/>
  <c r="CK78" i="8"/>
  <c r="BY78" i="8"/>
  <c r="CL62" i="8"/>
  <c r="CH62" i="8"/>
  <c r="CJ120" i="1"/>
  <c r="BP120" i="1"/>
  <c r="CS108" i="8"/>
  <c r="CS106" i="8"/>
  <c r="CS103" i="8"/>
  <c r="BY100" i="8"/>
  <c r="CS92" i="8"/>
  <c r="CN76" i="8"/>
  <c r="CM67" i="8"/>
  <c r="CK167" i="1"/>
  <c r="CK215" i="1" s="1"/>
  <c r="CK171" i="1"/>
  <c r="CK172" i="1" s="1"/>
  <c r="CK214" i="1"/>
  <c r="CK120" i="1"/>
  <c r="CP171" i="1"/>
  <c r="CO214" i="1"/>
  <c r="CQ116" i="1"/>
  <c r="CL171" i="1"/>
  <c r="CL172" i="1" s="1"/>
  <c r="CQ172" i="1" s="1"/>
  <c r="CP78" i="8"/>
  <c r="CI76" i="8"/>
  <c r="CH67" i="8"/>
  <c r="CL167" i="1"/>
  <c r="CL215" i="1" s="1"/>
  <c r="AM120" i="1"/>
  <c r="CP167" i="1"/>
  <c r="CU90" i="8"/>
  <c r="CR78" i="8"/>
  <c r="CQ78" i="8"/>
  <c r="CM58" i="8"/>
  <c r="BI68" i="1"/>
  <c r="CP69" i="1"/>
  <c r="CN119" i="1"/>
  <c r="AZ178" i="1"/>
  <c r="AG88" i="1"/>
  <c r="AB38" i="1"/>
  <c r="CS113" i="8"/>
  <c r="CS112" i="8"/>
  <c r="CS102" i="8"/>
  <c r="CS97" i="8"/>
  <c r="CS96" i="8"/>
  <c r="AQ76" i="8"/>
  <c r="AM76" i="8"/>
  <c r="CF62" i="8"/>
  <c r="T41" i="8"/>
  <c r="T52" i="8" s="1"/>
  <c r="EH103" i="1"/>
  <c r="AR179" i="1"/>
  <c r="AK88" i="1"/>
  <c r="AB88" i="1"/>
  <c r="BM38" i="1"/>
  <c r="BM45" i="1" s="1"/>
  <c r="CP103" i="8"/>
  <c r="CI78" i="8"/>
  <c r="CK62" i="8"/>
  <c r="AZ60" i="1"/>
  <c r="CS88" i="8"/>
  <c r="CS86" i="8"/>
  <c r="CH78" i="8"/>
  <c r="BQ28" i="8"/>
  <c r="H45" i="1"/>
  <c r="H49" i="1" s="1"/>
  <c r="H73" i="1"/>
  <c r="H39" i="1"/>
  <c r="H74" i="1" s="1"/>
  <c r="P58" i="8"/>
  <c r="CQ220" i="1"/>
  <c r="CR220" i="1" s="1"/>
  <c r="CL76" i="8"/>
  <c r="CK67" i="8"/>
  <c r="CT78" i="8"/>
  <c r="D16" i="95"/>
  <c r="BI119" i="1"/>
  <c r="CN89" i="1"/>
  <c r="CH76" i="8"/>
  <c r="CG67" i="8"/>
  <c r="CI67" i="8"/>
  <c r="CL58" i="8"/>
  <c r="CM76" i="8"/>
  <c r="CL67" i="8"/>
  <c r="CL120" i="1"/>
  <c r="CU78" i="8"/>
  <c r="CL214" i="1"/>
  <c r="CP119" i="8"/>
  <c r="CN208" i="1"/>
  <c r="CS79" i="8"/>
  <c r="EF37" i="1"/>
  <c r="CP214" i="1"/>
  <c r="CQ119" i="8"/>
  <c r="CK119" i="1"/>
  <c r="CQ180" i="1"/>
  <c r="CQ192" i="1"/>
  <c r="CR179" i="1"/>
  <c r="CR180" i="1"/>
  <c r="CR64" i="1"/>
  <c r="DH175" i="1"/>
  <c r="DI175" i="1" s="1"/>
  <c r="DJ175" i="1" s="1"/>
  <c r="CK121" i="1"/>
  <c r="CK122" i="1" s="1"/>
  <c r="CR24" i="1"/>
  <c r="CS119" i="8"/>
  <c r="CS124" i="8" s="1"/>
  <c r="CQ208" i="1"/>
  <c r="CS101" i="8"/>
  <c r="CS85" i="8"/>
  <c r="CS100" i="8"/>
  <c r="CS84" i="8"/>
  <c r="CS95" i="8"/>
  <c r="CS111" i="8"/>
  <c r="CR120" i="1"/>
  <c r="CQ115" i="1"/>
  <c r="CR115" i="1"/>
  <c r="CP36" i="8"/>
  <c r="CN62" i="8"/>
  <c r="CU114" i="8"/>
  <c r="CU98" i="8"/>
  <c r="CK109" i="8"/>
  <c r="CO62" i="8"/>
  <c r="AC83" i="1"/>
  <c r="V83" i="1"/>
  <c r="AP28" i="8" l="1"/>
  <c r="AQ28" i="8" s="1"/>
  <c r="BY86" i="8"/>
  <c r="AT118" i="8"/>
  <c r="AT123" i="8" s="1"/>
  <c r="AX88" i="1"/>
  <c r="BV28" i="8"/>
  <c r="BY87" i="1"/>
  <c r="Z86" i="1"/>
  <c r="AS88" i="1"/>
  <c r="BZ156" i="1"/>
  <c r="BZ158" i="1" s="1"/>
  <c r="BZ57" i="1"/>
  <c r="CA87" i="1"/>
  <c r="AD93" i="8"/>
  <c r="AE109" i="8"/>
  <c r="AI93" i="8"/>
  <c r="CB28" i="8"/>
  <c r="BN115" i="1"/>
  <c r="P62" i="8"/>
  <c r="CN166" i="1"/>
  <c r="CF214" i="1"/>
  <c r="K60" i="1"/>
  <c r="AZ76" i="8"/>
  <c r="BG63" i="8"/>
  <c r="BG38" i="1"/>
  <c r="BG45" i="1" s="1"/>
  <c r="BQ78" i="8"/>
  <c r="CY215" i="1"/>
  <c r="CY170" i="1"/>
  <c r="Z87" i="1"/>
  <c r="AJ69" i="1"/>
  <c r="AJ68" i="1"/>
  <c r="CZ215" i="1"/>
  <c r="CZ170" i="1"/>
  <c r="CD224" i="1"/>
  <c r="CD209" i="1"/>
  <c r="CD90" i="1"/>
  <c r="CF120" i="8"/>
  <c r="BS149" i="1"/>
  <c r="AB20" i="8"/>
  <c r="AL36" i="8"/>
  <c r="AL63" i="8" s="1"/>
  <c r="BJ76" i="8"/>
  <c r="BO121" i="8"/>
  <c r="BO125" i="8" s="1"/>
  <c r="CA56" i="1"/>
  <c r="M88" i="1"/>
  <c r="BT71" i="1"/>
  <c r="BF212" i="8"/>
  <c r="BF213" i="8" s="1"/>
  <c r="BG214" i="1"/>
  <c r="AZ193" i="1"/>
  <c r="AT22" i="1"/>
  <c r="Y38" i="1"/>
  <c r="Y39" i="1" s="1"/>
  <c r="E71" i="1"/>
  <c r="AX71" i="1"/>
  <c r="BN86" i="1"/>
  <c r="F71" i="1"/>
  <c r="CZ151" i="98"/>
  <c r="T83" i="1"/>
  <c r="BZ56" i="1"/>
  <c r="K70" i="1"/>
  <c r="P89" i="1"/>
  <c r="AW118" i="8"/>
  <c r="AW123" i="8" s="1"/>
  <c r="J71" i="1"/>
  <c r="BQ118" i="8"/>
  <c r="BQ123" i="8" s="1"/>
  <c r="BK212" i="8"/>
  <c r="X83" i="1"/>
  <c r="BE88" i="1"/>
  <c r="AE22" i="1"/>
  <c r="AE38" i="1" s="1"/>
  <c r="AE73" i="1" s="1"/>
  <c r="G88" i="1"/>
  <c r="CE212" i="8"/>
  <c r="AO209" i="1"/>
  <c r="BO71" i="1"/>
  <c r="AB83" i="1"/>
  <c r="AF71" i="1"/>
  <c r="BJ88" i="1"/>
  <c r="CJ192" i="1"/>
  <c r="CJ193" i="1" s="1"/>
  <c r="CF152" i="1"/>
  <c r="BZ214" i="1"/>
  <c r="BS157" i="1"/>
  <c r="AB39" i="1"/>
  <c r="AB41" i="1" s="1"/>
  <c r="AB75" i="1" s="1"/>
  <c r="AB45" i="1"/>
  <c r="AB49" i="1" s="1"/>
  <c r="AB59" i="1" s="1"/>
  <c r="BF67" i="8"/>
  <c r="AT90" i="1"/>
  <c r="Z69" i="1"/>
  <c r="AP61" i="1"/>
  <c r="K88" i="1"/>
  <c r="BR88" i="1"/>
  <c r="CE209" i="1"/>
  <c r="CJ90" i="1"/>
  <c r="CE224" i="1"/>
  <c r="CE90" i="1"/>
  <c r="CO89" i="1"/>
  <c r="BR41" i="8"/>
  <c r="BR52" i="8" s="1"/>
  <c r="AP63" i="8"/>
  <c r="BX62" i="8"/>
  <c r="BJ63" i="8"/>
  <c r="N63" i="8"/>
  <c r="AV41" i="8"/>
  <c r="AV52" i="8" s="1"/>
  <c r="BX63" i="8"/>
  <c r="AH62" i="8"/>
  <c r="BP211" i="8"/>
  <c r="BP213" i="8" s="1"/>
  <c r="BQ113" i="8"/>
  <c r="BZ78" i="8"/>
  <c r="AX67" i="8"/>
  <c r="BQ62" i="8"/>
  <c r="V28" i="8"/>
  <c r="W28" i="8" s="1"/>
  <c r="BW76" i="8"/>
  <c r="CD41" i="8"/>
  <c r="CE41" i="8" s="1"/>
  <c r="CJ78" i="8"/>
  <c r="BQ112" i="8"/>
  <c r="BO63" i="8"/>
  <c r="AY63" i="8"/>
  <c r="CF104" i="8"/>
  <c r="CF113" i="8"/>
  <c r="BY114" i="8"/>
  <c r="CD98" i="8"/>
  <c r="BY98" i="8"/>
  <c r="BK63" i="8"/>
  <c r="AI63" i="8"/>
  <c r="Q62" i="8"/>
  <c r="CD63" i="8"/>
  <c r="AR76" i="8"/>
  <c r="BN51" i="8"/>
  <c r="BN67" i="8" s="1"/>
  <c r="AS63" i="8"/>
  <c r="AN41" i="8"/>
  <c r="AN52" i="8" s="1"/>
  <c r="DS40" i="8"/>
  <c r="DT40" i="8"/>
  <c r="DU40" i="8" s="1"/>
  <c r="DV40" i="8" s="1"/>
  <c r="DW40" i="8" s="1"/>
  <c r="AU38" i="1"/>
  <c r="AU45" i="1" s="1"/>
  <c r="AU77" i="1" s="1"/>
  <c r="CA156" i="1"/>
  <c r="CA158" i="1" s="1"/>
  <c r="CA57" i="1"/>
  <c r="AE69" i="1"/>
  <c r="BK224" i="1"/>
  <c r="AJ86" i="1"/>
  <c r="BM90" i="1"/>
  <c r="AM227" i="1"/>
  <c r="AM230" i="1" s="1"/>
  <c r="AU71" i="1"/>
  <c r="B71" i="1"/>
  <c r="AA71" i="1"/>
  <c r="BX178" i="1"/>
  <c r="BX177" i="1" s="1"/>
  <c r="BL118" i="8"/>
  <c r="BL123" i="8" s="1"/>
  <c r="BJ120" i="8"/>
  <c r="AL64" i="1"/>
  <c r="AQ60" i="1"/>
  <c r="T60" i="1"/>
  <c r="BX157" i="1"/>
  <c r="AZ88" i="1"/>
  <c r="AA38" i="1"/>
  <c r="AP88" i="1"/>
  <c r="BU71" i="1"/>
  <c r="AE68" i="1"/>
  <c r="BE71" i="1"/>
  <c r="BA218" i="1"/>
  <c r="BA225" i="1" s="1"/>
  <c r="BH90" i="1"/>
  <c r="BP45" i="1"/>
  <c r="BP47" i="1" s="1"/>
  <c r="B77" i="1"/>
  <c r="AA88" i="1"/>
  <c r="AR118" i="8"/>
  <c r="AR123" i="8" s="1"/>
  <c r="BW118" i="8"/>
  <c r="L60" i="1"/>
  <c r="AL61" i="1"/>
  <c r="BJ224" i="1"/>
  <c r="AQ179" i="1"/>
  <c r="AQ178" i="1"/>
  <c r="AR166" i="1" s="1"/>
  <c r="BO88" i="1"/>
  <c r="R71" i="1"/>
  <c r="AK38" i="1"/>
  <c r="AK73" i="1" s="1"/>
  <c r="U90" i="1"/>
  <c r="AJ60" i="1"/>
  <c r="R83" i="1"/>
  <c r="S62" i="8"/>
  <c r="CC62" i="8"/>
  <c r="AC63" i="8"/>
  <c r="BS62" i="8"/>
  <c r="CD91" i="8"/>
  <c r="BY91" i="8"/>
  <c r="AS76" i="8"/>
  <c r="AM63" i="8"/>
  <c r="S63" i="8"/>
  <c r="S28" i="8"/>
  <c r="S58" i="8" s="1"/>
  <c r="AZ20" i="8"/>
  <c r="AZ62" i="8" s="1"/>
  <c r="BO41" i="8"/>
  <c r="BP41" i="8" s="1"/>
  <c r="BV114" i="8"/>
  <c r="BQ104" i="8"/>
  <c r="BP78" i="8"/>
  <c r="BF76" i="8"/>
  <c r="BS63" i="8"/>
  <c r="AM62" i="8"/>
  <c r="BR28" i="8"/>
  <c r="X41" i="8"/>
  <c r="X52" i="8" s="1"/>
  <c r="N62" i="8"/>
  <c r="BX76" i="8"/>
  <c r="BB76" i="8"/>
  <c r="AH63" i="8"/>
  <c r="BX41" i="8"/>
  <c r="BX52" i="8" s="1"/>
  <c r="BK211" i="8"/>
  <c r="BK213" i="8" s="1"/>
  <c r="BJ58" i="8"/>
  <c r="BK58" i="8" s="1"/>
  <c r="AT58" i="8"/>
  <c r="CD51" i="8"/>
  <c r="BA52" i="8"/>
  <c r="AU52" i="8"/>
  <c r="AU53" i="8" s="1"/>
  <c r="BX60" i="1"/>
  <c r="BX127" i="8"/>
  <c r="AP41" i="8"/>
  <c r="R36" i="8"/>
  <c r="R62" i="8" s="1"/>
  <c r="V62" i="8"/>
  <c r="BJ62" i="8"/>
  <c r="BU78" i="8"/>
  <c r="BK76" i="8"/>
  <c r="BC76" i="8"/>
  <c r="Q63" i="8"/>
  <c r="CA67" i="8"/>
  <c r="AK63" i="8"/>
  <c r="BV78" i="8"/>
  <c r="BQ111" i="8"/>
  <c r="BY103" i="8"/>
  <c r="V63" i="8"/>
  <c r="M63" i="8"/>
  <c r="V41" i="8"/>
  <c r="W41" i="8" s="1"/>
  <c r="AJ62" i="8"/>
  <c r="AS52" i="8"/>
  <c r="CF107" i="8"/>
  <c r="CD87" i="8"/>
  <c r="BY87" i="8"/>
  <c r="AD28" i="8"/>
  <c r="AD58" i="8" s="1"/>
  <c r="BN71" i="98"/>
  <c r="AO115" i="1"/>
  <c r="AO71" i="98"/>
  <c r="AV133" i="8"/>
  <c r="BW71" i="98"/>
  <c r="AJ115" i="1"/>
  <c r="AJ71" i="98"/>
  <c r="BS115" i="1"/>
  <c r="BS71" i="98"/>
  <c r="CE76" i="8"/>
  <c r="AT62" i="8"/>
  <c r="CA76" i="8"/>
  <c r="BH41" i="8"/>
  <c r="BH52" i="8" s="1"/>
  <c r="CA63" i="8"/>
  <c r="BE76" i="8"/>
  <c r="BO62" i="8"/>
  <c r="CA52" i="8"/>
  <c r="BV52" i="8"/>
  <c r="BF160" i="8"/>
  <c r="BF162" i="8" s="1"/>
  <c r="CC173" i="1"/>
  <c r="CC172" i="1" s="1"/>
  <c r="EF102" i="1"/>
  <c r="AT70" i="1"/>
  <c r="CE56" i="1"/>
  <c r="AZ166" i="1"/>
  <c r="AZ173" i="1" s="1"/>
  <c r="AT180" i="1"/>
  <c r="AP179" i="1"/>
  <c r="AG65" i="1"/>
  <c r="AG61" i="1" s="1"/>
  <c r="AE61" i="1"/>
  <c r="P61" i="1"/>
  <c r="BH71" i="1"/>
  <c r="AW99" i="98"/>
  <c r="AJ178" i="1"/>
  <c r="AZ179" i="1"/>
  <c r="BA99" i="98"/>
  <c r="AZ99" i="98"/>
  <c r="BB99" i="98"/>
  <c r="AV179" i="1"/>
  <c r="AV99" i="98"/>
  <c r="AI61" i="1"/>
  <c r="BD89" i="1"/>
  <c r="I83" i="1"/>
  <c r="AX99" i="98"/>
  <c r="AY99" i="98"/>
  <c r="AU99" i="98"/>
  <c r="AY70" i="1"/>
  <c r="AO127" i="8"/>
  <c r="CD214" i="1"/>
  <c r="BG73" i="1"/>
  <c r="AC61" i="1"/>
  <c r="BH218" i="1"/>
  <c r="BI218" i="1" s="1"/>
  <c r="AT68" i="1"/>
  <c r="CP192" i="1"/>
  <c r="CP193" i="1" s="1"/>
  <c r="AT67" i="1"/>
  <c r="Z22" i="1"/>
  <c r="Z88" i="1" s="1"/>
  <c r="Q218" i="1"/>
  <c r="J88" i="1"/>
  <c r="BT88" i="1"/>
  <c r="AT69" i="1"/>
  <c r="T218" i="1"/>
  <c r="U218" i="1" s="1"/>
  <c r="BN208" i="1"/>
  <c r="BM80" i="1"/>
  <c r="AD71" i="1"/>
  <c r="CU195" i="1"/>
  <c r="AG64" i="1"/>
  <c r="AE86" i="1"/>
  <c r="BD22" i="1"/>
  <c r="AJ22" i="1"/>
  <c r="AJ71" i="1" s="1"/>
  <c r="BM71" i="1"/>
  <c r="AN88" i="1"/>
  <c r="Q38" i="1"/>
  <c r="AN71" i="1"/>
  <c r="BV118" i="8"/>
  <c r="BV123" i="8" s="1"/>
  <c r="BN22" i="1"/>
  <c r="BM227" i="1" s="1"/>
  <c r="AU118" i="8"/>
  <c r="AU123" i="8" s="1"/>
  <c r="AY86" i="1"/>
  <c r="CJ195" i="1"/>
  <c r="AT86" i="1"/>
  <c r="R88" i="1"/>
  <c r="Y88" i="1"/>
  <c r="F70" i="1"/>
  <c r="BN69" i="1"/>
  <c r="Z17" i="1"/>
  <c r="Z83" i="1" s="1"/>
  <c r="BS180" i="1"/>
  <c r="BR99" i="98"/>
  <c r="BS99" i="98"/>
  <c r="BN99" i="98"/>
  <c r="BM99" i="98"/>
  <c r="BI208" i="1"/>
  <c r="U38" i="1"/>
  <c r="U73" i="1" s="1"/>
  <c r="BB38" i="1"/>
  <c r="BB45" i="1" s="1"/>
  <c r="BB49" i="1" s="1"/>
  <c r="BB63" i="1" s="1"/>
  <c r="AM38" i="1"/>
  <c r="AM45" i="1" s="1"/>
  <c r="AM77" i="1" s="1"/>
  <c r="AM91" i="98"/>
  <c r="AH38" i="1"/>
  <c r="AH39" i="1" s="1"/>
  <c r="AH41" i="1" s="1"/>
  <c r="AH75" i="1" s="1"/>
  <c r="AH91" i="98"/>
  <c r="AC71" i="1"/>
  <c r="AC91" i="98"/>
  <c r="X38" i="1"/>
  <c r="X91" i="98"/>
  <c r="T38" i="1"/>
  <c r="T91" i="98"/>
  <c r="H78" i="1"/>
  <c r="BD130" i="98"/>
  <c r="AJ130" i="98"/>
  <c r="H77" i="1"/>
  <c r="CK193" i="1"/>
  <c r="BX64" i="1"/>
  <c r="BX99" i="98"/>
  <c r="BW99" i="98"/>
  <c r="V38" i="1"/>
  <c r="V91" i="98"/>
  <c r="N38" i="1"/>
  <c r="N45" i="1" s="1"/>
  <c r="N49" i="1" s="1"/>
  <c r="N59" i="1" s="1"/>
  <c r="N91" i="98"/>
  <c r="BX130" i="98"/>
  <c r="BX91" i="98"/>
  <c r="CC21" i="1"/>
  <c r="DI16" i="98"/>
  <c r="BQ192" i="1"/>
  <c r="BQ194" i="1" s="1"/>
  <c r="CE120" i="1"/>
  <c r="BB20" i="8"/>
  <c r="BB28" i="8" s="1"/>
  <c r="BC16" i="8"/>
  <c r="BS67" i="8"/>
  <c r="BS52" i="8"/>
  <c r="BT76" i="8"/>
  <c r="AL28" i="8"/>
  <c r="AL20" i="8"/>
  <c r="AL62" i="8" s="1"/>
  <c r="CG76" i="8"/>
  <c r="CF78" i="8"/>
  <c r="BU20" i="8"/>
  <c r="BK62" i="8"/>
  <c r="Z62" i="8"/>
  <c r="BS189" i="1"/>
  <c r="BQ100" i="8"/>
  <c r="Z63" i="8"/>
  <c r="BH62" i="8"/>
  <c r="AV62" i="8"/>
  <c r="AR58" i="8"/>
  <c r="M62" i="8"/>
  <c r="Z58" i="8"/>
  <c r="U58" i="8"/>
  <c r="AF28" i="8"/>
  <c r="AK58" i="8" s="1"/>
  <c r="AL58" i="8" s="1"/>
  <c r="BL63" i="8"/>
  <c r="CD86" i="8"/>
  <c r="BP20" i="8"/>
  <c r="BP62" i="8" s="1"/>
  <c r="CA28" i="8"/>
  <c r="BY102" i="8"/>
  <c r="BV62" i="8"/>
  <c r="CA62" i="8"/>
  <c r="BW116" i="1"/>
  <c r="BV106" i="8"/>
  <c r="CE78" i="8"/>
  <c r="BN63" i="8"/>
  <c r="AZ63" i="8"/>
  <c r="AJ41" i="8"/>
  <c r="AJ52" i="8" s="1"/>
  <c r="AO58" i="8"/>
  <c r="U57" i="8"/>
  <c r="BQ63" i="8"/>
  <c r="BK52" i="8"/>
  <c r="BK53" i="8" s="1"/>
  <c r="BV58" i="8"/>
  <c r="CF67" i="8"/>
  <c r="BN52" i="8"/>
  <c r="CG78" i="8"/>
  <c r="AW20" i="8"/>
  <c r="AW28" i="8" s="1"/>
  <c r="AW58" i="8" s="1"/>
  <c r="AP62" i="8"/>
  <c r="BU133" i="8"/>
  <c r="BD76" i="8"/>
  <c r="BV63" i="8"/>
  <c r="BT28" i="8"/>
  <c r="AM57" i="8"/>
  <c r="AM58" i="8"/>
  <c r="BR67" i="8"/>
  <c r="BS76" i="8"/>
  <c r="AU57" i="8"/>
  <c r="AV57" i="8" s="1"/>
  <c r="AP57" i="8"/>
  <c r="AQ57" i="8" s="1"/>
  <c r="CH127" i="8"/>
  <c r="BM62" i="8"/>
  <c r="CD62" i="8"/>
  <c r="AH125" i="8"/>
  <c r="AM128" i="8" s="1"/>
  <c r="AM129" i="8" s="1"/>
  <c r="BA160" i="8"/>
  <c r="BA162" i="8" s="1"/>
  <c r="CE133" i="8"/>
  <c r="BZ133" i="8"/>
  <c r="BQ106" i="8"/>
  <c r="BL76" i="8"/>
  <c r="BW63" i="8"/>
  <c r="Y63" i="8"/>
  <c r="P63" i="8"/>
  <c r="AU62" i="8"/>
  <c r="W62" i="8"/>
  <c r="BX28" i="8"/>
  <c r="BH28" i="8"/>
  <c r="BM58" i="8" s="1"/>
  <c r="M28" i="8"/>
  <c r="AU58" i="8"/>
  <c r="AV58" i="8" s="1"/>
  <c r="AP58" i="8"/>
  <c r="AQ58" i="8" s="1"/>
  <c r="BG67" i="8"/>
  <c r="CE20" i="8"/>
  <c r="BR62" i="8"/>
  <c r="AW127" i="8"/>
  <c r="BM41" i="8"/>
  <c r="BM52" i="8" s="1"/>
  <c r="BM53" i="8" s="1"/>
  <c r="BK160" i="8"/>
  <c r="BK162" i="8" s="1"/>
  <c r="BV112" i="8"/>
  <c r="BP76" i="8"/>
  <c r="BA63" i="8"/>
  <c r="AU63" i="8"/>
  <c r="P41" i="8"/>
  <c r="P52" i="8" s="1"/>
  <c r="BL62" i="8"/>
  <c r="CD28" i="8"/>
  <c r="BS28" i="8"/>
  <c r="BN20" i="8"/>
  <c r="Y62" i="8"/>
  <c r="BL28" i="8"/>
  <c r="Q28" i="8"/>
  <c r="BZ211" i="8"/>
  <c r="BU211" i="8"/>
  <c r="BU213" i="8" s="1"/>
  <c r="CO207" i="8"/>
  <c r="BG52" i="8"/>
  <c r="AY52" i="8"/>
  <c r="BG20" i="8"/>
  <c r="CB51" i="8"/>
  <c r="CC76" i="8" s="1"/>
  <c r="AN62" i="8"/>
  <c r="D13" i="95"/>
  <c r="CS154" i="98"/>
  <c r="CU151" i="98"/>
  <c r="DJ15" i="98"/>
  <c r="DO15" i="98"/>
  <c r="DP15" i="98"/>
  <c r="DI15" i="98"/>
  <c r="DK15" i="98"/>
  <c r="DH15" i="98"/>
  <c r="DM15" i="98"/>
  <c r="BG120" i="1"/>
  <c r="AS167" i="1"/>
  <c r="AS168" i="1" s="1"/>
  <c r="AU169" i="1" s="1"/>
  <c r="BR192" i="1"/>
  <c r="BR194" i="1" s="1"/>
  <c r="BO119" i="1"/>
  <c r="AF121" i="1"/>
  <c r="AF122" i="1" s="1"/>
  <c r="CA120" i="1"/>
  <c r="BF192" i="1"/>
  <c r="BB192" i="1"/>
  <c r="BB193" i="1" s="1"/>
  <c r="BO121" i="1"/>
  <c r="BO122" i="1" s="1"/>
  <c r="BQ120" i="1"/>
  <c r="AG167" i="1"/>
  <c r="BU120" i="1"/>
  <c r="AV120" i="1"/>
  <c r="BD121" i="1"/>
  <c r="BD122" i="1" s="1"/>
  <c r="BD119" i="1"/>
  <c r="BA167" i="1"/>
  <c r="BA215" i="1" s="1"/>
  <c r="BH120" i="1"/>
  <c r="AN120" i="1"/>
  <c r="BA192" i="1"/>
  <c r="BA193" i="1" s="1"/>
  <c r="BU171" i="1"/>
  <c r="BU167" i="1"/>
  <c r="BU215" i="1" s="1"/>
  <c r="AR167" i="1"/>
  <c r="AR168" i="1" s="1"/>
  <c r="G16" i="95"/>
  <c r="CE167" i="1"/>
  <c r="CE215" i="1" s="1"/>
  <c r="AQ167" i="1"/>
  <c r="AQ168" i="1" s="1"/>
  <c r="AQ169" i="1" s="1"/>
  <c r="AQ120" i="1"/>
  <c r="CE171" i="1"/>
  <c r="CE172" i="1" s="1"/>
  <c r="BF215" i="1"/>
  <c r="BK120" i="1"/>
  <c r="BK192" i="1"/>
  <c r="BK194" i="1" s="1"/>
  <c r="BJ119" i="1"/>
  <c r="BJ121" i="1"/>
  <c r="BJ122" i="1" s="1"/>
  <c r="BB120" i="1"/>
  <c r="BA120" i="1"/>
  <c r="AG120" i="1"/>
  <c r="AL119" i="1"/>
  <c r="BZ167" i="1"/>
  <c r="BZ215" i="1" s="1"/>
  <c r="BG167" i="1"/>
  <c r="BK215" i="1"/>
  <c r="BU192" i="1"/>
  <c r="BU194" i="1" s="1"/>
  <c r="BU123" i="1" s="1"/>
  <c r="AT88" i="1"/>
  <c r="AO230" i="1"/>
  <c r="BP91" i="1"/>
  <c r="BB71" i="1"/>
  <c r="AQ218" i="1"/>
  <c r="AQ225" i="1" s="1"/>
  <c r="AR38" i="1"/>
  <c r="AR39" i="1" s="1"/>
  <c r="AR74" i="1" s="1"/>
  <c r="AM88" i="1"/>
  <c r="AB73" i="1"/>
  <c r="BP39" i="1"/>
  <c r="BP41" i="1" s="1"/>
  <c r="BP75" i="1" s="1"/>
  <c r="O218" i="1"/>
  <c r="P218" i="1" s="1"/>
  <c r="AA60" i="1"/>
  <c r="AW71" i="1"/>
  <c r="BN68" i="1"/>
  <c r="BN67" i="1"/>
  <c r="Z67" i="1"/>
  <c r="AF227" i="1"/>
  <c r="AF230" i="1" s="1"/>
  <c r="BX149" i="1"/>
  <c r="BX152" i="1" s="1"/>
  <c r="BX154" i="1" s="1"/>
  <c r="BX156" i="1" s="1"/>
  <c r="BX158" i="1" s="1"/>
  <c r="P57" i="8"/>
  <c r="AE71" i="1"/>
  <c r="AT57" i="8"/>
  <c r="AO71" i="1"/>
  <c r="Q73" i="1"/>
  <c r="AH88" i="1"/>
  <c r="M218" i="1"/>
  <c r="M225" i="1" s="1"/>
  <c r="Q88" i="1"/>
  <c r="AT178" i="1"/>
  <c r="AX60" i="1"/>
  <c r="L218" i="1"/>
  <c r="L225" i="1" s="1"/>
  <c r="J60" i="1"/>
  <c r="BI87" i="1"/>
  <c r="W218" i="1"/>
  <c r="W225" i="1" s="1"/>
  <c r="BE121" i="8"/>
  <c r="BE125" i="8" s="1"/>
  <c r="AJ118" i="8"/>
  <c r="AJ123" i="8" s="1"/>
  <c r="AP64" i="1"/>
  <c r="G61" i="1"/>
  <c r="AJ64" i="1"/>
  <c r="CJ208" i="1"/>
  <c r="AX178" i="1"/>
  <c r="AF178" i="1"/>
  <c r="AG166" i="1" s="1"/>
  <c r="CJ89" i="1"/>
  <c r="AR88" i="1"/>
  <c r="AM71" i="1"/>
  <c r="X71" i="1"/>
  <c r="L71" i="1"/>
  <c r="AJ67" i="1"/>
  <c r="D38" i="1"/>
  <c r="I91" i="1" s="1"/>
  <c r="AO118" i="8"/>
  <c r="AO123" i="8" s="1"/>
  <c r="BZ212" i="8"/>
  <c r="BG71" i="1"/>
  <c r="AH71" i="1"/>
  <c r="T71" i="1"/>
  <c r="H71" i="1"/>
  <c r="U88" i="1"/>
  <c r="BO154" i="1"/>
  <c r="BO57" i="1" s="1"/>
  <c r="BO61" i="1" s="1"/>
  <c r="AC218" i="1"/>
  <c r="AC225" i="1" s="1"/>
  <c r="BG88" i="1"/>
  <c r="BS152" i="1"/>
  <c r="BS154" i="1" s="1"/>
  <c r="BS156" i="1" s="1"/>
  <c r="AZ123" i="1"/>
  <c r="BS64" i="1"/>
  <c r="N61" i="1"/>
  <c r="AS218" i="1"/>
  <c r="AT218" i="1" s="1"/>
  <c r="AW88" i="1"/>
  <c r="L38" i="1"/>
  <c r="L219" i="1" s="1"/>
  <c r="BQ167" i="1"/>
  <c r="BQ170" i="1" s="1"/>
  <c r="AW167" i="1"/>
  <c r="AW168" i="1" s="1"/>
  <c r="AW169" i="1" s="1"/>
  <c r="AN41" i="1"/>
  <c r="AN75" i="1" s="1"/>
  <c r="AC62" i="8"/>
  <c r="AC28" i="8"/>
  <c r="R41" i="8"/>
  <c r="CT176" i="8"/>
  <c r="CT207" i="8" s="1"/>
  <c r="BH75" i="8"/>
  <c r="BI76" i="8"/>
  <c r="AZ52" i="8"/>
  <c r="AZ67" i="8"/>
  <c r="AX76" i="8"/>
  <c r="AW67" i="8"/>
  <c r="AT76" i="8"/>
  <c r="CC51" i="8"/>
  <c r="BF36" i="8"/>
  <c r="BE41" i="8"/>
  <c r="BE62" i="8"/>
  <c r="BE63" i="8"/>
  <c r="AO41" i="8"/>
  <c r="AO52" i="8" s="1"/>
  <c r="AO63" i="8"/>
  <c r="U41" i="8"/>
  <c r="U52" i="8" s="1"/>
  <c r="U63" i="8"/>
  <c r="U62" i="8"/>
  <c r="AN28" i="8"/>
  <c r="BO28" i="8"/>
  <c r="AE20" i="8"/>
  <c r="AE86" i="8"/>
  <c r="AJ86" i="8"/>
  <c r="AE102" i="8"/>
  <c r="AE63" i="8"/>
  <c r="AF102" i="8"/>
  <c r="H63" i="8"/>
  <c r="CD84" i="8"/>
  <c r="BY84" i="8"/>
  <c r="AD62" i="8"/>
  <c r="AD63" i="8"/>
  <c r="BY97" i="8"/>
  <c r="CD97" i="8"/>
  <c r="AS28" i="8"/>
  <c r="AX58" i="8" s="1"/>
  <c r="AS62" i="8"/>
  <c r="X28" i="8"/>
  <c r="X62" i="8"/>
  <c r="AL41" i="8"/>
  <c r="BX67" i="8"/>
  <c r="BY76" i="8"/>
  <c r="BR76" i="8"/>
  <c r="BQ67" i="8"/>
  <c r="BQ52" i="8"/>
  <c r="BQ53" i="8" s="1"/>
  <c r="BL51" i="8"/>
  <c r="BL52" i="8" s="1"/>
  <c r="BM76" i="8"/>
  <c r="BU36" i="8"/>
  <c r="BT62" i="8"/>
  <c r="BT63" i="8"/>
  <c r="BT41" i="8"/>
  <c r="BI63" i="8"/>
  <c r="BI41" i="8"/>
  <c r="BI52" i="8" s="1"/>
  <c r="BI53" i="8" s="1"/>
  <c r="AR62" i="8"/>
  <c r="AR63" i="8"/>
  <c r="AG36" i="8"/>
  <c r="AG62" i="8" s="1"/>
  <c r="AF62" i="8"/>
  <c r="AF63" i="8"/>
  <c r="AF41" i="8"/>
  <c r="BQ108" i="8"/>
  <c r="CC28" i="8"/>
  <c r="BW28" i="8"/>
  <c r="BW62" i="8"/>
  <c r="H28" i="8"/>
  <c r="H51" i="8" s="1"/>
  <c r="H52" i="8" s="1"/>
  <c r="H62" i="8"/>
  <c r="DD179" i="8"/>
  <c r="DI179" i="8" s="1"/>
  <c r="BY109" i="8"/>
  <c r="CD93" i="8"/>
  <c r="AY28" i="8"/>
  <c r="AY62" i="8"/>
  <c r="AI28" i="8"/>
  <c r="AI62" i="8"/>
  <c r="N58" i="8"/>
  <c r="N57" i="8"/>
  <c r="BY93" i="8"/>
  <c r="BY113" i="8"/>
  <c r="AR41" i="8"/>
  <c r="AR52" i="8" s="1"/>
  <c r="AR53" i="8" s="1"/>
  <c r="AD41" i="8"/>
  <c r="AD52" i="8" s="1"/>
  <c r="AQ67" i="8"/>
  <c r="AO116" i="1"/>
  <c r="CB41" i="8"/>
  <c r="CB52" i="8" s="1"/>
  <c r="CB63" i="8"/>
  <c r="CB62" i="8"/>
  <c r="AB36" i="8"/>
  <c r="AA63" i="8"/>
  <c r="AA41" i="8"/>
  <c r="O41" i="8"/>
  <c r="O52" i="8" s="1"/>
  <c r="O63" i="8"/>
  <c r="AC93" i="8"/>
  <c r="AH93" i="8"/>
  <c r="AD109" i="8"/>
  <c r="DD26" i="8"/>
  <c r="DE26" i="8" s="1"/>
  <c r="DF26" i="8" s="1"/>
  <c r="DG26" i="8" s="1"/>
  <c r="DH26" i="8" s="1"/>
  <c r="DI26" i="8" s="1"/>
  <c r="DJ26" i="8" s="1"/>
  <c r="DK26" i="8" s="1"/>
  <c r="DL26" i="8" s="1"/>
  <c r="DM26" i="8" s="1"/>
  <c r="DN26" i="8" s="1"/>
  <c r="DO26" i="8" s="1"/>
  <c r="DP26" i="8" s="1"/>
  <c r="DQ26" i="8" s="1"/>
  <c r="DR26" i="8" s="1"/>
  <c r="DS26" i="8" s="1"/>
  <c r="DT26" i="8" s="1"/>
  <c r="DU26" i="8" s="1"/>
  <c r="DV26" i="8" s="1"/>
  <c r="DW26" i="8" s="1"/>
  <c r="DX26" i="8" s="1"/>
  <c r="DY26" i="8" s="1"/>
  <c r="DZ26" i="8" s="1"/>
  <c r="EA26" i="8" s="1"/>
  <c r="EB26" i="8" s="1"/>
  <c r="EC26" i="8" s="1"/>
  <c r="CF108" i="8"/>
  <c r="O28" i="8"/>
  <c r="O58" i="8" s="1"/>
  <c r="O62" i="8"/>
  <c r="BX189" i="1"/>
  <c r="DD180" i="8"/>
  <c r="DI180" i="8" s="1"/>
  <c r="BW52" i="8"/>
  <c r="T62" i="8"/>
  <c r="AC109" i="8"/>
  <c r="AA62" i="8"/>
  <c r="BK133" i="8"/>
  <c r="BJ52" i="8"/>
  <c r="BJ53" i="8" s="1"/>
  <c r="AV53" i="8"/>
  <c r="AK62" i="8"/>
  <c r="CE211" i="8"/>
  <c r="CE213" i="8" s="1"/>
  <c r="DD182" i="8"/>
  <c r="AT52" i="8"/>
  <c r="AT53" i="8" s="1"/>
  <c r="AO62" i="8"/>
  <c r="BQ121" i="8"/>
  <c r="BQ125" i="8" s="1"/>
  <c r="AN45" i="1"/>
  <c r="AN78" i="1" s="1"/>
  <c r="AA45" i="1"/>
  <c r="AA49" i="1" s="1"/>
  <c r="BJ121" i="8"/>
  <c r="BJ125" i="8" s="1"/>
  <c r="BO214" i="1"/>
  <c r="AT36" i="1"/>
  <c r="AT38" i="1" s="1"/>
  <c r="AT39" i="1" s="1"/>
  <c r="BH38" i="1"/>
  <c r="BH45" i="1" s="1"/>
  <c r="BH77" i="1" s="1"/>
  <c r="BO170" i="1"/>
  <c r="BO173" i="1" s="1"/>
  <c r="BO172" i="1" s="1"/>
  <c r="BO215" i="1"/>
  <c r="BP171" i="1"/>
  <c r="BP172" i="1" s="1"/>
  <c r="BM167" i="1"/>
  <c r="BM170" i="1" s="1"/>
  <c r="BM173" i="1" s="1"/>
  <c r="AX167" i="1"/>
  <c r="AX168" i="1" s="1"/>
  <c r="DS245" i="8"/>
  <c r="AL120" i="1"/>
  <c r="BY119" i="1"/>
  <c r="AP119" i="1"/>
  <c r="BT119" i="1"/>
  <c r="BV79" i="8"/>
  <c r="BY96" i="8"/>
  <c r="BQ79" i="8"/>
  <c r="BU79" i="8"/>
  <c r="BP79" i="8"/>
  <c r="BY79" i="8"/>
  <c r="DL37" i="1"/>
  <c r="DB37" i="1"/>
  <c r="CE214" i="1"/>
  <c r="DI201" i="8"/>
  <c r="DN201" i="8" s="1"/>
  <c r="DS201" i="8" s="1"/>
  <c r="DX201" i="8" s="1"/>
  <c r="EC201" i="8" s="1"/>
  <c r="DI192" i="8"/>
  <c r="DN192" i="8" s="1"/>
  <c r="CY181" i="8"/>
  <c r="DD181" i="8" s="1"/>
  <c r="DI204" i="8"/>
  <c r="DN204" i="8" s="1"/>
  <c r="DS204" i="8" s="1"/>
  <c r="DX204" i="8" s="1"/>
  <c r="EC204" i="8" s="1"/>
  <c r="DI200" i="8"/>
  <c r="DN200" i="8" s="1"/>
  <c r="DS200" i="8" s="1"/>
  <c r="DX200" i="8" s="1"/>
  <c r="EC200" i="8" s="1"/>
  <c r="DI183" i="8"/>
  <c r="DN183" i="8" s="1"/>
  <c r="DS183" i="8" s="1"/>
  <c r="DX183" i="8" s="1"/>
  <c r="EC183" i="8" s="1"/>
  <c r="DI194" i="8"/>
  <c r="DN194" i="8" s="1"/>
  <c r="DS194" i="8" s="1"/>
  <c r="DX194" i="8" s="1"/>
  <c r="EC194" i="8" s="1"/>
  <c r="DI205" i="8"/>
  <c r="DN205" i="8" s="1"/>
  <c r="DS205" i="8" s="1"/>
  <c r="DX205" i="8" s="1"/>
  <c r="EC205" i="8" s="1"/>
  <c r="DI202" i="8"/>
  <c r="DN202" i="8" s="1"/>
  <c r="DS202" i="8" s="1"/>
  <c r="DX202" i="8" s="1"/>
  <c r="EC202" i="8" s="1"/>
  <c r="DI190" i="8"/>
  <c r="DN190" i="8" s="1"/>
  <c r="DS190" i="8" s="1"/>
  <c r="DX190" i="8" s="1"/>
  <c r="EC190" i="8" s="1"/>
  <c r="DI188" i="8"/>
  <c r="DN188" i="8" s="1"/>
  <c r="DS188" i="8" s="1"/>
  <c r="DX188" i="8" s="1"/>
  <c r="EC188" i="8" s="1"/>
  <c r="DI196" i="8"/>
  <c r="DN196" i="8" s="1"/>
  <c r="DS196" i="8" s="1"/>
  <c r="DX196" i="8" s="1"/>
  <c r="EC196" i="8" s="1"/>
  <c r="DI184" i="8"/>
  <c r="DN184" i="8" s="1"/>
  <c r="DI203" i="8"/>
  <c r="DN203" i="8" s="1"/>
  <c r="DS203" i="8" s="1"/>
  <c r="DX203" i="8" s="1"/>
  <c r="EC203" i="8" s="1"/>
  <c r="DI195" i="8"/>
  <c r="DN195" i="8" s="1"/>
  <c r="DS195" i="8" s="1"/>
  <c r="DX195" i="8" s="1"/>
  <c r="EC195" i="8" s="1"/>
  <c r="DI193" i="8"/>
  <c r="DN193" i="8" s="1"/>
  <c r="DI191" i="8"/>
  <c r="DN191" i="8" s="1"/>
  <c r="DI189" i="8"/>
  <c r="DN189" i="8" s="1"/>
  <c r="DS189" i="8" s="1"/>
  <c r="DX189" i="8" s="1"/>
  <c r="EC189" i="8" s="1"/>
  <c r="AN73" i="1"/>
  <c r="BL214" i="1"/>
  <c r="BC121" i="8"/>
  <c r="BC125" i="8" s="1"/>
  <c r="BF214" i="1"/>
  <c r="AQ214" i="1"/>
  <c r="BL38" i="1"/>
  <c r="BL45" i="1" s="1"/>
  <c r="AV38" i="1"/>
  <c r="AV45" i="1" s="1"/>
  <c r="AX121" i="8"/>
  <c r="AX125" i="8" s="1"/>
  <c r="BH47" i="1"/>
  <c r="BH39" i="1"/>
  <c r="CK123" i="1"/>
  <c r="Q225" i="1"/>
  <c r="BM39" i="1"/>
  <c r="BM74" i="1" s="1"/>
  <c r="BP215" i="1"/>
  <c r="BZ61" i="1"/>
  <c r="CK195" i="1"/>
  <c r="BC173" i="1"/>
  <c r="BZ172" i="1"/>
  <c r="BE215" i="1"/>
  <c r="BN87" i="1"/>
  <c r="CH192" i="1"/>
  <c r="CH194" i="1" s="1"/>
  <c r="CH123" i="1" s="1"/>
  <c r="Y83" i="1"/>
  <c r="J73" i="1"/>
  <c r="CS195" i="1"/>
  <c r="W61" i="1"/>
  <c r="F61" i="1"/>
  <c r="AT60" i="1"/>
  <c r="AE17" i="1"/>
  <c r="AE83" i="1" s="1"/>
  <c r="J45" i="1"/>
  <c r="J49" i="1" s="1"/>
  <c r="J81" i="1" s="1"/>
  <c r="BF173" i="1"/>
  <c r="BF171" i="1" s="1"/>
  <c r="BB173" i="1"/>
  <c r="BE38" i="1"/>
  <c r="BE39" i="1" s="1"/>
  <c r="P88" i="1"/>
  <c r="CQ193" i="1"/>
  <c r="CD166" i="1"/>
  <c r="Y73" i="1"/>
  <c r="W45" i="1"/>
  <c r="W73" i="1"/>
  <c r="AR61" i="1"/>
  <c r="AR60" i="1"/>
  <c r="AD60" i="1"/>
  <c r="AF166" i="1"/>
  <c r="AD59" i="1"/>
  <c r="AD61" i="1"/>
  <c r="H83" i="1"/>
  <c r="AE56" i="8"/>
  <c r="AR178" i="1"/>
  <c r="AR173" i="1" s="1"/>
  <c r="AU73" i="1"/>
  <c r="I60" i="1"/>
  <c r="AM64" i="1"/>
  <c r="AM178" i="1"/>
  <c r="AN166" i="1" s="1"/>
  <c r="AM60" i="1"/>
  <c r="X60" i="1"/>
  <c r="M83" i="1"/>
  <c r="AR64" i="1"/>
  <c r="AU39" i="1"/>
  <c r="AU74" i="1" s="1"/>
  <c r="BB39" i="1"/>
  <c r="CF121" i="8"/>
  <c r="CF125" i="8" s="1"/>
  <c r="CH36" i="1"/>
  <c r="BY121" i="8"/>
  <c r="BX36" i="1"/>
  <c r="BI121" i="8"/>
  <c r="BI125" i="8" s="1"/>
  <c r="BI36" i="1"/>
  <c r="BD121" i="8"/>
  <c r="BD125" i="8" s="1"/>
  <c r="BB214" i="1"/>
  <c r="BD36" i="1"/>
  <c r="BD214" i="1" s="1"/>
  <c r="AY121" i="8"/>
  <c r="AY125" i="8" s="1"/>
  <c r="AW38" i="1"/>
  <c r="AW214" i="1"/>
  <c r="AY36" i="1"/>
  <c r="AY214" i="1" s="1"/>
  <c r="AT121" i="8"/>
  <c r="AT125" i="8" s="1"/>
  <c r="AT128" i="8" s="1"/>
  <c r="AT129" i="8" s="1"/>
  <c r="AR214" i="1"/>
  <c r="AT209" i="1"/>
  <c r="AY90" i="1"/>
  <c r="AE90" i="1"/>
  <c r="Z90" i="1"/>
  <c r="K90" i="1"/>
  <c r="BX68" i="1"/>
  <c r="BD68" i="1"/>
  <c r="K68" i="1"/>
  <c r="K89" i="1"/>
  <c r="BD67" i="1"/>
  <c r="U89" i="1"/>
  <c r="P67" i="1"/>
  <c r="BV38" i="1"/>
  <c r="BV39" i="1" s="1"/>
  <c r="BX118" i="8"/>
  <c r="BV218" i="1"/>
  <c r="BV225" i="1" s="1"/>
  <c r="BV71" i="1"/>
  <c r="BP80" i="1"/>
  <c r="BU88" i="1"/>
  <c r="BP71" i="1"/>
  <c r="BK71" i="1"/>
  <c r="BK80" i="1"/>
  <c r="BK88" i="1"/>
  <c r="BM118" i="8"/>
  <c r="BM123" i="8" s="1"/>
  <c r="BL218" i="1"/>
  <c r="BL225" i="1" s="1"/>
  <c r="BF218" i="1"/>
  <c r="BF225" i="1" s="1"/>
  <c r="BF88" i="1"/>
  <c r="BC118" i="8"/>
  <c r="BC123" i="8" s="1"/>
  <c r="BC218" i="1"/>
  <c r="BD218" i="1" s="1"/>
  <c r="BE218" i="1"/>
  <c r="BE225" i="1" s="1"/>
  <c r="BA38" i="1"/>
  <c r="BA39" i="1" s="1"/>
  <c r="BA74" i="1" s="1"/>
  <c r="AV71" i="1"/>
  <c r="AW218" i="1"/>
  <c r="AW225" i="1" s="1"/>
  <c r="AV88" i="1"/>
  <c r="AV218" i="1"/>
  <c r="AQ38" i="1"/>
  <c r="AQ45" i="1" s="1"/>
  <c r="AS118" i="8"/>
  <c r="AS123" i="8" s="1"/>
  <c r="AU218" i="1"/>
  <c r="AU225" i="1" s="1"/>
  <c r="AN118" i="8"/>
  <c r="AN123" i="8" s="1"/>
  <c r="AL38" i="1"/>
  <c r="AL73" i="1" s="1"/>
  <c r="AL88" i="1"/>
  <c r="AN218" i="1"/>
  <c r="AO218" i="1" s="1"/>
  <c r="AM218" i="1"/>
  <c r="AM225" i="1" s="1"/>
  <c r="AO57" i="8"/>
  <c r="AG38" i="1"/>
  <c r="AG73" i="1" s="1"/>
  <c r="AI118" i="8"/>
  <c r="AI123" i="8" s="1"/>
  <c r="AG218" i="1"/>
  <c r="AG225" i="1" s="1"/>
  <c r="AB71" i="1"/>
  <c r="AF218" i="1"/>
  <c r="AF225" i="1" s="1"/>
  <c r="W71" i="1"/>
  <c r="AA218" i="1"/>
  <c r="AA225" i="1" s="1"/>
  <c r="Y218" i="1"/>
  <c r="Z218" i="1" s="1"/>
  <c r="X218" i="1"/>
  <c r="X225" i="1" s="1"/>
  <c r="Y57" i="8"/>
  <c r="W88" i="1"/>
  <c r="X88" i="1"/>
  <c r="S218" i="1"/>
  <c r="S225" i="1" s="1"/>
  <c r="S38" i="1"/>
  <c r="S71" i="1"/>
  <c r="S88" i="1"/>
  <c r="O38" i="1"/>
  <c r="T88" i="1"/>
  <c r="O88" i="1"/>
  <c r="O71" i="1"/>
  <c r="G38" i="1"/>
  <c r="K38" i="1" s="1"/>
  <c r="L88" i="1"/>
  <c r="C71" i="1"/>
  <c r="C38" i="1"/>
  <c r="C45" i="1" s="1"/>
  <c r="AY22" i="1"/>
  <c r="AY88" i="1" s="1"/>
  <c r="AY87" i="1"/>
  <c r="AE87" i="1"/>
  <c r="AJ87" i="1"/>
  <c r="BD86" i="1"/>
  <c r="W83" i="1"/>
  <c r="AV178" i="1"/>
  <c r="AW166" i="1" s="1"/>
  <c r="AV60" i="1"/>
  <c r="AV64" i="1"/>
  <c r="AI60" i="1"/>
  <c r="AI178" i="1"/>
  <c r="Q83" i="1"/>
  <c r="L83" i="1"/>
  <c r="AB91" i="1"/>
  <c r="AK166" i="1"/>
  <c r="W39" i="1"/>
  <c r="W74" i="1" s="1"/>
  <c r="AC45" i="1"/>
  <c r="CD154" i="1"/>
  <c r="CD56" i="1"/>
  <c r="BV152" i="1"/>
  <c r="BV214" i="1"/>
  <c r="BY149" i="1"/>
  <c r="CC148" i="1"/>
  <c r="CC149" i="1" s="1"/>
  <c r="CC152" i="1" s="1"/>
  <c r="CC154" i="1" s="1"/>
  <c r="CC156" i="1" s="1"/>
  <c r="CC158" i="1" s="1"/>
  <c r="BD70" i="1"/>
  <c r="AY68" i="1"/>
  <c r="AY67" i="1"/>
  <c r="AE67" i="1"/>
  <c r="AL227" i="1"/>
  <c r="U83" i="1"/>
  <c r="K61" i="1"/>
  <c r="BT214" i="1"/>
  <c r="BX67" i="1"/>
  <c r="Y45" i="1"/>
  <c r="BO177" i="1"/>
  <c r="CE193" i="1"/>
  <c r="BK173" i="1"/>
  <c r="BY172" i="1"/>
  <c r="G83" i="1"/>
  <c r="CA61" i="1"/>
  <c r="BA166" i="1"/>
  <c r="BA173" i="1" s="1"/>
  <c r="BB78" i="1"/>
  <c r="CE57" i="1"/>
  <c r="CE156" i="1"/>
  <c r="CE158" i="1" s="1"/>
  <c r="H59" i="1"/>
  <c r="H81" i="1"/>
  <c r="BP77" i="1"/>
  <c r="AN74" i="1"/>
  <c r="CB175" i="1"/>
  <c r="CB177" i="1"/>
  <c r="AZ168" i="1"/>
  <c r="AZ215" i="1"/>
  <c r="AB74" i="1"/>
  <c r="CF56" i="1"/>
  <c r="CF154" i="1"/>
  <c r="BL173" i="1"/>
  <c r="BL171" i="1" s="1"/>
  <c r="BR214" i="1"/>
  <c r="BR152" i="1"/>
  <c r="CG121" i="8"/>
  <c r="CG125" i="8" s="1"/>
  <c r="AX38" i="1"/>
  <c r="AS38" i="1"/>
  <c r="AU121" i="8"/>
  <c r="AU125" i="8" s="1"/>
  <c r="AU128" i="8" s="1"/>
  <c r="AU129" i="8" s="1"/>
  <c r="K71" i="1"/>
  <c r="P38" i="1"/>
  <c r="AO70" i="1"/>
  <c r="U70" i="1"/>
  <c r="U67" i="1"/>
  <c r="BW88" i="1"/>
  <c r="BR71" i="1"/>
  <c r="BR80" i="1"/>
  <c r="BL88" i="1"/>
  <c r="BP218" i="1"/>
  <c r="BP225" i="1" s="1"/>
  <c r="BL71" i="1"/>
  <c r="BL80" i="1"/>
  <c r="AY61" i="1"/>
  <c r="AY178" i="1"/>
  <c r="AY180" i="1"/>
  <c r="AU178" i="1"/>
  <c r="AV166" i="1" s="1"/>
  <c r="AU179" i="1"/>
  <c r="AQ64" i="1"/>
  <c r="AQ61" i="1"/>
  <c r="AL60" i="1"/>
  <c r="AL178" i="1"/>
  <c r="AM166" i="1" s="1"/>
  <c r="D61" i="1"/>
  <c r="D60" i="1"/>
  <c r="S46" i="1"/>
  <c r="U46" i="1" s="1"/>
  <c r="S61" i="1"/>
  <c r="BI60" i="1"/>
  <c r="BK45" i="1"/>
  <c r="BK47" i="1" s="1"/>
  <c r="BJ118" i="8"/>
  <c r="BJ123" i="8" s="1"/>
  <c r="BJ218" i="1"/>
  <c r="BH88" i="1"/>
  <c r="BK218" i="1"/>
  <c r="BK225" i="1" s="1"/>
  <c r="BE118" i="8"/>
  <c r="BE123" i="8" s="1"/>
  <c r="BC38" i="1"/>
  <c r="BC71" i="1"/>
  <c r="AP118" i="8"/>
  <c r="AP123" i="8" s="1"/>
  <c r="AR218" i="1"/>
  <c r="AR225" i="1" s="1"/>
  <c r="AR57" i="8"/>
  <c r="AI38" i="1"/>
  <c r="AK118" i="8"/>
  <c r="AK123" i="8" s="1"/>
  <c r="AI88" i="1"/>
  <c r="AI71" i="1"/>
  <c r="AD38" i="1"/>
  <c r="AD81" i="1"/>
  <c r="AD88" i="1"/>
  <c r="AH218" i="1"/>
  <c r="AH225" i="1" s="1"/>
  <c r="AB218" i="1"/>
  <c r="AB225" i="1" s="1"/>
  <c r="Y71" i="1"/>
  <c r="R218" i="1"/>
  <c r="R225" i="1" s="1"/>
  <c r="V88" i="1"/>
  <c r="Q71" i="1"/>
  <c r="M38" i="1"/>
  <c r="O56" i="8" s="1"/>
  <c r="N218" i="1"/>
  <c r="N225" i="1" s="1"/>
  <c r="AT87" i="1"/>
  <c r="AO87" i="1"/>
  <c r="BI22" i="1"/>
  <c r="BI86" i="1"/>
  <c r="BU80" i="1"/>
  <c r="BF71" i="1"/>
  <c r="AE70" i="1"/>
  <c r="AY69" i="1"/>
  <c r="BF38" i="1"/>
  <c r="AY60" i="1"/>
  <c r="P60" i="1"/>
  <c r="CN173" i="1"/>
  <c r="CN172" i="1" s="1"/>
  <c r="R61" i="1"/>
  <c r="CO192" i="1"/>
  <c r="BA88" i="1"/>
  <c r="H88" i="1"/>
  <c r="BO80" i="1"/>
  <c r="BJ80" i="1"/>
  <c r="BJ71" i="1"/>
  <c r="BA71" i="1"/>
  <c r="AQ71" i="1"/>
  <c r="AG71" i="1"/>
  <c r="G71" i="1"/>
  <c r="BT38" i="1"/>
  <c r="BT39" i="1" s="1"/>
  <c r="BO218" i="1"/>
  <c r="BO225" i="1" s="1"/>
  <c r="AX218" i="1"/>
  <c r="AD218" i="1"/>
  <c r="AE218" i="1" s="1"/>
  <c r="AE225" i="1" s="1"/>
  <c r="BP56" i="1"/>
  <c r="BP154" i="1"/>
  <c r="DM175" i="1"/>
  <c r="DN175" i="1" s="1"/>
  <c r="DO175" i="1" s="1"/>
  <c r="DK175" i="1"/>
  <c r="J74" i="1"/>
  <c r="CG152" i="1"/>
  <c r="CG214" i="1"/>
  <c r="CB152" i="1"/>
  <c r="CB214" i="1"/>
  <c r="BU152" i="1"/>
  <c r="BU154" i="1" s="1"/>
  <c r="BU214" i="1"/>
  <c r="BP214" i="1"/>
  <c r="BP159" i="1"/>
  <c r="BN178" i="1"/>
  <c r="BN177" i="1" s="1"/>
  <c r="BN180" i="1"/>
  <c r="BN64" i="1"/>
  <c r="BN60" i="1"/>
  <c r="AW60" i="1"/>
  <c r="AW179" i="1"/>
  <c r="AW178" i="1"/>
  <c r="AX166" i="1" s="1"/>
  <c r="AW64" i="1"/>
  <c r="AU166" i="1"/>
  <c r="AS179" i="1"/>
  <c r="AT179" i="1" s="1"/>
  <c r="AT174" i="1" s="1"/>
  <c r="AT176" i="1" s="1"/>
  <c r="AT194" i="1" s="1"/>
  <c r="AY195" i="1" s="1"/>
  <c r="AS64" i="1"/>
  <c r="AS60" i="1"/>
  <c r="AS178" i="1"/>
  <c r="AN178" i="1"/>
  <c r="AP166" i="1"/>
  <c r="AP173" i="1" s="1"/>
  <c r="AP171" i="1" s="1"/>
  <c r="AN60" i="1"/>
  <c r="B60" i="1"/>
  <c r="B61" i="1"/>
  <c r="BN61" i="1"/>
  <c r="V57" i="1"/>
  <c r="Z56" i="1"/>
  <c r="B59" i="1"/>
  <c r="BS60" i="1"/>
  <c r="BT154" i="1"/>
  <c r="BT56" i="1"/>
  <c r="I19" i="95"/>
  <c r="BI225" i="1"/>
  <c r="BD224" i="1"/>
  <c r="AT224" i="1"/>
  <c r="AO224" i="1"/>
  <c r="AJ224" i="1"/>
  <c r="Z224" i="1"/>
  <c r="Y225" i="1"/>
  <c r="U224" i="1"/>
  <c r="P224" i="1"/>
  <c r="AO65" i="1"/>
  <c r="CG190" i="1"/>
  <c r="AH60" i="1"/>
  <c r="AH178" i="1"/>
  <c r="AI166" i="1" s="1"/>
  <c r="AH64" i="1"/>
  <c r="AH61" i="1"/>
  <c r="AS227" i="1"/>
  <c r="AS230" i="1" s="1"/>
  <c r="AK64" i="1"/>
  <c r="AK178" i="1"/>
  <c r="AL166" i="1" s="1"/>
  <c r="AK61" i="1"/>
  <c r="AQ227" i="1"/>
  <c r="AQ230" i="1" s="1"/>
  <c r="AK60" i="1"/>
  <c r="Q61" i="1"/>
  <c r="U65" i="1"/>
  <c r="U60" i="1" s="1"/>
  <c r="Q60" i="1"/>
  <c r="M61" i="1"/>
  <c r="M60" i="1"/>
  <c r="E61" i="1"/>
  <c r="E60" i="1"/>
  <c r="BR38" i="1"/>
  <c r="BR91" i="1" s="1"/>
  <c r="AP38" i="1"/>
  <c r="AP39" i="1" s="1"/>
  <c r="AP42" i="1" s="1"/>
  <c r="AH118" i="8"/>
  <c r="AH123" i="8" s="1"/>
  <c r="BW218" i="1"/>
  <c r="BX218" i="1" s="1"/>
  <c r="AZ218" i="1"/>
  <c r="AZ225" i="1" s="1"/>
  <c r="AK218" i="1"/>
  <c r="AK225" i="1" s="1"/>
  <c r="V218" i="1"/>
  <c r="V225" i="1" s="1"/>
  <c r="AX214" i="1"/>
  <c r="BM88" i="1"/>
  <c r="AO86" i="1"/>
  <c r="B81" i="1"/>
  <c r="AZ71" i="1"/>
  <c r="M71" i="1"/>
  <c r="P70" i="1"/>
  <c r="BD69" i="1"/>
  <c r="P68" i="1"/>
  <c r="BU38" i="1"/>
  <c r="AT208" i="1"/>
  <c r="R38" i="1"/>
  <c r="AM118" i="8"/>
  <c r="AM123" i="8" s="1"/>
  <c r="BO118" i="8"/>
  <c r="BO123" i="8" s="1"/>
  <c r="BG218" i="1"/>
  <c r="BG225" i="1" s="1"/>
  <c r="AI218" i="1"/>
  <c r="AJ218" i="1" s="1"/>
  <c r="P90" i="1"/>
  <c r="AF88" i="1"/>
  <c r="N88" i="1"/>
  <c r="BW71" i="1"/>
  <c r="AP71" i="1"/>
  <c r="AJ70" i="1"/>
  <c r="AF38" i="1"/>
  <c r="AZ121" i="8"/>
  <c r="AZ125" i="8" s="1"/>
  <c r="BI69" i="1"/>
  <c r="AO69" i="1"/>
  <c r="AJ124" i="8"/>
  <c r="AN227" i="1"/>
  <c r="Z57" i="8"/>
  <c r="BY118" i="8"/>
  <c r="BQ177" i="1"/>
  <c r="BS36" i="1"/>
  <c r="BB218" i="1"/>
  <c r="BB225" i="1" s="1"/>
  <c r="AL218" i="1"/>
  <c r="AL225" i="1" s="1"/>
  <c r="AY209" i="1"/>
  <c r="BD208" i="1"/>
  <c r="AJ90" i="1"/>
  <c r="I88" i="1"/>
  <c r="AK71" i="1"/>
  <c r="V71" i="1"/>
  <c r="I71" i="1"/>
  <c r="X61" i="1"/>
  <c r="BW38" i="1"/>
  <c r="AZ38" i="1"/>
  <c r="O83" i="1"/>
  <c r="AO89" i="1"/>
  <c r="F13" i="95"/>
  <c r="BZ194" i="1"/>
  <c r="BL215" i="1"/>
  <c r="BN70" i="1"/>
  <c r="E13" i="95"/>
  <c r="AO38" i="1"/>
  <c r="AO39" i="1" s="1"/>
  <c r="AK230" i="1"/>
  <c r="BN32" i="1"/>
  <c r="BZ79" i="8"/>
  <c r="BY49" i="8"/>
  <c r="BY51" i="8" s="1"/>
  <c r="BY67" i="8" s="1"/>
  <c r="BU49" i="8"/>
  <c r="BU51" i="8" s="1"/>
  <c r="EF101" i="1"/>
  <c r="EH104" i="1"/>
  <c r="EF103" i="1"/>
  <c r="BY95" i="8"/>
  <c r="CW78" i="8"/>
  <c r="CE49" i="8"/>
  <c r="CE51" i="8" s="1"/>
  <c r="CE67" i="8" s="1"/>
  <c r="CE79" i="8"/>
  <c r="CD95" i="8"/>
  <c r="CJ79" i="8"/>
  <c r="CM119" i="1"/>
  <c r="AT119" i="1"/>
  <c r="BN119" i="1"/>
  <c r="BI121" i="1"/>
  <c r="BI122" i="1" s="1"/>
  <c r="CO172" i="1"/>
  <c r="CP172" i="1"/>
  <c r="DO151" i="98"/>
  <c r="DO41" i="98" s="1"/>
  <c r="DJ151" i="98"/>
  <c r="DJ41" i="98" s="1"/>
  <c r="DE151" i="98"/>
  <c r="DE41" i="98" s="1"/>
  <c r="DN151" i="98"/>
  <c r="DN41" i="98" s="1"/>
  <c r="DI151" i="98"/>
  <c r="DI41" i="98" s="1"/>
  <c r="DD151" i="98"/>
  <c r="DD41" i="98" s="1"/>
  <c r="DM151" i="98"/>
  <c r="DM41" i="98" s="1"/>
  <c r="DH151" i="98"/>
  <c r="DH41" i="98" s="1"/>
  <c r="DC151" i="98"/>
  <c r="DC41" i="98" s="1"/>
  <c r="DP151" i="98"/>
  <c r="DP41" i="98" s="1"/>
  <c r="DK151" i="98"/>
  <c r="DK41" i="98" s="1"/>
  <c r="DF151" i="98"/>
  <c r="DF41" i="98" s="1"/>
  <c r="BI28" i="1"/>
  <c r="AO90" i="1"/>
  <c r="U71" i="1"/>
  <c r="CT195" i="1"/>
  <c r="CO195" i="1"/>
  <c r="AQ173" i="1"/>
  <c r="AQ171" i="1" s="1"/>
  <c r="P71" i="1"/>
  <c r="BR190" i="1"/>
  <c r="CP124" i="8"/>
  <c r="BT193" i="1"/>
  <c r="CO120" i="8"/>
  <c r="CF124" i="8"/>
  <c r="CJ119" i="8"/>
  <c r="CJ124" i="8" s="1"/>
  <c r="CK124" i="8"/>
  <c r="CV151" i="98"/>
  <c r="CX151" i="98"/>
  <c r="DA151" i="98"/>
  <c r="CY151" i="98"/>
  <c r="CT76" i="8"/>
  <c r="CP76" i="8"/>
  <c r="CP79" i="8"/>
  <c r="CU109" i="8"/>
  <c r="CP109" i="8"/>
  <c r="CU93" i="8"/>
  <c r="CN63" i="8"/>
  <c r="CD96" i="8"/>
  <c r="BY112" i="8"/>
  <c r="CP106" i="8"/>
  <c r="CV109" i="8"/>
  <c r="BB36" i="8"/>
  <c r="CQ36" i="8"/>
  <c r="CU86" i="8"/>
  <c r="CU113" i="8"/>
  <c r="BY36" i="8"/>
  <c r="BY41" i="8" s="1"/>
  <c r="CU102" i="8"/>
  <c r="CW114" i="8"/>
  <c r="CW98" i="8"/>
  <c r="AH76" i="8"/>
  <c r="AL76" i="8"/>
  <c r="CJ62" i="8"/>
  <c r="CK58" i="8"/>
  <c r="CU112" i="8"/>
  <c r="CU96" i="8"/>
  <c r="CU87" i="8"/>
  <c r="CU103" i="8"/>
  <c r="CP101" i="8"/>
  <c r="CD85" i="8"/>
  <c r="BY85" i="8"/>
  <c r="BY101" i="8"/>
  <c r="CV98" i="8"/>
  <c r="CV114" i="8"/>
  <c r="AM104" i="8"/>
  <c r="CK102" i="8"/>
  <c r="CJ63" i="8"/>
  <c r="BQ102" i="8"/>
  <c r="BP63" i="8"/>
  <c r="BQ114" i="8"/>
  <c r="CF112" i="8"/>
  <c r="CF111" i="8"/>
  <c r="BQ107" i="8"/>
  <c r="BY90" i="8"/>
  <c r="CD90" i="8"/>
  <c r="BQ101" i="8"/>
  <c r="BL124" i="8"/>
  <c r="BX187" i="1"/>
  <c r="BV100" i="8"/>
  <c r="BQ103" i="8"/>
  <c r="AQ63" i="8"/>
  <c r="W63" i="8"/>
  <c r="BY106" i="8"/>
  <c r="BG127" i="8"/>
  <c r="AM124" i="8"/>
  <c r="AN124" i="8"/>
  <c r="AN127" i="8"/>
  <c r="CO67" i="8"/>
  <c r="CF109" i="8"/>
  <c r="CP108" i="8"/>
  <c r="AQ62" i="8"/>
  <c r="CO63" i="8"/>
  <c r="AS128" i="8"/>
  <c r="AL67" i="8"/>
  <c r="BV113" i="8"/>
  <c r="CK108" i="8"/>
  <c r="CF103" i="8"/>
  <c r="BH124" i="8"/>
  <c r="BH127" i="8"/>
  <c r="CC116" i="1"/>
  <c r="CC187" i="1"/>
  <c r="BS187" i="1"/>
  <c r="CF102" i="8"/>
  <c r="CF100" i="8"/>
  <c r="CE63" i="8"/>
  <c r="BY20" i="8"/>
  <c r="CC115" i="1"/>
  <c r="CC189" i="1"/>
  <c r="BV104" i="8"/>
  <c r="BY108" i="8"/>
  <c r="BY92" i="8"/>
  <c r="CV93" i="8"/>
  <c r="CP113" i="8"/>
  <c r="BV107" i="8"/>
  <c r="CP102" i="8"/>
  <c r="BV102" i="8"/>
  <c r="CF101" i="8"/>
  <c r="CP114" i="8"/>
  <c r="BV111" i="8"/>
  <c r="CF106" i="8"/>
  <c r="CK104" i="8"/>
  <c r="BY104" i="8"/>
  <c r="AH102" i="8"/>
  <c r="BV101" i="8"/>
  <c r="CH116" i="1"/>
  <c r="CF114" i="8"/>
  <c r="CK112" i="8"/>
  <c r="CK111" i="8"/>
  <c r="CD88" i="8"/>
  <c r="BY88" i="8"/>
  <c r="AG67" i="8"/>
  <c r="CU97" i="8"/>
  <c r="CU92" i="8"/>
  <c r="CU108" i="8"/>
  <c r="CN58" i="8"/>
  <c r="CO58" i="8" s="1"/>
  <c r="CP41" i="8"/>
  <c r="CX96" i="8"/>
  <c r="CX112" i="8"/>
  <c r="CK106" i="8"/>
  <c r="CU106" i="8"/>
  <c r="BV109" i="8"/>
  <c r="BV108" i="8"/>
  <c r="AW36" i="8"/>
  <c r="CV102" i="8"/>
  <c r="CV86" i="8"/>
  <c r="AJ14" i="1"/>
  <c r="AZ17" i="1"/>
  <c r="AU17" i="1"/>
  <c r="AP17" i="1"/>
  <c r="BB17" i="1"/>
  <c r="CB190" i="1"/>
  <c r="EG15" i="1"/>
  <c r="EG14" i="1"/>
  <c r="AQ17" i="1"/>
  <c r="EG13" i="1"/>
  <c r="CQ127" i="8"/>
  <c r="CQ124" i="8"/>
  <c r="N83" i="1"/>
  <c r="K83" i="1"/>
  <c r="S83" i="1"/>
  <c r="J83" i="1"/>
  <c r="CG127" i="8"/>
  <c r="CL127" i="8"/>
  <c r="AS124" i="8"/>
  <c r="AS127" i="8"/>
  <c r="BS90" i="1"/>
  <c r="BX70" i="1"/>
  <c r="BX208" i="1"/>
  <c r="BI89" i="1"/>
  <c r="BI70" i="1"/>
  <c r="BI67" i="1"/>
  <c r="BX69" i="1"/>
  <c r="BT123" i="1"/>
  <c r="BT195" i="1"/>
  <c r="BP194" i="1"/>
  <c r="DL167" i="1"/>
  <c r="DL215" i="1" s="1"/>
  <c r="CC209" i="1"/>
  <c r="Z38" i="1"/>
  <c r="AE91" i="1" s="1"/>
  <c r="Z68" i="1"/>
  <c r="Z70" i="1"/>
  <c r="BS89" i="1"/>
  <c r="BX89" i="1"/>
  <c r="BS208" i="1"/>
  <c r="AK125" i="8"/>
  <c r="AP128" i="8" s="1"/>
  <c r="AP129" i="8" s="1"/>
  <c r="AK124" i="8"/>
  <c r="BJ194" i="1"/>
  <c r="BO193" i="1"/>
  <c r="BY215" i="1"/>
  <c r="BJ215" i="1"/>
  <c r="BJ170" i="1"/>
  <c r="BJ173" i="1" s="1"/>
  <c r="I73" i="1"/>
  <c r="K56" i="8"/>
  <c r="I45" i="1"/>
  <c r="I39" i="1"/>
  <c r="BM49" i="1"/>
  <c r="BM47" i="1"/>
  <c r="BM78" i="1"/>
  <c r="BM77" i="1"/>
  <c r="BO39" i="1"/>
  <c r="BQ56" i="8"/>
  <c r="BO159" i="1"/>
  <c r="BO45" i="1"/>
  <c r="BR56" i="8"/>
  <c r="BO73" i="1"/>
  <c r="AE45" i="1"/>
  <c r="P83" i="1"/>
  <c r="BM73" i="1"/>
  <c r="AX193" i="1"/>
  <c r="BP88" i="1"/>
  <c r="AN91" i="1"/>
  <c r="J91" i="1"/>
  <c r="E45" i="1"/>
  <c r="E73" i="1"/>
  <c r="L56" i="8"/>
  <c r="M56" i="8" s="1"/>
  <c r="BQ154" i="1"/>
  <c r="BQ56" i="1"/>
  <c r="AU78" i="1"/>
  <c r="AC39" i="1"/>
  <c r="CH187" i="1"/>
  <c r="AD225" i="1"/>
  <c r="BK73" i="1"/>
  <c r="CC224" i="1"/>
  <c r="CH148" i="1"/>
  <c r="CH149" i="1" s="1"/>
  <c r="BK177" i="1"/>
  <c r="CD173" i="1"/>
  <c r="CH173" i="1" s="1"/>
  <c r="BQ214" i="1"/>
  <c r="BL177" i="1"/>
  <c r="AP218" i="1"/>
  <c r="AP225" i="1" s="1"/>
  <c r="AU49" i="1"/>
  <c r="AU63" i="1" s="1"/>
  <c r="AV225" i="1"/>
  <c r="BP177" i="1"/>
  <c r="BK39" i="1"/>
  <c r="BX224" i="1"/>
  <c r="CN123" i="1"/>
  <c r="CN195" i="1"/>
  <c r="CI195" i="1"/>
  <c r="CI123" i="1"/>
  <c r="CI192" i="1"/>
  <c r="BR177" i="1"/>
  <c r="BW149" i="1"/>
  <c r="V61" i="1"/>
  <c r="BM218" i="1"/>
  <c r="BD87" i="1"/>
  <c r="AC73" i="1"/>
  <c r="CP195" i="1"/>
  <c r="BG173" i="1"/>
  <c r="CL193" i="1"/>
  <c r="CK177" i="1"/>
  <c r="CL178" i="1"/>
  <c r="CL177" i="1" s="1"/>
  <c r="BE173" i="1"/>
  <c r="BE171" i="1" s="1"/>
  <c r="CI175" i="1"/>
  <c r="CI173" i="1"/>
  <c r="AJ89" i="1"/>
  <c r="BX22" i="1"/>
  <c r="BY123" i="1"/>
  <c r="CD195" i="1"/>
  <c r="BY195" i="1"/>
  <c r="CA127" i="8"/>
  <c r="CA124" i="8"/>
  <c r="EF48" i="1"/>
  <c r="BS209" i="1"/>
  <c r="BX90" i="1"/>
  <c r="BX209" i="1"/>
  <c r="BD90" i="1"/>
  <c r="BD209" i="1"/>
  <c r="Z89" i="1"/>
  <c r="AE89" i="1"/>
  <c r="BR127" i="8"/>
  <c r="BE193" i="1"/>
  <c r="BJ193" i="1"/>
  <c r="DQ167" i="1"/>
  <c r="DQ215" i="1" s="1"/>
  <c r="BT170" i="1"/>
  <c r="BT173" i="1" s="1"/>
  <c r="BT172" i="1" s="1"/>
  <c r="BT215" i="1"/>
  <c r="BN209" i="1"/>
  <c r="CC89" i="1"/>
  <c r="CC208" i="1"/>
  <c r="AO68" i="1"/>
  <c r="AT89" i="1"/>
  <c r="AO208" i="1"/>
  <c r="CH208" i="1"/>
  <c r="CH89" i="1"/>
  <c r="BN89" i="1"/>
  <c r="AY208" i="1"/>
  <c r="AY89" i="1"/>
  <c r="CD193" i="1"/>
  <c r="BY193" i="1"/>
  <c r="AI125" i="8"/>
  <c r="AN128" i="8" s="1"/>
  <c r="AI124" i="8"/>
  <c r="AY127" i="8"/>
  <c r="CC90" i="1"/>
  <c r="CN190" i="1"/>
  <c r="CN61" i="1"/>
  <c r="EH37" i="1"/>
  <c r="CL190" i="1"/>
  <c r="CQ56" i="1"/>
  <c r="BB124" i="8"/>
  <c r="BV124" i="8"/>
  <c r="AX127" i="8"/>
  <c r="AZ127" i="8"/>
  <c r="BQ127" i="8"/>
  <c r="AR127" i="8"/>
  <c r="CF127" i="8"/>
  <c r="AP124" i="8"/>
  <c r="BC127" i="8"/>
  <c r="AT124" i="8"/>
  <c r="AO128" i="8"/>
  <c r="AR128" i="8"/>
  <c r="CD119" i="1"/>
  <c r="DG167" i="1"/>
  <c r="CW167" i="1"/>
  <c r="CM171" i="1"/>
  <c r="CM167" i="1"/>
  <c r="CJ190" i="1"/>
  <c r="CM186" i="1"/>
  <c r="DC16" i="98"/>
  <c r="DK16" i="98"/>
  <c r="CM25" i="1"/>
  <c r="CM24" i="1"/>
  <c r="CM26" i="1"/>
  <c r="DM16" i="98"/>
  <c r="DF16" i="98"/>
  <c r="DE16" i="98"/>
  <c r="BW190" i="1"/>
  <c r="CQ190" i="1"/>
  <c r="CR186" i="1"/>
  <c r="AT15" i="1"/>
  <c r="AF17" i="1"/>
  <c r="BV87" i="1"/>
  <c r="AY15" i="1"/>
  <c r="BI14" i="1"/>
  <c r="CN119" i="8"/>
  <c r="CP208" i="1"/>
  <c r="CP68" i="1"/>
  <c r="CP70" i="1"/>
  <c r="CJ214" i="1"/>
  <c r="CM224" i="1"/>
  <c r="CO208" i="1"/>
  <c r="CM119" i="8"/>
  <c r="CQ89" i="1"/>
  <c r="CP127" i="8"/>
  <c r="CK127" i="8"/>
  <c r="CR119" i="8"/>
  <c r="CR124" i="8" s="1"/>
  <c r="CP67" i="1"/>
  <c r="BD15" i="1"/>
  <c r="AM17" i="1"/>
  <c r="AG17" i="1"/>
  <c r="DD16" i="98"/>
  <c r="EF100" i="1"/>
  <c r="EH100" i="1"/>
  <c r="DQ151" i="98"/>
  <c r="BF169" i="1"/>
  <c r="AV169" i="1"/>
  <c r="AU215" i="1"/>
  <c r="AX215" i="1"/>
  <c r="AV215" i="1"/>
  <c r="AW215" i="1"/>
  <c r="AP215" i="1"/>
  <c r="AR215" i="1"/>
  <c r="AQ215" i="1"/>
  <c r="AS215" i="1"/>
  <c r="EH102" i="1"/>
  <c r="EH101" i="1"/>
  <c r="CA36" i="1"/>
  <c r="CC121" i="8" s="1"/>
  <c r="CR208" i="1"/>
  <c r="H63" i="1"/>
  <c r="AB81" i="1"/>
  <c r="CT79" i="8"/>
  <c r="CL89" i="1"/>
  <c r="CL208" i="1"/>
  <c r="CK89" i="1"/>
  <c r="CP89" i="1"/>
  <c r="CK208" i="1"/>
  <c r="CV78" i="8"/>
  <c r="CO119" i="1"/>
  <c r="AE88" i="1"/>
  <c r="AE39" i="1"/>
  <c r="AT71" i="1"/>
  <c r="AP227" i="1"/>
  <c r="AR227" i="1"/>
  <c r="AT230" i="1"/>
  <c r="BH225" i="1"/>
  <c r="CV112" i="8"/>
  <c r="CV96" i="8"/>
  <c r="CS116" i="1"/>
  <c r="CR116" i="1"/>
  <c r="J77" i="1"/>
  <c r="CJ119" i="1"/>
  <c r="AY123" i="1"/>
  <c r="BH173" i="1"/>
  <c r="CK61" i="1"/>
  <c r="AV39" i="1"/>
  <c r="AX118" i="8"/>
  <c r="AX123" i="8" s="1"/>
  <c r="CI127" i="8"/>
  <c r="BM124" i="8"/>
  <c r="AU124" i="8"/>
  <c r="BP133" i="8"/>
  <c r="BP49" i="8"/>
  <c r="BP51" i="8" s="1"/>
  <c r="BQ76" i="8" s="1"/>
  <c r="EH105" i="1"/>
  <c r="DB167" i="1"/>
  <c r="DB215" i="1" s="1"/>
  <c r="BD32" i="8"/>
  <c r="BD36" i="8" s="1"/>
  <c r="BC36" i="8"/>
  <c r="CJ67" i="8"/>
  <c r="CK76" i="8"/>
  <c r="CO76" i="8"/>
  <c r="AX63" i="8"/>
  <c r="AX41" i="8"/>
  <c r="AX52" i="8" s="1"/>
  <c r="AX53" i="8" s="1"/>
  <c r="AX62" i="8"/>
  <c r="AI64" i="1" l="1"/>
  <c r="P225" i="1"/>
  <c r="AV173" i="1"/>
  <c r="AV171" i="1" s="1"/>
  <c r="BB77" i="1"/>
  <c r="BX214" i="1"/>
  <c r="BO219" i="1"/>
  <c r="BQ70" i="8" s="1"/>
  <c r="BP219" i="1"/>
  <c r="BR70" i="8" s="1"/>
  <c r="BB91" i="1"/>
  <c r="CI67" i="1"/>
  <c r="CN86" i="1"/>
  <c r="CI70" i="1"/>
  <c r="BG77" i="1"/>
  <c r="BG47" i="1"/>
  <c r="BG78" i="1"/>
  <c r="BG49" i="1"/>
  <c r="BG96" i="1"/>
  <c r="AR42" i="1"/>
  <c r="J96" i="1"/>
  <c r="N56" i="8"/>
  <c r="AK39" i="1"/>
  <c r="AJ225" i="1"/>
  <c r="N73" i="1"/>
  <c r="Z225" i="1"/>
  <c r="AT225" i="1"/>
  <c r="W41" i="1"/>
  <c r="AB42" i="1"/>
  <c r="AB76" i="1" s="1"/>
  <c r="AB63" i="1"/>
  <c r="BG39" i="1"/>
  <c r="BG42" i="1" s="1"/>
  <c r="AA77" i="1"/>
  <c r="AB77" i="1"/>
  <c r="AR45" i="1"/>
  <c r="AR77" i="1" s="1"/>
  <c r="AJ88" i="1"/>
  <c r="AJ230" i="1"/>
  <c r="AG227" i="1"/>
  <c r="AG178" i="1"/>
  <c r="AH166" i="1" s="1"/>
  <c r="AZ28" i="8"/>
  <c r="BA28" i="8" s="1"/>
  <c r="BA53" i="8" s="1"/>
  <c r="E5" i="95"/>
  <c r="N39" i="1"/>
  <c r="N77" i="1"/>
  <c r="BB73" i="1"/>
  <c r="BG91" i="1"/>
  <c r="BM96" i="1"/>
  <c r="N91" i="1"/>
  <c r="AO45" i="1"/>
  <c r="AO49" i="1" s="1"/>
  <c r="AS225" i="1"/>
  <c r="N78" i="1"/>
  <c r="Z71" i="1"/>
  <c r="AI227" i="1"/>
  <c r="AH227" i="1"/>
  <c r="AV77" i="1"/>
  <c r="AV49" i="1"/>
  <c r="AV81" i="1" s="1"/>
  <c r="Y42" i="1"/>
  <c r="Y76" i="1" s="1"/>
  <c r="Y41" i="1"/>
  <c r="CO193" i="1"/>
  <c r="BJ225" i="1"/>
  <c r="AV73" i="1"/>
  <c r="BC227" i="1"/>
  <c r="CE61" i="1"/>
  <c r="Y91" i="1"/>
  <c r="AB62" i="8"/>
  <c r="CB67" i="8"/>
  <c r="BS158" i="1"/>
  <c r="AC219" i="1"/>
  <c r="CG58" i="8"/>
  <c r="BX58" i="8"/>
  <c r="BU170" i="1"/>
  <c r="BU173" i="1" s="1"/>
  <c r="BU172" i="1" s="1"/>
  <c r="S57" i="8"/>
  <c r="X58" i="8"/>
  <c r="BU28" i="8"/>
  <c r="DP175" i="1"/>
  <c r="DR175" i="1"/>
  <c r="DS175" i="1" s="1"/>
  <c r="DT175" i="1" s="1"/>
  <c r="CF91" i="98"/>
  <c r="CF130" i="98"/>
  <c r="CF67" i="1"/>
  <c r="CF68" i="1"/>
  <c r="CF69" i="1"/>
  <c r="CF70" i="1"/>
  <c r="Y56" i="8"/>
  <c r="Y59" i="8" s="1"/>
  <c r="EF105" i="1"/>
  <c r="AU81" i="1"/>
  <c r="AK45" i="1"/>
  <c r="AK49" i="1" s="1"/>
  <c r="AN77" i="1"/>
  <c r="AN49" i="1"/>
  <c r="AN59" i="1" s="1"/>
  <c r="AD57" i="8"/>
  <c r="AI58" i="8"/>
  <c r="BO52" i="8"/>
  <c r="CD52" i="8"/>
  <c r="BE58" i="8"/>
  <c r="BF58" i="8" s="1"/>
  <c r="BP64" i="8"/>
  <c r="BA20" i="8"/>
  <c r="BA62" i="8" s="1"/>
  <c r="BZ213" i="8"/>
  <c r="BR58" i="8"/>
  <c r="BR53" i="8"/>
  <c r="BR57" i="8"/>
  <c r="BR59" i="8" s="1"/>
  <c r="AA57" i="8"/>
  <c r="AB57" i="8" s="1"/>
  <c r="V57" i="8"/>
  <c r="W57" i="8" s="1"/>
  <c r="CD67" i="8"/>
  <c r="DX40" i="8"/>
  <c r="DY40" i="8"/>
  <c r="DZ40" i="8" s="1"/>
  <c r="EA40" i="8" s="1"/>
  <c r="EB40" i="8" s="1"/>
  <c r="EC40" i="8" s="1"/>
  <c r="BF193" i="1"/>
  <c r="BX225" i="1"/>
  <c r="BD71" i="1"/>
  <c r="T225" i="1"/>
  <c r="BV73" i="1"/>
  <c r="BP78" i="1"/>
  <c r="BP162" i="1" s="1"/>
  <c r="U45" i="1"/>
  <c r="U77" i="1" s="1"/>
  <c r="BD88" i="1"/>
  <c r="AZ227" i="1"/>
  <c r="AZ230" i="1" s="1"/>
  <c r="V91" i="1"/>
  <c r="BP193" i="1"/>
  <c r="BV45" i="1"/>
  <c r="BV47" i="1" s="1"/>
  <c r="BE57" i="8"/>
  <c r="BF57" i="8" s="1"/>
  <c r="U225" i="1"/>
  <c r="BV159" i="1"/>
  <c r="BP163" i="1"/>
  <c r="BP49" i="1"/>
  <c r="BP81" i="1" s="1"/>
  <c r="U39" i="1"/>
  <c r="U42" i="1" s="1"/>
  <c r="U76" i="1" s="1"/>
  <c r="AV91" i="1"/>
  <c r="BN35" i="1"/>
  <c r="O225" i="1"/>
  <c r="BA227" i="1"/>
  <c r="AH45" i="1"/>
  <c r="AH78" i="1" s="1"/>
  <c r="AA39" i="1"/>
  <c r="AA73" i="1"/>
  <c r="AO129" i="8"/>
  <c r="R63" i="8"/>
  <c r="CA58" i="8"/>
  <c r="AK57" i="8"/>
  <c r="AL57" i="8" s="1"/>
  <c r="V52" i="8"/>
  <c r="W52" i="8" s="1"/>
  <c r="AB63" i="8"/>
  <c r="BH53" i="8"/>
  <c r="BU62" i="8"/>
  <c r="BX57" i="8"/>
  <c r="DB151" i="98"/>
  <c r="O57" i="8"/>
  <c r="O59" i="8" s="1"/>
  <c r="T57" i="8"/>
  <c r="AG63" i="8"/>
  <c r="AW57" i="8"/>
  <c r="X57" i="8"/>
  <c r="AI57" i="8"/>
  <c r="AZ58" i="8"/>
  <c r="BA58" i="8" s="1"/>
  <c r="AP52" i="8"/>
  <c r="AQ52" i="8" s="1"/>
  <c r="AQ41" i="8"/>
  <c r="BU63" i="8"/>
  <c r="BZ64" i="8" s="1"/>
  <c r="AN57" i="8"/>
  <c r="AZ53" i="8"/>
  <c r="AC57" i="8"/>
  <c r="CF58" i="8"/>
  <c r="AX57" i="8"/>
  <c r="AS57" i="8"/>
  <c r="BS192" i="1"/>
  <c r="CI69" i="1"/>
  <c r="CI68" i="1"/>
  <c r="AS169" i="1"/>
  <c r="CR56" i="1"/>
  <c r="CH87" i="1"/>
  <c r="D5" i="95"/>
  <c r="D17" i="95" s="1"/>
  <c r="AG60" i="1"/>
  <c r="AE60" i="1"/>
  <c r="DN15" i="98"/>
  <c r="DL15" i="98"/>
  <c r="BM230" i="1"/>
  <c r="BD173" i="1"/>
  <c r="BB227" i="1"/>
  <c r="BD230" i="1"/>
  <c r="Z91" i="98"/>
  <c r="Q45" i="1"/>
  <c r="Q39" i="1"/>
  <c r="BL227" i="1"/>
  <c r="BJ227" i="1"/>
  <c r="BN71" i="1"/>
  <c r="BN230" i="1"/>
  <c r="BN80" i="1"/>
  <c r="BK227" i="1"/>
  <c r="AO88" i="1"/>
  <c r="AJ38" i="1"/>
  <c r="V39" i="1"/>
  <c r="V73" i="1"/>
  <c r="V45" i="1"/>
  <c r="X73" i="1"/>
  <c r="X39" i="1"/>
  <c r="X45" i="1"/>
  <c r="AC96" i="1" s="1"/>
  <c r="AR41" i="1"/>
  <c r="AW77" i="8"/>
  <c r="AW80" i="8" s="1"/>
  <c r="AW81" i="8" s="1"/>
  <c r="AW82" i="8" s="1"/>
  <c r="AC56" i="8"/>
  <c r="BU56" i="1"/>
  <c r="AK77" i="1"/>
  <c r="AT214" i="1"/>
  <c r="AR49" i="1"/>
  <c r="AR63" i="1" s="1"/>
  <c r="AM56" i="8"/>
  <c r="AM59" i="8" s="1"/>
  <c r="AA219" i="1"/>
  <c r="AL228" i="1"/>
  <c r="AN71" i="8" s="1"/>
  <c r="AP73" i="1"/>
  <c r="AK219" i="1"/>
  <c r="AM70" i="8" s="1"/>
  <c r="AO60" i="1"/>
  <c r="AR78" i="1"/>
  <c r="BP42" i="1"/>
  <c r="BP76" i="1" s="1"/>
  <c r="AM49" i="1"/>
  <c r="AC91" i="1"/>
  <c r="AD56" i="8"/>
  <c r="AR73" i="1"/>
  <c r="X219" i="1"/>
  <c r="AA91" i="1"/>
  <c r="AH73" i="1"/>
  <c r="Y219" i="1"/>
  <c r="Z219" i="1" s="1"/>
  <c r="T39" i="1"/>
  <c r="T45" i="1"/>
  <c r="Y96" i="1" s="1"/>
  <c r="T73" i="1"/>
  <c r="AM39" i="1"/>
  <c r="AM73" i="1"/>
  <c r="BK78" i="1"/>
  <c r="BK182" i="1" s="1"/>
  <c r="BK210" i="1" s="1"/>
  <c r="AH91" i="1"/>
  <c r="X56" i="8"/>
  <c r="AX173" i="1"/>
  <c r="BP74" i="1"/>
  <c r="AM78" i="1"/>
  <c r="AM57" i="1" s="1"/>
  <c r="AR96" i="1"/>
  <c r="Z56" i="8"/>
  <c r="Z59" i="8" s="1"/>
  <c r="CC87" i="1"/>
  <c r="AB219" i="1"/>
  <c r="AR91" i="1"/>
  <c r="AA56" i="8"/>
  <c r="AB56" i="8" s="1"/>
  <c r="AM91" i="1"/>
  <c r="BK193" i="1"/>
  <c r="BY22" i="1"/>
  <c r="BY91" i="98"/>
  <c r="BY130" i="98"/>
  <c r="BY86" i="1"/>
  <c r="BY67" i="1"/>
  <c r="BY68" i="1"/>
  <c r="BY69" i="1"/>
  <c r="BY70" i="1"/>
  <c r="CB22" i="1"/>
  <c r="CB91" i="98"/>
  <c r="CB130" i="98"/>
  <c r="CB67" i="1"/>
  <c r="CB68" i="1"/>
  <c r="CB69" i="1"/>
  <c r="CB70" i="1"/>
  <c r="CB86" i="1"/>
  <c r="CE91" i="98"/>
  <c r="CE130" i="98"/>
  <c r="CE67" i="1"/>
  <c r="CE68" i="1"/>
  <c r="CE69" i="1"/>
  <c r="CE70" i="1"/>
  <c r="CE86" i="1"/>
  <c r="BZ22" i="1"/>
  <c r="BZ91" i="98"/>
  <c r="BZ130" i="98"/>
  <c r="BZ70" i="1"/>
  <c r="BZ67" i="1"/>
  <c r="BZ68" i="1"/>
  <c r="BZ69" i="1"/>
  <c r="BZ86" i="1"/>
  <c r="CR125" i="98"/>
  <c r="CG130" i="98"/>
  <c r="CG91" i="98"/>
  <c r="CG86" i="1"/>
  <c r="CG70" i="1"/>
  <c r="CG67" i="1"/>
  <c r="CG68" i="1"/>
  <c r="CG69" i="1"/>
  <c r="BZ87" i="1"/>
  <c r="DG16" i="98"/>
  <c r="DJ16" i="98"/>
  <c r="DB16" i="98"/>
  <c r="DP16" i="98"/>
  <c r="DO16" i="98"/>
  <c r="CZ79" i="98"/>
  <c r="CZ137" i="98"/>
  <c r="DF137" i="98"/>
  <c r="DF79" i="98"/>
  <c r="DC137" i="98"/>
  <c r="DC79" i="98"/>
  <c r="DG41" i="98"/>
  <c r="DD137" i="98"/>
  <c r="DD79" i="98"/>
  <c r="DE79" i="98"/>
  <c r="DE137" i="98"/>
  <c r="DA79" i="98"/>
  <c r="DA137" i="98"/>
  <c r="DH79" i="98"/>
  <c r="DH137" i="98"/>
  <c r="DL41" i="98"/>
  <c r="DI137" i="98"/>
  <c r="DI79" i="98"/>
  <c r="DJ79" i="98"/>
  <c r="DJ137" i="98"/>
  <c r="CX79" i="98"/>
  <c r="DB41" i="98"/>
  <c r="CX137" i="98"/>
  <c r="DK79" i="98"/>
  <c r="DK137" i="98"/>
  <c r="DM79" i="98"/>
  <c r="DM137" i="98"/>
  <c r="DQ41" i="98"/>
  <c r="DN79" i="98"/>
  <c r="DN137" i="98"/>
  <c r="DO79" i="98"/>
  <c r="DO137" i="98"/>
  <c r="CW151" i="98"/>
  <c r="CY79" i="98"/>
  <c r="CY137" i="98"/>
  <c r="CV137" i="98"/>
  <c r="CV79" i="98"/>
  <c r="DP79" i="98"/>
  <c r="DP137" i="98"/>
  <c r="BZ193" i="1"/>
  <c r="BW192" i="1"/>
  <c r="CB193" i="1" s="1"/>
  <c r="BV192" i="1"/>
  <c r="BV193" i="1" s="1"/>
  <c r="BS53" i="8"/>
  <c r="BL67" i="8"/>
  <c r="BD16" i="8"/>
  <c r="BD20" i="8" s="1"/>
  <c r="BD28" i="8" s="1"/>
  <c r="BD57" i="8" s="1"/>
  <c r="BC20" i="8"/>
  <c r="BC28" i="8" s="1"/>
  <c r="BH57" i="8" s="1"/>
  <c r="AG28" i="8"/>
  <c r="AF57" i="8"/>
  <c r="AG57" i="8" s="1"/>
  <c r="BB57" i="8"/>
  <c r="BB58" i="8"/>
  <c r="CT154" i="98"/>
  <c r="BN62" i="8"/>
  <c r="BN28" i="8"/>
  <c r="BS58" i="8" s="1"/>
  <c r="BL53" i="8"/>
  <c r="BQ57" i="8"/>
  <c r="BQ59" i="8" s="1"/>
  <c r="N59" i="8"/>
  <c r="BQ58" i="8"/>
  <c r="R28" i="8"/>
  <c r="Q58" i="8"/>
  <c r="R58" i="8" s="1"/>
  <c r="V58" i="8"/>
  <c r="W58" i="8" s="1"/>
  <c r="CE28" i="8"/>
  <c r="CI58" i="8"/>
  <c r="CJ58" i="8" s="1"/>
  <c r="CE62" i="8"/>
  <c r="BM57" i="8"/>
  <c r="Q57" i="8"/>
  <c r="R57" i="8" s="1"/>
  <c r="BU64" i="8"/>
  <c r="BG28" i="8"/>
  <c r="BG53" i="8" s="1"/>
  <c r="BG62" i="8"/>
  <c r="CH121" i="8"/>
  <c r="CH125" i="8" s="1"/>
  <c r="CH30" i="1"/>
  <c r="CG28" i="1"/>
  <c r="CF90" i="1"/>
  <c r="CF209" i="1"/>
  <c r="CH120" i="8"/>
  <c r="CF224" i="1"/>
  <c r="CK90" i="1"/>
  <c r="DQ37" i="1"/>
  <c r="AT14" i="1"/>
  <c r="BB42" i="1"/>
  <c r="BB76" i="1" s="1"/>
  <c r="AS120" i="1"/>
  <c r="AR171" i="1"/>
  <c r="E16" i="95"/>
  <c r="E17" i="95" s="1"/>
  <c r="BN121" i="1"/>
  <c r="BN122" i="1" s="1"/>
  <c r="BA168" i="1"/>
  <c r="BA171" i="1" s="1"/>
  <c r="BB167" i="1"/>
  <c r="BV167" i="1"/>
  <c r="BR120" i="1"/>
  <c r="BG192" i="1"/>
  <c r="BV171" i="1"/>
  <c r="CA192" i="1"/>
  <c r="AT168" i="1"/>
  <c r="AT196" i="1" s="1"/>
  <c r="AT124" i="1" s="1"/>
  <c r="BZ195" i="1"/>
  <c r="AR169" i="1"/>
  <c r="BX121" i="1"/>
  <c r="BX122" i="1" s="1"/>
  <c r="BU193" i="1"/>
  <c r="BA119" i="1"/>
  <c r="CF171" i="1"/>
  <c r="CB120" i="1"/>
  <c r="CF167" i="1"/>
  <c r="CF215" i="1" s="1"/>
  <c r="BU119" i="1"/>
  <c r="BG215" i="1"/>
  <c r="BM215" i="1"/>
  <c r="AN42" i="1"/>
  <c r="AN76" i="1" s="1"/>
  <c r="CE119" i="1"/>
  <c r="BV120" i="1"/>
  <c r="BC192" i="1"/>
  <c r="AU119" i="1"/>
  <c r="CE195" i="1"/>
  <c r="BN167" i="1"/>
  <c r="BN215" i="1" s="1"/>
  <c r="BL120" i="1"/>
  <c r="CA171" i="1"/>
  <c r="CA172" i="1" s="1"/>
  <c r="AV121" i="1"/>
  <c r="AV122" i="1" s="1"/>
  <c r="AV119" i="1"/>
  <c r="BK119" i="1"/>
  <c r="BI167" i="1"/>
  <c r="BI215" i="1" s="1"/>
  <c r="BG168" i="1"/>
  <c r="BI168" i="1" s="1"/>
  <c r="BH41" i="1"/>
  <c r="BH75" i="1" s="1"/>
  <c r="BF119" i="1"/>
  <c r="AH120" i="1"/>
  <c r="BL192" i="1"/>
  <c r="BK123" i="1"/>
  <c r="BK195" i="1"/>
  <c r="BR77" i="8"/>
  <c r="BR80" i="8" s="1"/>
  <c r="BR81" i="8" s="1"/>
  <c r="BR82" i="8" s="1"/>
  <c r="AJ15" i="1"/>
  <c r="N81" i="1"/>
  <c r="N63" i="1"/>
  <c r="BO156" i="1"/>
  <c r="BO158" i="1" s="1"/>
  <c r="M219" i="1"/>
  <c r="Q56" i="8"/>
  <c r="R56" i="8" s="1"/>
  <c r="BI38" i="1"/>
  <c r="AN57" i="1"/>
  <c r="AN61" i="1" s="1"/>
  <c r="AZ171" i="1"/>
  <c r="D73" i="1"/>
  <c r="D45" i="1"/>
  <c r="I96" i="1" s="1"/>
  <c r="L45" i="1"/>
  <c r="L73" i="1"/>
  <c r="Q91" i="1"/>
  <c r="L39" i="1"/>
  <c r="J59" i="1"/>
  <c r="AB92" i="1"/>
  <c r="W42" i="1"/>
  <c r="W76" i="1" s="1"/>
  <c r="BA45" i="1"/>
  <c r="BA77" i="1" s="1"/>
  <c r="AH74" i="1"/>
  <c r="AH42" i="1"/>
  <c r="AX169" i="1"/>
  <c r="BG119" i="1"/>
  <c r="BR167" i="1"/>
  <c r="AS53" i="8"/>
  <c r="AE62" i="8"/>
  <c r="AE28" i="8"/>
  <c r="AB41" i="8"/>
  <c r="AA51" i="8"/>
  <c r="CH58" i="8"/>
  <c r="CC58" i="8"/>
  <c r="BT58" i="8"/>
  <c r="BU58" i="8" s="1"/>
  <c r="BO58" i="8"/>
  <c r="BP58" i="8" s="1"/>
  <c r="BP28" i="8"/>
  <c r="BO57" i="8"/>
  <c r="BP57" i="8" s="1"/>
  <c r="BF41" i="8"/>
  <c r="BF52" i="8" s="1"/>
  <c r="BF53" i="8" s="1"/>
  <c r="BE52" i="8"/>
  <c r="BE53" i="8" s="1"/>
  <c r="BO53" i="8"/>
  <c r="DD207" i="8"/>
  <c r="AY58" i="8"/>
  <c r="AY57" i="8"/>
  <c r="BD58" i="8"/>
  <c r="AY53" i="8"/>
  <c r="AG41" i="8"/>
  <c r="AF52" i="8"/>
  <c r="AG52" i="8" s="1"/>
  <c r="BU41" i="8"/>
  <c r="BU52" i="8" s="1"/>
  <c r="BT52" i="8"/>
  <c r="BT53" i="8" s="1"/>
  <c r="BF62" i="8"/>
  <c r="BF63" i="8"/>
  <c r="AS58" i="8"/>
  <c r="AH57" i="8"/>
  <c r="AC51" i="8"/>
  <c r="DI182" i="8"/>
  <c r="DN182" i="8" s="1"/>
  <c r="DS182" i="8" s="1"/>
  <c r="DX182" i="8" s="1"/>
  <c r="T58" i="8"/>
  <c r="BW58" i="8"/>
  <c r="CB58" i="8"/>
  <c r="AN58" i="8"/>
  <c r="CD76" i="8"/>
  <c r="CC67" i="8"/>
  <c r="CC52" i="8"/>
  <c r="AI39" i="1"/>
  <c r="AI74" i="1" s="1"/>
  <c r="AI73" i="1"/>
  <c r="BH91" i="1"/>
  <c r="BH49" i="1"/>
  <c r="BM97" i="1" s="1"/>
  <c r="AV78" i="1"/>
  <c r="AV182" i="1" s="1"/>
  <c r="AN56" i="8"/>
  <c r="BM91" i="1"/>
  <c r="AK56" i="8"/>
  <c r="AL56" i="8" s="1"/>
  <c r="BH42" i="1"/>
  <c r="BH76" i="1" s="1"/>
  <c r="BH73" i="1"/>
  <c r="BH78" i="1"/>
  <c r="BH182" i="1" s="1"/>
  <c r="BH210" i="1" s="1"/>
  <c r="AI45" i="1"/>
  <c r="AI77" i="1" s="1"/>
  <c r="BT45" i="1"/>
  <c r="BT47" i="1" s="1"/>
  <c r="AY168" i="1"/>
  <c r="AY196" i="1" s="1"/>
  <c r="AY124" i="1" s="1"/>
  <c r="BQ215" i="1"/>
  <c r="AM167" i="1"/>
  <c r="BQ171" i="1"/>
  <c r="CA167" i="1"/>
  <c r="CE121" i="1"/>
  <c r="CE122" i="1" s="1"/>
  <c r="AX171" i="1"/>
  <c r="AW120" i="1"/>
  <c r="BZ123" i="1"/>
  <c r="AZ169" i="1"/>
  <c r="BY121" i="1"/>
  <c r="BY122" i="1" s="1"/>
  <c r="BU67" i="8"/>
  <c r="CZ112" i="8"/>
  <c r="CZ96" i="8"/>
  <c r="DS184" i="8"/>
  <c r="DX184" i="8" s="1"/>
  <c r="EC184" i="8" s="1"/>
  <c r="BU76" i="8"/>
  <c r="BP52" i="8"/>
  <c r="BP67" i="8"/>
  <c r="BL47" i="1"/>
  <c r="BL77" i="1"/>
  <c r="BL96" i="1"/>
  <c r="BI214" i="1"/>
  <c r="AG219" i="1"/>
  <c r="AI70" i="8" s="1"/>
  <c r="AI219" i="1"/>
  <c r="AJ219" i="1" s="1"/>
  <c r="AL70" i="8" s="1"/>
  <c r="AA59" i="1"/>
  <c r="AC77" i="1"/>
  <c r="BL91" i="1"/>
  <c r="AM219" i="1"/>
  <c r="AO70" i="8" s="1"/>
  <c r="AL219" i="1"/>
  <c r="AN70" i="8" s="1"/>
  <c r="AO56" i="8"/>
  <c r="AO59" i="8" s="1"/>
  <c r="AG91" i="1"/>
  <c r="AG39" i="1"/>
  <c r="AG41" i="1" s="1"/>
  <c r="AA81" i="1"/>
  <c r="CV90" i="8"/>
  <c r="CY207" i="8"/>
  <c r="AT73" i="1"/>
  <c r="AG45" i="1"/>
  <c r="AG77" i="1" s="1"/>
  <c r="AT45" i="1"/>
  <c r="AT49" i="1" s="1"/>
  <c r="BL39" i="1"/>
  <c r="BL73" i="1"/>
  <c r="BC73" i="1"/>
  <c r="AC49" i="1"/>
  <c r="AC81" i="1" s="1"/>
  <c r="BB41" i="1"/>
  <c r="BB75" i="1" s="1"/>
  <c r="BH74" i="1"/>
  <c r="BA41" i="1"/>
  <c r="BA75" i="1" s="1"/>
  <c r="AL39" i="1"/>
  <c r="AL42" i="1" s="1"/>
  <c r="AL76" i="1" s="1"/>
  <c r="BE219" i="1"/>
  <c r="BG70" i="8" s="1"/>
  <c r="BM92" i="1"/>
  <c r="AS166" i="1"/>
  <c r="AS173" i="1" s="1"/>
  <c r="AS171" i="1" s="1"/>
  <c r="BB74" i="1"/>
  <c r="BM42" i="1"/>
  <c r="BM41" i="1"/>
  <c r="BM75" i="1" s="1"/>
  <c r="BX56" i="8"/>
  <c r="AL91" i="1"/>
  <c r="BA91" i="1"/>
  <c r="BA42" i="1"/>
  <c r="AN219" i="1"/>
  <c r="AQ91" i="1"/>
  <c r="BG92" i="1"/>
  <c r="BA73" i="1"/>
  <c r="BE73" i="1"/>
  <c r="BE45" i="1"/>
  <c r="BE78" i="1" s="1"/>
  <c r="BE182" i="1" s="1"/>
  <c r="BE210" i="1" s="1"/>
  <c r="BF219" i="1"/>
  <c r="BH70" i="8" s="1"/>
  <c r="BC45" i="1"/>
  <c r="BG219" i="1"/>
  <c r="BI70" i="8" s="1"/>
  <c r="BG56" i="8"/>
  <c r="BC39" i="1"/>
  <c r="BC74" i="1" s="1"/>
  <c r="BC219" i="1"/>
  <c r="BD219" i="1" s="1"/>
  <c r="BF70" i="8" s="1"/>
  <c r="BH56" i="8"/>
  <c r="BS14" i="1"/>
  <c r="AN17" i="1"/>
  <c r="BD38" i="1"/>
  <c r="BE41" i="1"/>
  <c r="BE75" i="1" s="1"/>
  <c r="BE74" i="1"/>
  <c r="BE42" i="1"/>
  <c r="BE76" i="1" s="1"/>
  <c r="BL78" i="1"/>
  <c r="BL182" i="1" s="1"/>
  <c r="BL210" i="1" s="1"/>
  <c r="BL49" i="1"/>
  <c r="BL97" i="1" s="1"/>
  <c r="BD225" i="1"/>
  <c r="BD14" i="1"/>
  <c r="AN230" i="1"/>
  <c r="AO228" i="1"/>
  <c r="AQ71" i="8" s="1"/>
  <c r="AM228" i="1"/>
  <c r="AO71" i="8" s="1"/>
  <c r="CC13" i="1"/>
  <c r="AN228" i="1"/>
  <c r="AP71" i="8" s="1"/>
  <c r="AL230" i="1"/>
  <c r="BV154" i="1"/>
  <c r="BV56" i="1"/>
  <c r="AW173" i="1"/>
  <c r="AW171" i="1" s="1"/>
  <c r="AN225" i="1"/>
  <c r="BC225" i="1"/>
  <c r="AU41" i="1"/>
  <c r="AU75" i="1" s="1"/>
  <c r="U74" i="1"/>
  <c r="AY230" i="1"/>
  <c r="AY71" i="1"/>
  <c r="AW227" i="1"/>
  <c r="AY38" i="1"/>
  <c r="AU227" i="1"/>
  <c r="AX227" i="1"/>
  <c r="AV227" i="1"/>
  <c r="AZ57" i="8"/>
  <c r="BA57" i="8" s="1"/>
  <c r="I56" i="8"/>
  <c r="G45" i="1"/>
  <c r="K45" i="1" s="1"/>
  <c r="G91" i="1"/>
  <c r="G73" i="1"/>
  <c r="J56" i="8"/>
  <c r="G39" i="1"/>
  <c r="L91" i="1"/>
  <c r="AW45" i="1"/>
  <c r="AW39" i="1"/>
  <c r="AW91" i="1"/>
  <c r="AW73" i="1"/>
  <c r="W77" i="1"/>
  <c r="W49" i="1"/>
  <c r="AB96" i="1"/>
  <c r="AO225" i="1"/>
  <c r="AU42" i="1"/>
  <c r="U41" i="1"/>
  <c r="U75" i="1" s="1"/>
  <c r="BY152" i="1"/>
  <c r="BY214" i="1"/>
  <c r="CD57" i="1"/>
  <c r="CD156" i="1"/>
  <c r="CD158" i="1" s="1"/>
  <c r="C73" i="1"/>
  <c r="H91" i="1"/>
  <c r="F38" i="1"/>
  <c r="O91" i="1"/>
  <c r="O73" i="1"/>
  <c r="T91" i="1"/>
  <c r="O45" i="1"/>
  <c r="O39" i="1"/>
  <c r="AL45" i="1"/>
  <c r="AP56" i="8"/>
  <c r="AD63" i="1"/>
  <c r="AI56" i="8"/>
  <c r="AI225" i="1"/>
  <c r="X91" i="1"/>
  <c r="S39" i="1"/>
  <c r="S45" i="1"/>
  <c r="S73" i="1"/>
  <c r="S91" i="1"/>
  <c r="AQ39" i="1"/>
  <c r="AV92" i="1" s="1"/>
  <c r="AQ73" i="1"/>
  <c r="W219" i="1"/>
  <c r="AH17" i="1"/>
  <c r="U61" i="1"/>
  <c r="Y78" i="1"/>
  <c r="Y49" i="1"/>
  <c r="Y77" i="1"/>
  <c r="CD172" i="1"/>
  <c r="BI71" i="1"/>
  <c r="BI209" i="1"/>
  <c r="BV219" i="1"/>
  <c r="BX70" i="8" s="1"/>
  <c r="BT73" i="1"/>
  <c r="AN81" i="1"/>
  <c r="BT91" i="1"/>
  <c r="BN90" i="1"/>
  <c r="BT159" i="1"/>
  <c r="AU173" i="1"/>
  <c r="Y92" i="1"/>
  <c r="Y74" i="1"/>
  <c r="AP41" i="1"/>
  <c r="AT81" i="1"/>
  <c r="AY218" i="1"/>
  <c r="AY225" i="1" s="1"/>
  <c r="AX225" i="1"/>
  <c r="BF73" i="1"/>
  <c r="BF39" i="1"/>
  <c r="BK92" i="1" s="1"/>
  <c r="BJ56" i="8"/>
  <c r="BF45" i="1"/>
  <c r="BF91" i="1"/>
  <c r="BI56" i="8"/>
  <c r="M39" i="1"/>
  <c r="M73" i="1"/>
  <c r="M45" i="1"/>
  <c r="Q219" i="1"/>
  <c r="S56" i="8"/>
  <c r="P56" i="8"/>
  <c r="P59" i="8" s="1"/>
  <c r="N219" i="1"/>
  <c r="M91" i="1"/>
  <c r="O219" i="1"/>
  <c r="P219" i="1" s="1"/>
  <c r="BK91" i="1"/>
  <c r="AV219" i="1"/>
  <c r="AX70" i="8" s="1"/>
  <c r="AY56" i="8"/>
  <c r="AS45" i="1"/>
  <c r="AS91" i="1"/>
  <c r="AU219" i="1"/>
  <c r="AW70" i="8" s="1"/>
  <c r="AW56" i="8"/>
  <c r="AX56" i="8"/>
  <c r="AS73" i="1"/>
  <c r="AW219" i="1"/>
  <c r="AY70" i="8" s="1"/>
  <c r="AS39" i="1"/>
  <c r="BR56" i="1"/>
  <c r="BR154" i="1"/>
  <c r="BP63" i="1"/>
  <c r="BP197" i="1"/>
  <c r="CO119" i="8"/>
  <c r="CO124" i="8" s="1"/>
  <c r="AH219" i="1"/>
  <c r="AJ70" i="8" s="1"/>
  <c r="AF56" i="8"/>
  <c r="AD219" i="1"/>
  <c r="AE219" i="1" s="1"/>
  <c r="AG70" i="8" s="1"/>
  <c r="AD39" i="1"/>
  <c r="AD91" i="1"/>
  <c r="AD73" i="1"/>
  <c r="AD45" i="1"/>
  <c r="AI91" i="1"/>
  <c r="AZ56" i="8"/>
  <c r="AX73" i="1"/>
  <c r="AX91" i="1"/>
  <c r="AX45" i="1"/>
  <c r="BC96" i="1" s="1"/>
  <c r="AX39" i="1"/>
  <c r="AX219" i="1"/>
  <c r="BC91" i="1"/>
  <c r="AT78" i="1"/>
  <c r="AT182" i="1" s="1"/>
  <c r="AT210" i="1" s="1"/>
  <c r="BT42" i="1"/>
  <c r="BT76" i="1" s="1"/>
  <c r="BT74" i="1"/>
  <c r="BT41" i="1"/>
  <c r="BT75" i="1" s="1"/>
  <c r="BI80" i="1"/>
  <c r="BH227" i="1"/>
  <c r="BI230" i="1"/>
  <c r="BG227" i="1"/>
  <c r="BE227" i="1"/>
  <c r="BN88" i="1"/>
  <c r="BF227" i="1"/>
  <c r="BJ57" i="8"/>
  <c r="BK57" i="8" s="1"/>
  <c r="BI88" i="1"/>
  <c r="BK77" i="1"/>
  <c r="BK49" i="1"/>
  <c r="P73" i="1"/>
  <c r="P45" i="1"/>
  <c r="U91" i="1"/>
  <c r="P39" i="1"/>
  <c r="BG41" i="1"/>
  <c r="BG74" i="1"/>
  <c r="CF57" i="1"/>
  <c r="CF156" i="1"/>
  <c r="CF158" i="1" s="1"/>
  <c r="CR192" i="1"/>
  <c r="BP96" i="1"/>
  <c r="BB57" i="1"/>
  <c r="BB182" i="1"/>
  <c r="BL17" i="1"/>
  <c r="AY14" i="1"/>
  <c r="AN129" i="8"/>
  <c r="AK91" i="1"/>
  <c r="C49" i="1"/>
  <c r="C77" i="1"/>
  <c r="H96" i="1"/>
  <c r="C78" i="1"/>
  <c r="BH219" i="1"/>
  <c r="BD77" i="8"/>
  <c r="BD80" i="8" s="1"/>
  <c r="BD81" i="8" s="1"/>
  <c r="BD82" i="8" s="1"/>
  <c r="BB81" i="1"/>
  <c r="BW225" i="1"/>
  <c r="AP91" i="1"/>
  <c r="AP45" i="1"/>
  <c r="AQ219" i="1"/>
  <c r="AS70" i="8" s="1"/>
  <c r="AU91" i="1"/>
  <c r="AP219" i="1"/>
  <c r="AR70" i="8" s="1"/>
  <c r="AT56" i="8"/>
  <c r="AT59" i="8" s="1"/>
  <c r="AS219" i="1"/>
  <c r="AS56" i="8"/>
  <c r="AR56" i="8"/>
  <c r="AR59" i="8" s="1"/>
  <c r="AU56" i="8"/>
  <c r="AR219" i="1"/>
  <c r="AT70" i="8" s="1"/>
  <c r="N74" i="1"/>
  <c r="N41" i="1"/>
  <c r="AF219" i="1"/>
  <c r="AH70" i="8" s="1"/>
  <c r="J19" i="95"/>
  <c r="BT156" i="1"/>
  <c r="BT158" i="1" s="1"/>
  <c r="BT57" i="1"/>
  <c r="BC78" i="1"/>
  <c r="BH96" i="1"/>
  <c r="AL17" i="1"/>
  <c r="AL83" i="1" s="1"/>
  <c r="G5" i="95"/>
  <c r="G17" i="95" s="1"/>
  <c r="AZ45" i="1"/>
  <c r="AZ73" i="1"/>
  <c r="AZ91" i="1"/>
  <c r="BE56" i="8"/>
  <c r="BE91" i="1"/>
  <c r="AZ39" i="1"/>
  <c r="BD56" i="8"/>
  <c r="BA219" i="1"/>
  <c r="BC70" i="8" s="1"/>
  <c r="BB219" i="1"/>
  <c r="BD70" i="8" s="1"/>
  <c r="AZ219" i="1"/>
  <c r="BB70" i="8" s="1"/>
  <c r="BC56" i="8"/>
  <c r="BB56" i="8"/>
  <c r="AF45" i="1"/>
  <c r="AF73" i="1"/>
  <c r="AF39" i="1"/>
  <c r="AK92" i="1" s="1"/>
  <c r="AJ56" i="8"/>
  <c r="AH56" i="8"/>
  <c r="AF91" i="1"/>
  <c r="BU159" i="1"/>
  <c r="BU91" i="1"/>
  <c r="BU45" i="1"/>
  <c r="BU73" i="1"/>
  <c r="BU39" i="1"/>
  <c r="BR39" i="1"/>
  <c r="BR45" i="1"/>
  <c r="BR159" i="1"/>
  <c r="BR73" i="1"/>
  <c r="BT49" i="1"/>
  <c r="AO178" i="1"/>
  <c r="AO180" i="1"/>
  <c r="AO64" i="1"/>
  <c r="AN64" i="1" s="1"/>
  <c r="B63" i="1"/>
  <c r="AT195" i="1"/>
  <c r="AT123" i="1"/>
  <c r="AT41" i="1"/>
  <c r="AT75" i="1" s="1"/>
  <c r="AT74" i="1"/>
  <c r="AT42" i="1"/>
  <c r="AT77" i="8"/>
  <c r="AR81" i="1"/>
  <c r="AR97" i="1"/>
  <c r="AR59" i="1"/>
  <c r="BG81" i="1"/>
  <c r="BI77" i="8"/>
  <c r="BG63" i="1"/>
  <c r="BG97" i="1"/>
  <c r="BW45" i="1"/>
  <c r="BW73" i="1"/>
  <c r="BW91" i="1"/>
  <c r="BW219" i="1"/>
  <c r="BS214" i="1"/>
  <c r="AK42" i="1"/>
  <c r="AK74" i="1"/>
  <c r="AK41" i="1"/>
  <c r="AQ49" i="1"/>
  <c r="AQ77" i="1"/>
  <c r="AQ78" i="1"/>
  <c r="AV96" i="1"/>
  <c r="CG56" i="1"/>
  <c r="CG154" i="1"/>
  <c r="AR182" i="1"/>
  <c r="BP156" i="1"/>
  <c r="BP158" i="1" s="1"/>
  <c r="BP57" i="1"/>
  <c r="BY56" i="8"/>
  <c r="BZ56" i="8" s="1"/>
  <c r="V56" i="8"/>
  <c r="S219" i="1"/>
  <c r="R45" i="1"/>
  <c r="W91" i="1"/>
  <c r="T219" i="1"/>
  <c r="U219" i="1" s="1"/>
  <c r="R91" i="1"/>
  <c r="R219" i="1"/>
  <c r="R73" i="1"/>
  <c r="V219" i="1"/>
  <c r="U56" i="8"/>
  <c r="U59" i="8" s="1"/>
  <c r="R39" i="1"/>
  <c r="T56" i="8"/>
  <c r="CB56" i="1"/>
  <c r="CB154" i="1"/>
  <c r="W75" i="1"/>
  <c r="BG76" i="1"/>
  <c r="CR15" i="1"/>
  <c r="AO91" i="1"/>
  <c r="AO73" i="1"/>
  <c r="AT91" i="1"/>
  <c r="CH13" i="1"/>
  <c r="BJ36" i="1"/>
  <c r="BN36" i="1" s="1"/>
  <c r="BV74" i="1"/>
  <c r="BV42" i="1"/>
  <c r="BV41" i="1"/>
  <c r="BZ76" i="8"/>
  <c r="BV76" i="8"/>
  <c r="BY63" i="8"/>
  <c r="CX109" i="8"/>
  <c r="CW96" i="8"/>
  <c r="CW90" i="8"/>
  <c r="CW93" i="8"/>
  <c r="CW106" i="8"/>
  <c r="CX93" i="8"/>
  <c r="DQ35" i="1"/>
  <c r="CX78" i="8"/>
  <c r="CJ76" i="8"/>
  <c r="CF76" i="8"/>
  <c r="CE52" i="8"/>
  <c r="AQ119" i="1"/>
  <c r="AK121" i="1"/>
  <c r="AK122" i="1" s="1"/>
  <c r="AT121" i="1"/>
  <c r="AT122" i="1" s="1"/>
  <c r="BE121" i="1"/>
  <c r="BE122" i="1" s="1"/>
  <c r="AP121" i="1"/>
  <c r="AP122" i="1" s="1"/>
  <c r="BT121" i="1"/>
  <c r="BT122" i="1" s="1"/>
  <c r="AG119" i="1"/>
  <c r="BG121" i="1"/>
  <c r="BG122" i="1" s="1"/>
  <c r="BZ119" i="1"/>
  <c r="BB119" i="1"/>
  <c r="AW119" i="1"/>
  <c r="DG151" i="98"/>
  <c r="DL151" i="98"/>
  <c r="CY36" i="1"/>
  <c r="CH14" i="1"/>
  <c r="CG17" i="1"/>
  <c r="AU83" i="1"/>
  <c r="BA169" i="1"/>
  <c r="AK17" i="1"/>
  <c r="AP83" i="1" s="1"/>
  <c r="AS129" i="8"/>
  <c r="BM182" i="1"/>
  <c r="BM210" i="1" s="1"/>
  <c r="AK59" i="1"/>
  <c r="AM77" i="8"/>
  <c r="AM81" i="8" s="1"/>
  <c r="AK81" i="1"/>
  <c r="BU17" i="1"/>
  <c r="BV17" i="1"/>
  <c r="AO14" i="1"/>
  <c r="BI90" i="1"/>
  <c r="CT119" i="8"/>
  <c r="CT124" i="8" s="1"/>
  <c r="CO64" i="8"/>
  <c r="CW109" i="8"/>
  <c r="CV106" i="8"/>
  <c r="CW112" i="8"/>
  <c r="BB41" i="8"/>
  <c r="BB52" i="8" s="1"/>
  <c r="BB53" i="8" s="1"/>
  <c r="BB62" i="8"/>
  <c r="BB63" i="8"/>
  <c r="CX98" i="8"/>
  <c r="CX114" i="8"/>
  <c r="CP20" i="8"/>
  <c r="CP63" i="8"/>
  <c r="BY28" i="8"/>
  <c r="BY57" i="8" s="1"/>
  <c r="BZ20" i="8"/>
  <c r="BY62" i="8"/>
  <c r="CJ64" i="8"/>
  <c r="CE64" i="8"/>
  <c r="CV97" i="8"/>
  <c r="CV113" i="8"/>
  <c r="CQ41" i="8"/>
  <c r="CX106" i="8"/>
  <c r="CX90" i="8"/>
  <c r="BY52" i="8"/>
  <c r="BZ41" i="8"/>
  <c r="BZ52" i="8" s="1"/>
  <c r="CV92" i="8"/>
  <c r="CV108" i="8"/>
  <c r="CR36" i="8"/>
  <c r="AW41" i="8"/>
  <c r="AW52" i="8" s="1"/>
  <c r="AW53" i="8" s="1"/>
  <c r="AW63" i="8"/>
  <c r="AW62" i="8"/>
  <c r="CV87" i="8"/>
  <c r="CV103" i="8"/>
  <c r="CW102" i="8"/>
  <c r="CW86" i="8"/>
  <c r="DP36" i="1"/>
  <c r="DP214" i="1" s="1"/>
  <c r="CI17" i="1"/>
  <c r="BR17" i="1"/>
  <c r="DE36" i="1"/>
  <c r="DE214" i="1" s="1"/>
  <c r="DA36" i="1"/>
  <c r="ED36" i="1" s="1"/>
  <c r="BN37" i="1"/>
  <c r="DK36" i="1"/>
  <c r="DK214" i="1" s="1"/>
  <c r="DJ36" i="1"/>
  <c r="DJ214" i="1" s="1"/>
  <c r="DB32" i="1"/>
  <c r="CN127" i="8"/>
  <c r="CN124" i="8"/>
  <c r="BQ173" i="1"/>
  <c r="AO15" i="1"/>
  <c r="BU195" i="1"/>
  <c r="BP195" i="1"/>
  <c r="BP123" i="1"/>
  <c r="BR123" i="1"/>
  <c r="BJ123" i="1"/>
  <c r="BJ195" i="1"/>
  <c r="BO195" i="1"/>
  <c r="BI73" i="1"/>
  <c r="AO78" i="1"/>
  <c r="BN170" i="1"/>
  <c r="BQ87" i="1"/>
  <c r="BY17" i="1"/>
  <c r="BS194" i="1"/>
  <c r="Z73" i="1"/>
  <c r="Z39" i="1"/>
  <c r="AE92" i="1" s="1"/>
  <c r="Z45" i="1"/>
  <c r="Z91" i="1"/>
  <c r="AO41" i="1"/>
  <c r="AO75" i="1" s="1"/>
  <c r="AO74" i="1"/>
  <c r="AT92" i="1"/>
  <c r="AO42" i="1"/>
  <c r="BQ123" i="1"/>
  <c r="AE78" i="1"/>
  <c r="AE49" i="1"/>
  <c r="AE77" i="1"/>
  <c r="BU156" i="1"/>
  <c r="BU158" i="1" s="1"/>
  <c r="BU57" i="1"/>
  <c r="I74" i="1"/>
  <c r="N92" i="1"/>
  <c r="I49" i="1"/>
  <c r="N96" i="1"/>
  <c r="I77" i="1"/>
  <c r="I78" i="1"/>
  <c r="BO163" i="1"/>
  <c r="BO47" i="1"/>
  <c r="BO78" i="1"/>
  <c r="BO77" i="1"/>
  <c r="BO49" i="1"/>
  <c r="BO42" i="1"/>
  <c r="BO74" i="1"/>
  <c r="BO41" i="1"/>
  <c r="BT92" i="1"/>
  <c r="BO77" i="8"/>
  <c r="BO80" i="8" s="1"/>
  <c r="BO81" i="8" s="1"/>
  <c r="BO82" i="8" s="1"/>
  <c r="BM58" i="1"/>
  <c r="BM59" i="1" s="1"/>
  <c r="BM63" i="1"/>
  <c r="BM81" i="1"/>
  <c r="CV168" i="1"/>
  <c r="CX169" i="1" s="1"/>
  <c r="CU170" i="1"/>
  <c r="BW159" i="1"/>
  <c r="BW152" i="1"/>
  <c r="BW214" i="1"/>
  <c r="BW39" i="1"/>
  <c r="AP74" i="1"/>
  <c r="AP92" i="1"/>
  <c r="AU92" i="1"/>
  <c r="AC92" i="1"/>
  <c r="AC74" i="1"/>
  <c r="AC42" i="1"/>
  <c r="AC41" i="1"/>
  <c r="AH92" i="1"/>
  <c r="AI42" i="1"/>
  <c r="BX38" i="1"/>
  <c r="BX71" i="1"/>
  <c r="BX80" i="1"/>
  <c r="BX230" i="1"/>
  <c r="BW227" i="1"/>
  <c r="BT227" i="1"/>
  <c r="BV227" i="1"/>
  <c r="BU227" i="1"/>
  <c r="BN218" i="1"/>
  <c r="BN225" i="1" s="1"/>
  <c r="BM225" i="1"/>
  <c r="CN193" i="1"/>
  <c r="CM192" i="1"/>
  <c r="CI193" i="1"/>
  <c r="AY173" i="1"/>
  <c r="AU171" i="1"/>
  <c r="BQ57" i="1"/>
  <c r="BQ156" i="1"/>
  <c r="BQ158" i="1" s="1"/>
  <c r="AZ83" i="1"/>
  <c r="CI172" i="1"/>
  <c r="CM173" i="1"/>
  <c r="BK74" i="1"/>
  <c r="BP92" i="1"/>
  <c r="BK41" i="1"/>
  <c r="BK42" i="1"/>
  <c r="CH152" i="1"/>
  <c r="CH154" i="1" s="1"/>
  <c r="CH156" i="1" s="1"/>
  <c r="CH158" i="1" s="1"/>
  <c r="CH214" i="1"/>
  <c r="AU57" i="1"/>
  <c r="AU182" i="1"/>
  <c r="K39" i="1"/>
  <c r="P91" i="1"/>
  <c r="K91" i="1"/>
  <c r="K73" i="1"/>
  <c r="E49" i="1"/>
  <c r="E78" i="1"/>
  <c r="E77" i="1"/>
  <c r="AO13" i="1"/>
  <c r="CR127" i="8"/>
  <c r="CM15" i="1"/>
  <c r="CQ57" i="1"/>
  <c r="CR57" i="1" s="1"/>
  <c r="CR61" i="1" s="1"/>
  <c r="AR129" i="8"/>
  <c r="CD121" i="1"/>
  <c r="CD122" i="1" s="1"/>
  <c r="DC36" i="1"/>
  <c r="DC214" i="1" s="1"/>
  <c r="CH15" i="1"/>
  <c r="CR190" i="1"/>
  <c r="CR187" i="1"/>
  <c r="AF83" i="1"/>
  <c r="AX17" i="1"/>
  <c r="CC14" i="1"/>
  <c r="BS21" i="1"/>
  <c r="AS17" i="1"/>
  <c r="BC17" i="1"/>
  <c r="CE17" i="1"/>
  <c r="CE72" i="1" s="1"/>
  <c r="CJ17" i="1"/>
  <c r="CJ72" i="1" s="1"/>
  <c r="CS127" i="8"/>
  <c r="DN36" i="1"/>
  <c r="DN214" i="1" s="1"/>
  <c r="CM127" i="8"/>
  <c r="CM124" i="8"/>
  <c r="CS214" i="1"/>
  <c r="CA17" i="1"/>
  <c r="BT17" i="1"/>
  <c r="AW17" i="1"/>
  <c r="BN13" i="1"/>
  <c r="CK17" i="1"/>
  <c r="BN14" i="1"/>
  <c r="BH17" i="1"/>
  <c r="AR17" i="1"/>
  <c r="AT13" i="1"/>
  <c r="BG17" i="1"/>
  <c r="BQ17" i="1"/>
  <c r="BM17" i="1"/>
  <c r="CV36" i="1"/>
  <c r="EG36" i="1" s="1"/>
  <c r="DB35" i="1"/>
  <c r="CB17" i="1"/>
  <c r="BP17" i="1"/>
  <c r="BK17" i="1"/>
  <c r="DL32" i="1"/>
  <c r="DI36" i="1"/>
  <c r="BX14" i="1"/>
  <c r="BE17" i="1"/>
  <c r="BI15" i="1"/>
  <c r="BS15" i="1"/>
  <c r="CC15" i="1"/>
  <c r="AG83" i="1"/>
  <c r="BX13" i="1"/>
  <c r="BI13" i="1"/>
  <c r="BF17" i="1"/>
  <c r="BO17" i="1"/>
  <c r="BS13" i="1"/>
  <c r="BJ17" i="1"/>
  <c r="BN15" i="1"/>
  <c r="BX15" i="1"/>
  <c r="AY13" i="1"/>
  <c r="AV17" i="1"/>
  <c r="BD13" i="1"/>
  <c r="BA17" i="1"/>
  <c r="CO70" i="1"/>
  <c r="CO69" i="1"/>
  <c r="CO68" i="1"/>
  <c r="CO67" i="1"/>
  <c r="CQ68" i="1"/>
  <c r="CQ70" i="1"/>
  <c r="CQ67" i="1"/>
  <c r="CQ69" i="1"/>
  <c r="DG35" i="1"/>
  <c r="CU36" i="1"/>
  <c r="DF36" i="1"/>
  <c r="DF214" i="1" s="1"/>
  <c r="DM36" i="1"/>
  <c r="DQ32" i="1"/>
  <c r="DG32" i="1"/>
  <c r="DD36" i="1"/>
  <c r="DO36" i="1"/>
  <c r="DO214" i="1" s="1"/>
  <c r="CL17" i="1"/>
  <c r="BM171" i="1"/>
  <c r="BN171" i="1" s="1"/>
  <c r="BN173" i="1"/>
  <c r="CP119" i="1"/>
  <c r="AH167" i="1"/>
  <c r="AV42" i="1"/>
  <c r="AV74" i="1"/>
  <c r="AV41" i="1"/>
  <c r="BA92" i="1"/>
  <c r="CX195" i="1"/>
  <c r="CX123" i="1"/>
  <c r="AU228" i="1"/>
  <c r="AW71" i="8" s="1"/>
  <c r="AR230" i="1"/>
  <c r="CY123" i="1"/>
  <c r="CY195" i="1"/>
  <c r="CL119" i="1"/>
  <c r="CJ121" i="1"/>
  <c r="CJ122" i="1" s="1"/>
  <c r="AP230" i="1"/>
  <c r="AS228" i="1"/>
  <c r="AU71" i="8" s="1"/>
  <c r="AR228" i="1"/>
  <c r="AT71" i="8" s="1"/>
  <c r="AT228" i="1"/>
  <c r="AV71" i="8" s="1"/>
  <c r="AP228" i="1"/>
  <c r="AR71" i="8" s="1"/>
  <c r="AQ228" i="1"/>
  <c r="AS71" i="8" s="1"/>
  <c r="CQ167" i="1"/>
  <c r="CQ170" i="1" s="1"/>
  <c r="CM63" i="8"/>
  <c r="CM62" i="8"/>
  <c r="CZ123" i="1"/>
  <c r="AV57" i="1"/>
  <c r="BH171" i="1"/>
  <c r="BI173" i="1"/>
  <c r="AP76" i="1"/>
  <c r="AP231" i="1"/>
  <c r="AR76" i="1"/>
  <c r="AR231" i="1"/>
  <c r="Y75" i="1"/>
  <c r="AE41" i="1"/>
  <c r="AE75" i="1" s="1"/>
  <c r="AE74" i="1"/>
  <c r="AE42" i="1"/>
  <c r="AE76" i="1" s="1"/>
  <c r="AZ119" i="1"/>
  <c r="CC36" i="1"/>
  <c r="CA214" i="1"/>
  <c r="BC63" i="8"/>
  <c r="BC41" i="8"/>
  <c r="BC52" i="8" s="1"/>
  <c r="BD41" i="8"/>
  <c r="BD52" i="8" s="1"/>
  <c r="BD63" i="8"/>
  <c r="AI228" i="1" l="1"/>
  <c r="AH49" i="1"/>
  <c r="AH81" i="1" s="1"/>
  <c r="AM96" i="1"/>
  <c r="AV63" i="1"/>
  <c r="AI41" i="1"/>
  <c r="AK221" i="1" s="1"/>
  <c r="AO77" i="1"/>
  <c r="AK228" i="1"/>
  <c r="AM71" i="8" s="1"/>
  <c r="AN92" i="1"/>
  <c r="AT96" i="1"/>
  <c r="AI92" i="1"/>
  <c r="AH230" i="1"/>
  <c r="AG230" i="1"/>
  <c r="BG182" i="1"/>
  <c r="BG210" i="1" s="1"/>
  <c r="BG57" i="1"/>
  <c r="BV77" i="1"/>
  <c r="AG78" i="1"/>
  <c r="AJ228" i="1"/>
  <c r="AL71" i="8" s="1"/>
  <c r="AI230" i="1"/>
  <c r="AX77" i="8"/>
  <c r="BI45" i="1"/>
  <c r="BV78" i="1"/>
  <c r="D7" i="95"/>
  <c r="U49" i="1"/>
  <c r="BC228" i="1"/>
  <c r="BE71" i="8" s="1"/>
  <c r="BV49" i="1"/>
  <c r="BV81" i="1" s="1"/>
  <c r="AV97" i="1"/>
  <c r="BC230" i="1"/>
  <c r="AI49" i="1"/>
  <c r="U78" i="1"/>
  <c r="BD228" i="1"/>
  <c r="BF71" i="8" s="1"/>
  <c r="CO86" i="1"/>
  <c r="BA231" i="1"/>
  <c r="BA230" i="1"/>
  <c r="S59" i="8"/>
  <c r="AL231" i="1"/>
  <c r="AD59" i="8"/>
  <c r="DW175" i="1"/>
  <c r="DX175" i="1" s="1"/>
  <c r="DY175" i="1" s="1"/>
  <c r="DZ175" i="1" s="1"/>
  <c r="DU175" i="1"/>
  <c r="DA121" i="8"/>
  <c r="DA125" i="8" s="1"/>
  <c r="CL69" i="1"/>
  <c r="CL93" i="98"/>
  <c r="AO57" i="1"/>
  <c r="AO61" i="1" s="1"/>
  <c r="AM61" i="1"/>
  <c r="AG49" i="1"/>
  <c r="BP182" i="1"/>
  <c r="BP210" i="1" s="1"/>
  <c r="AG96" i="1"/>
  <c r="AN63" i="1"/>
  <c r="AP77" i="8"/>
  <c r="AP81" i="8" s="1"/>
  <c r="AB59" i="8"/>
  <c r="AN59" i="8"/>
  <c r="BD53" i="8"/>
  <c r="EC182" i="8"/>
  <c r="EC207" i="8" s="1"/>
  <c r="DX207" i="8"/>
  <c r="BT96" i="1"/>
  <c r="BT78" i="1"/>
  <c r="BT162" i="1" s="1"/>
  <c r="AG42" i="1"/>
  <c r="AG231" i="1" s="1"/>
  <c r="AM97" i="1"/>
  <c r="BT77" i="1"/>
  <c r="BB231" i="1"/>
  <c r="AH96" i="1"/>
  <c r="AH77" i="1"/>
  <c r="T59" i="8"/>
  <c r="AI59" i="8"/>
  <c r="BX59" i="8"/>
  <c r="AA74" i="1"/>
  <c r="AA42" i="1"/>
  <c r="AA76" i="1" s="1"/>
  <c r="AA41" i="1"/>
  <c r="AA75" i="1" s="1"/>
  <c r="AA59" i="8"/>
  <c r="BC62" i="8"/>
  <c r="AX59" i="8"/>
  <c r="BC53" i="8"/>
  <c r="AW59" i="8"/>
  <c r="AC59" i="8"/>
  <c r="AS59" i="8"/>
  <c r="X59" i="8"/>
  <c r="DS207" i="8"/>
  <c r="DN207" i="8"/>
  <c r="CQ86" i="1"/>
  <c r="E6" i="95"/>
  <c r="CQ61" i="1"/>
  <c r="DQ15" i="98"/>
  <c r="DB15" i="98"/>
  <c r="AJ39" i="1"/>
  <c r="AJ45" i="1"/>
  <c r="AJ73" i="1"/>
  <c r="AJ91" i="1"/>
  <c r="Q42" i="1"/>
  <c r="Q76" i="1" s="1"/>
  <c r="Q41" i="1"/>
  <c r="Q75" i="1" s="1"/>
  <c r="Q74" i="1"/>
  <c r="BB230" i="1"/>
  <c r="BK230" i="1"/>
  <c r="Q77" i="1"/>
  <c r="Q49" i="1"/>
  <c r="BJ230" i="1"/>
  <c r="BM228" i="1"/>
  <c r="BO71" i="8" s="1"/>
  <c r="BN228" i="1"/>
  <c r="BP71" i="8" s="1"/>
  <c r="BL230" i="1"/>
  <c r="T42" i="1"/>
  <c r="T76" i="1" s="1"/>
  <c r="T41" i="1"/>
  <c r="T75" i="1" s="1"/>
  <c r="T74" i="1"/>
  <c r="X77" i="1"/>
  <c r="X49" i="1"/>
  <c r="AD55" i="8" s="1"/>
  <c r="AD60" i="8" s="1"/>
  <c r="AM42" i="1"/>
  <c r="AP222" i="1" s="1"/>
  <c r="AM74" i="1"/>
  <c r="AM41" i="1"/>
  <c r="AM75" i="1" s="1"/>
  <c r="AM92" i="1"/>
  <c r="AR92" i="1"/>
  <c r="X74" i="1"/>
  <c r="X42" i="1"/>
  <c r="X76" i="1" s="1"/>
  <c r="X41" i="1"/>
  <c r="V74" i="1"/>
  <c r="V92" i="1"/>
  <c r="V42" i="1"/>
  <c r="V76" i="1" s="1"/>
  <c r="V41" i="1"/>
  <c r="V75" i="1" s="1"/>
  <c r="AA92" i="1"/>
  <c r="AL92" i="1"/>
  <c r="AO77" i="8"/>
  <c r="AO81" i="8" s="1"/>
  <c r="AM81" i="1"/>
  <c r="AM59" i="1"/>
  <c r="T77" i="1"/>
  <c r="T49" i="1"/>
  <c r="Y97" i="1" s="1"/>
  <c r="T78" i="1"/>
  <c r="V49" i="1"/>
  <c r="V77" i="1"/>
  <c r="AA96" i="1"/>
  <c r="V96" i="1"/>
  <c r="BG169" i="1"/>
  <c r="BW193" i="1"/>
  <c r="BW194" i="1"/>
  <c r="CB195" i="1" s="1"/>
  <c r="CB118" i="8"/>
  <c r="BZ80" i="1"/>
  <c r="BZ71" i="1"/>
  <c r="BZ88" i="1"/>
  <c r="BZ38" i="1"/>
  <c r="BZ218" i="1"/>
  <c r="BZ225" i="1" s="1"/>
  <c r="CA91" i="98"/>
  <c r="CA22" i="1"/>
  <c r="CA130" i="98"/>
  <c r="CA86" i="1"/>
  <c r="CA70" i="1"/>
  <c r="CA67" i="1"/>
  <c r="CA68" i="1"/>
  <c r="CA69" i="1"/>
  <c r="CF86" i="1"/>
  <c r="BQ91" i="98"/>
  <c r="BR91" i="98" s="1"/>
  <c r="BQ130" i="98"/>
  <c r="CB80" i="1"/>
  <c r="CB38" i="1"/>
  <c r="CB88" i="1"/>
  <c r="CB71" i="1"/>
  <c r="CD118" i="8"/>
  <c r="BY71" i="1"/>
  <c r="BY80" i="1"/>
  <c r="CA118" i="8"/>
  <c r="CA123" i="8" s="1"/>
  <c r="BY88" i="1"/>
  <c r="CA57" i="8"/>
  <c r="BY38" i="1"/>
  <c r="BY218" i="1"/>
  <c r="BY225" i="1" s="1"/>
  <c r="CB57" i="8"/>
  <c r="CR121" i="98"/>
  <c r="CC20" i="1"/>
  <c r="DL35" i="1"/>
  <c r="DH16" i="98"/>
  <c r="DL16" i="98" s="1"/>
  <c r="DQ16" i="98"/>
  <c r="BB59" i="8"/>
  <c r="R59" i="8"/>
  <c r="Q59" i="8"/>
  <c r="DQ79" i="98"/>
  <c r="DQ137" i="98"/>
  <c r="CW79" i="98"/>
  <c r="CW137" i="98"/>
  <c r="DL79" i="98"/>
  <c r="DL137" i="98"/>
  <c r="DB137" i="98"/>
  <c r="DB79" i="98"/>
  <c r="DG79" i="98"/>
  <c r="DG137" i="98"/>
  <c r="AN231" i="1"/>
  <c r="BX192" i="1"/>
  <c r="BV194" i="1"/>
  <c r="BV123" i="1" s="1"/>
  <c r="AT171" i="1"/>
  <c r="BH58" i="8"/>
  <c r="BC57" i="8"/>
  <c r="BC59" i="8" s="1"/>
  <c r="BC58" i="8"/>
  <c r="BI57" i="8"/>
  <c r="BI59" i="8" s="1"/>
  <c r="BI58" i="8"/>
  <c r="BD62" i="8"/>
  <c r="BH59" i="8"/>
  <c r="BP53" i="8"/>
  <c r="AK59" i="8"/>
  <c r="BN53" i="8"/>
  <c r="BN58" i="8"/>
  <c r="BN57" i="8"/>
  <c r="BG57" i="8"/>
  <c r="BG59" i="8" s="1"/>
  <c r="BG58" i="8"/>
  <c r="BL57" i="8"/>
  <c r="BL58" i="8"/>
  <c r="CJ224" i="1"/>
  <c r="CK224" i="1"/>
  <c r="CI224" i="1"/>
  <c r="CL90" i="1"/>
  <c r="CG90" i="1"/>
  <c r="CG209" i="1"/>
  <c r="CI121" i="8"/>
  <c r="CI120" i="8"/>
  <c r="CJ120" i="8" s="1"/>
  <c r="CG224" i="1"/>
  <c r="CH224" i="1" s="1"/>
  <c r="AY59" i="8"/>
  <c r="BD59" i="8"/>
  <c r="AM83" i="1"/>
  <c r="AH83" i="1"/>
  <c r="BL83" i="1"/>
  <c r="BH169" i="1"/>
  <c r="BA76" i="1"/>
  <c r="BC120" i="1"/>
  <c r="BH231" i="1"/>
  <c r="BG193" i="1"/>
  <c r="BW167" i="1"/>
  <c r="BW215" i="1" s="1"/>
  <c r="BW171" i="1"/>
  <c r="BW172" i="1" s="1"/>
  <c r="BH192" i="1"/>
  <c r="BI192" i="1" s="1"/>
  <c r="BI194" i="1" s="1"/>
  <c r="BC167" i="1"/>
  <c r="CF193" i="1"/>
  <c r="CA194" i="1"/>
  <c r="CC192" i="1"/>
  <c r="CA193" i="1"/>
  <c r="BV215" i="1"/>
  <c r="BV170" i="1"/>
  <c r="BG171" i="1"/>
  <c r="BI171" i="1" s="1"/>
  <c r="BB168" i="1"/>
  <c r="BB215" i="1"/>
  <c r="BA121" i="1"/>
  <c r="BA122" i="1" s="1"/>
  <c r="CF172" i="1"/>
  <c r="CG171" i="1"/>
  <c r="CG172" i="1" s="1"/>
  <c r="CG167" i="1"/>
  <c r="CH167" i="1" s="1"/>
  <c r="CH168" i="1" s="1"/>
  <c r="CI169" i="1" s="1"/>
  <c r="BU121" i="1"/>
  <c r="BU122" i="1" s="1"/>
  <c r="AR119" i="1"/>
  <c r="AR121" i="1"/>
  <c r="AR122" i="1" s="1"/>
  <c r="BC193" i="1"/>
  <c r="BD192" i="1"/>
  <c r="BW120" i="1"/>
  <c r="BQ121" i="1"/>
  <c r="BQ122" i="1" s="1"/>
  <c r="BQ119" i="1"/>
  <c r="BM192" i="1"/>
  <c r="BN192" i="1" s="1"/>
  <c r="AI120" i="1"/>
  <c r="BF121" i="1"/>
  <c r="BF122" i="1" s="1"/>
  <c r="BH119" i="1"/>
  <c r="CF119" i="1"/>
  <c r="BH215" i="1"/>
  <c r="BP119" i="1"/>
  <c r="AX119" i="1"/>
  <c r="BK121" i="1"/>
  <c r="BK122" i="1" s="1"/>
  <c r="BL119" i="1"/>
  <c r="BL194" i="1"/>
  <c r="BL193" i="1"/>
  <c r="BQ193" i="1"/>
  <c r="BM120" i="1"/>
  <c r="CB171" i="1"/>
  <c r="CB172" i="1" s="1"/>
  <c r="AH59" i="8"/>
  <c r="AQ83" i="1"/>
  <c r="BA96" i="1"/>
  <c r="AN96" i="1"/>
  <c r="AL96" i="1"/>
  <c r="AL41" i="1"/>
  <c r="AL75" i="1" s="1"/>
  <c r="L41" i="1"/>
  <c r="L221" i="1" s="1"/>
  <c r="Q92" i="1"/>
  <c r="L74" i="1"/>
  <c r="D78" i="1"/>
  <c r="D77" i="1"/>
  <c r="D49" i="1"/>
  <c r="BA49" i="1"/>
  <c r="BA78" i="1"/>
  <c r="J63" i="1"/>
  <c r="AS83" i="1"/>
  <c r="CL67" i="1"/>
  <c r="CJ70" i="1"/>
  <c r="AH76" i="1"/>
  <c r="AH231" i="1"/>
  <c r="CL86" i="1"/>
  <c r="AI96" i="1"/>
  <c r="L78" i="1"/>
  <c r="Q96" i="1"/>
  <c r="L49" i="1"/>
  <c r="N55" i="8" s="1"/>
  <c r="N60" i="8" s="1"/>
  <c r="L77" i="1"/>
  <c r="AM121" i="1"/>
  <c r="AM122" i="1" s="1"/>
  <c r="AM119" i="1"/>
  <c r="AU121" i="1"/>
  <c r="AU122" i="1" s="1"/>
  <c r="BS167" i="1"/>
  <c r="BR170" i="1"/>
  <c r="CZ32" i="8"/>
  <c r="AF58" i="8"/>
  <c r="AG58" i="8" s="1"/>
  <c r="AA58" i="8"/>
  <c r="AB58" i="8" s="1"/>
  <c r="AA52" i="8"/>
  <c r="AB52" i="8" s="1"/>
  <c r="AB51" i="8"/>
  <c r="AG76" i="8" s="1"/>
  <c r="BF64" i="8"/>
  <c r="BK64" i="8"/>
  <c r="AH58" i="8"/>
  <c r="AC52" i="8"/>
  <c r="AC58" i="8"/>
  <c r="AE57" i="8"/>
  <c r="AE59" i="8" s="1"/>
  <c r="AJ57" i="8"/>
  <c r="AJ59" i="8" s="1"/>
  <c r="AE58" i="8"/>
  <c r="AJ58" i="8"/>
  <c r="DA214" i="1"/>
  <c r="CZ214" i="1"/>
  <c r="BD73" i="1"/>
  <c r="AC59" i="1"/>
  <c r="CY214" i="1"/>
  <c r="AK70" i="8"/>
  <c r="BI91" i="1"/>
  <c r="CX214" i="1"/>
  <c r="BJ77" i="8"/>
  <c r="BJ80" i="8" s="1"/>
  <c r="BJ81" i="8" s="1"/>
  <c r="BJ82" i="8" s="1"/>
  <c r="BH63" i="1"/>
  <c r="BH58" i="1"/>
  <c r="BH59" i="1" s="1"/>
  <c r="BH81" i="1"/>
  <c r="AX120" i="1"/>
  <c r="CA215" i="1"/>
  <c r="CB167" i="1"/>
  <c r="CB215" i="1" s="1"/>
  <c r="BR171" i="1"/>
  <c r="BR215" i="1"/>
  <c r="BV119" i="1"/>
  <c r="AN167" i="1"/>
  <c r="BQ172" i="1"/>
  <c r="AL121" i="1"/>
  <c r="AL122" i="1" s="1"/>
  <c r="CZ114" i="8"/>
  <c r="CZ90" i="8"/>
  <c r="CZ106" i="8"/>
  <c r="DA96" i="8"/>
  <c r="DA112" i="8"/>
  <c r="CZ109" i="8"/>
  <c r="CZ93" i="8"/>
  <c r="AG74" i="1"/>
  <c r="AG92" i="1"/>
  <c r="AA63" i="1"/>
  <c r="AT77" i="1"/>
  <c r="AL74" i="1"/>
  <c r="BC42" i="1"/>
  <c r="BC231" i="1" s="1"/>
  <c r="BL121" i="8"/>
  <c r="BL125" i="8" s="1"/>
  <c r="BN38" i="1"/>
  <c r="BN45" i="1" s="1"/>
  <c r="DI181" i="8"/>
  <c r="DI207" i="8" s="1"/>
  <c r="BL74" i="1"/>
  <c r="BL92" i="1"/>
  <c r="BL42" i="1"/>
  <c r="BO222" i="1" s="1"/>
  <c r="BO117" i="1" s="1"/>
  <c r="BL41" i="1"/>
  <c r="BL75" i="1" s="1"/>
  <c r="AV77" i="8"/>
  <c r="AV80" i="8" s="1"/>
  <c r="AV81" i="8" s="1"/>
  <c r="AV82" i="8" s="1"/>
  <c r="AU55" i="8"/>
  <c r="BD45" i="1"/>
  <c r="BI96" i="1" s="1"/>
  <c r="BE49" i="1"/>
  <c r="BG77" i="8" s="1"/>
  <c r="AT59" i="1"/>
  <c r="J16" i="95"/>
  <c r="CM121" i="1"/>
  <c r="CM122" i="1" s="1"/>
  <c r="CJ69" i="1"/>
  <c r="CJ86" i="1"/>
  <c r="CL70" i="1"/>
  <c r="CJ68" i="1"/>
  <c r="CJ67" i="1"/>
  <c r="CL68" i="1"/>
  <c r="BC41" i="1"/>
  <c r="BE221" i="1" s="1"/>
  <c r="BM231" i="1"/>
  <c r="BM76" i="1"/>
  <c r="BC92" i="1"/>
  <c r="AO219" i="1"/>
  <c r="AQ70" i="8" s="1"/>
  <c r="AP70" i="8"/>
  <c r="BH92" i="1"/>
  <c r="BE70" i="8"/>
  <c r="BE77" i="1"/>
  <c r="BC49" i="1"/>
  <c r="BC77" i="1"/>
  <c r="BE47" i="1"/>
  <c r="BL81" i="1"/>
  <c r="BN77" i="8"/>
  <c r="BN80" i="8" s="1"/>
  <c r="BN81" i="8" s="1"/>
  <c r="BN82" i="8" s="1"/>
  <c r="BL58" i="1"/>
  <c r="BL59" i="1" s="1"/>
  <c r="BL63" i="1"/>
  <c r="AY171" i="1"/>
  <c r="S41" i="1"/>
  <c r="X92" i="1"/>
  <c r="S42" i="1"/>
  <c r="S76" i="1" s="1"/>
  <c r="S74" i="1"/>
  <c r="S92" i="1"/>
  <c r="X96" i="1"/>
  <c r="S77" i="1"/>
  <c r="S96" i="1"/>
  <c r="S49" i="1"/>
  <c r="O78" i="1"/>
  <c r="O49" i="1"/>
  <c r="O77" i="1"/>
  <c r="T96" i="1"/>
  <c r="O96" i="1"/>
  <c r="F73" i="1"/>
  <c r="F45" i="1"/>
  <c r="K96" i="1" s="1"/>
  <c r="F39" i="1"/>
  <c r="F74" i="1" s="1"/>
  <c r="CD61" i="1"/>
  <c r="W59" i="1"/>
  <c r="W81" i="1"/>
  <c r="AB97" i="1"/>
  <c r="AU230" i="1"/>
  <c r="AW228" i="1"/>
  <c r="AY71" i="8" s="1"/>
  <c r="AX228" i="1"/>
  <c r="AZ71" i="8" s="1"/>
  <c r="AV228" i="1"/>
  <c r="AX71" i="8" s="1"/>
  <c r="AY228" i="1"/>
  <c r="BA71" i="8" s="1"/>
  <c r="BV57" i="1"/>
  <c r="BV156" i="1"/>
  <c r="BV158" i="1" s="1"/>
  <c r="BS56" i="1"/>
  <c r="AL77" i="1"/>
  <c r="AL49" i="1"/>
  <c r="AQ96" i="1"/>
  <c r="AL78" i="1"/>
  <c r="BY56" i="1"/>
  <c r="BY154" i="1"/>
  <c r="AW42" i="1"/>
  <c r="AW74" i="1"/>
  <c r="AW41" i="1"/>
  <c r="AW75" i="1" s="1"/>
  <c r="BB92" i="1"/>
  <c r="AW92" i="1"/>
  <c r="AV230" i="1"/>
  <c r="AZ228" i="1"/>
  <c r="BB71" i="8" s="1"/>
  <c r="AW230" i="1"/>
  <c r="AQ74" i="1"/>
  <c r="AQ41" i="1"/>
  <c r="AQ42" i="1"/>
  <c r="AQ92" i="1"/>
  <c r="AQ56" i="8"/>
  <c r="AQ59" i="8" s="1"/>
  <c r="AP59" i="8"/>
  <c r="AY73" i="1"/>
  <c r="AY45" i="1"/>
  <c r="AY39" i="1"/>
  <c r="AY91" i="1"/>
  <c r="BD91" i="1"/>
  <c r="AE55" i="8"/>
  <c r="O74" i="1"/>
  <c r="T92" i="1"/>
  <c r="O41" i="1"/>
  <c r="O92" i="1"/>
  <c r="AU76" i="1"/>
  <c r="AU231" i="1"/>
  <c r="AW77" i="1"/>
  <c r="AW96" i="1"/>
  <c r="AW49" i="1"/>
  <c r="BB96" i="1"/>
  <c r="AW78" i="1"/>
  <c r="G74" i="1"/>
  <c r="L92" i="1"/>
  <c r="G77" i="1"/>
  <c r="G78" i="1"/>
  <c r="L96" i="1"/>
  <c r="G96" i="1"/>
  <c r="G49" i="1"/>
  <c r="I55" i="8" s="1"/>
  <c r="AX230" i="1"/>
  <c r="BA228" i="1"/>
  <c r="BC71" i="8" s="1"/>
  <c r="BB228" i="1"/>
  <c r="BD71" i="8" s="1"/>
  <c r="AT173" i="1"/>
  <c r="AD97" i="1"/>
  <c r="Y59" i="1"/>
  <c r="Y81" i="1"/>
  <c r="Y53" i="1"/>
  <c r="Y57" i="1"/>
  <c r="BI219" i="1"/>
  <c r="BK70" i="8" s="1"/>
  <c r="BJ70" i="8"/>
  <c r="C59" i="1"/>
  <c r="C81" i="1"/>
  <c r="H97" i="1"/>
  <c r="P49" i="1"/>
  <c r="U97" i="1" s="1"/>
  <c r="P77" i="1"/>
  <c r="U96" i="1"/>
  <c r="BK81" i="1"/>
  <c r="BP97" i="1"/>
  <c r="BK58" i="1"/>
  <c r="BK59" i="1" s="1"/>
  <c r="BK63" i="1"/>
  <c r="BM77" i="8"/>
  <c r="BM80" i="8" s="1"/>
  <c r="BM81" i="8" s="1"/>
  <c r="BM82" i="8" s="1"/>
  <c r="BF230" i="1"/>
  <c r="BJ228" i="1"/>
  <c r="BL71" i="8" s="1"/>
  <c r="BG230" i="1"/>
  <c r="BG231" i="1"/>
  <c r="AD77" i="1"/>
  <c r="AD96" i="1"/>
  <c r="M96" i="1"/>
  <c r="M78" i="1"/>
  <c r="M49" i="1"/>
  <c r="M77" i="1"/>
  <c r="BG75" i="1"/>
  <c r="AY219" i="1"/>
  <c r="BA70" i="8" s="1"/>
  <c r="AZ70" i="8"/>
  <c r="AG56" i="8"/>
  <c r="AG59" i="8" s="1"/>
  <c r="AF59" i="8"/>
  <c r="BR156" i="1"/>
  <c r="BR158" i="1" s="1"/>
  <c r="BR57" i="1"/>
  <c r="BS57" i="1" s="1"/>
  <c r="BF47" i="1"/>
  <c r="BF78" i="1"/>
  <c r="BF96" i="1"/>
  <c r="BF49" i="1"/>
  <c r="BK97" i="1" s="1"/>
  <c r="BF77" i="1"/>
  <c r="BK96" i="1"/>
  <c r="P42" i="1"/>
  <c r="P76" i="1" s="1"/>
  <c r="P41" i="1"/>
  <c r="P75" i="1" s="1"/>
  <c r="P74" i="1"/>
  <c r="U92" i="1"/>
  <c r="BE230" i="1"/>
  <c r="BH228" i="1"/>
  <c r="BJ71" i="8" s="1"/>
  <c r="BE231" i="1"/>
  <c r="BF228" i="1"/>
  <c r="BH71" i="8" s="1"/>
  <c r="BG228" i="1"/>
  <c r="BI71" i="8" s="1"/>
  <c r="BE228" i="1"/>
  <c r="BG71" i="8" s="1"/>
  <c r="BI228" i="1"/>
  <c r="BK71" i="8" s="1"/>
  <c r="BL228" i="1"/>
  <c r="BN71" i="8" s="1"/>
  <c r="BK228" i="1"/>
  <c r="BM71" i="8" s="1"/>
  <c r="BH230" i="1"/>
  <c r="AX42" i="1"/>
  <c r="AX74" i="1"/>
  <c r="AX41" i="1"/>
  <c r="AX75" i="1" s="1"/>
  <c r="AX92" i="1"/>
  <c r="BA56" i="8"/>
  <c r="BA59" i="8" s="1"/>
  <c r="AZ59" i="8"/>
  <c r="AS49" i="1"/>
  <c r="AS77" i="1"/>
  <c r="AS96" i="1"/>
  <c r="AS78" i="1"/>
  <c r="M41" i="1"/>
  <c r="M92" i="1"/>
  <c r="M74" i="1"/>
  <c r="BJ59" i="8"/>
  <c r="BK56" i="8"/>
  <c r="BK59" i="8" s="1"/>
  <c r="BB61" i="1"/>
  <c r="BB58" i="1"/>
  <c r="BB59" i="1" s="1"/>
  <c r="CF61" i="1"/>
  <c r="AX49" i="1"/>
  <c r="AX77" i="1"/>
  <c r="AX96" i="1"/>
  <c r="AX78" i="1"/>
  <c r="AD92" i="1"/>
  <c r="AD41" i="1"/>
  <c r="AD75" i="1" s="1"/>
  <c r="AD74" i="1"/>
  <c r="AD42" i="1"/>
  <c r="AD76" i="1" s="1"/>
  <c r="AS92" i="1"/>
  <c r="AS74" i="1"/>
  <c r="AS41" i="1"/>
  <c r="AV221" i="1" s="1"/>
  <c r="AS42" i="1"/>
  <c r="U81" i="1"/>
  <c r="U59" i="1"/>
  <c r="V55" i="8"/>
  <c r="BF74" i="1"/>
  <c r="BF92" i="1"/>
  <c r="BF42" i="1"/>
  <c r="BF41" i="1"/>
  <c r="BF75" i="1" s="1"/>
  <c r="BI39" i="1"/>
  <c r="AT231" i="1"/>
  <c r="AT76" i="1"/>
  <c r="BR74" i="1"/>
  <c r="BR41" i="1"/>
  <c r="BR75" i="1" s="1"/>
  <c r="BR42" i="1"/>
  <c r="BR76" i="1" s="1"/>
  <c r="BR92" i="1"/>
  <c r="AF78" i="1"/>
  <c r="AF96" i="1"/>
  <c r="AF77" i="1"/>
  <c r="AF49" i="1"/>
  <c r="AK96" i="1"/>
  <c r="AZ41" i="1"/>
  <c r="AZ92" i="1"/>
  <c r="BE92" i="1"/>
  <c r="BD39" i="1"/>
  <c r="AZ74" i="1"/>
  <c r="AZ42" i="1"/>
  <c r="K19" i="95"/>
  <c r="AV56" i="8"/>
  <c r="AV59" i="8" s="1"/>
  <c r="AU59" i="8"/>
  <c r="AP77" i="1"/>
  <c r="AP49" i="1"/>
  <c r="AT55" i="8" s="1"/>
  <c r="AT60" i="8" s="1"/>
  <c r="AU96" i="1"/>
  <c r="AP96" i="1"/>
  <c r="AK83" i="1"/>
  <c r="W92" i="1"/>
  <c r="R92" i="1"/>
  <c r="R74" i="1"/>
  <c r="R41" i="1"/>
  <c r="R42" i="1"/>
  <c r="R76" i="1" s="1"/>
  <c r="R96" i="1"/>
  <c r="W96" i="1"/>
  <c r="R49" i="1"/>
  <c r="R77" i="1"/>
  <c r="CH56" i="1"/>
  <c r="AQ81" i="1"/>
  <c r="AQ59" i="1"/>
  <c r="AS77" i="8"/>
  <c r="AQ63" i="1"/>
  <c r="AK76" i="1"/>
  <c r="AK231" i="1"/>
  <c r="BY70" i="8"/>
  <c r="BX219" i="1"/>
  <c r="BZ70" i="8" s="1"/>
  <c r="AG59" i="1"/>
  <c r="AI77" i="8"/>
  <c r="AI81" i="8" s="1"/>
  <c r="AG81" i="1"/>
  <c r="AG97" i="1"/>
  <c r="BV77" i="8"/>
  <c r="BV80" i="8" s="1"/>
  <c r="BT197" i="1"/>
  <c r="BT81" i="1"/>
  <c r="BT63" i="1"/>
  <c r="BU92" i="1"/>
  <c r="BU41" i="1"/>
  <c r="BU75" i="1" s="1"/>
  <c r="BU42" i="1"/>
  <c r="BU76" i="1" s="1"/>
  <c r="BU74" i="1"/>
  <c r="AZ49" i="1"/>
  <c r="AZ78" i="1"/>
  <c r="AZ77" i="1"/>
  <c r="AZ96" i="1"/>
  <c r="CB57" i="1"/>
  <c r="CB156" i="1"/>
  <c r="CB158" i="1" s="1"/>
  <c r="BW77" i="1"/>
  <c r="BW78" i="1"/>
  <c r="BW47" i="1"/>
  <c r="BW49" i="1"/>
  <c r="BW96" i="1"/>
  <c r="CL72" i="1"/>
  <c r="BP58" i="1"/>
  <c r="BP59" i="1" s="1"/>
  <c r="BP61" i="1"/>
  <c r="BE96" i="1"/>
  <c r="AT80" i="8"/>
  <c r="AT81" i="8" s="1"/>
  <c r="AT82" i="8" s="1"/>
  <c r="AF41" i="1"/>
  <c r="AF75" i="1" s="1"/>
  <c r="AF92" i="1"/>
  <c r="AF74" i="1"/>
  <c r="AF42" i="1"/>
  <c r="BF56" i="8"/>
  <c r="BF59" i="8" s="1"/>
  <c r="BE59" i="8"/>
  <c r="BT58" i="1"/>
  <c r="BT147" i="98" s="1"/>
  <c r="BT61" i="1"/>
  <c r="CK72" i="1"/>
  <c r="CG156" i="1"/>
  <c r="CG158" i="1" s="1"/>
  <c r="CG57" i="1"/>
  <c r="CI72" i="1"/>
  <c r="W56" i="8"/>
  <c r="W59" i="8" s="1"/>
  <c r="V59" i="8"/>
  <c r="AG75" i="1"/>
  <c r="BE63" i="1"/>
  <c r="AQ182" i="1"/>
  <c r="AK75" i="1"/>
  <c r="BI80" i="8"/>
  <c r="BI81" i="8" s="1"/>
  <c r="BI82" i="8" s="1"/>
  <c r="BR49" i="1"/>
  <c r="BR77" i="1"/>
  <c r="BR47" i="1"/>
  <c r="BR78" i="1"/>
  <c r="BR96" i="1"/>
  <c r="BU47" i="1"/>
  <c r="BU77" i="1"/>
  <c r="BU96" i="1"/>
  <c r="BU78" i="1"/>
  <c r="BU49" i="1"/>
  <c r="BU58" i="1" s="1"/>
  <c r="BU147" i="98" s="1"/>
  <c r="BC57" i="1"/>
  <c r="BC182" i="1"/>
  <c r="AT219" i="1"/>
  <c r="AV70" i="8" s="1"/>
  <c r="AU70" i="8"/>
  <c r="EG17" i="1"/>
  <c r="CG72" i="1"/>
  <c r="CB72" i="1"/>
  <c r="CA72" i="1"/>
  <c r="BY72" i="1"/>
  <c r="BJ214" i="1"/>
  <c r="BJ38" i="1"/>
  <c r="BO56" i="8" s="1"/>
  <c r="BP56" i="8" s="1"/>
  <c r="BP59" i="8" s="1"/>
  <c r="BV75" i="1"/>
  <c r="BV76" i="1"/>
  <c r="BV63" i="1"/>
  <c r="G7" i="95"/>
  <c r="EF36" i="1"/>
  <c r="EF35" i="1"/>
  <c r="EF32" i="1"/>
  <c r="CY78" i="8"/>
  <c r="AQ121" i="1"/>
  <c r="AQ122" i="1" s="1"/>
  <c r="BZ121" i="1"/>
  <c r="BZ122" i="1" s="1"/>
  <c r="AG121" i="1"/>
  <c r="AG122" i="1" s="1"/>
  <c r="AW121" i="1"/>
  <c r="AW122" i="1" s="1"/>
  <c r="BB121" i="1"/>
  <c r="BB122" i="1" s="1"/>
  <c r="CW36" i="1"/>
  <c r="AK63" i="1"/>
  <c r="BN214" i="1"/>
  <c r="CP28" i="8"/>
  <c r="CP62" i="8"/>
  <c r="BZ28" i="8"/>
  <c r="BZ62" i="8"/>
  <c r="CR63" i="8"/>
  <c r="CQ20" i="8"/>
  <c r="CQ63" i="8"/>
  <c r="BY58" i="8"/>
  <c r="BZ58" i="8" s="1"/>
  <c r="CD58" i="8"/>
  <c r="CE58" i="8" s="1"/>
  <c r="CW113" i="8"/>
  <c r="CW97" i="8"/>
  <c r="CS36" i="8"/>
  <c r="CR41" i="8"/>
  <c r="CW108" i="8"/>
  <c r="CW92" i="8"/>
  <c r="CW87" i="8"/>
  <c r="CW103" i="8"/>
  <c r="CX86" i="8"/>
  <c r="CX102" i="8"/>
  <c r="DH36" i="1"/>
  <c r="DH214" i="1" s="1"/>
  <c r="CT186" i="1"/>
  <c r="CT190" i="1" s="1"/>
  <c r="AO17" i="1"/>
  <c r="CT116" i="1"/>
  <c r="BS196" i="1"/>
  <c r="BS123" i="1"/>
  <c r="AO182" i="1"/>
  <c r="AO210" i="1" s="1"/>
  <c r="Z78" i="1"/>
  <c r="Z96" i="1"/>
  <c r="Z77" i="1"/>
  <c r="Z49" i="1"/>
  <c r="AE97" i="1" s="1"/>
  <c r="BI47" i="1"/>
  <c r="BI77" i="1"/>
  <c r="BI49" i="1"/>
  <c r="BI78" i="1"/>
  <c r="AE96" i="1"/>
  <c r="AO231" i="1"/>
  <c r="AO76" i="1"/>
  <c r="AQ77" i="8"/>
  <c r="AQ81" i="8" s="1"/>
  <c r="AQ82" i="8" s="1"/>
  <c r="AO59" i="1"/>
  <c r="AT97" i="1"/>
  <c r="AO81" i="1"/>
  <c r="AP55" i="8"/>
  <c r="Z92" i="1"/>
  <c r="Z74" i="1"/>
  <c r="Z42" i="1"/>
  <c r="Z76" i="1" s="1"/>
  <c r="Z41" i="1"/>
  <c r="Z75" i="1" s="1"/>
  <c r="BO162" i="1"/>
  <c r="BO182" i="1"/>
  <c r="BO210" i="1" s="1"/>
  <c r="BO75" i="1"/>
  <c r="I59" i="1"/>
  <c r="N97" i="1"/>
  <c r="I97" i="1"/>
  <c r="I81" i="1"/>
  <c r="BU61" i="1"/>
  <c r="BO76" i="1"/>
  <c r="AF55" i="8"/>
  <c r="AE81" i="1"/>
  <c r="AG77" i="8"/>
  <c r="AE59" i="1"/>
  <c r="CV170" i="1"/>
  <c r="BO81" i="1"/>
  <c r="BO58" i="1"/>
  <c r="BO59" i="1" s="1"/>
  <c r="BQ55" i="8"/>
  <c r="BQ60" i="8" s="1"/>
  <c r="BO63" i="1"/>
  <c r="BT97" i="1"/>
  <c r="BQ77" i="8"/>
  <c r="BR55" i="8"/>
  <c r="BR60" i="8" s="1"/>
  <c r="BO197" i="1"/>
  <c r="K49" i="1"/>
  <c r="K77" i="1"/>
  <c r="P96" i="1"/>
  <c r="BK75" i="1"/>
  <c r="BX228" i="1"/>
  <c r="BZ71" i="8" s="1"/>
  <c r="BW228" i="1"/>
  <c r="BY71" i="8" s="1"/>
  <c r="BT230" i="1"/>
  <c r="BT231" i="1"/>
  <c r="J97" i="1"/>
  <c r="E59" i="1"/>
  <c r="E81" i="1"/>
  <c r="K74" i="1"/>
  <c r="P92" i="1"/>
  <c r="BQ61" i="1"/>
  <c r="BU230" i="1"/>
  <c r="AI75" i="1"/>
  <c r="AI97" i="1"/>
  <c r="AN97" i="1"/>
  <c r="AK77" i="8"/>
  <c r="AK81" i="8" s="1"/>
  <c r="AI59" i="1"/>
  <c r="AI81" i="1"/>
  <c r="AC75" i="1"/>
  <c r="BW154" i="1"/>
  <c r="BW56" i="1"/>
  <c r="BW163" i="1"/>
  <c r="BV230" i="1"/>
  <c r="BV231" i="1"/>
  <c r="BW230" i="1"/>
  <c r="BZ57" i="8"/>
  <c r="BZ59" i="8" s="1"/>
  <c r="BY59" i="8"/>
  <c r="AC221" i="1"/>
  <c r="AC76" i="1"/>
  <c r="AU61" i="1"/>
  <c r="AU58" i="1"/>
  <c r="AU59" i="1" s="1"/>
  <c r="BK76" i="1"/>
  <c r="BK231" i="1"/>
  <c r="BX73" i="1"/>
  <c r="BX45" i="1"/>
  <c r="BX159" i="1"/>
  <c r="AK222" i="1"/>
  <c r="AI76" i="1"/>
  <c r="AL222" i="1"/>
  <c r="AI231" i="1"/>
  <c r="BW92" i="1"/>
  <c r="BW74" i="1"/>
  <c r="BW42" i="1"/>
  <c r="BW41" i="1"/>
  <c r="BR83" i="1"/>
  <c r="DB36" i="1"/>
  <c r="CM20" i="1"/>
  <c r="CM93" i="98" s="1"/>
  <c r="BB83" i="1"/>
  <c r="BQ83" i="1"/>
  <c r="BU83" i="1"/>
  <c r="BG83" i="1"/>
  <c r="CP86" i="1"/>
  <c r="CK69" i="1"/>
  <c r="CK68" i="1"/>
  <c r="CK86" i="1"/>
  <c r="CK70" i="1"/>
  <c r="CK67" i="1"/>
  <c r="BC83" i="1"/>
  <c r="AX83" i="1"/>
  <c r="CJ83" i="1"/>
  <c r="BX87" i="1"/>
  <c r="BS87" i="1"/>
  <c r="BZ17" i="1"/>
  <c r="CA83" i="1"/>
  <c r="CF17" i="1"/>
  <c r="DI214" i="1"/>
  <c r="AT17" i="1"/>
  <c r="BH83" i="1"/>
  <c r="BM83" i="1"/>
  <c r="BV83" i="1"/>
  <c r="AR83" i="1"/>
  <c r="AW83" i="1"/>
  <c r="CV214" i="1"/>
  <c r="BP83" i="1"/>
  <c r="BQ67" i="1"/>
  <c r="BQ70" i="1"/>
  <c r="BQ22" i="1"/>
  <c r="BQ69" i="1"/>
  <c r="BQ68" i="1"/>
  <c r="BQ86" i="1"/>
  <c r="BS20" i="1"/>
  <c r="BS130" i="98" s="1"/>
  <c r="BV86" i="1"/>
  <c r="BA83" i="1"/>
  <c r="AV83" i="1"/>
  <c r="BN17" i="1"/>
  <c r="BF83" i="1"/>
  <c r="BK83" i="1"/>
  <c r="CC17" i="1"/>
  <c r="CC72" i="1" s="1"/>
  <c r="BD17" i="1"/>
  <c r="AY17" i="1"/>
  <c r="BI17" i="1"/>
  <c r="BT83" i="1"/>
  <c r="BY83" i="1"/>
  <c r="BJ83" i="1"/>
  <c r="BO83" i="1"/>
  <c r="CG83" i="1"/>
  <c r="BE83" i="1"/>
  <c r="BW17" i="1"/>
  <c r="BS17" i="1"/>
  <c r="DD214" i="1"/>
  <c r="DG36" i="1"/>
  <c r="DM214" i="1"/>
  <c r="DQ36" i="1"/>
  <c r="CN69" i="1"/>
  <c r="CR20" i="1"/>
  <c r="CR93" i="98" s="1"/>
  <c r="CN68" i="1"/>
  <c r="CN67" i="1"/>
  <c r="CN70" i="1"/>
  <c r="CL83" i="1"/>
  <c r="AS119" i="1"/>
  <c r="CA119" i="1"/>
  <c r="CR167" i="1"/>
  <c r="AL59" i="8"/>
  <c r="AX80" i="8"/>
  <c r="AX81" i="8" s="1"/>
  <c r="AX82" i="8" s="1"/>
  <c r="AZ121" i="1"/>
  <c r="AZ122" i="1" s="1"/>
  <c r="CZ19" i="8"/>
  <c r="AV75" i="1"/>
  <c r="AH119" i="1"/>
  <c r="CC214" i="1"/>
  <c r="CL121" i="1"/>
  <c r="CL122" i="1" s="1"/>
  <c r="CZ13" i="8"/>
  <c r="AV61" i="1"/>
  <c r="AV58" i="1"/>
  <c r="AV59" i="1" s="1"/>
  <c r="AV76" i="1"/>
  <c r="AV231" i="1"/>
  <c r="AJ167" i="1"/>
  <c r="AI167" i="1"/>
  <c r="BE222" i="1" l="1"/>
  <c r="AH59" i="1"/>
  <c r="AJ77" i="8"/>
  <c r="AJ81" i="8" s="1"/>
  <c r="AM55" i="8"/>
  <c r="AM60" i="8" s="1"/>
  <c r="AH97" i="1"/>
  <c r="BV182" i="1"/>
  <c r="BV210" i="1" s="1"/>
  <c r="BG61" i="1"/>
  <c r="BG58" i="1"/>
  <c r="BG59" i="1" s="1"/>
  <c r="BV162" i="1"/>
  <c r="BX77" i="8"/>
  <c r="BX80" i="8" s="1"/>
  <c r="BX81" i="8" s="1"/>
  <c r="BX82" i="8" s="1"/>
  <c r="BV197" i="1"/>
  <c r="BT182" i="1"/>
  <c r="BT210" i="1" s="1"/>
  <c r="CV29" i="1"/>
  <c r="EG28" i="1"/>
  <c r="AG76" i="1"/>
  <c r="O55" i="8"/>
  <c r="O60" i="8" s="1"/>
  <c r="Z55" i="8"/>
  <c r="Z60" i="8" s="1"/>
  <c r="AC63" i="1"/>
  <c r="BW195" i="1"/>
  <c r="BW123" i="1"/>
  <c r="AD223" i="1"/>
  <c r="AE223" i="1" s="1"/>
  <c r="AM222" i="1"/>
  <c r="AN222" i="1"/>
  <c r="AO222" i="1" s="1"/>
  <c r="AC55" i="8"/>
  <c r="AC60" i="8" s="1"/>
  <c r="AR98" i="1"/>
  <c r="BX167" i="1"/>
  <c r="DG214" i="1"/>
  <c r="AM63" i="1"/>
  <c r="Q59" i="1"/>
  <c r="Q81" i="1"/>
  <c r="AJ77" i="1"/>
  <c r="AJ49" i="1"/>
  <c r="AO96" i="1"/>
  <c r="AJ78" i="1"/>
  <c r="AJ96" i="1"/>
  <c r="AJ74" i="1"/>
  <c r="AJ41" i="1"/>
  <c r="AJ75" i="1" s="1"/>
  <c r="AO92" i="1"/>
  <c r="AJ42" i="1"/>
  <c r="AJ92" i="1"/>
  <c r="X75" i="1"/>
  <c r="Y221" i="1"/>
  <c r="Z221" i="1" s="1"/>
  <c r="X221" i="1"/>
  <c r="AA221" i="1"/>
  <c r="AB221" i="1"/>
  <c r="BG98" i="1"/>
  <c r="BM98" i="1"/>
  <c r="T81" i="1"/>
  <c r="T59" i="1"/>
  <c r="Y98" i="1" s="1"/>
  <c r="V59" i="1"/>
  <c r="V81" i="1"/>
  <c r="AA97" i="1"/>
  <c r="V97" i="1"/>
  <c r="AM76" i="1"/>
  <c r="AM231" i="1"/>
  <c r="AP232" i="1" s="1"/>
  <c r="AR72" i="8" s="1"/>
  <c r="X59" i="1"/>
  <c r="AA223" i="1" s="1"/>
  <c r="X81" i="1"/>
  <c r="AC97" i="1"/>
  <c r="CB45" i="1"/>
  <c r="CB39" i="1"/>
  <c r="CB73" i="1"/>
  <c r="CB159" i="1"/>
  <c r="CB91" i="1"/>
  <c r="CA218" i="1"/>
  <c r="CA225" i="1" s="1"/>
  <c r="CC118" i="8"/>
  <c r="CA88" i="1"/>
  <c r="CA80" i="1"/>
  <c r="CA71" i="1"/>
  <c r="CA38" i="1"/>
  <c r="CD56" i="8" s="1"/>
  <c r="CE56" i="8" s="1"/>
  <c r="CC57" i="8"/>
  <c r="BZ39" i="1"/>
  <c r="BZ45" i="1"/>
  <c r="BZ159" i="1"/>
  <c r="BZ73" i="1"/>
  <c r="BZ91" i="1"/>
  <c r="BZ219" i="1"/>
  <c r="CB70" i="8" s="1"/>
  <c r="CB56" i="8"/>
  <c r="CB59" i="8" s="1"/>
  <c r="CC22" i="1"/>
  <c r="CA227" i="1" s="1"/>
  <c r="CC91" i="98"/>
  <c r="CC130" i="98"/>
  <c r="CC69" i="1"/>
  <c r="CC67" i="1"/>
  <c r="CC70" i="1"/>
  <c r="CC86" i="1"/>
  <c r="CC68" i="1"/>
  <c r="BY45" i="1"/>
  <c r="BY73" i="1"/>
  <c r="BY39" i="1"/>
  <c r="BY219" i="1"/>
  <c r="CA70" i="8" s="1"/>
  <c r="BY91" i="1"/>
  <c r="CA56" i="8"/>
  <c r="CA59" i="8" s="1"/>
  <c r="BY159" i="1"/>
  <c r="CB218" i="1"/>
  <c r="BX194" i="1"/>
  <c r="BX193" i="1"/>
  <c r="BV195" i="1"/>
  <c r="CI125" i="8"/>
  <c r="CJ121" i="8"/>
  <c r="CJ125" i="8" s="1"/>
  <c r="AG81" i="8"/>
  <c r="BH193" i="1"/>
  <c r="BI196" i="1"/>
  <c r="BI124" i="1" s="1"/>
  <c r="BI123" i="1"/>
  <c r="BV173" i="1"/>
  <c r="BV172" i="1" s="1"/>
  <c r="BX170" i="1"/>
  <c r="BX173" i="1" s="1"/>
  <c r="BX172" i="1" s="1"/>
  <c r="BC168" i="1"/>
  <c r="BC215" i="1"/>
  <c r="CC194" i="1"/>
  <c r="CH193" i="1"/>
  <c r="CC193" i="1"/>
  <c r="BB171" i="1"/>
  <c r="BB169" i="1"/>
  <c r="CA123" i="1"/>
  <c r="CA195" i="1"/>
  <c r="CF195" i="1"/>
  <c r="M221" i="1"/>
  <c r="AY119" i="1"/>
  <c r="AX121" i="1"/>
  <c r="AX122" i="1" s="1"/>
  <c r="CB119" i="1"/>
  <c r="CG215" i="1"/>
  <c r="CH171" i="1"/>
  <c r="CH172" i="1" s="1"/>
  <c r="BD194" i="1"/>
  <c r="BI193" i="1"/>
  <c r="BD193" i="1"/>
  <c r="AO119" i="1"/>
  <c r="BS193" i="1"/>
  <c r="BN193" i="1"/>
  <c r="BN194" i="1"/>
  <c r="BM119" i="1"/>
  <c r="BH121" i="1"/>
  <c r="BH122" i="1" s="1"/>
  <c r="BM194" i="1"/>
  <c r="BM193" i="1"/>
  <c r="BR193" i="1"/>
  <c r="BL123" i="1"/>
  <c r="BL195" i="1"/>
  <c r="BQ195" i="1"/>
  <c r="BP121" i="1"/>
  <c r="BP122" i="1" s="1"/>
  <c r="CF121" i="1"/>
  <c r="CF122" i="1" s="1"/>
  <c r="AJ120" i="1"/>
  <c r="BL121" i="1"/>
  <c r="BL122" i="1" s="1"/>
  <c r="AN119" i="1"/>
  <c r="BN91" i="1"/>
  <c r="AL221" i="1"/>
  <c r="AN69" i="8" s="1"/>
  <c r="AN221" i="1"/>
  <c r="AP69" i="8" s="1"/>
  <c r="AM221" i="1"/>
  <c r="AO69" i="8" s="1"/>
  <c r="AP221" i="1"/>
  <c r="Q97" i="1"/>
  <c r="L59" i="1"/>
  <c r="L223" i="1" s="1"/>
  <c r="L81" i="1"/>
  <c r="BA182" i="1"/>
  <c r="BA57" i="1"/>
  <c r="BC77" i="8"/>
  <c r="BC80" i="8" s="1"/>
  <c r="BC81" i="8" s="1"/>
  <c r="BC82" i="8" s="1"/>
  <c r="BA63" i="1"/>
  <c r="BA81" i="1"/>
  <c r="BA97" i="1"/>
  <c r="D81" i="1"/>
  <c r="D59" i="1"/>
  <c r="D63" i="1" s="1"/>
  <c r="BD49" i="1"/>
  <c r="BF77" i="8" s="1"/>
  <c r="BF80" i="8" s="1"/>
  <c r="BF81" i="8" s="1"/>
  <c r="BF82" i="8" s="1"/>
  <c r="BR173" i="1"/>
  <c r="BR172" i="1" s="1"/>
  <c r="BS170" i="1"/>
  <c r="BS173" i="1" s="1"/>
  <c r="BS172" i="1" s="1"/>
  <c r="DB32" i="8"/>
  <c r="DD22" i="8"/>
  <c r="DE22" i="8" s="1"/>
  <c r="DF22" i="8" s="1"/>
  <c r="DG22" i="8" s="1"/>
  <c r="DH22" i="8" s="1"/>
  <c r="DI22" i="8" s="1"/>
  <c r="DJ22" i="8" s="1"/>
  <c r="DK22" i="8" s="1"/>
  <c r="DL22" i="8" s="1"/>
  <c r="DM22" i="8" s="1"/>
  <c r="DN22" i="8" s="1"/>
  <c r="DO22" i="8" s="1"/>
  <c r="DP22" i="8" s="1"/>
  <c r="DQ22" i="8" s="1"/>
  <c r="DR22" i="8" s="1"/>
  <c r="DS22" i="8" s="1"/>
  <c r="DT22" i="8" s="1"/>
  <c r="DU22" i="8" s="1"/>
  <c r="DV22" i="8" s="1"/>
  <c r="DW22" i="8" s="1"/>
  <c r="DX22" i="8" s="1"/>
  <c r="DY22" i="8" s="1"/>
  <c r="DZ22" i="8" s="1"/>
  <c r="EA22" i="8" s="1"/>
  <c r="EB22" i="8" s="1"/>
  <c r="EC22" i="8" s="1"/>
  <c r="AE60" i="8"/>
  <c r="AC223" i="1"/>
  <c r="AH222" i="1"/>
  <c r="BC75" i="1"/>
  <c r="BR119" i="1"/>
  <c r="CG119" i="1"/>
  <c r="BC119" i="1"/>
  <c r="BV121" i="1"/>
  <c r="BV122" i="1" s="1"/>
  <c r="BW119" i="1"/>
  <c r="CC167" i="1"/>
  <c r="BC76" i="1"/>
  <c r="BF222" i="1"/>
  <c r="BC222" i="1"/>
  <c r="BD222" i="1" s="1"/>
  <c r="BC221" i="1"/>
  <c r="BE69" i="8" s="1"/>
  <c r="CZ86" i="8"/>
  <c r="CZ102" i="8"/>
  <c r="DA93" i="8"/>
  <c r="DA109" i="8"/>
  <c r="DA106" i="8"/>
  <c r="DA90" i="8"/>
  <c r="DB35" i="98"/>
  <c r="DB96" i="8"/>
  <c r="DB112" i="8"/>
  <c r="DB13" i="8"/>
  <c r="BE81" i="1"/>
  <c r="BE97" i="1"/>
  <c r="BN73" i="1"/>
  <c r="E7" i="95"/>
  <c r="E8" i="95" s="1"/>
  <c r="BE58" i="1"/>
  <c r="BE59" i="1" s="1"/>
  <c r="BL231" i="1"/>
  <c r="BL76" i="1"/>
  <c r="BD78" i="1"/>
  <c r="AU60" i="8"/>
  <c r="AV55" i="8"/>
  <c r="AV60" i="8" s="1"/>
  <c r="BP221" i="1"/>
  <c r="BR69" i="8" s="1"/>
  <c r="BO221" i="1"/>
  <c r="BQ68" i="8" s="1"/>
  <c r="BP222" i="1"/>
  <c r="BP117" i="1" s="1"/>
  <c r="BD77" i="1"/>
  <c r="BD96" i="1"/>
  <c r="AX221" i="1"/>
  <c r="AZ69" i="8" s="1"/>
  <c r="K92" i="1"/>
  <c r="BC81" i="1"/>
  <c r="BE77" i="8"/>
  <c r="BE80" i="8" s="1"/>
  <c r="BE81" i="8" s="1"/>
  <c r="BE82" i="8" s="1"/>
  <c r="BC63" i="1"/>
  <c r="BH97" i="1"/>
  <c r="BG55" i="8"/>
  <c r="BG60" i="8" s="1"/>
  <c r="CC56" i="1"/>
  <c r="AI221" i="1"/>
  <c r="AJ221" i="1" s="1"/>
  <c r="AD221" i="1"/>
  <c r="AE221" i="1" s="1"/>
  <c r="AG68" i="8" s="1"/>
  <c r="K55" i="8"/>
  <c r="J55" i="8"/>
  <c r="AZ222" i="1"/>
  <c r="AX222" i="1"/>
  <c r="AY222" i="1" s="1"/>
  <c r="BN56" i="8"/>
  <c r="BN59" i="8" s="1"/>
  <c r="BK219" i="1"/>
  <c r="BM70" i="8" s="1"/>
  <c r="AW222" i="1"/>
  <c r="AW221" i="1"/>
  <c r="AY68" i="8" s="1"/>
  <c r="BG221" i="1"/>
  <c r="BI69" i="8" s="1"/>
  <c r="Q221" i="1"/>
  <c r="AV222" i="1"/>
  <c r="AZ221" i="1"/>
  <c r="BB69" i="8" s="1"/>
  <c r="BV81" i="8"/>
  <c r="BV82" i="8" s="1"/>
  <c r="N221" i="1"/>
  <c r="AY96" i="1"/>
  <c r="AY77" i="1"/>
  <c r="AY78" i="1"/>
  <c r="AY49" i="1"/>
  <c r="AW76" i="1"/>
  <c r="AW231" i="1"/>
  <c r="AO51" i="1"/>
  <c r="O81" i="1"/>
  <c r="O59" i="1"/>
  <c r="O97" i="1"/>
  <c r="T97" i="1"/>
  <c r="AW182" i="1"/>
  <c r="AW57" i="1"/>
  <c r="BV61" i="1"/>
  <c r="AG221" i="1"/>
  <c r="AI68" i="8" s="1"/>
  <c r="AF222" i="1"/>
  <c r="O221" i="1"/>
  <c r="P221" i="1" s="1"/>
  <c r="G59" i="1"/>
  <c r="G81" i="1"/>
  <c r="L97" i="1"/>
  <c r="G97" i="1"/>
  <c r="AQ231" i="1"/>
  <c r="AQ76" i="1"/>
  <c r="AR222" i="1"/>
  <c r="AQ222" i="1"/>
  <c r="BY57" i="1"/>
  <c r="BY156" i="1"/>
  <c r="BY158" i="1" s="1"/>
  <c r="AQ97" i="1"/>
  <c r="AO55" i="8"/>
  <c r="AO60" i="8" s="1"/>
  <c r="AN77" i="8"/>
  <c r="AN81" i="8" s="1"/>
  <c r="AN55" i="8"/>
  <c r="AN60" i="8" s="1"/>
  <c r="AL97" i="1"/>
  <c r="AL81" i="1"/>
  <c r="AL59" i="1"/>
  <c r="S97" i="1"/>
  <c r="X97" i="1"/>
  <c r="S59" i="1"/>
  <c r="S81" i="1"/>
  <c r="Y55" i="8"/>
  <c r="Y60" i="8" s="1"/>
  <c r="BV58" i="1"/>
  <c r="BV222" i="1"/>
  <c r="BV117" i="1" s="1"/>
  <c r="AY77" i="8"/>
  <c r="AY80" i="8" s="1"/>
  <c r="AY81" i="8" s="1"/>
  <c r="AY82" i="8" s="1"/>
  <c r="AW63" i="1"/>
  <c r="AW81" i="1"/>
  <c r="AW97" i="1"/>
  <c r="BB97" i="1"/>
  <c r="AY74" i="1"/>
  <c r="AY42" i="1"/>
  <c r="AY41" i="1"/>
  <c r="AY75" i="1" s="1"/>
  <c r="AY92" i="1"/>
  <c r="AQ221" i="1"/>
  <c r="AR221" i="1"/>
  <c r="AB98" i="1"/>
  <c r="W63" i="1"/>
  <c r="F77" i="1"/>
  <c r="F78" i="1"/>
  <c r="F49" i="1"/>
  <c r="K97" i="1" s="1"/>
  <c r="S75" i="1"/>
  <c r="W221" i="1"/>
  <c r="Y61" i="1"/>
  <c r="Z57" i="1"/>
  <c r="Z61" i="1" s="1"/>
  <c r="Y60" i="1"/>
  <c r="Z53" i="1"/>
  <c r="Z60" i="1" s="1"/>
  <c r="AD98" i="1"/>
  <c r="AH221" i="1"/>
  <c r="AJ69" i="8" s="1"/>
  <c r="C63" i="1"/>
  <c r="H98" i="1"/>
  <c r="AI222" i="1"/>
  <c r="AJ222" i="1" s="1"/>
  <c r="AG222" i="1"/>
  <c r="AF221" i="1"/>
  <c r="AH68" i="8" s="1"/>
  <c r="BM219" i="1"/>
  <c r="BN219" i="1" s="1"/>
  <c r="BP70" i="8" s="1"/>
  <c r="BI41" i="1"/>
  <c r="BI42" i="1"/>
  <c r="BI74" i="1"/>
  <c r="AS57" i="1"/>
  <c r="AS182" i="1"/>
  <c r="BF182" i="1"/>
  <c r="BF210" i="1" s="1"/>
  <c r="BF57" i="1"/>
  <c r="BH221" i="1"/>
  <c r="M59" i="1"/>
  <c r="M97" i="1"/>
  <c r="S55" i="8"/>
  <c r="S60" i="8" s="1"/>
  <c r="P55" i="8"/>
  <c r="P60" i="8" s="1"/>
  <c r="M81" i="1"/>
  <c r="V60" i="8"/>
  <c r="W55" i="8"/>
  <c r="W60" i="8" s="1"/>
  <c r="AS76" i="1"/>
  <c r="AS231" i="1"/>
  <c r="AS222" i="1"/>
  <c r="AT222" i="1" s="1"/>
  <c r="AU222" i="1"/>
  <c r="AX76" i="1"/>
  <c r="AX231" i="1"/>
  <c r="BH222" i="1"/>
  <c r="BI222" i="1" s="1"/>
  <c r="BI117" i="1" s="1"/>
  <c r="BF76" i="1"/>
  <c r="BF231" i="1"/>
  <c r="BI232" i="1" s="1"/>
  <c r="BK72" i="8" s="1"/>
  <c r="BG222" i="1"/>
  <c r="U63" i="1"/>
  <c r="AS221" i="1"/>
  <c r="AU221" i="1"/>
  <c r="AX81" i="1"/>
  <c r="AZ77" i="8"/>
  <c r="AZ80" i="8" s="1"/>
  <c r="AZ81" i="8" s="1"/>
  <c r="AZ82" i="8" s="1"/>
  <c r="AX63" i="1"/>
  <c r="AX97" i="1"/>
  <c r="BC97" i="1"/>
  <c r="BF81" i="1"/>
  <c r="BI55" i="8"/>
  <c r="BI60" i="8" s="1"/>
  <c r="BF97" i="1"/>
  <c r="BH77" i="8"/>
  <c r="BH80" i="8" s="1"/>
  <c r="BH81" i="8" s="1"/>
  <c r="BH82" i="8" s="1"/>
  <c r="BF63" i="1"/>
  <c r="BH55" i="8"/>
  <c r="BH60" i="8" s="1"/>
  <c r="BR61" i="1"/>
  <c r="BU231" i="1"/>
  <c r="BV221" i="1"/>
  <c r="BX68" i="8" s="1"/>
  <c r="BX55" i="8"/>
  <c r="BX60" i="8" s="1"/>
  <c r="BF221" i="1"/>
  <c r="BH69" i="8" s="1"/>
  <c r="AX182" i="1"/>
  <c r="AX57" i="1"/>
  <c r="AS81" i="1"/>
  <c r="AS97" i="1"/>
  <c r="AS59" i="1"/>
  <c r="AU77" i="8"/>
  <c r="AU80" i="8" s="1"/>
  <c r="AU81" i="8" s="1"/>
  <c r="AU82" i="8" s="1"/>
  <c r="AY55" i="8"/>
  <c r="AY60" i="8" s="1"/>
  <c r="AX55" i="8"/>
  <c r="AX60" i="8" s="1"/>
  <c r="AW55" i="8"/>
  <c r="AW60" i="8" s="1"/>
  <c r="Q55" i="8"/>
  <c r="P59" i="1"/>
  <c r="U98" i="1" s="1"/>
  <c r="P81" i="1"/>
  <c r="CG61" i="1"/>
  <c r="CH57" i="1"/>
  <c r="AF231" i="1"/>
  <c r="AJ232" i="1" s="1"/>
  <c r="AL72" i="8" s="1"/>
  <c r="AF76" i="1"/>
  <c r="AZ57" i="1"/>
  <c r="AZ182" i="1"/>
  <c r="AR77" i="8"/>
  <c r="AP81" i="1"/>
  <c r="AP63" i="1"/>
  <c r="AP59" i="1"/>
  <c r="AR55" i="8"/>
  <c r="AR60" i="8" s="1"/>
  <c r="AU97" i="1"/>
  <c r="AP97" i="1"/>
  <c r="BD41" i="1"/>
  <c r="BD42" i="1"/>
  <c r="BD74" i="1"/>
  <c r="BI92" i="1"/>
  <c r="BD92" i="1"/>
  <c r="AF57" i="1"/>
  <c r="AJ51" i="1"/>
  <c r="BU182" i="1"/>
  <c r="BU210" i="1" s="1"/>
  <c r="BU162" i="1"/>
  <c r="BR63" i="1"/>
  <c r="BR58" i="1"/>
  <c r="BR59" i="1" s="1"/>
  <c r="BT77" i="8"/>
  <c r="BT80" i="8" s="1"/>
  <c r="BT81" i="8" s="1"/>
  <c r="BT82" i="8" s="1"/>
  <c r="BR81" i="1"/>
  <c r="BR197" i="1"/>
  <c r="BR97" i="1"/>
  <c r="BP98" i="1"/>
  <c r="BY77" i="8"/>
  <c r="BW63" i="1"/>
  <c r="BW197" i="1"/>
  <c r="BW81" i="1"/>
  <c r="BW97" i="1"/>
  <c r="CB61" i="1"/>
  <c r="AZ63" i="1"/>
  <c r="BB77" i="8"/>
  <c r="BB80" i="8" s="1"/>
  <c r="BB81" i="8" s="1"/>
  <c r="BB82" i="8" s="1"/>
  <c r="AZ81" i="1"/>
  <c r="BC55" i="8"/>
  <c r="BC60" i="8" s="1"/>
  <c r="BD55" i="8"/>
  <c r="BD60" i="8" s="1"/>
  <c r="AZ97" i="1"/>
  <c r="BB55" i="8"/>
  <c r="BB60" i="8" s="1"/>
  <c r="W97" i="1"/>
  <c r="R81" i="1"/>
  <c r="T55" i="8"/>
  <c r="T60" i="8" s="1"/>
  <c r="R97" i="1"/>
  <c r="R59" i="1"/>
  <c r="U55" i="8"/>
  <c r="U60" i="8" s="1"/>
  <c r="X55" i="8"/>
  <c r="X60" i="8" s="1"/>
  <c r="R75" i="1"/>
  <c r="T221" i="1"/>
  <c r="U221" i="1" s="1"/>
  <c r="S221" i="1"/>
  <c r="V221" i="1"/>
  <c r="R221" i="1"/>
  <c r="AF97" i="1"/>
  <c r="AF81" i="1"/>
  <c r="AH77" i="8"/>
  <c r="AH81" i="8" s="1"/>
  <c r="AF59" i="1"/>
  <c r="AH55" i="8"/>
  <c r="AH60" i="8" s="1"/>
  <c r="AK97" i="1"/>
  <c r="AJ55" i="8"/>
  <c r="AJ60" i="8" s="1"/>
  <c r="BR162" i="1"/>
  <c r="BR182" i="1"/>
  <c r="BR210" i="1" s="1"/>
  <c r="BT59" i="1"/>
  <c r="BE232" i="1"/>
  <c r="BG72" i="8" s="1"/>
  <c r="AI55" i="8"/>
  <c r="AI60" i="8" s="1"/>
  <c r="AS55" i="8"/>
  <c r="AS60" i="8" s="1"/>
  <c r="DB227" i="1"/>
  <c r="L19" i="95"/>
  <c r="AZ231" i="1"/>
  <c r="AZ76" i="1"/>
  <c r="BB222" i="1"/>
  <c r="BA222" i="1"/>
  <c r="BC58" i="1"/>
  <c r="BC59" i="1" s="1"/>
  <c r="BC61" i="1"/>
  <c r="BU81" i="1"/>
  <c r="BW77" i="8"/>
  <c r="BW80" i="8" s="1"/>
  <c r="BW81" i="8" s="1"/>
  <c r="BW82" i="8" s="1"/>
  <c r="BU97" i="1"/>
  <c r="BU63" i="1"/>
  <c r="BU197" i="1"/>
  <c r="BG80" i="8"/>
  <c r="BG81" i="8" s="1"/>
  <c r="BG82" i="8" s="1"/>
  <c r="BG68" i="8"/>
  <c r="BG69" i="8"/>
  <c r="BW182" i="1"/>
  <c r="BW210" i="1" s="1"/>
  <c r="BW162" i="1"/>
  <c r="AG98" i="1"/>
  <c r="AG63" i="1"/>
  <c r="AS80" i="8"/>
  <c r="AS81" i="8" s="1"/>
  <c r="AS82" i="8" s="1"/>
  <c r="AZ75" i="1"/>
  <c r="BB221" i="1"/>
  <c r="BA221" i="1"/>
  <c r="BZ72" i="1"/>
  <c r="CF72" i="1"/>
  <c r="BJ39" i="1"/>
  <c r="BJ74" i="1" s="1"/>
  <c r="BO59" i="8"/>
  <c r="BM56" i="8"/>
  <c r="BM59" i="8" s="1"/>
  <c r="BJ219" i="1"/>
  <c r="BL70" i="8" s="1"/>
  <c r="BL219" i="1"/>
  <c r="BN70" i="8" s="1"/>
  <c r="BJ73" i="1"/>
  <c r="BJ91" i="1"/>
  <c r="BO91" i="1"/>
  <c r="BL56" i="8"/>
  <c r="BL59" i="8" s="1"/>
  <c r="BJ45" i="1"/>
  <c r="BJ47" i="1" s="1"/>
  <c r="DB214" i="1"/>
  <c r="DL36" i="1"/>
  <c r="BU59" i="1"/>
  <c r="CZ24" i="8"/>
  <c r="CS63" i="8"/>
  <c r="CR20" i="8"/>
  <c r="CQ28" i="8"/>
  <c r="CQ62" i="8"/>
  <c r="CX113" i="8"/>
  <c r="CX97" i="8"/>
  <c r="CX92" i="8"/>
  <c r="CX108" i="8"/>
  <c r="CS41" i="8"/>
  <c r="CX103" i="8"/>
  <c r="CX87" i="8"/>
  <c r="DQ214" i="1"/>
  <c r="BE55" i="8"/>
  <c r="AP60" i="8"/>
  <c r="AQ55" i="8"/>
  <c r="AQ60" i="8" s="1"/>
  <c r="BI182" i="1"/>
  <c r="BI210" i="1" s="1"/>
  <c r="AA55" i="8"/>
  <c r="Z59" i="1"/>
  <c r="AE98" i="1" s="1"/>
  <c r="Z81" i="1"/>
  <c r="Z97" i="1"/>
  <c r="BI63" i="1"/>
  <c r="BK77" i="8"/>
  <c r="BK80" i="8" s="1"/>
  <c r="BK81" i="8" s="1"/>
  <c r="BK82" i="8" s="1"/>
  <c r="BI81" i="1"/>
  <c r="BJ55" i="8"/>
  <c r="AO63" i="1"/>
  <c r="AT98" i="1"/>
  <c r="L55" i="8"/>
  <c r="M55" i="8" s="1"/>
  <c r="P97" i="1"/>
  <c r="K59" i="1"/>
  <c r="K81" i="1"/>
  <c r="BQ80" i="8"/>
  <c r="BQ81" i="8" s="1"/>
  <c r="BQ82" i="8" s="1"/>
  <c r="BO223" i="1"/>
  <c r="BP223" i="1"/>
  <c r="AE63" i="1"/>
  <c r="AG55" i="8"/>
  <c r="AG60" i="8" s="1"/>
  <c r="AF60" i="8"/>
  <c r="I63" i="1"/>
  <c r="N98" i="1"/>
  <c r="BX56" i="1"/>
  <c r="AI98" i="1"/>
  <c r="AI63" i="1"/>
  <c r="AN98" i="1"/>
  <c r="BS61" i="1"/>
  <c r="BW221" i="1"/>
  <c r="BW75" i="1"/>
  <c r="BW156" i="1"/>
  <c r="BW158" i="1" s="1"/>
  <c r="BW57" i="1"/>
  <c r="BW222" i="1"/>
  <c r="BW231" i="1"/>
  <c r="BW76" i="1"/>
  <c r="AK232" i="1"/>
  <c r="AM72" i="8" s="1"/>
  <c r="AM69" i="8"/>
  <c r="AM68" i="8"/>
  <c r="E63" i="1"/>
  <c r="J98" i="1"/>
  <c r="BX77" i="1"/>
  <c r="BX78" i="1"/>
  <c r="BX47" i="1"/>
  <c r="BX49" i="1"/>
  <c r="CE83" i="1"/>
  <c r="BZ83" i="1"/>
  <c r="CF83" i="1"/>
  <c r="CK83" i="1"/>
  <c r="BS83" i="1"/>
  <c r="AT83" i="1"/>
  <c r="BS70" i="1"/>
  <c r="BS68" i="1"/>
  <c r="BS86" i="1"/>
  <c r="BS69" i="1"/>
  <c r="BX86" i="1"/>
  <c r="BS67" i="1"/>
  <c r="BS22" i="1"/>
  <c r="BR218" i="1"/>
  <c r="BU218" i="1"/>
  <c r="BU225" i="1" s="1"/>
  <c r="BQ80" i="1"/>
  <c r="BQ71" i="1"/>
  <c r="BQ218" i="1"/>
  <c r="BQ225" i="1" s="1"/>
  <c r="BQ38" i="1"/>
  <c r="BV88" i="1"/>
  <c r="BS118" i="8"/>
  <c r="BS123" i="8" s="1"/>
  <c r="BX123" i="8" s="1"/>
  <c r="CC123" i="8" s="1"/>
  <c r="BQ88" i="1"/>
  <c r="BT218" i="1"/>
  <c r="BT225" i="1" s="1"/>
  <c r="BV57" i="8"/>
  <c r="BS57" i="8"/>
  <c r="BW57" i="8"/>
  <c r="BW83" i="1"/>
  <c r="CB83" i="1"/>
  <c r="AY83" i="1"/>
  <c r="BI83" i="1"/>
  <c r="BD83" i="1"/>
  <c r="BN83" i="1"/>
  <c r="CR67" i="1"/>
  <c r="CR69" i="1"/>
  <c r="CR68" i="1"/>
  <c r="CR70" i="1"/>
  <c r="CQ119" i="1"/>
  <c r="AI119" i="1"/>
  <c r="AX68" i="8"/>
  <c r="AX69" i="8"/>
  <c r="BN78" i="1"/>
  <c r="BN77" i="1"/>
  <c r="BN47" i="1"/>
  <c r="BN49" i="1"/>
  <c r="BN96" i="1"/>
  <c r="BX17" i="1"/>
  <c r="CA121" i="1"/>
  <c r="CA122" i="1" s="1"/>
  <c r="AS121" i="1"/>
  <c r="AS122" i="1" s="1"/>
  <c r="AV98" i="1"/>
  <c r="AJ119" i="1"/>
  <c r="AH121" i="1"/>
  <c r="AH122" i="1" s="1"/>
  <c r="AM98" i="1" l="1"/>
  <c r="AH63" i="1"/>
  <c r="AK223" i="1"/>
  <c r="AH98" i="1"/>
  <c r="BL98" i="1"/>
  <c r="DL214" i="1"/>
  <c r="AO232" i="1"/>
  <c r="AQ72" i="8" s="1"/>
  <c r="AL232" i="1"/>
  <c r="AN72" i="8" s="1"/>
  <c r="AM232" i="1"/>
  <c r="AO72" i="8" s="1"/>
  <c r="AN232" i="1"/>
  <c r="AP72" i="8" s="1"/>
  <c r="I98" i="1"/>
  <c r="DD35" i="8"/>
  <c r="DE35" i="8" s="1"/>
  <c r="Y223" i="1"/>
  <c r="Z223" i="1" s="1"/>
  <c r="AY232" i="1"/>
  <c r="BA72" i="8" s="1"/>
  <c r="BD63" i="1"/>
  <c r="BD58" i="1"/>
  <c r="BD59" i="1" s="1"/>
  <c r="BI97" i="1"/>
  <c r="BD81" i="1"/>
  <c r="AJ231" i="1"/>
  <c r="AJ76" i="1"/>
  <c r="Q63" i="1"/>
  <c r="AJ81" i="1"/>
  <c r="AK55" i="8"/>
  <c r="AL77" i="8"/>
  <c r="AL81" i="8" s="1"/>
  <c r="AJ59" i="1"/>
  <c r="AO97" i="1"/>
  <c r="AJ97" i="1"/>
  <c r="X223" i="1"/>
  <c r="AG223" i="1"/>
  <c r="AU98" i="1"/>
  <c r="M223" i="1"/>
  <c r="T63" i="1"/>
  <c r="AV223" i="1"/>
  <c r="BT98" i="1"/>
  <c r="BV59" i="1"/>
  <c r="BV147" i="98"/>
  <c r="X63" i="1"/>
  <c r="AC98" i="1"/>
  <c r="AO68" i="8"/>
  <c r="AB223" i="1"/>
  <c r="V63" i="1"/>
  <c r="V98" i="1"/>
  <c r="AA98" i="1"/>
  <c r="BZ163" i="1"/>
  <c r="BZ78" i="1"/>
  <c r="BZ49" i="1"/>
  <c r="BZ77" i="1"/>
  <c r="BZ47" i="1"/>
  <c r="BZ96" i="1"/>
  <c r="CA230" i="1"/>
  <c r="CC218" i="1"/>
  <c r="CC225" i="1" s="1"/>
  <c r="CB225" i="1"/>
  <c r="BY47" i="1"/>
  <c r="BY77" i="1"/>
  <c r="BY78" i="1"/>
  <c r="BY49" i="1"/>
  <c r="BY58" i="1" s="1"/>
  <c r="BY147" i="98" s="1"/>
  <c r="BY96" i="1"/>
  <c r="BY163" i="1"/>
  <c r="BZ42" i="1"/>
  <c r="BZ74" i="1"/>
  <c r="BZ41" i="1"/>
  <c r="BZ92" i="1"/>
  <c r="CC71" i="1"/>
  <c r="CC80" i="1"/>
  <c r="CC230" i="1"/>
  <c r="H5" i="95"/>
  <c r="H6" i="95" s="1"/>
  <c r="CC88" i="1"/>
  <c r="BZ227" i="1"/>
  <c r="CB227" i="1"/>
  <c r="CC38" i="1"/>
  <c r="CD57" i="8"/>
  <c r="BY227" i="1"/>
  <c r="CB74" i="1"/>
  <c r="CB42" i="1"/>
  <c r="CB41" i="1"/>
  <c r="CB75" i="1" s="1"/>
  <c r="CB92" i="1"/>
  <c r="BY74" i="1"/>
  <c r="BY42" i="1"/>
  <c r="BY41" i="1"/>
  <c r="BY92" i="1"/>
  <c r="CA219" i="1"/>
  <c r="CC70" i="8" s="1"/>
  <c r="CC56" i="8"/>
  <c r="CC59" i="8" s="1"/>
  <c r="CA39" i="1"/>
  <c r="CA45" i="1"/>
  <c r="CB219" i="1"/>
  <c r="CA159" i="1"/>
  <c r="CA73" i="1"/>
  <c r="CA91" i="1"/>
  <c r="CB163" i="1"/>
  <c r="CB77" i="1"/>
  <c r="CB47" i="1"/>
  <c r="CB78" i="1"/>
  <c r="CB49" i="1"/>
  <c r="CB96" i="1"/>
  <c r="BX196" i="1"/>
  <c r="BX195" i="1"/>
  <c r="BX123" i="1"/>
  <c r="BN130" i="1"/>
  <c r="AO121" i="1"/>
  <c r="AO122" i="1" s="1"/>
  <c r="AP68" i="8"/>
  <c r="BC169" i="1"/>
  <c r="BE169" i="1"/>
  <c r="BC171" i="1"/>
  <c r="BD171" i="1" s="1"/>
  <c r="BD168" i="1"/>
  <c r="BD196" i="1" s="1"/>
  <c r="BD124" i="1" s="1"/>
  <c r="CC123" i="1"/>
  <c r="CH195" i="1"/>
  <c r="CC195" i="1"/>
  <c r="AY121" i="1"/>
  <c r="AY122" i="1" s="1"/>
  <c r="BD123" i="1"/>
  <c r="BD195" i="1"/>
  <c r="BI195" i="1"/>
  <c r="BM121" i="1"/>
  <c r="BM122" i="1" s="1"/>
  <c r="BS195" i="1"/>
  <c r="BN123" i="1"/>
  <c r="BN196" i="1"/>
  <c r="BN124" i="1" s="1"/>
  <c r="BN195" i="1"/>
  <c r="AN121" i="1"/>
  <c r="AN122" i="1" s="1"/>
  <c r="BM195" i="1"/>
  <c r="BM123" i="1"/>
  <c r="BR195" i="1"/>
  <c r="AN68" i="8"/>
  <c r="BQ69" i="8"/>
  <c r="AO221" i="1"/>
  <c r="AQ69" i="8" s="1"/>
  <c r="BD97" i="1"/>
  <c r="AR68" i="8"/>
  <c r="AR69" i="8"/>
  <c r="AK68" i="8"/>
  <c r="AX232" i="1"/>
  <c r="AZ72" i="8" s="1"/>
  <c r="L63" i="1"/>
  <c r="Q98" i="1"/>
  <c r="AK69" i="8"/>
  <c r="BA58" i="1"/>
  <c r="BA59" i="1" s="1"/>
  <c r="BA61" i="1"/>
  <c r="BD221" i="1"/>
  <c r="BF69" i="8" s="1"/>
  <c r="DD24" i="8"/>
  <c r="DE24" i="8" s="1"/>
  <c r="DF24" i="8" s="1"/>
  <c r="DG24" i="8" s="1"/>
  <c r="DH24" i="8" s="1"/>
  <c r="DI24" i="8" s="1"/>
  <c r="DJ24" i="8" s="1"/>
  <c r="DK24" i="8" s="1"/>
  <c r="DL24" i="8" s="1"/>
  <c r="DM24" i="8" s="1"/>
  <c r="DN24" i="8" s="1"/>
  <c r="DO24" i="8" s="1"/>
  <c r="DP24" i="8" s="1"/>
  <c r="DQ24" i="8" s="1"/>
  <c r="DR24" i="8" s="1"/>
  <c r="DS24" i="8" s="1"/>
  <c r="DT24" i="8" s="1"/>
  <c r="DU24" i="8" s="1"/>
  <c r="DV24" i="8" s="1"/>
  <c r="DW24" i="8" s="1"/>
  <c r="DX24" i="8" s="1"/>
  <c r="DY24" i="8" s="1"/>
  <c r="DZ24" i="8" s="1"/>
  <c r="EA24" i="8" s="1"/>
  <c r="EB24" i="8" s="1"/>
  <c r="EC24" i="8" s="1"/>
  <c r="DE32" i="8"/>
  <c r="DF32" i="8" s="1"/>
  <c r="DG32" i="8" s="1"/>
  <c r="DH32" i="8" s="1"/>
  <c r="DD32" i="8"/>
  <c r="BJ92" i="1"/>
  <c r="BW121" i="1"/>
  <c r="BW122" i="1" s="1"/>
  <c r="CH119" i="1"/>
  <c r="CG121" i="1"/>
  <c r="CG122" i="1" s="1"/>
  <c r="BE68" i="8"/>
  <c r="BS119" i="1"/>
  <c r="BB68" i="8"/>
  <c r="BC121" i="1"/>
  <c r="BC122" i="1" s="1"/>
  <c r="BR121" i="1"/>
  <c r="BR122" i="1" s="1"/>
  <c r="AY221" i="1"/>
  <c r="BA68" i="8" s="1"/>
  <c r="BR68" i="8"/>
  <c r="CZ108" i="8"/>
  <c r="CZ92" i="8"/>
  <c r="CZ97" i="8"/>
  <c r="CZ113" i="8"/>
  <c r="CZ87" i="8"/>
  <c r="CZ103" i="8"/>
  <c r="DD33" i="8"/>
  <c r="DE33" i="8" s="1"/>
  <c r="DC112" i="8"/>
  <c r="DC96" i="8"/>
  <c r="DB109" i="8"/>
  <c r="DB93" i="8"/>
  <c r="DB106" i="8"/>
  <c r="DB90" i="8"/>
  <c r="DA102" i="8"/>
  <c r="DA86" i="8"/>
  <c r="AZ68" i="8"/>
  <c r="AW232" i="1"/>
  <c r="AY72" i="8" s="1"/>
  <c r="BD182" i="1"/>
  <c r="BD210" i="1" s="1"/>
  <c r="BX69" i="8"/>
  <c r="AI232" i="1"/>
  <c r="AU223" i="1"/>
  <c r="AG69" i="8"/>
  <c r="AJ68" i="8"/>
  <c r="BH68" i="8"/>
  <c r="AH69" i="8"/>
  <c r="BI68" i="8"/>
  <c r="AI69" i="8"/>
  <c r="Y63" i="1"/>
  <c r="AV232" i="1"/>
  <c r="AX72" i="8" s="1"/>
  <c r="AY69" i="8"/>
  <c r="AL63" i="1"/>
  <c r="AN223" i="1"/>
  <c r="AO223" i="1" s="1"/>
  <c r="AQ98" i="1"/>
  <c r="AL98" i="1"/>
  <c r="BY61" i="1"/>
  <c r="AT68" i="8"/>
  <c r="AT69" i="8"/>
  <c r="AY231" i="1"/>
  <c r="AY76" i="1"/>
  <c r="G98" i="1"/>
  <c r="L98" i="1"/>
  <c r="G63" i="1"/>
  <c r="AS69" i="8"/>
  <c r="AS68" i="8"/>
  <c r="AQ232" i="1"/>
  <c r="AS72" i="8" s="1"/>
  <c r="AR232" i="1"/>
  <c r="AT72" i="8" s="1"/>
  <c r="AL223" i="1"/>
  <c r="CC57" i="1"/>
  <c r="F59" i="1"/>
  <c r="F63" i="1" s="1"/>
  <c r="F81" i="1"/>
  <c r="S63" i="1"/>
  <c r="X98" i="1"/>
  <c r="W223" i="1"/>
  <c r="S98" i="1"/>
  <c r="AY63" i="1"/>
  <c r="AY58" i="1"/>
  <c r="AY59" i="1" s="1"/>
  <c r="BA77" i="8"/>
  <c r="BA80" i="8" s="1"/>
  <c r="BA81" i="8" s="1"/>
  <c r="BA82" i="8" s="1"/>
  <c r="AZ55" i="8"/>
  <c r="AY97" i="1"/>
  <c r="AY81" i="1"/>
  <c r="AM223" i="1"/>
  <c r="AW61" i="1"/>
  <c r="AW58" i="1"/>
  <c r="AW59" i="1" s="1"/>
  <c r="O63" i="1"/>
  <c r="O98" i="1"/>
  <c r="T98" i="1"/>
  <c r="AY182" i="1"/>
  <c r="AY210" i="1" s="1"/>
  <c r="BJ41" i="1"/>
  <c r="BJ75" i="1" s="1"/>
  <c r="AI223" i="1"/>
  <c r="AJ223" i="1" s="1"/>
  <c r="BN39" i="1"/>
  <c r="BN92" i="1" s="1"/>
  <c r="BO70" i="8"/>
  <c r="R55" i="8"/>
  <c r="R60" i="8" s="1"/>
  <c r="Q60" i="8"/>
  <c r="BO92" i="1"/>
  <c r="BG232" i="1"/>
  <c r="BI72" i="8" s="1"/>
  <c r="P63" i="1"/>
  <c r="BH232" i="1"/>
  <c r="BJ72" i="8" s="1"/>
  <c r="M63" i="1"/>
  <c r="Q223" i="1"/>
  <c r="N223" i="1"/>
  <c r="M98" i="1"/>
  <c r="O223" i="1"/>
  <c r="P223" i="1" s="1"/>
  <c r="BF58" i="1"/>
  <c r="BF59" i="1" s="1"/>
  <c r="BF61" i="1"/>
  <c r="BI57" i="1"/>
  <c r="AR223" i="1"/>
  <c r="AW68" i="8"/>
  <c r="AW69" i="8"/>
  <c r="BJ69" i="8"/>
  <c r="BI221" i="1"/>
  <c r="BJ68" i="8"/>
  <c r="BI231" i="1"/>
  <c r="BI76" i="1"/>
  <c r="AZ232" i="1"/>
  <c r="BB72" i="8" s="1"/>
  <c r="BJ42" i="1"/>
  <c r="BK222" i="1" s="1"/>
  <c r="BK117" i="1" s="1"/>
  <c r="BF232" i="1"/>
  <c r="BH72" i="8" s="1"/>
  <c r="AX58" i="1"/>
  <c r="AX59" i="1" s="1"/>
  <c r="AX61" i="1"/>
  <c r="AU69" i="8"/>
  <c r="AT221" i="1"/>
  <c r="AU68" i="8"/>
  <c r="AS61" i="1"/>
  <c r="AS63" i="1" s="1"/>
  <c r="AT57" i="1"/>
  <c r="AT61" i="1" s="1"/>
  <c r="AT63" i="1" s="1"/>
  <c r="AS98" i="1"/>
  <c r="AU232" i="1"/>
  <c r="AW72" i="8" s="1"/>
  <c r="AT232" i="1"/>
  <c r="AV72" i="8" s="1"/>
  <c r="AS232" i="1"/>
  <c r="AU72" i="8" s="1"/>
  <c r="BI75" i="1"/>
  <c r="D9" i="95"/>
  <c r="BJ96" i="1"/>
  <c r="BJ49" i="1"/>
  <c r="BN55" i="8" s="1"/>
  <c r="BN60" i="8" s="1"/>
  <c r="BC68" i="8"/>
  <c r="BC69" i="8"/>
  <c r="BB232" i="1"/>
  <c r="BD72" i="8" s="1"/>
  <c r="BA232" i="1"/>
  <c r="BC72" i="8" s="1"/>
  <c r="BC232" i="1"/>
  <c r="BE72" i="8" s="1"/>
  <c r="BD232" i="1"/>
  <c r="BF72" i="8" s="1"/>
  <c r="BD75" i="1"/>
  <c r="AP98" i="1"/>
  <c r="AP223" i="1"/>
  <c r="AS223" i="1"/>
  <c r="AT223" i="1" s="1"/>
  <c r="AJ57" i="1"/>
  <c r="AJ61" i="1" s="1"/>
  <c r="AF61" i="1"/>
  <c r="AF63" i="1" s="1"/>
  <c r="CH61" i="1"/>
  <c r="DG227" i="1"/>
  <c r="M19" i="95"/>
  <c r="AF223" i="1"/>
  <c r="AF98" i="1"/>
  <c r="AK98" i="1"/>
  <c r="AQ223" i="1"/>
  <c r="AZ61" i="1"/>
  <c r="AZ58" i="1"/>
  <c r="AZ59" i="1" s="1"/>
  <c r="BD69" i="8"/>
  <c r="BD68" i="8"/>
  <c r="R223" i="1"/>
  <c r="R98" i="1"/>
  <c r="W98" i="1"/>
  <c r="R63" i="1"/>
  <c r="S223" i="1"/>
  <c r="V223" i="1"/>
  <c r="T223" i="1"/>
  <c r="U223" i="1" s="1"/>
  <c r="BH98" i="1"/>
  <c r="BY80" i="8"/>
  <c r="BY81" i="8" s="1"/>
  <c r="BY82" i="8" s="1"/>
  <c r="BR98" i="1"/>
  <c r="BD76" i="1"/>
  <c r="BD231" i="1"/>
  <c r="AR80" i="8"/>
  <c r="AR81" i="8" s="1"/>
  <c r="AR82" i="8" s="1"/>
  <c r="AH223" i="1"/>
  <c r="BJ77" i="1"/>
  <c r="BX72" i="1"/>
  <c r="BQ227" i="1"/>
  <c r="F5" i="95"/>
  <c r="BJ78" i="1"/>
  <c r="BO96" i="1"/>
  <c r="CH90" i="1"/>
  <c r="CH209" i="1"/>
  <c r="BU98" i="1"/>
  <c r="BX232" i="1"/>
  <c r="BZ72" i="8" s="1"/>
  <c r="CR28" i="8"/>
  <c r="CR62" i="8"/>
  <c r="CT63" i="8"/>
  <c r="CT64" i="8" s="1"/>
  <c r="CT62" i="8"/>
  <c r="BW232" i="1"/>
  <c r="BY72" i="8" s="1"/>
  <c r="BK55" i="8"/>
  <c r="BK60" i="8" s="1"/>
  <c r="BJ60" i="8"/>
  <c r="Z63" i="1"/>
  <c r="Z98" i="1"/>
  <c r="AB55" i="8"/>
  <c r="AB60" i="8" s="1"/>
  <c r="AA60" i="8"/>
  <c r="BE60" i="8"/>
  <c r="BF55" i="8"/>
  <c r="BF60" i="8" s="1"/>
  <c r="K63" i="1"/>
  <c r="P98" i="1"/>
  <c r="BX182" i="1"/>
  <c r="BX210" i="1" s="1"/>
  <c r="BX162" i="1"/>
  <c r="BX57" i="1"/>
  <c r="BW58" i="1"/>
  <c r="BW147" i="98" s="1"/>
  <c r="BW61" i="1"/>
  <c r="BW117" i="1"/>
  <c r="BX222" i="1"/>
  <c r="BX117" i="1" s="1"/>
  <c r="BX221" i="1"/>
  <c r="BY68" i="8"/>
  <c r="BY69" i="8"/>
  <c r="BX39" i="1"/>
  <c r="AL68" i="8"/>
  <c r="AL69" i="8"/>
  <c r="BY55" i="8"/>
  <c r="BX63" i="1"/>
  <c r="BX81" i="1"/>
  <c r="BX197" i="1"/>
  <c r="BZ77" i="8"/>
  <c r="BZ80" i="8" s="1"/>
  <c r="BZ81" i="8" s="1"/>
  <c r="BZ82" i="8" s="1"/>
  <c r="BT57" i="8"/>
  <c r="BU57" i="8" s="1"/>
  <c r="BS38" i="1"/>
  <c r="BS80" i="1"/>
  <c r="BS230" i="1"/>
  <c r="BS71" i="1"/>
  <c r="BO227" i="1"/>
  <c r="BS88" i="1"/>
  <c r="BP227" i="1"/>
  <c r="BR227" i="1"/>
  <c r="BX88" i="1"/>
  <c r="BR225" i="1"/>
  <c r="BS218" i="1"/>
  <c r="BS225" i="1" s="1"/>
  <c r="BW56" i="8"/>
  <c r="BW59" i="8" s="1"/>
  <c r="BQ73" i="1"/>
  <c r="BQ159" i="1"/>
  <c r="BR219" i="1"/>
  <c r="BQ45" i="1"/>
  <c r="BQ39" i="1"/>
  <c r="BT219" i="1"/>
  <c r="BV70" i="8" s="1"/>
  <c r="BU219" i="1"/>
  <c r="BW70" i="8" s="1"/>
  <c r="BQ91" i="1"/>
  <c r="BV56" i="8"/>
  <c r="BV59" i="8" s="1"/>
  <c r="BQ219" i="1"/>
  <c r="BS70" i="8" s="1"/>
  <c r="BV91" i="1"/>
  <c r="BT56" i="8"/>
  <c r="BS56" i="8"/>
  <c r="BS59" i="8" s="1"/>
  <c r="H16" i="95"/>
  <c r="CC119" i="1"/>
  <c r="AJ121" i="1"/>
  <c r="AJ122" i="1" s="1"/>
  <c r="BN97" i="1"/>
  <c r="BN81" i="1"/>
  <c r="BO55" i="8"/>
  <c r="BN63" i="1"/>
  <c r="BN58" i="1"/>
  <c r="BN59" i="1" s="1"/>
  <c r="BP77" i="8"/>
  <c r="BX83" i="1"/>
  <c r="CC83" i="1"/>
  <c r="BN182" i="1"/>
  <c r="BN210" i="1" s="1"/>
  <c r="AI121" i="1"/>
  <c r="AI122" i="1" s="1"/>
  <c r="CR119" i="1"/>
  <c r="DD19" i="8" l="1"/>
  <c r="DE19" i="8" s="1"/>
  <c r="DF19" i="8" s="1"/>
  <c r="BA69" i="8"/>
  <c r="DB23" i="98"/>
  <c r="DC58" i="98"/>
  <c r="DF35" i="8"/>
  <c r="DC35" i="98"/>
  <c r="AJ63" i="1"/>
  <c r="H17" i="95"/>
  <c r="BV223" i="1"/>
  <c r="AL55" i="8"/>
  <c r="AL60" i="8" s="1"/>
  <c r="AK60" i="8"/>
  <c r="AO98" i="1"/>
  <c r="AJ98" i="1"/>
  <c r="BC98" i="1"/>
  <c r="E11" i="95"/>
  <c r="BG223" i="1"/>
  <c r="BJ182" i="1"/>
  <c r="BJ210" i="1" s="1"/>
  <c r="BE223" i="1"/>
  <c r="BY230" i="1"/>
  <c r="CB228" i="1"/>
  <c r="CD71" i="8" s="1"/>
  <c r="CC228" i="1"/>
  <c r="CE71" i="8" s="1"/>
  <c r="BY228" i="1"/>
  <c r="CA71" i="8" s="1"/>
  <c r="CA228" i="1"/>
  <c r="CC71" i="8" s="1"/>
  <c r="BZ228" i="1"/>
  <c r="CB71" i="8" s="1"/>
  <c r="BZ230" i="1"/>
  <c r="CB63" i="1"/>
  <c r="CB81" i="1"/>
  <c r="CD77" i="8"/>
  <c r="CB197" i="1"/>
  <c r="CB97" i="1"/>
  <c r="CB58" i="1"/>
  <c r="CC219" i="1"/>
  <c r="CE70" i="8" s="1"/>
  <c r="CD70" i="8"/>
  <c r="BY75" i="1"/>
  <c r="BY221" i="1"/>
  <c r="CE57" i="8"/>
  <c r="CE59" i="8" s="1"/>
  <c r="CD59" i="8"/>
  <c r="CC96" i="98"/>
  <c r="BZ76" i="1"/>
  <c r="BZ231" i="1"/>
  <c r="BZ222" i="1"/>
  <c r="BZ117" i="1" s="1"/>
  <c r="BZ58" i="1"/>
  <c r="BZ81" i="1"/>
  <c r="BZ197" i="1"/>
  <c r="BZ63" i="1"/>
  <c r="CB77" i="8"/>
  <c r="CB80" i="8" s="1"/>
  <c r="CB81" i="8" s="1"/>
  <c r="CB82" i="8" s="1"/>
  <c r="CB55" i="8"/>
  <c r="CB60" i="8" s="1"/>
  <c r="BZ97" i="1"/>
  <c r="CB182" i="1"/>
  <c r="CB210" i="1" s="1"/>
  <c r="CB162" i="1"/>
  <c r="CA49" i="1"/>
  <c r="CA163" i="1"/>
  <c r="CA96" i="1"/>
  <c r="CA47" i="1"/>
  <c r="CA77" i="1"/>
  <c r="CA78" i="1"/>
  <c r="BY76" i="1"/>
  <c r="BY231" i="1"/>
  <c r="BY232" i="1" s="1"/>
  <c r="CA72" i="8" s="1"/>
  <c r="BY222" i="1"/>
  <c r="BY117" i="1" s="1"/>
  <c r="CB231" i="1"/>
  <c r="CB76" i="1"/>
  <c r="H7" i="95"/>
  <c r="H8" i="95" s="1"/>
  <c r="CC159" i="1"/>
  <c r="CC73" i="1"/>
  <c r="CC45" i="1"/>
  <c r="CC91" i="1"/>
  <c r="BY197" i="1"/>
  <c r="BY63" i="1"/>
  <c r="BY81" i="1"/>
  <c r="CA77" i="8"/>
  <c r="CA80" i="8" s="1"/>
  <c r="CA81" i="8" s="1"/>
  <c r="CA82" i="8" s="1"/>
  <c r="BY97" i="1"/>
  <c r="CA55" i="8"/>
  <c r="CA60" i="8" s="1"/>
  <c r="BZ162" i="1"/>
  <c r="BZ182" i="1"/>
  <c r="BZ210" i="1" s="1"/>
  <c r="CA92" i="1"/>
  <c r="CA42" i="1"/>
  <c r="CA41" i="1"/>
  <c r="CC39" i="1"/>
  <c r="CC92" i="1" s="1"/>
  <c r="CA74" i="1"/>
  <c r="CB230" i="1"/>
  <c r="BZ75" i="1"/>
  <c r="BZ221" i="1"/>
  <c r="BY162" i="1"/>
  <c r="BY182" i="1"/>
  <c r="BY210" i="1" s="1"/>
  <c r="CB121" i="1"/>
  <c r="CB122" i="1" s="1"/>
  <c r="AQ68" i="8"/>
  <c r="BF68" i="8"/>
  <c r="BA98" i="1"/>
  <c r="DI32" i="8"/>
  <c r="DJ32" i="8"/>
  <c r="DK32" i="8" s="1"/>
  <c r="DL32" i="8" s="1"/>
  <c r="DM32" i="8" s="1"/>
  <c r="F16" i="95"/>
  <c r="F17" i="95" s="1"/>
  <c r="BS121" i="1"/>
  <c r="BS122" i="1" s="1"/>
  <c r="I16" i="95"/>
  <c r="CH121" i="1"/>
  <c r="CH122" i="1" s="1"/>
  <c r="DF33" i="8"/>
  <c r="DB102" i="8"/>
  <c r="DB86" i="8"/>
  <c r="DA87" i="8"/>
  <c r="DA103" i="8"/>
  <c r="DD27" i="8"/>
  <c r="DE27" i="8" s="1"/>
  <c r="DF27" i="8" s="1"/>
  <c r="DG27" i="8" s="1"/>
  <c r="DH27" i="8" s="1"/>
  <c r="DC109" i="8"/>
  <c r="DC93" i="8"/>
  <c r="DA108" i="8"/>
  <c r="DA92" i="8"/>
  <c r="DD23" i="8"/>
  <c r="DE23" i="8" s="1"/>
  <c r="DF23" i="8" s="1"/>
  <c r="DG23" i="8" s="1"/>
  <c r="DH23" i="8" s="1"/>
  <c r="DI23" i="8" s="1"/>
  <c r="DJ23" i="8" s="1"/>
  <c r="DK23" i="8" s="1"/>
  <c r="DL23" i="8" s="1"/>
  <c r="DM23" i="8" s="1"/>
  <c r="DN23" i="8" s="1"/>
  <c r="DO23" i="8" s="1"/>
  <c r="DP23" i="8" s="1"/>
  <c r="DQ23" i="8" s="1"/>
  <c r="DR23" i="8" s="1"/>
  <c r="DS23" i="8" s="1"/>
  <c r="DT23" i="8" s="1"/>
  <c r="DC106" i="8"/>
  <c r="DC90" i="8"/>
  <c r="DA97" i="8"/>
  <c r="DA113" i="8"/>
  <c r="BM222" i="1"/>
  <c r="BM117" i="1" s="1"/>
  <c r="DE98" i="8"/>
  <c r="BF223" i="1"/>
  <c r="BN41" i="1"/>
  <c r="E9" i="95" s="1"/>
  <c r="E10" i="95" s="1"/>
  <c r="CC61" i="1"/>
  <c r="BJ81" i="1"/>
  <c r="BL77" i="8"/>
  <c r="BL80" i="8" s="1"/>
  <c r="BL81" i="8" s="1"/>
  <c r="BL82" i="8" s="1"/>
  <c r="BJ221" i="1"/>
  <c r="BL68" i="8" s="1"/>
  <c r="BL221" i="1"/>
  <c r="BN69" i="8" s="1"/>
  <c r="BK221" i="1"/>
  <c r="BM68" i="8" s="1"/>
  <c r="BN74" i="1"/>
  <c r="BJ222" i="1"/>
  <c r="BJ117" i="1" s="1"/>
  <c r="BJ231" i="1"/>
  <c r="BL232" i="1" s="1"/>
  <c r="BN72" i="8" s="1"/>
  <c r="BL222" i="1"/>
  <c r="BL117" i="1" s="1"/>
  <c r="K98" i="1"/>
  <c r="BN42" i="1"/>
  <c r="BN76" i="1" s="1"/>
  <c r="BJ76" i="1"/>
  <c r="BM221" i="1"/>
  <c r="BO69" i="8" s="1"/>
  <c r="BJ58" i="1"/>
  <c r="BJ59" i="1" s="1"/>
  <c r="BO97" i="1"/>
  <c r="BJ63" i="1"/>
  <c r="BM55" i="8"/>
  <c r="BM60" i="8" s="1"/>
  <c r="BJ97" i="1"/>
  <c r="BL55" i="8"/>
  <c r="BL60" i="8" s="1"/>
  <c r="AY98" i="1"/>
  <c r="BY59" i="1"/>
  <c r="BD98" i="1"/>
  <c r="BA55" i="8"/>
  <c r="BA60" i="8" s="1"/>
  <c r="AZ60" i="8"/>
  <c r="AW98" i="1"/>
  <c r="AW223" i="1"/>
  <c r="BB98" i="1"/>
  <c r="AX98" i="1"/>
  <c r="AX223" i="1"/>
  <c r="AY223" i="1" s="1"/>
  <c r="BH223" i="1"/>
  <c r="BI223" i="1" s="1"/>
  <c r="BF98" i="1"/>
  <c r="BK98" i="1"/>
  <c r="AV68" i="8"/>
  <c r="AV69" i="8"/>
  <c r="BI61" i="1"/>
  <c r="BI58" i="1"/>
  <c r="BI59" i="1" s="1"/>
  <c r="BK68" i="8"/>
  <c r="BK69" i="8"/>
  <c r="BE98" i="1"/>
  <c r="AZ98" i="1"/>
  <c r="AZ223" i="1"/>
  <c r="BA223" i="1"/>
  <c r="BB223" i="1"/>
  <c r="N19" i="95"/>
  <c r="DL227" i="1"/>
  <c r="BC223" i="1"/>
  <c r="BD223" i="1" s="1"/>
  <c r="BQ230" i="1"/>
  <c r="F6" i="95"/>
  <c r="G6" i="95"/>
  <c r="F7" i="95"/>
  <c r="K16" i="95"/>
  <c r="BW59" i="1"/>
  <c r="CS28" i="8"/>
  <c r="CS62" i="8"/>
  <c r="BX42" i="1"/>
  <c r="BX41" i="1"/>
  <c r="G9" i="95" s="1"/>
  <c r="BX74" i="1"/>
  <c r="BZ69" i="8"/>
  <c r="BZ68" i="8"/>
  <c r="BY60" i="8"/>
  <c r="BZ55" i="8"/>
  <c r="BZ60" i="8" s="1"/>
  <c r="BX61" i="1"/>
  <c r="BX58" i="1"/>
  <c r="BX147" i="98" s="1"/>
  <c r="BS39" i="1"/>
  <c r="BQ42" i="1"/>
  <c r="BQ41" i="1"/>
  <c r="BV92" i="1"/>
  <c r="BQ74" i="1"/>
  <c r="BQ92" i="1"/>
  <c r="BR230" i="1"/>
  <c r="BV228" i="1"/>
  <c r="BX71" i="8" s="1"/>
  <c r="BU228" i="1"/>
  <c r="BW71" i="8" s="1"/>
  <c r="BR231" i="1"/>
  <c r="BT228" i="1"/>
  <c r="BV71" i="8" s="1"/>
  <c r="BP231" i="1"/>
  <c r="BP230" i="1"/>
  <c r="BT59" i="8"/>
  <c r="BU56" i="8"/>
  <c r="BU59" i="8" s="1"/>
  <c r="BQ49" i="1"/>
  <c r="BQ77" i="1"/>
  <c r="BQ47" i="1"/>
  <c r="BQ96" i="1"/>
  <c r="BQ78" i="1"/>
  <c r="BV96" i="1"/>
  <c r="BO230" i="1"/>
  <c r="BR228" i="1"/>
  <c r="BT71" i="8" s="1"/>
  <c r="BO228" i="1"/>
  <c r="BQ71" i="8" s="1"/>
  <c r="BQ228" i="1"/>
  <c r="BS71" i="8" s="1"/>
  <c r="BP228" i="1"/>
  <c r="BR71" i="8" s="1"/>
  <c r="BO231" i="1"/>
  <c r="BS228" i="1"/>
  <c r="BU71" i="8" s="1"/>
  <c r="BT70" i="8"/>
  <c r="BS219" i="1"/>
  <c r="BU70" i="8" s="1"/>
  <c r="BS45" i="1"/>
  <c r="BS73" i="1"/>
  <c r="BS159" i="1"/>
  <c r="BX91" i="1"/>
  <c r="BS91" i="1"/>
  <c r="CR121" i="1"/>
  <c r="CR122" i="1" s="1"/>
  <c r="CC121" i="1"/>
  <c r="CC122" i="1" s="1"/>
  <c r="AT51" i="1"/>
  <c r="BP80" i="8"/>
  <c r="BP81" i="8" s="1"/>
  <c r="BP82" i="8" s="1"/>
  <c r="BO60" i="8"/>
  <c r="BP55" i="8"/>
  <c r="BP60" i="8" s="1"/>
  <c r="BN98" i="1" l="1"/>
  <c r="DT90" i="8"/>
  <c r="DT106" i="8"/>
  <c r="DU23" i="8"/>
  <c r="DC23" i="98"/>
  <c r="DG19" i="8"/>
  <c r="DD23" i="98"/>
  <c r="DD58" i="98"/>
  <c r="DG35" i="8"/>
  <c r="DD35" i="98"/>
  <c r="DB33" i="98"/>
  <c r="BW223" i="1"/>
  <c r="BX223" i="1" s="1"/>
  <c r="BL223" i="1"/>
  <c r="CB68" i="8"/>
  <c r="CB69" i="8"/>
  <c r="CA81" i="1"/>
  <c r="CC77" i="8"/>
  <c r="CC80" i="8" s="1"/>
  <c r="CC81" i="8" s="1"/>
  <c r="CC82" i="8" s="1"/>
  <c r="CA197" i="1"/>
  <c r="CA58" i="1"/>
  <c r="CA97" i="1"/>
  <c r="CC55" i="8"/>
  <c r="CC60" i="8" s="1"/>
  <c r="CA63" i="1"/>
  <c r="BZ147" i="98"/>
  <c r="BZ59" i="1"/>
  <c r="CD80" i="8"/>
  <c r="CD81" i="8" s="1"/>
  <c r="CD82" i="8" s="1"/>
  <c r="CC42" i="1"/>
  <c r="CC95" i="1" s="1"/>
  <c r="CC74" i="1"/>
  <c r="CC41" i="1"/>
  <c r="CA68" i="8"/>
  <c r="CA69" i="8"/>
  <c r="CB147" i="98"/>
  <c r="CB59" i="1"/>
  <c r="CB221" i="1"/>
  <c r="CA75" i="1"/>
  <c r="CA221" i="1"/>
  <c r="CA231" i="1"/>
  <c r="CA222" i="1"/>
  <c r="CA117" i="1" s="1"/>
  <c r="CB222" i="1"/>
  <c r="CA76" i="1"/>
  <c r="CC163" i="1"/>
  <c r="CC96" i="1"/>
  <c r="CC47" i="1"/>
  <c r="CC77" i="1"/>
  <c r="CC78" i="1"/>
  <c r="CC49" i="1"/>
  <c r="CA162" i="1"/>
  <c r="CA182" i="1"/>
  <c r="CA210" i="1" s="1"/>
  <c r="BJ223" i="1"/>
  <c r="BN222" i="1"/>
  <c r="BN117" i="1" s="1"/>
  <c r="DO32" i="8"/>
  <c r="DP32" i="8" s="1"/>
  <c r="DQ32" i="8" s="1"/>
  <c r="DR32" i="8" s="1"/>
  <c r="DN32" i="8"/>
  <c r="DG33" i="8"/>
  <c r="DB108" i="8"/>
  <c r="DB92" i="8"/>
  <c r="DB87" i="8"/>
  <c r="DB103" i="8"/>
  <c r="DB113" i="8"/>
  <c r="DB97" i="8"/>
  <c r="DD13" i="8"/>
  <c r="DD17" i="8"/>
  <c r="DE17" i="8" s="1"/>
  <c r="DC86" i="8"/>
  <c r="DC102" i="8"/>
  <c r="BK223" i="1"/>
  <c r="DE112" i="8"/>
  <c r="DE96" i="8"/>
  <c r="DF114" i="8"/>
  <c r="DF98" i="8"/>
  <c r="DE114" i="8"/>
  <c r="BN75" i="1"/>
  <c r="BM223" i="1"/>
  <c r="BN223" i="1" s="1"/>
  <c r="BM69" i="8"/>
  <c r="BO98" i="1"/>
  <c r="BO68" i="8"/>
  <c r="BL69" i="8"/>
  <c r="BN221" i="1"/>
  <c r="BP68" i="8" s="1"/>
  <c r="BJ98" i="1"/>
  <c r="BN68" i="8"/>
  <c r="BN231" i="1"/>
  <c r="BJ232" i="1"/>
  <c r="BL72" i="8" s="1"/>
  <c r="BK232" i="1"/>
  <c r="BM72" i="8" s="1"/>
  <c r="BN232" i="1"/>
  <c r="BP72" i="8" s="1"/>
  <c r="BM232" i="1"/>
  <c r="BO72" i="8" s="1"/>
  <c r="BY98" i="1"/>
  <c r="D11" i="95"/>
  <c r="E12" i="95" s="1"/>
  <c r="BI98" i="1"/>
  <c r="O19" i="95"/>
  <c r="DQ227" i="1"/>
  <c r="DV227" i="1" s="1"/>
  <c r="EA227" i="1" s="1"/>
  <c r="G8" i="95"/>
  <c r="F8" i="95"/>
  <c r="AY51" i="1"/>
  <c r="BY223" i="1"/>
  <c r="BW98" i="1"/>
  <c r="BX59" i="1"/>
  <c r="CL121" i="8"/>
  <c r="CL125" i="8" s="1"/>
  <c r="BX75" i="1"/>
  <c r="BX231" i="1"/>
  <c r="BX76" i="1"/>
  <c r="CS60" i="1"/>
  <c r="BS47" i="1"/>
  <c r="BS77" i="1"/>
  <c r="BS49" i="1"/>
  <c r="BS78" i="1"/>
  <c r="BX96" i="1"/>
  <c r="BS96" i="1"/>
  <c r="BU232" i="1"/>
  <c r="BW72" i="8" s="1"/>
  <c r="BV232" i="1"/>
  <c r="BX72" i="8" s="1"/>
  <c r="BR221" i="1"/>
  <c r="BQ75" i="1"/>
  <c r="BT221" i="1"/>
  <c r="BU221" i="1"/>
  <c r="BQ221" i="1"/>
  <c r="BO232" i="1"/>
  <c r="BQ72" i="8" s="1"/>
  <c r="BT222" i="1"/>
  <c r="BT117" i="1" s="1"/>
  <c r="BR222" i="1"/>
  <c r="BQ222" i="1"/>
  <c r="BQ117" i="1" s="1"/>
  <c r="BQ231" i="1"/>
  <c r="BQ232" i="1" s="1"/>
  <c r="BS72" i="8" s="1"/>
  <c r="BU222" i="1"/>
  <c r="BU117" i="1" s="1"/>
  <c r="BQ76" i="1"/>
  <c r="BS130" i="1"/>
  <c r="BQ162" i="1"/>
  <c r="BQ182" i="1"/>
  <c r="BQ210" i="1" s="1"/>
  <c r="BV97" i="1"/>
  <c r="BQ58" i="1"/>
  <c r="BQ59" i="1" s="1"/>
  <c r="BQ197" i="1"/>
  <c r="BV55" i="8"/>
  <c r="BV60" i="8" s="1"/>
  <c r="BS55" i="8"/>
  <c r="BS60" i="8" s="1"/>
  <c r="BQ97" i="1"/>
  <c r="BW55" i="8"/>
  <c r="BW60" i="8" s="1"/>
  <c r="BQ63" i="1"/>
  <c r="BS77" i="8"/>
  <c r="BS80" i="8" s="1"/>
  <c r="BS81" i="8" s="1"/>
  <c r="BS82" i="8" s="1"/>
  <c r="BQ81" i="1"/>
  <c r="BS42" i="1"/>
  <c r="BS41" i="1"/>
  <c r="F9" i="95" s="1"/>
  <c r="F10" i="95" s="1"/>
  <c r="BX92" i="1"/>
  <c r="BS74" i="1"/>
  <c r="BS92" i="1"/>
  <c r="CR30" i="1"/>
  <c r="CL209" i="1"/>
  <c r="CN121" i="8"/>
  <c r="CN125" i="8" s="1"/>
  <c r="BI51" i="1"/>
  <c r="CB98" i="1" l="1"/>
  <c r="DU106" i="8"/>
  <c r="DU90" i="8"/>
  <c r="DV23" i="8"/>
  <c r="DS32" i="8"/>
  <c r="DT32" i="8"/>
  <c r="DU32" i="8" s="1"/>
  <c r="DV32" i="8" s="1"/>
  <c r="DW32" i="8" s="1"/>
  <c r="DH19" i="8"/>
  <c r="DE23" i="98"/>
  <c r="DE58" i="98"/>
  <c r="DH35" i="8"/>
  <c r="DE35" i="98"/>
  <c r="DF17" i="8"/>
  <c r="DD33" i="98" s="1"/>
  <c r="DC33" i="98"/>
  <c r="CB117" i="1"/>
  <c r="CC222" i="1"/>
  <c r="CC117" i="1" s="1"/>
  <c r="CC68" i="8"/>
  <c r="CC69" i="8"/>
  <c r="H9" i="95"/>
  <c r="H10" i="95" s="1"/>
  <c r="CC75" i="1"/>
  <c r="BZ98" i="1"/>
  <c r="BZ223" i="1"/>
  <c r="CC182" i="1"/>
  <c r="CC210" i="1" s="1"/>
  <c r="CC162" i="1"/>
  <c r="CA232" i="1"/>
  <c r="CC72" i="8" s="1"/>
  <c r="BZ232" i="1"/>
  <c r="CB72" i="8" s="1"/>
  <c r="CC232" i="1"/>
  <c r="CE72" i="8" s="1"/>
  <c r="CB232" i="1"/>
  <c r="CD72" i="8" s="1"/>
  <c r="CD69" i="8"/>
  <c r="CC221" i="1"/>
  <c r="CD68" i="8"/>
  <c r="CC76" i="1"/>
  <c r="CC231" i="1"/>
  <c r="CC97" i="1"/>
  <c r="CC81" i="1"/>
  <c r="CC58" i="1"/>
  <c r="CC63" i="1"/>
  <c r="CD55" i="8"/>
  <c r="CC197" i="1"/>
  <c r="CE77" i="8"/>
  <c r="CE80" i="8" s="1"/>
  <c r="CE81" i="8" s="1"/>
  <c r="CE82" i="8" s="1"/>
  <c r="CA147" i="98"/>
  <c r="CA59" i="1"/>
  <c r="DH33" i="8"/>
  <c r="DF35" i="98" s="1"/>
  <c r="DD25" i="8"/>
  <c r="DE25" i="8" s="1"/>
  <c r="DF25" i="8" s="1"/>
  <c r="DG25" i="8" s="1"/>
  <c r="DH25" i="8" s="1"/>
  <c r="DI25" i="8" s="1"/>
  <c r="DJ25" i="8" s="1"/>
  <c r="DK25" i="8" s="1"/>
  <c r="DL25" i="8" s="1"/>
  <c r="DM25" i="8" s="1"/>
  <c r="DN25" i="8" s="1"/>
  <c r="DO25" i="8" s="1"/>
  <c r="DP25" i="8" s="1"/>
  <c r="DQ25" i="8" s="1"/>
  <c r="DR25" i="8" s="1"/>
  <c r="DS25" i="8" s="1"/>
  <c r="DT25" i="8" s="1"/>
  <c r="DC92" i="8"/>
  <c r="DC108" i="8"/>
  <c r="DD18" i="8"/>
  <c r="DE18" i="8" s="1"/>
  <c r="DF18" i="8" s="1"/>
  <c r="DG18" i="8" s="1"/>
  <c r="DH18" i="8" s="1"/>
  <c r="DI18" i="8" s="1"/>
  <c r="DJ18" i="8" s="1"/>
  <c r="DK18" i="8" s="1"/>
  <c r="DL18" i="8" s="1"/>
  <c r="DM18" i="8" s="1"/>
  <c r="DN18" i="8" s="1"/>
  <c r="DO18" i="8" s="1"/>
  <c r="DP18" i="8" s="1"/>
  <c r="DQ18" i="8" s="1"/>
  <c r="DR18" i="8" s="1"/>
  <c r="DS18" i="8" s="1"/>
  <c r="DT18" i="8" s="1"/>
  <c r="DC87" i="8"/>
  <c r="DC103" i="8"/>
  <c r="DE13" i="8"/>
  <c r="DD34" i="8"/>
  <c r="DE34" i="8" s="1"/>
  <c r="DC113" i="8"/>
  <c r="DC97" i="8"/>
  <c r="DE78" i="8"/>
  <c r="DG114" i="8"/>
  <c r="DG98" i="8"/>
  <c r="DE109" i="8"/>
  <c r="DE93" i="8"/>
  <c r="DF112" i="8"/>
  <c r="DF96" i="8"/>
  <c r="DE106" i="8"/>
  <c r="DE90" i="8"/>
  <c r="BP69" i="8"/>
  <c r="P19" i="95"/>
  <c r="G10" i="95"/>
  <c r="BX124" i="1"/>
  <c r="G11" i="95"/>
  <c r="CT60" i="1"/>
  <c r="CJ209" i="1"/>
  <c r="BT232" i="1"/>
  <c r="BV72" i="8" s="1"/>
  <c r="BS232" i="1"/>
  <c r="BU72" i="8" s="1"/>
  <c r="BP232" i="1"/>
  <c r="BR72" i="8" s="1"/>
  <c r="BR232" i="1"/>
  <c r="BT72" i="8" s="1"/>
  <c r="BQ223" i="1"/>
  <c r="BV98" i="1"/>
  <c r="BQ98" i="1"/>
  <c r="BR223" i="1"/>
  <c r="BS223" i="1" s="1"/>
  <c r="BT223" i="1"/>
  <c r="BU223" i="1"/>
  <c r="BV68" i="8"/>
  <c r="BV69" i="8"/>
  <c r="BS75" i="1"/>
  <c r="BS197" i="1"/>
  <c r="BT55" i="8"/>
  <c r="BS81" i="1"/>
  <c r="BS63" i="1"/>
  <c r="BS58" i="1"/>
  <c r="BS59" i="1" s="1"/>
  <c r="BU77" i="8"/>
  <c r="BX97" i="1"/>
  <c r="BS97" i="1"/>
  <c r="BS76" i="1"/>
  <c r="BS231" i="1"/>
  <c r="BR117" i="1"/>
  <c r="BS222" i="1"/>
  <c r="BS117" i="1" s="1"/>
  <c r="BS68" i="8"/>
  <c r="BS69" i="8"/>
  <c r="BT69" i="8"/>
  <c r="BT68" i="8"/>
  <c r="BS221" i="1"/>
  <c r="BW69" i="8"/>
  <c r="BW68" i="8"/>
  <c r="BS162" i="1"/>
  <c r="BS182" i="1"/>
  <c r="BS210" i="1" s="1"/>
  <c r="CU60" i="1"/>
  <c r="CU192" i="1"/>
  <c r="CU180" i="1"/>
  <c r="BD51" i="1"/>
  <c r="BN51" i="1"/>
  <c r="CT192" i="1"/>
  <c r="CN120" i="1"/>
  <c r="CS180" i="1"/>
  <c r="CS192" i="1"/>
  <c r="DV106" i="8" l="1"/>
  <c r="DV90" i="8"/>
  <c r="DW23" i="8"/>
  <c r="DU25" i="8"/>
  <c r="DT108" i="8"/>
  <c r="DT92" i="8"/>
  <c r="DT87" i="8"/>
  <c r="DU18" i="8"/>
  <c r="DT103" i="8"/>
  <c r="DX32" i="8"/>
  <c r="DY32" i="8"/>
  <c r="DZ32" i="8" s="1"/>
  <c r="EA32" i="8" s="1"/>
  <c r="EB32" i="8" s="1"/>
  <c r="EC32" i="8" s="1"/>
  <c r="DI19" i="8"/>
  <c r="DJ19" i="8" s="1"/>
  <c r="DF23" i="98"/>
  <c r="DG23" i="98" s="1"/>
  <c r="DG35" i="98"/>
  <c r="DF58" i="98"/>
  <c r="DG58" i="98" s="1"/>
  <c r="DI35" i="8"/>
  <c r="DJ35" i="8" s="1"/>
  <c r="DG17" i="8"/>
  <c r="DE33" i="98" s="1"/>
  <c r="CD60" i="8"/>
  <c r="CE55" i="8"/>
  <c r="CE60" i="8" s="1"/>
  <c r="CE68" i="8"/>
  <c r="CE69" i="8"/>
  <c r="CC147" i="98"/>
  <c r="CC59" i="1"/>
  <c r="F11" i="95"/>
  <c r="F12" i="95" s="1"/>
  <c r="CA223" i="1"/>
  <c r="CA98" i="1"/>
  <c r="CB223" i="1"/>
  <c r="CC223" i="1" s="1"/>
  <c r="DF34" i="8"/>
  <c r="DF13" i="8"/>
  <c r="DI33" i="8"/>
  <c r="DJ33" i="8" s="1"/>
  <c r="DG112" i="8"/>
  <c r="DG96" i="8"/>
  <c r="DF106" i="8"/>
  <c r="DF90" i="8"/>
  <c r="DE102" i="8"/>
  <c r="DE86" i="8"/>
  <c r="DH98" i="8"/>
  <c r="DH114" i="8"/>
  <c r="DF78" i="8"/>
  <c r="CM30" i="1"/>
  <c r="CI209" i="1"/>
  <c r="BU68" i="8"/>
  <c r="BU69" i="8"/>
  <c r="BS124" i="1"/>
  <c r="BX98" i="1"/>
  <c r="BS98" i="1"/>
  <c r="BT60" i="8"/>
  <c r="BU55" i="8"/>
  <c r="BU60" i="8" s="1"/>
  <c r="BU80" i="8"/>
  <c r="BU81" i="8" s="1"/>
  <c r="BU82" i="8" s="1"/>
  <c r="CN121" i="1"/>
  <c r="CN122" i="1" s="1"/>
  <c r="CU193" i="1"/>
  <c r="CO120" i="1"/>
  <c r="CT193" i="1"/>
  <c r="CS193" i="1"/>
  <c r="DU108" i="8" l="1"/>
  <c r="DV25" i="8"/>
  <c r="DU92" i="8"/>
  <c r="DW106" i="8"/>
  <c r="DW90" i="8"/>
  <c r="DX23" i="8"/>
  <c r="DY23" i="8" s="1"/>
  <c r="DU87" i="8"/>
  <c r="DV18" i="8"/>
  <c r="DU103" i="8"/>
  <c r="DK19" i="8"/>
  <c r="DH23" i="98"/>
  <c r="DK35" i="8"/>
  <c r="DH58" i="98"/>
  <c r="DH35" i="98"/>
  <c r="DH17" i="8"/>
  <c r="DF33" i="98" s="1"/>
  <c r="DG33" i="98" s="1"/>
  <c r="G12" i="95"/>
  <c r="CC124" i="1"/>
  <c r="CC98" i="1"/>
  <c r="H11" i="95"/>
  <c r="H12" i="95" s="1"/>
  <c r="DG13" i="8"/>
  <c r="DG34" i="8"/>
  <c r="DK33" i="8"/>
  <c r="DI35" i="98" s="1"/>
  <c r="DE113" i="8"/>
  <c r="DE97" i="8"/>
  <c r="DG78" i="8"/>
  <c r="DF102" i="8"/>
  <c r="DF86" i="8"/>
  <c r="DG106" i="8"/>
  <c r="DG90" i="8"/>
  <c r="DH96" i="8"/>
  <c r="DH112" i="8"/>
  <c r="DE108" i="8"/>
  <c r="DE92" i="8"/>
  <c r="DE103" i="8"/>
  <c r="DE87" i="8"/>
  <c r="CK121" i="8"/>
  <c r="CM121" i="8"/>
  <c r="CM125" i="8" s="1"/>
  <c r="CK209" i="1"/>
  <c r="CP120" i="1"/>
  <c r="CO121" i="1"/>
  <c r="CO122" i="1" s="1"/>
  <c r="DV103" i="8" l="1"/>
  <c r="DV87" i="8"/>
  <c r="DW18" i="8"/>
  <c r="DZ23" i="8"/>
  <c r="DY106" i="8"/>
  <c r="DY90" i="8"/>
  <c r="DV92" i="8"/>
  <c r="DW25" i="8"/>
  <c r="DV108" i="8"/>
  <c r="DL19" i="8"/>
  <c r="DI23" i="98"/>
  <c r="DL35" i="8"/>
  <c r="DI58" i="98"/>
  <c r="DI17" i="8"/>
  <c r="DJ17" i="8" s="1"/>
  <c r="DH33" i="98" s="1"/>
  <c r="DH34" i="8"/>
  <c r="DH13" i="8"/>
  <c r="DL33" i="8"/>
  <c r="DJ35" i="98" s="1"/>
  <c r="DH106" i="8"/>
  <c r="DH90" i="8"/>
  <c r="DG86" i="8"/>
  <c r="DG102" i="8"/>
  <c r="DF108" i="8"/>
  <c r="DF92" i="8"/>
  <c r="DH78" i="8"/>
  <c r="DI78" i="8"/>
  <c r="DF103" i="8"/>
  <c r="DF87" i="8"/>
  <c r="DF113" i="8"/>
  <c r="DF97" i="8"/>
  <c r="CK125" i="8"/>
  <c r="CO121" i="8"/>
  <c r="CO125" i="8" s="1"/>
  <c r="DJ114" i="8"/>
  <c r="DJ98" i="8"/>
  <c r="CO17" i="1"/>
  <c r="CO83" i="1" s="1"/>
  <c r="CP121" i="1"/>
  <c r="CP122" i="1" s="1"/>
  <c r="CQ120" i="1"/>
  <c r="DW103" i="8" l="1"/>
  <c r="DW87" i="8"/>
  <c r="DX18" i="8"/>
  <c r="DY18" i="8" s="1"/>
  <c r="DZ90" i="8"/>
  <c r="EA23" i="8"/>
  <c r="DZ106" i="8"/>
  <c r="DW108" i="8"/>
  <c r="DW92" i="8"/>
  <c r="DX25" i="8"/>
  <c r="DY25" i="8" s="1"/>
  <c r="DM19" i="8"/>
  <c r="DJ23" i="98"/>
  <c r="DM35" i="8"/>
  <c r="DJ58" i="98"/>
  <c r="DK17" i="8"/>
  <c r="DI33" i="98" s="1"/>
  <c r="DI13" i="8"/>
  <c r="DJ13" i="8" s="1"/>
  <c r="DK13" i="8" s="1"/>
  <c r="DL13" i="8" s="1"/>
  <c r="DM13" i="8" s="1"/>
  <c r="DN13" i="8" s="1"/>
  <c r="DO13" i="8" s="1"/>
  <c r="DP13" i="8" s="1"/>
  <c r="DQ13" i="8" s="1"/>
  <c r="DR13" i="8" s="1"/>
  <c r="DS13" i="8" s="1"/>
  <c r="DT13" i="8" s="1"/>
  <c r="DU13" i="8" s="1"/>
  <c r="DV13" i="8" s="1"/>
  <c r="DW13" i="8" s="1"/>
  <c r="DX13" i="8" s="1"/>
  <c r="DY13" i="8" s="1"/>
  <c r="DZ13" i="8" s="1"/>
  <c r="EA13" i="8" s="1"/>
  <c r="EB13" i="8" s="1"/>
  <c r="EC13" i="8" s="1"/>
  <c r="DI34" i="8"/>
  <c r="DJ34" i="8" s="1"/>
  <c r="DM33" i="8"/>
  <c r="DK35" i="98" s="1"/>
  <c r="DL35" i="98" s="1"/>
  <c r="DG113" i="8"/>
  <c r="DG97" i="8"/>
  <c r="DG103" i="8"/>
  <c r="DG87" i="8"/>
  <c r="DH86" i="8"/>
  <c r="DH102" i="8"/>
  <c r="DG92" i="8"/>
  <c r="DG108" i="8"/>
  <c r="DK98" i="8"/>
  <c r="DK114" i="8"/>
  <c r="CP17" i="1"/>
  <c r="CP83" i="1" s="1"/>
  <c r="CQ121" i="1"/>
  <c r="CQ122" i="1" s="1"/>
  <c r="DY87" i="8" l="1"/>
  <c r="DZ18" i="8"/>
  <c r="DY103" i="8"/>
  <c r="DY92" i="8"/>
  <c r="DZ25" i="8"/>
  <c r="DY108" i="8"/>
  <c r="EA106" i="8"/>
  <c r="EA90" i="8"/>
  <c r="EB23" i="8"/>
  <c r="DN19" i="8"/>
  <c r="DO19" i="8" s="1"/>
  <c r="DK23" i="98"/>
  <c r="DL23" i="98" s="1"/>
  <c r="DN35" i="8"/>
  <c r="DO35" i="8" s="1"/>
  <c r="DK58" i="98"/>
  <c r="DL58" i="98" s="1"/>
  <c r="DL17" i="8"/>
  <c r="DJ33" i="98" s="1"/>
  <c r="DK34" i="8"/>
  <c r="DN33" i="8"/>
  <c r="DO33" i="8" s="1"/>
  <c r="DH103" i="8"/>
  <c r="DH87" i="8"/>
  <c r="DH108" i="8"/>
  <c r="DH92" i="8"/>
  <c r="DH113" i="8"/>
  <c r="DH97" i="8"/>
  <c r="DL98" i="8"/>
  <c r="DL114" i="8"/>
  <c r="DJ112" i="8"/>
  <c r="DJ96" i="8"/>
  <c r="CI61" i="1"/>
  <c r="CQ17" i="1"/>
  <c r="CQ83" i="1" s="1"/>
  <c r="DZ87" i="8" l="1"/>
  <c r="EA18" i="8"/>
  <c r="DZ103" i="8"/>
  <c r="EB106" i="8"/>
  <c r="EB90" i="8"/>
  <c r="EC23" i="8"/>
  <c r="EA25" i="8"/>
  <c r="DZ108" i="8"/>
  <c r="DZ92" i="8"/>
  <c r="DP19" i="8"/>
  <c r="DM23" i="98"/>
  <c r="DP35" i="8"/>
  <c r="DM58" i="98"/>
  <c r="DM35" i="98"/>
  <c r="DM17" i="8"/>
  <c r="DK33" i="98" s="1"/>
  <c r="DL33" i="98" s="1"/>
  <c r="DP33" i="8"/>
  <c r="DL34" i="8"/>
  <c r="DJ78" i="8"/>
  <c r="DM114" i="8"/>
  <c r="DM98" i="8"/>
  <c r="DJ90" i="8"/>
  <c r="DJ106" i="8"/>
  <c r="DK96" i="8"/>
  <c r="DK112" i="8"/>
  <c r="EA92" i="8" l="1"/>
  <c r="EB25" i="8"/>
  <c r="EA108" i="8"/>
  <c r="EB18" i="8"/>
  <c r="EA103" i="8"/>
  <c r="EA87" i="8"/>
  <c r="DQ19" i="8"/>
  <c r="DN23" i="98"/>
  <c r="DQ35" i="8"/>
  <c r="DN58" i="98"/>
  <c r="DN35" i="98"/>
  <c r="DN17" i="8"/>
  <c r="DO17" i="8" s="1"/>
  <c r="DM33" i="98" s="1"/>
  <c r="DM34" i="8"/>
  <c r="DQ33" i="8"/>
  <c r="DO35" i="98" s="1"/>
  <c r="DK78" i="8"/>
  <c r="DO114" i="8"/>
  <c r="DO98" i="8"/>
  <c r="DL112" i="8"/>
  <c r="DL96" i="8"/>
  <c r="DK90" i="8"/>
  <c r="DK106" i="8"/>
  <c r="DJ86" i="8"/>
  <c r="DJ102" i="8"/>
  <c r="EC18" i="8" l="1"/>
  <c r="EB103" i="8"/>
  <c r="EB87" i="8"/>
  <c r="EC25" i="8"/>
  <c r="EB108" i="8"/>
  <c r="EB92" i="8"/>
  <c r="DR19" i="8"/>
  <c r="DO23" i="98"/>
  <c r="DR35" i="8"/>
  <c r="DO58" i="98"/>
  <c r="DP17" i="8"/>
  <c r="DN33" i="98" s="1"/>
  <c r="DR33" i="8"/>
  <c r="DP35" i="98" s="1"/>
  <c r="DQ35" i="98" s="1"/>
  <c r="DN34" i="8"/>
  <c r="DO34" i="8" s="1"/>
  <c r="DL78" i="8"/>
  <c r="DP98" i="8"/>
  <c r="DP114" i="8"/>
  <c r="DJ113" i="8"/>
  <c r="DJ97" i="8"/>
  <c r="DJ108" i="8"/>
  <c r="DJ92" i="8"/>
  <c r="DL106" i="8"/>
  <c r="DL90" i="8"/>
  <c r="DM112" i="8"/>
  <c r="DM96" i="8"/>
  <c r="DJ103" i="8"/>
  <c r="DJ87" i="8"/>
  <c r="DK102" i="8"/>
  <c r="DK86" i="8"/>
  <c r="DS19" i="8" l="1"/>
  <c r="DT19" i="8" s="1"/>
  <c r="DP23" i="98"/>
  <c r="DQ23" i="98" s="1"/>
  <c r="DS35" i="8"/>
  <c r="DT35" i="8" s="1"/>
  <c r="DP58" i="98"/>
  <c r="DQ58" i="98" s="1"/>
  <c r="DQ17" i="8"/>
  <c r="DO33" i="98" s="1"/>
  <c r="DP34" i="8"/>
  <c r="DS33" i="8"/>
  <c r="DT33" i="8" s="1"/>
  <c r="DM78" i="8"/>
  <c r="DQ114" i="8"/>
  <c r="DQ98" i="8"/>
  <c r="DK113" i="8"/>
  <c r="DK97" i="8"/>
  <c r="DK92" i="8"/>
  <c r="DK108" i="8"/>
  <c r="DM106" i="8"/>
  <c r="DM90" i="8"/>
  <c r="DK103" i="8"/>
  <c r="DK87" i="8"/>
  <c r="DL102" i="8"/>
  <c r="DL86" i="8"/>
  <c r="CN17" i="1" l="1"/>
  <c r="CN83" i="1" s="1"/>
  <c r="DU35" i="8"/>
  <c r="DR58" i="98"/>
  <c r="DU19" i="8"/>
  <c r="DR23" i="98"/>
  <c r="DT112" i="8"/>
  <c r="DU33" i="8"/>
  <c r="DS35" i="98" s="1"/>
  <c r="DR35" i="98"/>
  <c r="DT96" i="8"/>
  <c r="DR17" i="8"/>
  <c r="DQ34" i="8"/>
  <c r="DN78" i="8"/>
  <c r="DR98" i="8"/>
  <c r="DR114" i="8"/>
  <c r="DL97" i="8"/>
  <c r="DL113" i="8"/>
  <c r="DO96" i="8"/>
  <c r="DO112" i="8"/>
  <c r="DL108" i="8"/>
  <c r="DL92" i="8"/>
  <c r="DM86" i="8"/>
  <c r="DM102" i="8"/>
  <c r="DL87" i="8"/>
  <c r="DL103" i="8"/>
  <c r="CR17" i="1" l="1"/>
  <c r="DV33" i="8"/>
  <c r="DT35" i="98" s="1"/>
  <c r="DU96" i="8"/>
  <c r="DU112" i="8"/>
  <c r="DV19" i="8"/>
  <c r="DS23" i="98"/>
  <c r="DS17" i="8"/>
  <c r="DT17" i="8" s="1"/>
  <c r="DR33" i="98" s="1"/>
  <c r="DV35" i="8"/>
  <c r="DS58" i="98"/>
  <c r="DP33" i="98"/>
  <c r="DQ33" i="98" s="1"/>
  <c r="DR34" i="8"/>
  <c r="DO78" i="8"/>
  <c r="DM97" i="8"/>
  <c r="DM113" i="8"/>
  <c r="DM108" i="8"/>
  <c r="DM92" i="8"/>
  <c r="DO106" i="8"/>
  <c r="DO90" i="8"/>
  <c r="DP112" i="8"/>
  <c r="DP96" i="8"/>
  <c r="DM87" i="8"/>
  <c r="DM103" i="8"/>
  <c r="DU17" i="8" l="1"/>
  <c r="DS33" i="98" s="1"/>
  <c r="DT86" i="8"/>
  <c r="DT102" i="8"/>
  <c r="DW35" i="8"/>
  <c r="DT58" i="98"/>
  <c r="DW19" i="8"/>
  <c r="DT23" i="98"/>
  <c r="DV96" i="8"/>
  <c r="DW33" i="8"/>
  <c r="DU35" i="98" s="1"/>
  <c r="DV35" i="98" s="1"/>
  <c r="DV112" i="8"/>
  <c r="DS34" i="8"/>
  <c r="DT34" i="8" s="1"/>
  <c r="DP78" i="8"/>
  <c r="DQ112" i="8"/>
  <c r="DQ96" i="8"/>
  <c r="DP106" i="8"/>
  <c r="DP90" i="8"/>
  <c r="DO86" i="8"/>
  <c r="DO102" i="8"/>
  <c r="DW112" i="8" l="1"/>
  <c r="DW96" i="8"/>
  <c r="DX33" i="8"/>
  <c r="DY33" i="8" s="1"/>
  <c r="DX19" i="8"/>
  <c r="DY19" i="8" s="1"/>
  <c r="DU23" i="98"/>
  <c r="DV23" i="98" s="1"/>
  <c r="DU34" i="8"/>
  <c r="DT97" i="8"/>
  <c r="DT113" i="8"/>
  <c r="DX35" i="8"/>
  <c r="DY35" i="8" s="1"/>
  <c r="DU58" i="98"/>
  <c r="DV58" i="98" s="1"/>
  <c r="DU102" i="8"/>
  <c r="DV17" i="8"/>
  <c r="DT33" i="98" s="1"/>
  <c r="DU86" i="8"/>
  <c r="CD87" i="1"/>
  <c r="DQ78" i="8"/>
  <c r="DO113" i="8"/>
  <c r="DO97" i="8"/>
  <c r="DR112" i="8"/>
  <c r="DR96" i="8"/>
  <c r="DQ90" i="8"/>
  <c r="DQ106" i="8"/>
  <c r="DO92" i="8"/>
  <c r="DO108" i="8"/>
  <c r="DO103" i="8"/>
  <c r="DO87" i="8"/>
  <c r="DP86" i="8"/>
  <c r="DP102" i="8"/>
  <c r="DV34" i="8" l="1"/>
  <c r="DU113" i="8"/>
  <c r="DU97" i="8"/>
  <c r="DY112" i="8"/>
  <c r="DZ33" i="8"/>
  <c r="DX35" i="98" s="1"/>
  <c r="DY96" i="8"/>
  <c r="DW35" i="98"/>
  <c r="DZ35" i="8"/>
  <c r="DW58" i="98"/>
  <c r="DW17" i="8"/>
  <c r="DV102" i="8"/>
  <c r="DV86" i="8"/>
  <c r="DZ19" i="8"/>
  <c r="DW23" i="98"/>
  <c r="CE87" i="1"/>
  <c r="CE22" i="1"/>
  <c r="DR78" i="8"/>
  <c r="DP97" i="8"/>
  <c r="DP113" i="8"/>
  <c r="DR106" i="8"/>
  <c r="DR90" i="8"/>
  <c r="DP92" i="8"/>
  <c r="DP108" i="8"/>
  <c r="DP103" i="8"/>
  <c r="DP87" i="8"/>
  <c r="DQ102" i="8"/>
  <c r="DQ86" i="8"/>
  <c r="EA19" i="8" l="1"/>
  <c r="DX23" i="98"/>
  <c r="DW102" i="8"/>
  <c r="DW86" i="8"/>
  <c r="DX17" i="8"/>
  <c r="DY17" i="8" s="1"/>
  <c r="DW33" i="98" s="1"/>
  <c r="DU33" i="98"/>
  <c r="DV33" i="98" s="1"/>
  <c r="EA35" i="8"/>
  <c r="DX58" i="98"/>
  <c r="EA33" i="8"/>
  <c r="DY35" i="98" s="1"/>
  <c r="DZ96" i="8"/>
  <c r="DZ112" i="8"/>
  <c r="DV113" i="8"/>
  <c r="DV97" i="8"/>
  <c r="DW34" i="8"/>
  <c r="CG21" i="1"/>
  <c r="CF87" i="1"/>
  <c r="CF22" i="1"/>
  <c r="CE80" i="1"/>
  <c r="CE71" i="1"/>
  <c r="CE88" i="1"/>
  <c r="CE96" i="98" s="1"/>
  <c r="CG118" i="8"/>
  <c r="CG123" i="8" s="1"/>
  <c r="CE38" i="1"/>
  <c r="DS78" i="8"/>
  <c r="DQ97" i="8"/>
  <c r="DQ113" i="8"/>
  <c r="DQ108" i="8"/>
  <c r="DQ92" i="8"/>
  <c r="DQ103" i="8"/>
  <c r="DQ87" i="8"/>
  <c r="DR86" i="8"/>
  <c r="DR102" i="8"/>
  <c r="EA112" i="8" l="1"/>
  <c r="EA96" i="8"/>
  <c r="EB33" i="8"/>
  <c r="DZ35" i="98" s="1"/>
  <c r="EA35" i="98" s="1"/>
  <c r="DW97" i="8"/>
  <c r="DX34" i="8"/>
  <c r="DY34" i="8" s="1"/>
  <c r="DW113" i="8"/>
  <c r="EB35" i="8"/>
  <c r="DY58" i="98"/>
  <c r="DY102" i="8"/>
  <c r="DY86" i="8"/>
  <c r="DZ17" i="8"/>
  <c r="EB19" i="8"/>
  <c r="DY23" i="98"/>
  <c r="CE159" i="1"/>
  <c r="CE39" i="1"/>
  <c r="CE73" i="1"/>
  <c r="CE91" i="1"/>
  <c r="CE45" i="1"/>
  <c r="CH118" i="8"/>
  <c r="CH123" i="8" s="1"/>
  <c r="CF80" i="1"/>
  <c r="CF88" i="1"/>
  <c r="CF96" i="98" s="1"/>
  <c r="CF38" i="1"/>
  <c r="CF71" i="1"/>
  <c r="CG22" i="1"/>
  <c r="CG87" i="1"/>
  <c r="DR97" i="8"/>
  <c r="DR113" i="8"/>
  <c r="DR108" i="8"/>
  <c r="DR92" i="8"/>
  <c r="DR103" i="8"/>
  <c r="DR87" i="8"/>
  <c r="EB112" i="8" l="1"/>
  <c r="EB96" i="8"/>
  <c r="EC33" i="8"/>
  <c r="DZ102" i="8"/>
  <c r="DZ86" i="8"/>
  <c r="EA17" i="8"/>
  <c r="DY33" i="98" s="1"/>
  <c r="EC19" i="8"/>
  <c r="DZ23" i="98"/>
  <c r="EA23" i="98" s="1"/>
  <c r="DZ34" i="8"/>
  <c r="DY97" i="8"/>
  <c r="DY113" i="8"/>
  <c r="EC35" i="8"/>
  <c r="DZ58" i="98"/>
  <c r="EA58" i="98" s="1"/>
  <c r="DX33" i="98"/>
  <c r="CG80" i="1"/>
  <c r="CG88" i="1"/>
  <c r="CG96" i="98" s="1"/>
  <c r="CI118" i="8"/>
  <c r="CI123" i="8" s="1"/>
  <c r="CG71" i="1"/>
  <c r="CG38" i="1"/>
  <c r="CE46" i="1"/>
  <c r="CE47" i="1" s="1"/>
  <c r="CE77" i="1"/>
  <c r="CE96" i="1"/>
  <c r="CF159" i="1"/>
  <c r="CF39" i="1"/>
  <c r="CF45" i="1"/>
  <c r="CF73" i="1"/>
  <c r="CF91" i="1"/>
  <c r="CE41" i="1"/>
  <c r="CE75" i="1" s="1"/>
  <c r="CE74" i="1"/>
  <c r="CE42" i="1"/>
  <c r="CE92" i="1"/>
  <c r="DZ113" i="8" l="1"/>
  <c r="DZ97" i="8"/>
  <c r="EA34" i="8"/>
  <c r="EA102" i="8"/>
  <c r="EA86" i="8"/>
  <c r="EB17" i="8"/>
  <c r="DZ33" i="98" s="1"/>
  <c r="EA33" i="98" s="1"/>
  <c r="CE49" i="1"/>
  <c r="CG77" i="8" s="1"/>
  <c r="CG80" i="8" s="1"/>
  <c r="CG81" i="8" s="1"/>
  <c r="CG82" i="8" s="1"/>
  <c r="CE95" i="1"/>
  <c r="CE76" i="1"/>
  <c r="CF46" i="1"/>
  <c r="CF77" i="1"/>
  <c r="CF96" i="1"/>
  <c r="CG45" i="1"/>
  <c r="CG91" i="1"/>
  <c r="CG159" i="1"/>
  <c r="CG39" i="1"/>
  <c r="CG73" i="1"/>
  <c r="CF74" i="1"/>
  <c r="CF41" i="1"/>
  <c r="CF75" i="1" s="1"/>
  <c r="CF42" i="1"/>
  <c r="CF92" i="1"/>
  <c r="CE78" i="1"/>
  <c r="CE163" i="1"/>
  <c r="EA113" i="8" l="1"/>
  <c r="EA97" i="8"/>
  <c r="EB34" i="8"/>
  <c r="EB102" i="8"/>
  <c r="EB86" i="8"/>
  <c r="EC17" i="8"/>
  <c r="CE97" i="1"/>
  <c r="CE81" i="1"/>
  <c r="CE63" i="1"/>
  <c r="CE58" i="1"/>
  <c r="CE147" i="98" s="1"/>
  <c r="CE197" i="1"/>
  <c r="CF163" i="1"/>
  <c r="CF78" i="1"/>
  <c r="CG46" i="1"/>
  <c r="CG49" i="1" s="1"/>
  <c r="CG96" i="1"/>
  <c r="CG77" i="1"/>
  <c r="CF49" i="1"/>
  <c r="CF47" i="1"/>
  <c r="CI87" i="1"/>
  <c r="CI22" i="1"/>
  <c r="CF76" i="1"/>
  <c r="CF95" i="1"/>
  <c r="CG42" i="1"/>
  <c r="CG74" i="1"/>
  <c r="CG41" i="1"/>
  <c r="CG75" i="1" s="1"/>
  <c r="CG92" i="1"/>
  <c r="CE182" i="1"/>
  <c r="CE210" i="1" s="1"/>
  <c r="CE162" i="1"/>
  <c r="EC34" i="8" l="1"/>
  <c r="EB113" i="8"/>
  <c r="EB97" i="8"/>
  <c r="CE59" i="1"/>
  <c r="CI218" i="1"/>
  <c r="CI225" i="1" s="1"/>
  <c r="CI71" i="1"/>
  <c r="CI80" i="1"/>
  <c r="CK57" i="8"/>
  <c r="CK118" i="8"/>
  <c r="CI38" i="1"/>
  <c r="CG63" i="1"/>
  <c r="CG58" i="1"/>
  <c r="CG147" i="98" s="1"/>
  <c r="CG97" i="1"/>
  <c r="CI77" i="8"/>
  <c r="CI80" i="8" s="1"/>
  <c r="CI81" i="8" s="1"/>
  <c r="CI82" i="8" s="1"/>
  <c r="CG197" i="1"/>
  <c r="CG81" i="1"/>
  <c r="CF97" i="1"/>
  <c r="CH77" i="8"/>
  <c r="CH80" i="8" s="1"/>
  <c r="CH81" i="8" s="1"/>
  <c r="CH82" i="8" s="1"/>
  <c r="CF58" i="1"/>
  <c r="CF147" i="98" s="1"/>
  <c r="CF63" i="1"/>
  <c r="CF197" i="1"/>
  <c r="CF81" i="1"/>
  <c r="CG47" i="1"/>
  <c r="CG78" i="1"/>
  <c r="CG163" i="1"/>
  <c r="CF182" i="1"/>
  <c r="CF210" i="1" s="1"/>
  <c r="CF162" i="1"/>
  <c r="CG76" i="1"/>
  <c r="CG95" i="1"/>
  <c r="CJ87" i="1"/>
  <c r="CJ22" i="1"/>
  <c r="CE98" i="1" l="1"/>
  <c r="CG59" i="1"/>
  <c r="CF59" i="1"/>
  <c r="CI39" i="1"/>
  <c r="CI45" i="1"/>
  <c r="CI77" i="1" s="1"/>
  <c r="CI219" i="1"/>
  <c r="CK70" i="8" s="1"/>
  <c r="CI73" i="1"/>
  <c r="CK56" i="8"/>
  <c r="CK59" i="8" s="1"/>
  <c r="CJ88" i="1"/>
  <c r="CJ218" i="1"/>
  <c r="CJ225" i="1" s="1"/>
  <c r="CL118" i="8"/>
  <c r="CL123" i="8" s="1"/>
  <c r="CJ80" i="1"/>
  <c r="CJ38" i="1"/>
  <c r="CL57" i="8"/>
  <c r="CJ71" i="1"/>
  <c r="CG162" i="1"/>
  <c r="CG182" i="1"/>
  <c r="CG210" i="1" s="1"/>
  <c r="CK123" i="8"/>
  <c r="CL21" i="1"/>
  <c r="CK22" i="1"/>
  <c r="CK87" i="1"/>
  <c r="CM57" i="1"/>
  <c r="CI42" i="1" l="1"/>
  <c r="CI41" i="1"/>
  <c r="CI74" i="1"/>
  <c r="CJ45" i="1"/>
  <c r="CJ49" i="1" s="1"/>
  <c r="CJ39" i="1"/>
  <c r="CJ219" i="1"/>
  <c r="CL70" i="8" s="1"/>
  <c r="CJ73" i="1"/>
  <c r="CJ91" i="1"/>
  <c r="CL56" i="8"/>
  <c r="CL59" i="8" s="1"/>
  <c r="CF98" i="1"/>
  <c r="CL87" i="1"/>
  <c r="CL22" i="1"/>
  <c r="CK218" i="1"/>
  <c r="CK225" i="1" s="1"/>
  <c r="CK88" i="1"/>
  <c r="CM57" i="8"/>
  <c r="CM118" i="8"/>
  <c r="CK71" i="1"/>
  <c r="CK80" i="1"/>
  <c r="CK38" i="1"/>
  <c r="CG98" i="1"/>
  <c r="CI49" i="1"/>
  <c r="CI78" i="1"/>
  <c r="CI47" i="1"/>
  <c r="CJ61" i="1"/>
  <c r="CJ47" i="1" l="1"/>
  <c r="CJ78" i="1"/>
  <c r="CK45" i="1"/>
  <c r="CK47" i="1" s="1"/>
  <c r="CK39" i="1"/>
  <c r="CK73" i="1"/>
  <c r="CK219" i="1"/>
  <c r="CM70" i="8" s="1"/>
  <c r="CM56" i="8"/>
  <c r="CM59" i="8" s="1"/>
  <c r="CK91" i="1"/>
  <c r="CM123" i="8"/>
  <c r="CJ42" i="1"/>
  <c r="CJ92" i="1"/>
  <c r="CJ41" i="1"/>
  <c r="CJ74" i="1"/>
  <c r="CI221" i="1"/>
  <c r="CI75" i="1"/>
  <c r="CJ77" i="1"/>
  <c r="CJ96" i="1"/>
  <c r="CI222" i="1"/>
  <c r="CI117" i="1" s="1"/>
  <c r="CI76" i="1"/>
  <c r="CL88" i="1"/>
  <c r="CL38" i="1"/>
  <c r="CN118" i="8"/>
  <c r="CN123" i="8" s="1"/>
  <c r="CL71" i="1"/>
  <c r="CL218" i="1"/>
  <c r="CL80" i="1"/>
  <c r="CI182" i="1"/>
  <c r="CI210" i="1" s="1"/>
  <c r="CI81" i="1"/>
  <c r="CK55" i="8"/>
  <c r="CK60" i="8" s="1"/>
  <c r="CI63" i="1"/>
  <c r="CK77" i="8"/>
  <c r="CK80" i="8" s="1"/>
  <c r="CK81" i="8" s="1"/>
  <c r="CK82" i="8" s="1"/>
  <c r="CI197" i="1"/>
  <c r="CI58" i="1"/>
  <c r="CI147" i="98" s="1"/>
  <c r="CJ58" i="1"/>
  <c r="CJ147" i="98" s="1"/>
  <c r="CL77" i="8"/>
  <c r="CL80" i="8" s="1"/>
  <c r="CL81" i="8" s="1"/>
  <c r="CL82" i="8" s="1"/>
  <c r="CJ63" i="1"/>
  <c r="CJ197" i="1"/>
  <c r="CJ97" i="1"/>
  <c r="CJ81" i="1"/>
  <c r="CL55" i="8"/>
  <c r="CL60" i="8" s="1"/>
  <c r="AJ13" i="1"/>
  <c r="AI17" i="1"/>
  <c r="AK203" i="1"/>
  <c r="AK204" i="1" s="1"/>
  <c r="CJ182" i="1" l="1"/>
  <c r="CJ210" i="1" s="1"/>
  <c r="CK49" i="1"/>
  <c r="CK58" i="1" s="1"/>
  <c r="CK147" i="98" s="1"/>
  <c r="CK78" i="1"/>
  <c r="CL45" i="1"/>
  <c r="CL73" i="1"/>
  <c r="CL39" i="1"/>
  <c r="CL91" i="1"/>
  <c r="CL219" i="1"/>
  <c r="CN56" i="8"/>
  <c r="CO56" i="8" s="1"/>
  <c r="CJ75" i="1"/>
  <c r="CJ221" i="1"/>
  <c r="CL225" i="1"/>
  <c r="CM218" i="1"/>
  <c r="CM225" i="1" s="1"/>
  <c r="CK41" i="1"/>
  <c r="CK42" i="1"/>
  <c r="CK74" i="1"/>
  <c r="CK92" i="1"/>
  <c r="CK69" i="8"/>
  <c r="CK68" i="8"/>
  <c r="CJ95" i="1"/>
  <c r="CJ76" i="1"/>
  <c r="CJ222" i="1"/>
  <c r="CJ117" i="1" s="1"/>
  <c r="CK77" i="1"/>
  <c r="CK96" i="1"/>
  <c r="CO118" i="8"/>
  <c r="CO123" i="8" s="1"/>
  <c r="CJ59" i="1"/>
  <c r="CI59" i="1"/>
  <c r="AI83" i="1"/>
  <c r="AN83" i="1"/>
  <c r="AL203" i="1"/>
  <c r="AL204" i="1" s="1"/>
  <c r="AJ17" i="1"/>
  <c r="CK63" i="1" l="1"/>
  <c r="CM77" i="8"/>
  <c r="CM80" i="8" s="1"/>
  <c r="CM81" i="8" s="1"/>
  <c r="CM82" i="8" s="1"/>
  <c r="CM55" i="8"/>
  <c r="CM60" i="8" s="1"/>
  <c r="CK81" i="1"/>
  <c r="CK97" i="1"/>
  <c r="CK197" i="1"/>
  <c r="CK182" i="1"/>
  <c r="CK210" i="1" s="1"/>
  <c r="CL42" i="1"/>
  <c r="CL41" i="1"/>
  <c r="CL92" i="1"/>
  <c r="CL74" i="1"/>
  <c r="CK95" i="1"/>
  <c r="CK222" i="1"/>
  <c r="CK117" i="1" s="1"/>
  <c r="CK76" i="1"/>
  <c r="CM219" i="1"/>
  <c r="CO70" i="8" s="1"/>
  <c r="CN70" i="8"/>
  <c r="CL96" i="1"/>
  <c r="CL77" i="1"/>
  <c r="CM39" i="1"/>
  <c r="CK221" i="1"/>
  <c r="CK75" i="1"/>
  <c r="CL68" i="8"/>
  <c r="CL69" i="8"/>
  <c r="CJ98" i="1"/>
  <c r="CI223" i="1"/>
  <c r="CK59" i="1"/>
  <c r="CJ223" i="1"/>
  <c r="AO83" i="1"/>
  <c r="AJ83" i="1"/>
  <c r="AM203" i="1"/>
  <c r="AM204" i="1" s="1"/>
  <c r="CM68" i="8" l="1"/>
  <c r="CM69" i="8"/>
  <c r="CL95" i="1"/>
  <c r="CL76" i="1"/>
  <c r="CL222" i="1"/>
  <c r="CM42" i="1"/>
  <c r="CM231" i="1" s="1"/>
  <c r="CM41" i="1"/>
  <c r="CM40" i="1"/>
  <c r="CL75" i="1"/>
  <c r="CL221" i="1"/>
  <c r="CK223" i="1"/>
  <c r="CK98" i="1"/>
  <c r="CN87" i="1"/>
  <c r="CN22" i="1"/>
  <c r="AN203" i="1"/>
  <c r="AN204" i="1" s="1"/>
  <c r="CN91" i="98" l="1"/>
  <c r="CM222" i="1"/>
  <c r="CM117" i="1" s="1"/>
  <c r="CL117" i="1"/>
  <c r="CN69" i="8"/>
  <c r="CM221" i="1"/>
  <c r="CN68" i="8"/>
  <c r="J9" i="95"/>
  <c r="CN88" i="1"/>
  <c r="CN96" i="98" s="1"/>
  <c r="CN80" i="1"/>
  <c r="CP118" i="8"/>
  <c r="CN218" i="1"/>
  <c r="CP57" i="8"/>
  <c r="AO203" i="1"/>
  <c r="AO204" i="1" s="1"/>
  <c r="AP203" i="1"/>
  <c r="AP204" i="1" s="1"/>
  <c r="CO69" i="8" l="1"/>
  <c r="CO68" i="8"/>
  <c r="CP123" i="8"/>
  <c r="CP22" i="1"/>
  <c r="CP87" i="1"/>
  <c r="AQ203" i="1"/>
  <c r="AQ204" i="1" s="1"/>
  <c r="CP91" i="98" l="1"/>
  <c r="CR21" i="1"/>
  <c r="CO87" i="1"/>
  <c r="CO22" i="1"/>
  <c r="CP80" i="1"/>
  <c r="CR118" i="8"/>
  <c r="CR123" i="8" s="1"/>
  <c r="CP88" i="1"/>
  <c r="CQ87" i="1"/>
  <c r="AR203" i="1"/>
  <c r="AR204" i="1" s="1"/>
  <c r="CQ80" i="1" l="1"/>
  <c r="CQ91" i="98"/>
  <c r="CO91" i="98"/>
  <c r="CP96" i="98"/>
  <c r="CP218" i="1"/>
  <c r="CR22" i="1"/>
  <c r="CO80" i="1"/>
  <c r="CO88" i="1"/>
  <c r="CO96" i="98" s="1"/>
  <c r="CQ57" i="8"/>
  <c r="CO218" i="1"/>
  <c r="CQ118" i="8"/>
  <c r="CR57" i="8"/>
  <c r="CQ218" i="1"/>
  <c r="CS118" i="8"/>
  <c r="CS123" i="8" s="1"/>
  <c r="CQ88" i="1"/>
  <c r="AS203" i="1"/>
  <c r="AS204" i="1" s="1"/>
  <c r="CR91" i="98" l="1"/>
  <c r="CR130" i="98"/>
  <c r="CQ96" i="98"/>
  <c r="K5" i="95"/>
  <c r="K17" i="95" s="1"/>
  <c r="CQ227" i="1"/>
  <c r="CQ123" i="8"/>
  <c r="CT118" i="8"/>
  <c r="CT123" i="8" s="1"/>
  <c r="CP227" i="1"/>
  <c r="CP230" i="1" s="1"/>
  <c r="CS57" i="8"/>
  <c r="CT57" i="8" s="1"/>
  <c r="CR230" i="1"/>
  <c r="CN227" i="1"/>
  <c r="CO227" i="1"/>
  <c r="CO230" i="1" s="1"/>
  <c r="CR80" i="1"/>
  <c r="CR218" i="1"/>
  <c r="AT203" i="1"/>
  <c r="AT204" i="1" s="1"/>
  <c r="AT205" i="1" s="1"/>
  <c r="AU203" i="1"/>
  <c r="AU204" i="1" s="1"/>
  <c r="CQ230" i="1" l="1"/>
  <c r="CN230" i="1"/>
  <c r="CQ228" i="1"/>
  <c r="CS71" i="8" s="1"/>
  <c r="CR228" i="1"/>
  <c r="CT71" i="8" s="1"/>
  <c r="AV203" i="1"/>
  <c r="AV204" i="1" s="1"/>
  <c r="CS87" i="1" l="1"/>
  <c r="CW21" i="1"/>
  <c r="AW203" i="1"/>
  <c r="AW204" i="1" s="1"/>
  <c r="CT87" i="1" l="1"/>
  <c r="AX203" i="1"/>
  <c r="AX204" i="1" s="1"/>
  <c r="AY203" i="1" l="1"/>
  <c r="AY204" i="1" s="1"/>
  <c r="AY205" i="1" s="1"/>
  <c r="AZ203" i="1"/>
  <c r="AZ204" i="1" s="1"/>
  <c r="CS120" i="8" l="1"/>
  <c r="CQ90" i="1"/>
  <c r="CQ72" i="1"/>
  <c r="CQ71" i="1"/>
  <c r="CP72" i="1"/>
  <c r="CP71" i="1"/>
  <c r="CP90" i="1"/>
  <c r="CR120" i="8"/>
  <c r="BA203" i="1"/>
  <c r="BA204" i="1" s="1"/>
  <c r="BB203" i="1" l="1"/>
  <c r="BB204" i="1" s="1"/>
  <c r="BC203" i="1" l="1"/>
  <c r="BC204" i="1" s="1"/>
  <c r="BD203" i="1" l="1"/>
  <c r="BD204" i="1" s="1"/>
  <c r="BD205" i="1" s="1"/>
  <c r="BE203" i="1"/>
  <c r="BE204" i="1" s="1"/>
  <c r="BF203" i="1" l="1"/>
  <c r="BF204" i="1" s="1"/>
  <c r="BG203" i="1" l="1"/>
  <c r="BG204" i="1" s="1"/>
  <c r="BH203" i="1" l="1"/>
  <c r="BH204" i="1" s="1"/>
  <c r="BJ203" i="1" l="1"/>
  <c r="BJ204" i="1" s="1"/>
  <c r="BI203" i="1"/>
  <c r="BI204" i="1" s="1"/>
  <c r="BI205" i="1" s="1"/>
  <c r="BK203" i="1" l="1"/>
  <c r="BK204" i="1" s="1"/>
  <c r="BL203" i="1" l="1"/>
  <c r="BL204" i="1" s="1"/>
  <c r="E15" i="95" l="1"/>
  <c r="BM203" i="1"/>
  <c r="BM204" i="1" s="1"/>
  <c r="BO203" i="1" l="1"/>
  <c r="BO204" i="1" s="1"/>
  <c r="BN203" i="1"/>
  <c r="BN204" i="1" s="1"/>
  <c r="BN205" i="1" s="1"/>
  <c r="BP203" i="1" l="1"/>
  <c r="BP204" i="1" s="1"/>
  <c r="BQ203" i="1" l="1"/>
  <c r="BQ204" i="1" s="1"/>
  <c r="F15" i="95" l="1"/>
  <c r="BR203" i="1"/>
  <c r="BR204" i="1" s="1"/>
  <c r="CM14" i="1" l="1"/>
  <c r="BT203" i="1"/>
  <c r="BT204" i="1" s="1"/>
  <c r="BS203" i="1"/>
  <c r="BS204" i="1" s="1"/>
  <c r="BS205" i="1" s="1"/>
  <c r="BU203" i="1" l="1"/>
  <c r="BU204" i="1" s="1"/>
  <c r="BV203" i="1" l="1"/>
  <c r="BV204" i="1" s="1"/>
  <c r="G15" i="95" l="1"/>
  <c r="BW203" i="1"/>
  <c r="BW204" i="1" s="1"/>
  <c r="BX203" i="1" l="1"/>
  <c r="BX204" i="1" s="1"/>
  <c r="BX205" i="1" s="1"/>
  <c r="BY203" i="1"/>
  <c r="BY204" i="1" s="1"/>
  <c r="CR14" i="1" l="1"/>
  <c r="BZ203" i="1"/>
  <c r="BZ204" i="1" s="1"/>
  <c r="CA203" i="1" l="1"/>
  <c r="CA204" i="1" s="1"/>
  <c r="CB203" i="1" l="1"/>
  <c r="CB204" i="1" s="1"/>
  <c r="H15" i="95" l="1"/>
  <c r="CD203" i="1"/>
  <c r="CD204" i="1" s="1"/>
  <c r="CC203" i="1"/>
  <c r="CC204" i="1" s="1"/>
  <c r="CC205" i="1" s="1"/>
  <c r="CE203" i="1" l="1"/>
  <c r="CE204" i="1" s="1"/>
  <c r="EF14" i="1" l="1"/>
  <c r="EH14" i="1"/>
  <c r="CF203" i="1"/>
  <c r="CF204" i="1" s="1"/>
  <c r="CG203" i="1" l="1"/>
  <c r="CG204" i="1" s="1"/>
  <c r="I15" i="95" l="1"/>
  <c r="CH203" i="1"/>
  <c r="CH204" i="1" s="1"/>
  <c r="CH205" i="1" s="1"/>
  <c r="CI203" i="1" l="1"/>
  <c r="CI204" i="1" s="1"/>
  <c r="CJ203" i="1" l="1"/>
  <c r="CJ204" i="1" s="1"/>
  <c r="CK203" i="1" l="1"/>
  <c r="CK204" i="1" s="1"/>
  <c r="CL203" i="1" l="1"/>
  <c r="CL204" i="1" s="1"/>
  <c r="J15" i="95" l="1"/>
  <c r="CM13" i="1"/>
  <c r="CR13" i="1" l="1"/>
  <c r="CP203" i="1"/>
  <c r="CP204" i="1" s="1"/>
  <c r="CU93" i="98" l="1"/>
  <c r="CU86" i="1"/>
  <c r="EF13" i="1" l="1"/>
  <c r="EH13" i="1"/>
  <c r="CV93" i="98" l="1"/>
  <c r="EG20" i="1"/>
  <c r="CV69" i="1"/>
  <c r="EG69" i="1" s="1"/>
  <c r="CV70" i="1"/>
  <c r="EG70" i="1" s="1"/>
  <c r="CV67" i="1"/>
  <c r="EG67" i="1" s="1"/>
  <c r="CV68" i="1"/>
  <c r="EG68" i="1" s="1"/>
  <c r="CV86" i="1" l="1"/>
  <c r="EG86" i="1" s="1"/>
  <c r="CW24" i="1" l="1"/>
  <c r="CW26" i="1"/>
  <c r="CW25" i="1"/>
  <c r="DB119" i="8" l="1"/>
  <c r="CZ86" i="1"/>
  <c r="ED20" i="1" l="1"/>
  <c r="DA86" i="1" l="1"/>
  <c r="ED86" i="1" s="1"/>
  <c r="ED26" i="1"/>
  <c r="ED25" i="1"/>
  <c r="DC119" i="8" l="1"/>
  <c r="ED24" i="1"/>
  <c r="CW120" i="8" l="1"/>
  <c r="CU90" i="1"/>
  <c r="DB120" i="8" l="1"/>
  <c r="CZ90" i="1" l="1"/>
  <c r="DG120" i="8"/>
  <c r="DE90" i="1"/>
  <c r="DL120" i="8" l="1"/>
  <c r="DJ90" i="1"/>
  <c r="DO90" i="1" l="1"/>
  <c r="DQ120" i="8"/>
  <c r="DV120" i="8" l="1"/>
  <c r="DT90" i="1"/>
  <c r="EA120" i="8" l="1"/>
  <c r="DY90" i="1"/>
  <c r="CU17" i="1" l="1"/>
  <c r="CP38" i="1" l="1"/>
  <c r="CR121" i="8"/>
  <c r="CR125" i="8" s="1"/>
  <c r="CP209" i="1"/>
  <c r="CU209" i="1"/>
  <c r="CP45" i="1" l="1"/>
  <c r="CP41" i="1"/>
  <c r="CP73" i="1"/>
  <c r="CP39" i="1"/>
  <c r="CP91" i="1"/>
  <c r="CP77" i="1" l="1"/>
  <c r="CP96" i="1"/>
  <c r="CP78" i="1"/>
  <c r="CP49" i="1"/>
  <c r="CP47" i="1"/>
  <c r="CP74" i="1"/>
  <c r="CP92" i="1"/>
  <c r="CQ209" i="1"/>
  <c r="CP93" i="1" l="1"/>
  <c r="CP95" i="1"/>
  <c r="CP182" i="1"/>
  <c r="CP210" i="1" s="1"/>
  <c r="CP75" i="1"/>
  <c r="CP231" i="1"/>
  <c r="CP76" i="1"/>
  <c r="CP58" i="1"/>
  <c r="CP147" i="98" s="1"/>
  <c r="CR77" i="8"/>
  <c r="CP63" i="1"/>
  <c r="CP197" i="1"/>
  <c r="CP97" i="1"/>
  <c r="CP81" i="1"/>
  <c r="CP59" i="1" l="1"/>
  <c r="CP98" i="1" l="1"/>
  <c r="CS186" i="1" l="1"/>
  <c r="CT220" i="1"/>
  <c r="CS220" i="1"/>
  <c r="CU220" i="1"/>
  <c r="CS190" i="1" l="1"/>
  <c r="CS17" i="1" l="1"/>
  <c r="CS93" i="98" l="1"/>
  <c r="CS70" i="1" l="1"/>
  <c r="CS68" i="1"/>
  <c r="CS22" i="1"/>
  <c r="CS88" i="1" s="1"/>
  <c r="CS67" i="1"/>
  <c r="CS86" i="1"/>
  <c r="CS69" i="1"/>
  <c r="CS91" i="98"/>
  <c r="CS38" i="1"/>
  <c r="CS218" i="1"/>
  <c r="CU118" i="8" l="1"/>
  <c r="CS96" i="98"/>
  <c r="CS159" i="1"/>
  <c r="CS45" i="1"/>
  <c r="CS41" i="1"/>
  <c r="CS161" i="1" l="1"/>
  <c r="CS40" i="1" s="1"/>
  <c r="CS39" i="1"/>
  <c r="EF20" i="1"/>
  <c r="CX67" i="1" l="1"/>
  <c r="CX93" i="98"/>
  <c r="CX70" i="1"/>
  <c r="CX69" i="1"/>
  <c r="CX68" i="1"/>
  <c r="CS42" i="1"/>
  <c r="CX86" i="1"/>
  <c r="EH24" i="1" l="1"/>
  <c r="EF24" i="1"/>
  <c r="EH25" i="1"/>
  <c r="EF25" i="1"/>
  <c r="EF26" i="1"/>
  <c r="EH26" i="1"/>
  <c r="CZ119" i="8"/>
  <c r="CZ124" i="8" s="1"/>
  <c r="DC86" i="1"/>
  <c r="DB124" i="8" l="1"/>
  <c r="DC124" i="8" s="1"/>
  <c r="DD15" i="8" l="1"/>
  <c r="DE119" i="8"/>
  <c r="DH86" i="1"/>
  <c r="DE127" i="8" l="1"/>
  <c r="DM86" i="1" l="1"/>
  <c r="DR86" i="1" l="1"/>
  <c r="DT119" i="8" l="1"/>
  <c r="DR67" i="1"/>
  <c r="DR69" i="1"/>
  <c r="DW86" i="1"/>
  <c r="DY119" i="8" l="1"/>
  <c r="DY127" i="8" s="1"/>
  <c r="DW67" i="1"/>
  <c r="DW69" i="1"/>
  <c r="CT17" i="1"/>
  <c r="CT69" i="1" l="1"/>
  <c r="EH20" i="1"/>
  <c r="CT93" i="98"/>
  <c r="CW20" i="1"/>
  <c r="CW93" i="98" s="1"/>
  <c r="CT67" i="1"/>
  <c r="CT22" i="1"/>
  <c r="CT86" i="1"/>
  <c r="CT68" i="1"/>
  <c r="CT70" i="1"/>
  <c r="CT91" i="98" l="1"/>
  <c r="CT38" i="1"/>
  <c r="CT88" i="1"/>
  <c r="CW86" i="1"/>
  <c r="CT218" i="1"/>
  <c r="CV118" i="8"/>
  <c r="CT96" i="98" l="1"/>
  <c r="CT45" i="1"/>
  <c r="CT41" i="1"/>
  <c r="CY86" i="1"/>
  <c r="EF86" i="1" s="1"/>
  <c r="DB20" i="1"/>
  <c r="DB86" i="1" l="1"/>
  <c r="DB26" i="1"/>
  <c r="DB25" i="1"/>
  <c r="DB24" i="1" l="1"/>
  <c r="DD119" i="8"/>
  <c r="DD124" i="8" s="1"/>
  <c r="DI86" i="1" l="1"/>
  <c r="DD86" i="1"/>
  <c r="DF119" i="8" l="1"/>
  <c r="DF127" i="8" l="1"/>
  <c r="DN86" i="1"/>
  <c r="DS86" i="1" l="1"/>
  <c r="DX86" i="1" l="1"/>
  <c r="DU119" i="8"/>
  <c r="DS67" i="1"/>
  <c r="DS69" i="1"/>
  <c r="DX69" i="1" l="1"/>
  <c r="DZ119" i="8"/>
  <c r="DZ127" i="8" s="1"/>
  <c r="DX67" i="1"/>
  <c r="CQ203" i="1" l="1"/>
  <c r="CQ204" i="1" s="1"/>
  <c r="K15" i="95" l="1"/>
  <c r="CT83" i="1" l="1"/>
  <c r="CT72" i="1"/>
  <c r="CS72" i="1"/>
  <c r="CS83" i="1" l="1"/>
  <c r="CT208" i="1"/>
  <c r="CV119" i="8"/>
  <c r="CT120" i="1"/>
  <c r="CS208" i="1"/>
  <c r="CU119" i="8"/>
  <c r="CW125" i="98" l="1"/>
  <c r="CZ127" i="8"/>
  <c r="DA127" i="8"/>
  <c r="CS120" i="1"/>
  <c r="CV127" i="8"/>
  <c r="CU127" i="8"/>
  <c r="CU68" i="1" l="1"/>
  <c r="CU70" i="1"/>
  <c r="CU67" i="1"/>
  <c r="CU208" i="1"/>
  <c r="CU89" i="1"/>
  <c r="CW119" i="8"/>
  <c r="CU69" i="1"/>
  <c r="CV208" i="1"/>
  <c r="CV89" i="1"/>
  <c r="EG89" i="1" s="1"/>
  <c r="CX119" i="8"/>
  <c r="CX124" i="8" s="1"/>
  <c r="DC127" i="8" l="1"/>
  <c r="DB127" i="8"/>
  <c r="CY119" i="8"/>
  <c r="CW68" i="1"/>
  <c r="CX127" i="8"/>
  <c r="CW69" i="1"/>
  <c r="CW208" i="1"/>
  <c r="CW70" i="1"/>
  <c r="CW89" i="1"/>
  <c r="CW67" i="1"/>
  <c r="CW127" i="8"/>
  <c r="DC85" i="8" l="1"/>
  <c r="CX85" i="8"/>
  <c r="CY124" i="8" l="1"/>
  <c r="CY208" i="1"/>
  <c r="CY89" i="1"/>
  <c r="CX89" i="1"/>
  <c r="CX208" i="1"/>
  <c r="CZ89" i="1" l="1"/>
  <c r="CZ208" i="1"/>
  <c r="ED68" i="1" l="1"/>
  <c r="EH68" i="1" s="1"/>
  <c r="DA89" i="1"/>
  <c r="ED89" i="1" s="1"/>
  <c r="EF89" i="1" s="1"/>
  <c r="DA208" i="1"/>
  <c r="ED67" i="1"/>
  <c r="EF67" i="1" s="1"/>
  <c r="ED70" i="1"/>
  <c r="EH70" i="1" s="1"/>
  <c r="DB68" i="1"/>
  <c r="ED69" i="1"/>
  <c r="EH69" i="1" s="1"/>
  <c r="EF68" i="1" l="1"/>
  <c r="EF70" i="1"/>
  <c r="EF69" i="1"/>
  <c r="EH67" i="1"/>
  <c r="DB89" i="1"/>
  <c r="DB208" i="1"/>
  <c r="DB67" i="1"/>
  <c r="DB70" i="1"/>
  <c r="DB69" i="1"/>
  <c r="DC89" i="1" l="1"/>
  <c r="DC208" i="1"/>
  <c r="DC70" i="1"/>
  <c r="DC67" i="1"/>
  <c r="DD69" i="1"/>
  <c r="DC68" i="1"/>
  <c r="DC69" i="1"/>
  <c r="DD67" i="1"/>
  <c r="DD208" i="1"/>
  <c r="DD89" i="1"/>
  <c r="DD70" i="1"/>
  <c r="DD68" i="1"/>
  <c r="DE182" i="1" l="1"/>
  <c r="DE210" i="1" s="1"/>
  <c r="DF182" i="1"/>
  <c r="DF210" i="1" s="1"/>
  <c r="DH69" i="1" l="1"/>
  <c r="DH68" i="1"/>
  <c r="DH67" i="1"/>
  <c r="DH70" i="1"/>
  <c r="DH89" i="1"/>
  <c r="DJ119" i="8"/>
  <c r="DH208" i="1"/>
  <c r="DI70" i="1"/>
  <c r="DI208" i="1"/>
  <c r="DI67" i="1"/>
  <c r="DI89" i="1"/>
  <c r="DK119" i="8"/>
  <c r="DI69" i="1"/>
  <c r="DI68" i="1"/>
  <c r="DJ127" i="8" l="1"/>
  <c r="DK127" i="8"/>
  <c r="DJ57" i="1" l="1"/>
  <c r="DJ162" i="1"/>
  <c r="DJ182" i="1"/>
  <c r="DJ210" i="1" s="1"/>
  <c r="DJ21" i="98" l="1"/>
  <c r="DJ28" i="98"/>
  <c r="DK162" i="1" l="1"/>
  <c r="DK182" i="1"/>
  <c r="DK210" i="1" s="1"/>
  <c r="DK57" i="1"/>
  <c r="DN67" i="1"/>
  <c r="DP119" i="8"/>
  <c r="DU127" i="8" s="1"/>
  <c r="DN69" i="1"/>
  <c r="DM69" i="1"/>
  <c r="DM67" i="1"/>
  <c r="DO119" i="8"/>
  <c r="DT127" i="8" s="1"/>
  <c r="DK21" i="98" l="1"/>
  <c r="DK28" i="98"/>
  <c r="DO127" i="8"/>
  <c r="DP127" i="8"/>
  <c r="DP162" i="1" l="1"/>
  <c r="DP182" i="1"/>
  <c r="DP210" i="1" s="1"/>
  <c r="DP57" i="1"/>
  <c r="DO57" i="1"/>
  <c r="DO162" i="1"/>
  <c r="DO182" i="1"/>
  <c r="DO210" i="1" s="1"/>
  <c r="DO21" i="98" l="1"/>
  <c r="DO28" i="98"/>
  <c r="DP21" i="98"/>
  <c r="DP28" i="98"/>
  <c r="CL47" i="1" l="1"/>
  <c r="CL49" i="1"/>
  <c r="CL58" i="1" s="1"/>
  <c r="CL147" i="98" s="1"/>
  <c r="CL78" i="1"/>
  <c r="CL97" i="1" l="1"/>
  <c r="CL81" i="1"/>
  <c r="CL59" i="1"/>
  <c r="CL63" i="1"/>
  <c r="CL197" i="1"/>
  <c r="CN77" i="8"/>
  <c r="CL223" i="1" l="1"/>
  <c r="CM223" i="1" s="1"/>
  <c r="CN80" i="8"/>
  <c r="CN81" i="8" s="1"/>
  <c r="CN82" i="8" s="1"/>
  <c r="CL98" i="1"/>
  <c r="CM209" i="1" l="1"/>
  <c r="CM172" i="1"/>
  <c r="CM208" i="1"/>
  <c r="CM67" i="1"/>
  <c r="CM70" i="1"/>
  <c r="CR89" i="1"/>
  <c r="CM89" i="1"/>
  <c r="CM193" i="1"/>
  <c r="CR193" i="1"/>
  <c r="CM190" i="1"/>
  <c r="CM187" i="1"/>
  <c r="CM61" i="1"/>
  <c r="CM90" i="1"/>
  <c r="CR87" i="1"/>
  <c r="CM87" i="1"/>
  <c r="CM69" i="1"/>
  <c r="CM17" i="1"/>
  <c r="CM60" i="1"/>
  <c r="CM68" i="1"/>
  <c r="CM194" i="1"/>
  <c r="CR86" i="1"/>
  <c r="CM203" i="1"/>
  <c r="CM204" i="1" s="1"/>
  <c r="CM205" i="1" s="1"/>
  <c r="CM22" i="1"/>
  <c r="CM130" i="98" s="1"/>
  <c r="CM72" i="1" l="1"/>
  <c r="CR88" i="1"/>
  <c r="J5" i="95"/>
  <c r="CM123" i="1"/>
  <c r="CM195" i="1"/>
  <c r="CM38" i="1"/>
  <c r="CK227" i="1"/>
  <c r="CI227" i="1"/>
  <c r="CM230" i="1"/>
  <c r="CM75" i="1"/>
  <c r="CM80" i="1"/>
  <c r="CM76" i="1"/>
  <c r="CM71" i="1"/>
  <c r="CN57" i="8"/>
  <c r="CJ227" i="1"/>
  <c r="CM74" i="1"/>
  <c r="CL227" i="1"/>
  <c r="CR83" i="1"/>
  <c r="CR96" i="98" l="1"/>
  <c r="J17" i="95"/>
  <c r="K6" i="95"/>
  <c r="J7" i="95"/>
  <c r="CO57" i="8"/>
  <c r="CO59" i="8" s="1"/>
  <c r="CN59" i="8"/>
  <c r="CL228" i="1"/>
  <c r="CN71" i="8" s="1"/>
  <c r="CI230" i="1"/>
  <c r="CM228" i="1"/>
  <c r="CO71" i="8" s="1"/>
  <c r="CI231" i="1"/>
  <c r="CJ230" i="1"/>
  <c r="CN228" i="1"/>
  <c r="CP71" i="8" s="1"/>
  <c r="CJ231" i="1"/>
  <c r="CL230" i="1"/>
  <c r="CP228" i="1"/>
  <c r="CR71" i="8" s="1"/>
  <c r="CL231" i="1"/>
  <c r="CO228" i="1"/>
  <c r="CQ71" i="8" s="1"/>
  <c r="CM73" i="1"/>
  <c r="CM45" i="1"/>
  <c r="CK231" i="1"/>
  <c r="CK230" i="1"/>
  <c r="CM77" i="1" l="1"/>
  <c r="CM47" i="1"/>
  <c r="CM78" i="1"/>
  <c r="CM49" i="1"/>
  <c r="CM232" i="1"/>
  <c r="CO72" i="8" s="1"/>
  <c r="CL232" i="1"/>
  <c r="CN72" i="8" s="1"/>
  <c r="CM182" i="1" l="1"/>
  <c r="CM210" i="1" s="1"/>
  <c r="CN55" i="8"/>
  <c r="CM81" i="1"/>
  <c r="CM58" i="1"/>
  <c r="CM197" i="1"/>
  <c r="CO77" i="8"/>
  <c r="CM63" i="1"/>
  <c r="CM147" i="98" l="1"/>
  <c r="CM59" i="1"/>
  <c r="CO55" i="8"/>
  <c r="CO60" i="8" s="1"/>
  <c r="CN60" i="8"/>
  <c r="CO80" i="8"/>
  <c r="CO81" i="8" s="1"/>
  <c r="CO82" i="8" s="1"/>
  <c r="J11" i="95" l="1"/>
  <c r="J37" i="95" s="1"/>
  <c r="CM124" i="1"/>
  <c r="CN36" i="1" l="1"/>
  <c r="CN214" i="1" l="1"/>
  <c r="CQ36" i="1"/>
  <c r="CR36" i="1" l="1"/>
  <c r="EH36" i="1"/>
  <c r="CQ214" i="1"/>
  <c r="CQ38" i="1"/>
  <c r="CS121" i="8"/>
  <c r="CS125" i="8" s="1"/>
  <c r="CQ41" i="1" l="1"/>
  <c r="CR214" i="1"/>
  <c r="CQ73" i="1"/>
  <c r="CQ159" i="1"/>
  <c r="CQ161" i="1" s="1"/>
  <c r="CQ39" i="1" s="1"/>
  <c r="CQ91" i="1"/>
  <c r="CQ45" i="1"/>
  <c r="CQ78" i="1" s="1"/>
  <c r="CQ162" i="1" l="1"/>
  <c r="CQ182" i="1"/>
  <c r="CQ210" i="1" s="1"/>
  <c r="CQ163" i="1"/>
  <c r="CQ96" i="1"/>
  <c r="CQ77" i="1"/>
  <c r="CQ92" i="1"/>
  <c r="CQ74" i="1"/>
  <c r="CQ95" i="1" l="1"/>
  <c r="CQ76" i="1"/>
  <c r="CQ231" i="1"/>
  <c r="CQ75" i="1"/>
  <c r="CQ93" i="1" l="1"/>
  <c r="CQ49" i="1"/>
  <c r="CQ47" i="1"/>
  <c r="CQ81" i="1" l="1"/>
  <c r="CQ63" i="1"/>
  <c r="CQ197" i="1"/>
  <c r="CQ97" i="1"/>
  <c r="CQ58" i="1"/>
  <c r="CQ147" i="98" s="1"/>
  <c r="CS77" i="8"/>
  <c r="CQ59" i="1" l="1"/>
  <c r="CQ98" i="1" l="1"/>
  <c r="CS49" i="1" l="1"/>
  <c r="CS78" i="1"/>
  <c r="CS77" i="1"/>
  <c r="CS47" i="1"/>
  <c r="CS73" i="1"/>
  <c r="CU120" i="8"/>
  <c r="CS71" i="1"/>
  <c r="CS209" i="1"/>
  <c r="CU121" i="8"/>
  <c r="CS11" i="98" l="1"/>
  <c r="CS37" i="98" s="1"/>
  <c r="CS98" i="98" s="1"/>
  <c r="CS99" i="98" s="1"/>
  <c r="CU47" i="8"/>
  <c r="CS63" i="1"/>
  <c r="CS81" i="1"/>
  <c r="CU77" i="8"/>
  <c r="CS58" i="1"/>
  <c r="CS147" i="98" s="1"/>
  <c r="CS197" i="1"/>
  <c r="CS182" i="1"/>
  <c r="CS210" i="1" s="1"/>
  <c r="CS74" i="1"/>
  <c r="CS73" i="98" l="1"/>
  <c r="CS75" i="98" s="1"/>
  <c r="CS82" i="98" s="1"/>
  <c r="CS132" i="98"/>
  <c r="CS67" i="98"/>
  <c r="CS70" i="98" s="1"/>
  <c r="CT69" i="98" s="1"/>
  <c r="CS59" i="1"/>
  <c r="CZ120" i="8"/>
  <c r="CX90" i="1"/>
  <c r="CU12" i="8" l="1"/>
  <c r="CX61" i="1" l="1"/>
  <c r="EF57" i="1" l="1"/>
  <c r="DC182" i="1" l="1"/>
  <c r="DC210" i="1" s="1"/>
  <c r="DH162" i="1" l="1"/>
  <c r="DH182" i="1"/>
  <c r="DH210" i="1" s="1"/>
  <c r="DH57" i="1"/>
  <c r="DH21" i="98" l="1"/>
  <c r="DH28" i="98"/>
  <c r="DM162" i="1"/>
  <c r="DM182" i="1"/>
  <c r="DM210" i="1" s="1"/>
  <c r="DM57" i="1"/>
  <c r="DM21" i="98" l="1"/>
  <c r="DM28" i="98"/>
  <c r="CV121" i="8" l="1"/>
  <c r="CT209" i="1"/>
  <c r="CT71" i="1"/>
  <c r="CV120" i="8"/>
  <c r="CT224" i="1"/>
  <c r="CT225" i="1" s="1"/>
  <c r="CU224" i="1"/>
  <c r="CT73" i="1" l="1"/>
  <c r="CT219" i="1"/>
  <c r="CV70" i="8" s="1"/>
  <c r="CV56" i="8"/>
  <c r="CT78" i="1"/>
  <c r="CT182" i="1" l="1"/>
  <c r="CT210" i="1" s="1"/>
  <c r="CY90" i="1"/>
  <c r="CT47" i="1"/>
  <c r="CT77" i="1"/>
  <c r="CT49" i="1"/>
  <c r="CV47" i="8" l="1"/>
  <c r="CT63" i="1"/>
  <c r="CT197" i="1"/>
  <c r="CT81" i="1"/>
  <c r="CV77" i="8"/>
  <c r="CV55" i="8"/>
  <c r="DB21" i="98" l="1"/>
  <c r="DB57" i="1"/>
  <c r="DD182" i="1" l="1"/>
  <c r="DD210" i="1" s="1"/>
  <c r="DG21" i="98"/>
  <c r="DG57" i="1" l="1"/>
  <c r="DI162" i="1"/>
  <c r="DI182" i="1"/>
  <c r="DI210" i="1" s="1"/>
  <c r="DI57" i="1"/>
  <c r="DI21" i="98" l="1"/>
  <c r="DL21" i="98" s="1"/>
  <c r="DI28" i="98"/>
  <c r="DL28" i="98" s="1"/>
  <c r="DN162" i="1"/>
  <c r="DN182" i="1"/>
  <c r="DN210" i="1" s="1"/>
  <c r="DN57" i="1"/>
  <c r="DL57" i="1"/>
  <c r="DN21" i="98" l="1"/>
  <c r="DQ21" i="98" s="1"/>
  <c r="DN28" i="98"/>
  <c r="DQ28" i="98" s="1"/>
  <c r="DQ57" i="1"/>
  <c r="CU214" i="1" l="1"/>
  <c r="CW121" i="8"/>
  <c r="CU61" i="1" l="1"/>
  <c r="CV79" i="8" l="1"/>
  <c r="CU79" i="8"/>
  <c r="CW79" i="8" l="1"/>
  <c r="CX79" i="8" l="1"/>
  <c r="CZ79" i="8" l="1"/>
  <c r="CY79" i="8"/>
  <c r="CR49" i="8" l="1"/>
  <c r="CQ49" i="8"/>
  <c r="CP49" i="8"/>
  <c r="CS49" i="8"/>
  <c r="CT67" i="8" l="1"/>
  <c r="CT53" i="8"/>
  <c r="CU76" i="8"/>
  <c r="CS51" i="8"/>
  <c r="CS58" i="8" s="1"/>
  <c r="CT58" i="8" s="1"/>
  <c r="CQ51" i="8"/>
  <c r="CQ52" i="8" s="1"/>
  <c r="CR51" i="8"/>
  <c r="CR52" i="8" s="1"/>
  <c r="CR50" i="8"/>
  <c r="CQ50" i="8"/>
  <c r="CY76" i="8"/>
  <c r="CP51" i="8"/>
  <c r="CP52" i="8" s="1"/>
  <c r="CP53" i="8" s="1"/>
  <c r="CS50" i="8"/>
  <c r="CP50" i="8"/>
  <c r="CP67" i="8" l="1"/>
  <c r="CR80" i="8"/>
  <c r="CS52" i="8"/>
  <c r="CS53" i="8" s="1"/>
  <c r="CS80" i="8"/>
  <c r="CR53" i="8"/>
  <c r="CS76" i="8"/>
  <c r="CR58" i="8"/>
  <c r="CR67" i="8"/>
  <c r="CR76" i="8"/>
  <c r="CQ67" i="8"/>
  <c r="CQ53" i="8"/>
  <c r="CQ58" i="8"/>
  <c r="CQ76" i="8"/>
  <c r="CP58" i="8"/>
  <c r="CS67" i="8"/>
  <c r="CS81" i="8" l="1"/>
  <c r="CS82" i="8" s="1"/>
  <c r="CR81" i="8"/>
  <c r="CR82" i="8" s="1"/>
  <c r="DE50" i="8" l="1"/>
  <c r="DF50" i="8" s="1"/>
  <c r="DG50" i="8" s="1"/>
  <c r="DH50" i="8" s="1"/>
  <c r="DI50" i="8" s="1"/>
  <c r="DJ50" i="8" s="1"/>
  <c r="DK50" i="8" s="1"/>
  <c r="DL50" i="8" s="1"/>
  <c r="DM50" i="8" s="1"/>
  <c r="DN50" i="8" s="1"/>
  <c r="DO50" i="8" s="1"/>
  <c r="DP50" i="8" s="1"/>
  <c r="DQ50" i="8" s="1"/>
  <c r="DR50" i="8" s="1"/>
  <c r="DS50" i="8" s="1"/>
  <c r="DT50" i="8" s="1"/>
  <c r="DU50" i="8" s="1"/>
  <c r="DV50" i="8" s="1"/>
  <c r="DW50" i="8" s="1"/>
  <c r="DX50" i="8" s="1"/>
  <c r="DY50" i="8" s="1"/>
  <c r="DZ50" i="8" s="1"/>
  <c r="EA50" i="8" s="1"/>
  <c r="EB50" i="8" s="1"/>
  <c r="EC50" i="8" s="1"/>
  <c r="DE123" i="1" l="1"/>
  <c r="DA123" i="1"/>
  <c r="DF123" i="1" l="1"/>
  <c r="DC123" i="1"/>
  <c r="DD123" i="1"/>
  <c r="DI123" i="1" l="1"/>
  <c r="DH123" i="1"/>
  <c r="DJ123" i="1"/>
  <c r="DK123" i="1"/>
  <c r="DP123" i="1" l="1"/>
  <c r="DZ123" i="1" l="1"/>
  <c r="DU123" i="1"/>
  <c r="CR194" i="1" l="1"/>
  <c r="CR195" i="1" s="1"/>
  <c r="CR178" i="1"/>
  <c r="CR177" i="1" s="1"/>
  <c r="CQ173" i="1"/>
  <c r="CQ171" i="1" s="1"/>
  <c r="CR171" i="1" s="1"/>
  <c r="CS166" i="1"/>
  <c r="CT166" i="1"/>
  <c r="CU166" i="1"/>
  <c r="CR123" i="1" l="1"/>
  <c r="CR173" i="1"/>
  <c r="CR172" i="1" s="1"/>
  <c r="CW178" i="1" l="1"/>
  <c r="CW180" i="1" s="1"/>
  <c r="CV180" i="1"/>
  <c r="CY157" i="1" l="1"/>
  <c r="CY158" i="1" s="1"/>
  <c r="EJ30" i="1" l="1"/>
  <c r="EF65" i="1"/>
  <c r="EH65" i="1"/>
  <c r="CZ157" i="1"/>
  <c r="CZ158" i="1" s="1"/>
  <c r="CW171" i="1" l="1"/>
  <c r="CT172" i="1"/>
  <c r="CS172" i="1"/>
  <c r="CU87" i="1" l="1"/>
  <c r="CU22" i="1"/>
  <c r="CW121" i="98" l="1"/>
  <c r="CU91" i="98"/>
  <c r="CU72" i="1"/>
  <c r="CU83" i="1"/>
  <c r="CU88" i="1"/>
  <c r="CU71" i="1"/>
  <c r="CU218" i="1"/>
  <c r="CU225" i="1" s="1"/>
  <c r="CW118" i="8"/>
  <c r="CU38" i="1"/>
  <c r="CU120" i="1"/>
  <c r="CU96" i="98" l="1"/>
  <c r="CU45" i="1"/>
  <c r="CU159" i="1"/>
  <c r="CU41" i="1"/>
  <c r="CU219" i="1"/>
  <c r="CW70" i="8" s="1"/>
  <c r="CU91" i="1"/>
  <c r="CU73" i="1"/>
  <c r="CW56" i="8"/>
  <c r="CU78" i="1" l="1"/>
  <c r="CU161" i="1"/>
  <c r="CU40" i="1" s="1"/>
  <c r="CU39" i="1"/>
  <c r="CV74" i="98"/>
  <c r="CW74" i="98"/>
  <c r="CV133" i="98"/>
  <c r="CW133" i="98" s="1"/>
  <c r="CU96" i="1"/>
  <c r="CU77" i="1"/>
  <c r="CU47" i="1"/>
  <c r="CU49" i="1"/>
  <c r="CV87" i="1"/>
  <c r="EG87" i="1" s="1"/>
  <c r="CV22" i="1"/>
  <c r="EG22" i="1" s="1"/>
  <c r="CU11" i="98" l="1"/>
  <c r="CU37" i="98" s="1"/>
  <c r="CU67" i="98" s="1"/>
  <c r="CU92" i="1"/>
  <c r="CU74" i="1"/>
  <c r="CU42" i="1"/>
  <c r="CV80" i="1"/>
  <c r="CW92" i="98"/>
  <c r="CW49" i="8"/>
  <c r="CW51" i="8" s="1"/>
  <c r="CW52" i="8" s="1"/>
  <c r="CW87" i="1"/>
  <c r="CW22" i="1"/>
  <c r="CV120" i="1"/>
  <c r="CV88" i="1"/>
  <c r="EG88" i="1" s="1"/>
  <c r="CV218" i="1"/>
  <c r="CX118" i="8"/>
  <c r="CX123" i="8" s="1"/>
  <c r="CU182" i="1"/>
  <c r="CU210" i="1" s="1"/>
  <c r="CU197" i="1"/>
  <c r="CU81" i="1"/>
  <c r="CU63" i="1"/>
  <c r="CU97" i="1"/>
  <c r="CU58" i="1"/>
  <c r="CU147" i="98" s="1"/>
  <c r="CW55" i="8"/>
  <c r="CW77" i="8"/>
  <c r="EF80" i="1" l="1"/>
  <c r="EG80" i="1"/>
  <c r="CW130" i="98"/>
  <c r="CW91" i="98"/>
  <c r="CU98" i="98"/>
  <c r="CU73" i="98"/>
  <c r="CU75" i="98" s="1"/>
  <c r="CU82" i="98" s="1"/>
  <c r="EH80" i="1"/>
  <c r="CV96" i="98"/>
  <c r="CX133" i="98"/>
  <c r="CX74" i="98"/>
  <c r="CY118" i="8"/>
  <c r="CW230" i="1"/>
  <c r="L5" i="95"/>
  <c r="CW88" i="1"/>
  <c r="CW96" i="98" s="1"/>
  <c r="CS227" i="1"/>
  <c r="CT227" i="1"/>
  <c r="CU227" i="1"/>
  <c r="CW218" i="1"/>
  <c r="CU59" i="1"/>
  <c r="CW120" i="1"/>
  <c r="CV227" i="1"/>
  <c r="CU230" i="1" l="1"/>
  <c r="CS230" i="1"/>
  <c r="CV228" i="1"/>
  <c r="CX71" i="8" s="1"/>
  <c r="CU228" i="1"/>
  <c r="CW71" i="8" s="1"/>
  <c r="CT228" i="1"/>
  <c r="CV71" i="8" s="1"/>
  <c r="CS228" i="1"/>
  <c r="CU71" i="8" s="1"/>
  <c r="CW228" i="1"/>
  <c r="CY71" i="8" s="1"/>
  <c r="CX84" i="8"/>
  <c r="CV230" i="1"/>
  <c r="CT230" i="1"/>
  <c r="L6" i="95"/>
  <c r="CX120" i="1"/>
  <c r="CU98" i="1"/>
  <c r="CY123" i="8" l="1"/>
  <c r="CV220" i="1" l="1"/>
  <c r="CW220" i="1" l="1"/>
  <c r="CW46" i="1" l="1"/>
  <c r="CX76" i="8" l="1"/>
  <c r="CW67" i="8" l="1"/>
  <c r="CW245" i="8"/>
  <c r="CU116" i="1"/>
  <c r="CV116" i="1"/>
  <c r="CW249" i="8" l="1"/>
  <c r="CW271" i="8"/>
  <c r="CW272" i="8" l="1"/>
  <c r="CU186" i="1"/>
  <c r="CU190" i="1" l="1"/>
  <c r="CS75" i="1"/>
  <c r="CT75" i="1"/>
  <c r="CS76" i="1"/>
  <c r="CU95" i="1"/>
  <c r="CS231" i="1" l="1"/>
  <c r="CT221" i="1"/>
  <c r="CV68" i="8" s="1"/>
  <c r="CU76" i="1"/>
  <c r="CU231" i="1"/>
  <c r="CU221" i="1"/>
  <c r="CW68" i="8" s="1"/>
  <c r="CU75" i="1"/>
  <c r="CU95" i="8" l="1"/>
  <c r="CV95" i="8"/>
  <c r="CW95" i="8"/>
  <c r="CU111" i="8"/>
  <c r="CV111" i="8"/>
  <c r="CW111" i="8"/>
  <c r="CU125" i="8"/>
  <c r="CV125" i="8"/>
  <c r="CW125" i="8"/>
  <c r="DB125" i="8" s="1"/>
  <c r="DC125" i="8" s="1"/>
  <c r="DP125" i="8" l="1"/>
  <c r="DU125" i="8" s="1"/>
  <c r="DZ125" i="8" s="1"/>
  <c r="DQ125" i="8" l="1"/>
  <c r="DV125" i="8" s="1"/>
  <c r="EA125" i="8" s="1"/>
  <c r="CU63" i="8" l="1"/>
  <c r="CV63" i="8"/>
  <c r="CW63" i="8"/>
  <c r="CU84" i="8"/>
  <c r="CV84" i="8"/>
  <c r="CW84" i="8"/>
  <c r="CU85" i="8"/>
  <c r="CV85" i="8"/>
  <c r="CW85" i="8"/>
  <c r="CU100" i="8"/>
  <c r="CV100" i="8"/>
  <c r="CW100" i="8"/>
  <c r="CX100" i="8"/>
  <c r="CU101" i="8"/>
  <c r="CV101" i="8"/>
  <c r="CW101" i="8"/>
  <c r="CX101" i="8"/>
  <c r="CU123" i="8"/>
  <c r="CV123" i="8"/>
  <c r="CW123" i="8"/>
  <c r="CU124" i="8"/>
  <c r="CV124" i="8"/>
  <c r="CW124" i="8"/>
  <c r="DG124" i="8" l="1"/>
  <c r="DF124" i="8" l="1"/>
  <c r="DE124" i="8"/>
  <c r="DL124" i="8"/>
  <c r="DB85" i="8"/>
  <c r="DC101" i="8"/>
  <c r="DB101" i="8" l="1"/>
  <c r="DE15" i="8"/>
  <c r="DJ124" i="8"/>
  <c r="DA85" i="8"/>
  <c r="DA101" i="8"/>
  <c r="DQ124" i="8"/>
  <c r="DV124" i="8" s="1"/>
  <c r="CZ101" i="8"/>
  <c r="CZ85" i="8"/>
  <c r="DF15" i="8"/>
  <c r="DK124" i="8"/>
  <c r="EA124" i="8" l="1"/>
  <c r="DD32" i="98"/>
  <c r="DC32" i="98"/>
  <c r="DB32" i="98"/>
  <c r="DK15" i="8"/>
  <c r="DP124" i="8"/>
  <c r="DU124" i="8" s="1"/>
  <c r="DE85" i="8"/>
  <c r="DE101" i="8"/>
  <c r="DF101" i="8"/>
  <c r="DF85" i="8"/>
  <c r="DJ15" i="8"/>
  <c r="DO124" i="8"/>
  <c r="DT124" i="8" s="1"/>
  <c r="DU15" i="8" l="1"/>
  <c r="DZ124" i="8"/>
  <c r="DZ15" i="8" s="1"/>
  <c r="DY124" i="8"/>
  <c r="DY15" i="8" s="1"/>
  <c r="DT15" i="8"/>
  <c r="DP15" i="8"/>
  <c r="DO15" i="8"/>
  <c r="DI32" i="98"/>
  <c r="DK85" i="8"/>
  <c r="DK101" i="8"/>
  <c r="DJ85" i="8"/>
  <c r="DP85" i="8" l="1"/>
  <c r="DO85" i="8"/>
  <c r="DT85" i="8"/>
  <c r="DS32" i="98"/>
  <c r="DU101" i="8"/>
  <c r="DU85" i="8"/>
  <c r="DY85" i="8"/>
  <c r="DX32" i="98"/>
  <c r="DZ101" i="8"/>
  <c r="DZ85" i="8"/>
  <c r="DN32" i="98"/>
  <c r="DP101" i="8"/>
  <c r="CD17" i="1" l="1"/>
  <c r="CH17" i="1" l="1"/>
  <c r="CH83" i="1" s="1"/>
  <c r="CD72" i="1"/>
  <c r="CD83" i="1"/>
  <c r="CI83" i="1"/>
  <c r="CH72" i="1" l="1"/>
  <c r="CM83" i="1"/>
  <c r="CD91" i="98"/>
  <c r="CD130" i="98"/>
  <c r="CH20" i="1"/>
  <c r="CD68" i="1"/>
  <c r="CD70" i="1"/>
  <c r="CD86" i="1"/>
  <c r="CD22" i="1"/>
  <c r="CD67" i="1"/>
  <c r="CD69" i="1"/>
  <c r="CI86" i="1"/>
  <c r="CH91" i="98" l="1"/>
  <c r="CH130" i="98"/>
  <c r="CF57" i="8"/>
  <c r="CG57" i="8"/>
  <c r="CH57" i="8"/>
  <c r="CF118" i="8"/>
  <c r="CD88" i="1"/>
  <c r="CD96" i="98" s="1"/>
  <c r="CF218" i="1"/>
  <c r="CF225" i="1" s="1"/>
  <c r="CD80" i="1"/>
  <c r="CG218" i="1"/>
  <c r="CD38" i="1"/>
  <c r="CD71" i="1"/>
  <c r="CI88" i="1"/>
  <c r="CD218" i="1"/>
  <c r="CD225" i="1" s="1"/>
  <c r="CE218" i="1"/>
  <c r="CE225" i="1" s="1"/>
  <c r="CH68" i="1"/>
  <c r="CH70" i="1"/>
  <c r="CH86" i="1"/>
  <c r="CH67" i="1"/>
  <c r="CH69" i="1"/>
  <c r="CM86" i="1"/>
  <c r="CH22" i="1"/>
  <c r="CD227" i="1" s="1"/>
  <c r="CD228" i="1" l="1"/>
  <c r="CF71" i="8" s="1"/>
  <c r="CD230" i="1"/>
  <c r="CI57" i="8"/>
  <c r="CJ57" i="8" s="1"/>
  <c r="I5" i="95"/>
  <c r="CH38" i="1"/>
  <c r="CF227" i="1"/>
  <c r="CH88" i="1"/>
  <c r="CH96" i="98" s="1"/>
  <c r="CG227" i="1"/>
  <c r="CH71" i="1"/>
  <c r="CM88" i="1"/>
  <c r="CM96" i="98" s="1"/>
  <c r="CH80" i="1"/>
  <c r="CH230" i="1"/>
  <c r="CE227" i="1"/>
  <c r="CF228" i="1" s="1"/>
  <c r="CH71" i="8" s="1"/>
  <c r="CG225" i="1"/>
  <c r="CH218" i="1"/>
  <c r="CH225" i="1" s="1"/>
  <c r="CJ118" i="8"/>
  <c r="CJ123" i="8" s="1"/>
  <c r="CF123" i="8"/>
  <c r="CG56" i="8"/>
  <c r="CG59" i="8" s="1"/>
  <c r="CH56" i="8"/>
  <c r="CH59" i="8" s="1"/>
  <c r="CF56" i="8"/>
  <c r="CF59" i="8" s="1"/>
  <c r="CI56" i="8"/>
  <c r="CD91" i="1"/>
  <c r="CE219" i="1"/>
  <c r="CG70" i="8" s="1"/>
  <c r="CD39" i="1"/>
  <c r="CF219" i="1"/>
  <c r="CH70" i="8" s="1"/>
  <c r="CD159" i="1"/>
  <c r="CG219" i="1"/>
  <c r="CD45" i="1"/>
  <c r="CD46" i="1" s="1"/>
  <c r="CD73" i="1"/>
  <c r="CI91" i="1"/>
  <c r="CD219" i="1"/>
  <c r="CF70" i="8" s="1"/>
  <c r="CJ56" i="8" l="1"/>
  <c r="CJ59" i="8" s="1"/>
  <c r="CI59" i="8"/>
  <c r="CH228" i="1"/>
  <c r="CJ71" i="8" s="1"/>
  <c r="CD74" i="1"/>
  <c r="CD92" i="1"/>
  <c r="CD42" i="1"/>
  <c r="CD41" i="1"/>
  <c r="CH39" i="1"/>
  <c r="CI92" i="1"/>
  <c r="CF230" i="1"/>
  <c r="CF231" i="1"/>
  <c r="CE228" i="1"/>
  <c r="CG71" i="8" s="1"/>
  <c r="CI70" i="8"/>
  <c r="CH219" i="1"/>
  <c r="CJ70" i="8" s="1"/>
  <c r="I7" i="95"/>
  <c r="CH91" i="1"/>
  <c r="CH45" i="1"/>
  <c r="CH79" i="1" s="1"/>
  <c r="CH73" i="1"/>
  <c r="CM91" i="1"/>
  <c r="CH159" i="1"/>
  <c r="CI96" i="1"/>
  <c r="CD49" i="1"/>
  <c r="CD78" i="1"/>
  <c r="CD163" i="1"/>
  <c r="CD96" i="1"/>
  <c r="CD47" i="1"/>
  <c r="CD77" i="1"/>
  <c r="CE231" i="1"/>
  <c r="CE230" i="1"/>
  <c r="CI228" i="1"/>
  <c r="CK71" i="8" s="1"/>
  <c r="CG228" i="1"/>
  <c r="CI71" i="8" s="1"/>
  <c r="CJ228" i="1"/>
  <c r="CL71" i="8" s="1"/>
  <c r="CK228" i="1"/>
  <c r="CM71" i="8" s="1"/>
  <c r="CG230" i="1"/>
  <c r="CG231" i="1"/>
  <c r="I6" i="95"/>
  <c r="J6" i="95"/>
  <c r="I17" i="95"/>
  <c r="CI232" i="1" l="1"/>
  <c r="CK72" i="8" s="1"/>
  <c r="CD76" i="1"/>
  <c r="CI95" i="1"/>
  <c r="CE222" i="1"/>
  <c r="CE117" i="1" s="1"/>
  <c r="CF222" i="1"/>
  <c r="CF117" i="1" s="1"/>
  <c r="CD222" i="1"/>
  <c r="CD117" i="1" s="1"/>
  <c r="CG222" i="1"/>
  <c r="CD95" i="1"/>
  <c r="CD231" i="1"/>
  <c r="CD162" i="1"/>
  <c r="CD182" i="1"/>
  <c r="CD210" i="1" s="1"/>
  <c r="J8" i="95"/>
  <c r="I8" i="95"/>
  <c r="CH41" i="1"/>
  <c r="CH74" i="1"/>
  <c r="CH92" i="1"/>
  <c r="CM92" i="1"/>
  <c r="CH42" i="1"/>
  <c r="CJ232" i="1"/>
  <c r="CL72" i="8" s="1"/>
  <c r="CK232" i="1"/>
  <c r="CM72" i="8" s="1"/>
  <c r="CF55" i="8"/>
  <c r="CF60" i="8" s="1"/>
  <c r="CG55" i="8"/>
  <c r="CG60" i="8" s="1"/>
  <c r="CH55" i="8"/>
  <c r="CH60" i="8" s="1"/>
  <c r="CF77" i="8"/>
  <c r="CI97" i="1"/>
  <c r="CD63" i="1"/>
  <c r="CD58" i="1"/>
  <c r="CD147" i="98" s="1"/>
  <c r="CD81" i="1"/>
  <c r="CD197" i="1"/>
  <c r="CD97" i="1"/>
  <c r="CH49" i="1"/>
  <c r="CH63" i="1" s="1"/>
  <c r="CH78" i="1"/>
  <c r="CM96" i="1"/>
  <c r="CH47" i="1"/>
  <c r="CH77" i="1"/>
  <c r="CH96" i="1"/>
  <c r="CF221" i="1"/>
  <c r="CG221" i="1"/>
  <c r="CD75" i="1"/>
  <c r="CD221" i="1"/>
  <c r="CE221" i="1"/>
  <c r="CG117" i="1" l="1"/>
  <c r="CH222" i="1"/>
  <c r="CH117" i="1" s="1"/>
  <c r="CI69" i="8"/>
  <c r="CI68" i="8"/>
  <c r="CH221" i="1"/>
  <c r="CG68" i="8"/>
  <c r="CG69" i="8"/>
  <c r="CH69" i="8"/>
  <c r="CH68" i="8"/>
  <c r="CF80" i="8"/>
  <c r="CF81" i="8" s="1"/>
  <c r="CF82" i="8" s="1"/>
  <c r="CD232" i="1"/>
  <c r="CF72" i="8" s="1"/>
  <c r="CH232" i="1"/>
  <c r="CJ72" i="8" s="1"/>
  <c r="CE232" i="1"/>
  <c r="CG72" i="8" s="1"/>
  <c r="CF232" i="1"/>
  <c r="CH72" i="8" s="1"/>
  <c r="CG232" i="1"/>
  <c r="CI72" i="8" s="1"/>
  <c r="CI55" i="8"/>
  <c r="CJ77" i="8"/>
  <c r="CH58" i="1"/>
  <c r="CH81" i="1"/>
  <c r="CM97" i="1"/>
  <c r="CH97" i="1"/>
  <c r="CH197" i="1"/>
  <c r="I9" i="95"/>
  <c r="CH66" i="1"/>
  <c r="CH75" i="1"/>
  <c r="CF68" i="8"/>
  <c r="CF69" i="8"/>
  <c r="CH182" i="1"/>
  <c r="CH210" i="1" s="1"/>
  <c r="CH162" i="1"/>
  <c r="CD59" i="1"/>
  <c r="CH76" i="1"/>
  <c r="CM95" i="1"/>
  <c r="CH95" i="1"/>
  <c r="CH231" i="1"/>
  <c r="CH147" i="98" l="1"/>
  <c r="J10" i="95"/>
  <c r="I10" i="95"/>
  <c r="CJ55" i="8"/>
  <c r="CJ60" i="8" s="1"/>
  <c r="CI60" i="8"/>
  <c r="CI98" i="1"/>
  <c r="CD223" i="1"/>
  <c r="CE223" i="1"/>
  <c r="CD98" i="1"/>
  <c r="CF223" i="1"/>
  <c r="CG223" i="1"/>
  <c r="CH223" i="1" s="1"/>
  <c r="CH59" i="1"/>
  <c r="CJ80" i="8"/>
  <c r="CJ81" i="8" s="1"/>
  <c r="CJ82" i="8" s="1"/>
  <c r="CJ68" i="8"/>
  <c r="CJ69" i="8"/>
  <c r="I11" i="95" l="1"/>
  <c r="CM98" i="1"/>
  <c r="CH98" i="1"/>
  <c r="CH124" i="1"/>
  <c r="I12" i="95" l="1"/>
  <c r="I37" i="95"/>
  <c r="J12" i="95"/>
  <c r="BS215" i="1" l="1"/>
  <c r="CU80" i="8" l="1"/>
  <c r="CU81" i="8" s="1"/>
  <c r="CU49" i="8"/>
  <c r="CU51" i="8" s="1"/>
  <c r="CV76" i="8" s="1"/>
  <c r="CS121" i="1"/>
  <c r="CS122" i="1" s="1"/>
  <c r="CV80" i="8"/>
  <c r="CW80" i="8"/>
  <c r="CV49" i="8"/>
  <c r="CV51" i="8" s="1"/>
  <c r="CW76" i="8" s="1"/>
  <c r="CS119" i="1"/>
  <c r="CU119" i="1"/>
  <c r="CV52" i="8" l="1"/>
  <c r="CU82" i="8"/>
  <c r="CV67" i="8"/>
  <c r="CW81" i="8"/>
  <c r="CW82" i="8" s="1"/>
  <c r="CU67" i="8"/>
  <c r="CU52" i="8"/>
  <c r="CV81" i="8"/>
  <c r="CV82" i="8" s="1"/>
  <c r="CU121" i="1"/>
  <c r="CU122" i="1" s="1"/>
  <c r="CU20" i="8"/>
  <c r="CS71" i="98" l="1"/>
  <c r="CS115" i="1"/>
  <c r="CU28" i="8" l="1"/>
  <c r="CU62" i="8"/>
  <c r="CU53" i="8" l="1"/>
  <c r="CU57" i="8"/>
  <c r="CU58" i="8"/>
  <c r="CY60" i="1" l="1"/>
  <c r="CY61" i="1"/>
  <c r="CY192" i="1"/>
  <c r="CY193" i="1" l="1"/>
  <c r="CY85" i="98"/>
  <c r="CZ60" i="1"/>
  <c r="CZ61" i="1"/>
  <c r="CZ192" i="1"/>
  <c r="CZ85" i="98" l="1"/>
  <c r="DS89" i="1" l="1"/>
  <c r="DR89" i="1"/>
  <c r="DS68" i="1"/>
  <c r="DS70" i="1"/>
  <c r="DS208" i="1"/>
  <c r="DR208" i="1"/>
  <c r="DR70" i="1"/>
  <c r="DR68" i="1"/>
  <c r="DM70" i="1"/>
  <c r="DM89" i="1"/>
  <c r="DM68" i="1"/>
  <c r="DM208" i="1"/>
  <c r="DN208" i="1"/>
  <c r="DN68" i="1"/>
  <c r="DN70" i="1"/>
  <c r="DN89" i="1"/>
  <c r="DX208" i="1" l="1"/>
  <c r="DX70" i="1"/>
  <c r="DX89" i="1"/>
  <c r="DX68" i="1"/>
  <c r="DW208" i="1"/>
  <c r="DW68" i="1"/>
  <c r="DW89" i="1"/>
  <c r="DW70" i="1"/>
  <c r="DB245" i="8" l="1"/>
  <c r="DB271" i="8" s="1"/>
  <c r="CZ245" i="8"/>
  <c r="CZ271" i="8" s="1"/>
  <c r="CZ272" i="8" s="1"/>
  <c r="DC245" i="8"/>
  <c r="DC271" i="8" s="1"/>
  <c r="DD271" i="8" l="1"/>
  <c r="DC272" i="8"/>
  <c r="DA186" i="1"/>
  <c r="DB272" i="8"/>
  <c r="CZ186" i="1"/>
  <c r="DC249" i="8"/>
  <c r="DA249" i="8"/>
  <c r="DB249" i="8"/>
  <c r="CZ249" i="8"/>
  <c r="DD249" i="8" l="1"/>
  <c r="DD272" i="8"/>
  <c r="CZ190" i="1" l="1"/>
  <c r="CX186" i="1"/>
  <c r="DA190" i="1" l="1"/>
  <c r="CY190" i="1"/>
  <c r="CX190" i="1"/>
  <c r="CX220" i="1"/>
  <c r="CY220" i="1"/>
  <c r="DB186" i="1" l="1"/>
  <c r="DB190" i="1" s="1"/>
  <c r="CZ220" i="1"/>
  <c r="EH43" i="1" l="1"/>
  <c r="EF43" i="1"/>
  <c r="EI43" i="1" s="1"/>
  <c r="DA220" i="1"/>
  <c r="DB220" i="1" s="1"/>
  <c r="DB43" i="1"/>
  <c r="DH245" i="8"/>
  <c r="DL245" i="8"/>
  <c r="DK245" i="8"/>
  <c r="DJ245" i="8"/>
  <c r="DM245" i="8"/>
  <c r="DG245" i="8"/>
  <c r="DE245" i="8"/>
  <c r="DF244" i="8" s="1"/>
  <c r="DG244" i="8" s="1"/>
  <c r="DH244" i="8" l="1"/>
  <c r="DI244" i="8" s="1"/>
  <c r="DJ244" i="8" s="1"/>
  <c r="DK244" i="8" s="1"/>
  <c r="DE249" i="8"/>
  <c r="DE271" i="8"/>
  <c r="DF249" i="8"/>
  <c r="DF271" i="8"/>
  <c r="DG249" i="8"/>
  <c r="DG271" i="8"/>
  <c r="DH271" i="8" l="1"/>
  <c r="DI271" i="8" s="1"/>
  <c r="DI272" i="8" s="1"/>
  <c r="DL244" i="8"/>
  <c r="DK249" i="8"/>
  <c r="DH249" i="8"/>
  <c r="DK271" i="8"/>
  <c r="DK272" i="8" s="1"/>
  <c r="DJ271" i="8"/>
  <c r="DJ272" i="8" s="1"/>
  <c r="DI249" i="8"/>
  <c r="DJ249" i="8"/>
  <c r="DL271" i="8"/>
  <c r="DL272" i="8" s="1"/>
  <c r="DF186" i="1"/>
  <c r="DG272" i="8"/>
  <c r="DE186" i="1"/>
  <c r="DF272" i="8"/>
  <c r="DD186" i="1"/>
  <c r="DE272" i="8"/>
  <c r="DC186" i="1"/>
  <c r="DH272" i="8" l="1"/>
  <c r="DI186" i="1"/>
  <c r="DM244" i="8"/>
  <c r="DL249" i="8"/>
  <c r="DH186" i="1"/>
  <c r="DH190" i="1" s="1"/>
  <c r="DJ186" i="1"/>
  <c r="DJ43" i="1" s="1"/>
  <c r="DD190" i="1"/>
  <c r="DE190" i="1"/>
  <c r="DF190" i="1"/>
  <c r="DF43" i="1"/>
  <c r="DJ190" i="1"/>
  <c r="DH43" i="1" l="1"/>
  <c r="DM249" i="8"/>
  <c r="DM271" i="8"/>
  <c r="DN244" i="8"/>
  <c r="DD43" i="1"/>
  <c r="DG186" i="1"/>
  <c r="DG190" i="1" s="1"/>
  <c r="DE43" i="1"/>
  <c r="DC190" i="1"/>
  <c r="DC43" i="1"/>
  <c r="DI43" i="1"/>
  <c r="DI190" i="1"/>
  <c r="DN249" i="8" l="1"/>
  <c r="DO244" i="8"/>
  <c r="DM272" i="8"/>
  <c r="DK186" i="1"/>
  <c r="DN271" i="8"/>
  <c r="DN272" i="8" s="1"/>
  <c r="DD220" i="1"/>
  <c r="DH220" i="1"/>
  <c r="DE220" i="1"/>
  <c r="DF220" i="1"/>
  <c r="DG220" i="1" s="1"/>
  <c r="DG43" i="1"/>
  <c r="DC220" i="1"/>
  <c r="DI220" i="1"/>
  <c r="DJ220" i="1"/>
  <c r="DK43" i="1" l="1"/>
  <c r="DL186" i="1"/>
  <c r="DL190" i="1" s="1"/>
  <c r="DK190" i="1"/>
  <c r="DO249" i="8"/>
  <c r="DO271" i="8"/>
  <c r="DP244" i="8"/>
  <c r="CV87" i="98"/>
  <c r="DM186" i="1" l="1"/>
  <c r="DO272" i="8"/>
  <c r="DK220" i="1"/>
  <c r="DL220" i="1" s="1"/>
  <c r="DL43" i="1"/>
  <c r="DQ244" i="8"/>
  <c r="DP271" i="8"/>
  <c r="DP249" i="8"/>
  <c r="CW116" i="1"/>
  <c r="CW87" i="98"/>
  <c r="CX140" i="98"/>
  <c r="CX87" i="98"/>
  <c r="DP272" i="8" l="1"/>
  <c r="DN186" i="1"/>
  <c r="DM43" i="1"/>
  <c r="DM190" i="1"/>
  <c r="DQ271" i="8"/>
  <c r="DQ249" i="8"/>
  <c r="DR244" i="8"/>
  <c r="CX116" i="1"/>
  <c r="CZ140" i="98"/>
  <c r="CZ87" i="98"/>
  <c r="CY87" i="98"/>
  <c r="CY140" i="98"/>
  <c r="CY64" i="98"/>
  <c r="CZ64" i="98"/>
  <c r="DM220" i="1" l="1"/>
  <c r="DN43" i="1"/>
  <c r="DN190" i="1"/>
  <c r="DQ272" i="8"/>
  <c r="DO186" i="1"/>
  <c r="DR249" i="8"/>
  <c r="DR271" i="8"/>
  <c r="DS244" i="8"/>
  <c r="CY116" i="1"/>
  <c r="DS271" i="8" l="1"/>
  <c r="DS272" i="8" s="1"/>
  <c r="DP186" i="1"/>
  <c r="DR272" i="8"/>
  <c r="DN220" i="1"/>
  <c r="DT244" i="8"/>
  <c r="DS249" i="8"/>
  <c r="DO190" i="1"/>
  <c r="DO43" i="1"/>
  <c r="CZ116" i="1"/>
  <c r="DA116" i="1"/>
  <c r="DA87" i="98"/>
  <c r="DA140" i="98"/>
  <c r="DO220" i="1" l="1"/>
  <c r="DT249" i="8"/>
  <c r="DU244" i="8"/>
  <c r="DT271" i="8"/>
  <c r="DQ186" i="1"/>
  <c r="DQ190" i="1" s="1"/>
  <c r="DP190" i="1"/>
  <c r="DP43" i="1"/>
  <c r="DD38" i="8"/>
  <c r="DE38" i="8" s="1"/>
  <c r="DF38" i="8" s="1"/>
  <c r="DG38" i="8" s="1"/>
  <c r="DH38" i="8" s="1"/>
  <c r="DB87" i="98"/>
  <c r="DB140" i="98"/>
  <c r="DQ43" i="1" l="1"/>
  <c r="DP220" i="1"/>
  <c r="DQ220" i="1" s="1"/>
  <c r="DU271" i="8"/>
  <c r="DV244" i="8"/>
  <c r="DU249" i="8"/>
  <c r="DR186" i="1"/>
  <c r="DT272" i="8"/>
  <c r="DB116" i="1"/>
  <c r="DU272" i="8" l="1"/>
  <c r="DS186" i="1"/>
  <c r="DR190" i="1"/>
  <c r="DR43" i="1"/>
  <c r="DR220" i="1" s="1"/>
  <c r="DV271" i="8"/>
  <c r="DW244" i="8"/>
  <c r="DV249" i="8"/>
  <c r="DT186" i="1" l="1"/>
  <c r="DV272" i="8"/>
  <c r="DW249" i="8"/>
  <c r="DX244" i="8"/>
  <c r="DW271" i="8"/>
  <c r="DX271" i="8" s="1"/>
  <c r="DX272" i="8" s="1"/>
  <c r="DS43" i="1"/>
  <c r="DS220" i="1" s="1"/>
  <c r="DS190" i="1"/>
  <c r="DE87" i="98"/>
  <c r="DE140" i="98"/>
  <c r="DD87" i="98"/>
  <c r="DD140" i="98"/>
  <c r="DF87" i="98"/>
  <c r="DF140" i="98"/>
  <c r="DC140" i="98"/>
  <c r="DC87" i="98"/>
  <c r="DG57" i="98"/>
  <c r="DT43" i="1" l="1"/>
  <c r="DT220" i="1" s="1"/>
  <c r="DT190" i="1"/>
  <c r="DY244" i="8"/>
  <c r="DX249" i="8"/>
  <c r="DW272" i="8"/>
  <c r="DU186" i="1"/>
  <c r="DD116" i="1"/>
  <c r="DC116" i="1"/>
  <c r="DG87" i="98"/>
  <c r="DG140" i="98"/>
  <c r="DY271" i="8" l="1"/>
  <c r="DZ244" i="8"/>
  <c r="DY249" i="8"/>
  <c r="DV43" i="1"/>
  <c r="DU190" i="1"/>
  <c r="DU43" i="1"/>
  <c r="DU220" i="1" s="1"/>
  <c r="DV220" i="1" s="1"/>
  <c r="DV186" i="1"/>
  <c r="DV190" i="1" s="1"/>
  <c r="DH87" i="98"/>
  <c r="DH140" i="98"/>
  <c r="DK140" i="98"/>
  <c r="DK87" i="98"/>
  <c r="DJ140" i="98"/>
  <c r="DJ87" i="98"/>
  <c r="DI87" i="98"/>
  <c r="DI140" i="98"/>
  <c r="DL57" i="98"/>
  <c r="DY272" i="8" l="1"/>
  <c r="DW186" i="1"/>
  <c r="EA244" i="8"/>
  <c r="DZ249" i="8"/>
  <c r="DZ271" i="8"/>
  <c r="DF116" i="1"/>
  <c r="DE116" i="1"/>
  <c r="DL87" i="98"/>
  <c r="DL140" i="98"/>
  <c r="DZ272" i="8" l="1"/>
  <c r="DX186" i="1"/>
  <c r="EB244" i="8"/>
  <c r="EA271" i="8"/>
  <c r="EA249" i="8"/>
  <c r="DW43" i="1"/>
  <c r="DW220" i="1" s="1"/>
  <c r="DW190" i="1"/>
  <c r="DI38" i="8"/>
  <c r="DY186" i="1" l="1"/>
  <c r="EA272" i="8"/>
  <c r="EB249" i="8"/>
  <c r="EC244" i="8"/>
  <c r="EC249" i="8" s="1"/>
  <c r="EB271" i="8"/>
  <c r="DX43" i="1"/>
  <c r="DX220" i="1" s="1"/>
  <c r="DX190" i="1"/>
  <c r="DJ38" i="8"/>
  <c r="DK38" i="8" s="1"/>
  <c r="DL38" i="8" s="1"/>
  <c r="DM38" i="8" s="1"/>
  <c r="DG116" i="1"/>
  <c r="DZ186" i="1" l="1"/>
  <c r="EB272" i="8"/>
  <c r="DY43" i="1"/>
  <c r="DY220" i="1" s="1"/>
  <c r="DY190" i="1"/>
  <c r="EC271" i="8"/>
  <c r="EC272" i="8" s="1"/>
  <c r="DH116" i="1"/>
  <c r="DM87" i="98"/>
  <c r="DM140" i="98"/>
  <c r="DO140" i="98"/>
  <c r="DO87" i="98"/>
  <c r="DN140" i="98"/>
  <c r="DN87" i="98"/>
  <c r="DP87" i="98"/>
  <c r="DP140" i="98"/>
  <c r="DQ57" i="98"/>
  <c r="DZ43" i="1" l="1"/>
  <c r="DZ190" i="1"/>
  <c r="EA186" i="1"/>
  <c r="EA190" i="1" s="1"/>
  <c r="DQ140" i="98"/>
  <c r="DI116" i="1"/>
  <c r="DQ87" i="98"/>
  <c r="DZ220" i="1" l="1"/>
  <c r="EA220" i="1" s="1"/>
  <c r="EA43" i="1"/>
  <c r="DJ116" i="1"/>
  <c r="DK116" i="1" l="1"/>
  <c r="DN38" i="8"/>
  <c r="DO38" i="8" l="1"/>
  <c r="DP38" i="8" s="1"/>
  <c r="DQ38" i="8" s="1"/>
  <c r="DR38" i="8" s="1"/>
  <c r="DL116" i="1"/>
  <c r="DM116" i="1" l="1"/>
  <c r="CX192" i="1"/>
  <c r="CV192" i="1"/>
  <c r="CV61" i="1"/>
  <c r="EG61" i="1" s="1"/>
  <c r="CV60" i="1"/>
  <c r="EG60" i="1" s="1"/>
  <c r="DN116" i="1" l="1"/>
  <c r="CW64" i="1"/>
  <c r="CV193" i="1"/>
  <c r="CW192" i="1"/>
  <c r="CX193" i="1"/>
  <c r="DO116" i="1" l="1"/>
  <c r="CV89" i="98"/>
  <c r="CV85" i="98"/>
  <c r="CW193" i="1"/>
  <c r="CX85" i="98"/>
  <c r="CX64" i="98"/>
  <c r="DP116" i="1" l="1"/>
  <c r="DS38" i="8"/>
  <c r="DT38" i="8" s="1"/>
  <c r="DU38" i="8" s="1"/>
  <c r="DV38" i="8" s="1"/>
  <c r="DW38" i="8" s="1"/>
  <c r="CW85" i="98"/>
  <c r="CW89" i="98"/>
  <c r="L18" i="95"/>
  <c r="DR116" i="1" l="1"/>
  <c r="DQ116" i="1"/>
  <c r="DS116" i="1" l="1"/>
  <c r="DT116" i="1" l="1"/>
  <c r="DU116" i="1" l="1"/>
  <c r="DX38" i="8"/>
  <c r="DY38" i="8" s="1"/>
  <c r="DZ38" i="8" s="1"/>
  <c r="EA38" i="8" s="1"/>
  <c r="EB38" i="8" s="1"/>
  <c r="EH28" i="1"/>
  <c r="CY224" i="1"/>
  <c r="CV224" i="1"/>
  <c r="CV225" i="1" s="1"/>
  <c r="CX120" i="8"/>
  <c r="CY120" i="8" s="1"/>
  <c r="CX224" i="1"/>
  <c r="CV71" i="1"/>
  <c r="EG71" i="1" s="1"/>
  <c r="CV90" i="1"/>
  <c r="EG90" i="1" s="1"/>
  <c r="CZ224" i="1"/>
  <c r="CW28" i="1"/>
  <c r="DV116" i="1" l="1"/>
  <c r="EF28" i="1"/>
  <c r="CW224" i="1"/>
  <c r="CW225" i="1" s="1"/>
  <c r="CW71" i="1"/>
  <c r="DW116" i="1" l="1"/>
  <c r="CX111" i="8"/>
  <c r="CX95" i="8"/>
  <c r="CX36" i="8"/>
  <c r="DX116" i="1" l="1"/>
  <c r="CX41" i="8"/>
  <c r="CX63" i="8"/>
  <c r="CY63" i="8"/>
  <c r="CY64" i="8" s="1"/>
  <c r="DY116" i="1" l="1"/>
  <c r="CX49" i="8"/>
  <c r="CX51" i="8" s="1"/>
  <c r="EC38" i="8" l="1"/>
  <c r="EA116" i="1" s="1"/>
  <c r="DZ116" i="1"/>
  <c r="CY49" i="8"/>
  <c r="CY51" i="8" s="1"/>
  <c r="CX67" i="8"/>
  <c r="CX52" i="8"/>
  <c r="CY67" i="8" l="1"/>
  <c r="CZ76" i="8"/>
  <c r="CY52" i="8"/>
  <c r="DD76" i="8"/>
  <c r="CW119" i="1"/>
  <c r="CW73" i="98"/>
  <c r="CW75" i="98" s="1"/>
  <c r="DA90" i="1"/>
  <c r="ED90" i="1" s="1"/>
  <c r="EF90" i="1" s="1"/>
  <c r="DC120" i="8"/>
  <c r="DD120" i="8" s="1"/>
  <c r="DA224" i="1"/>
  <c r="DB28" i="1"/>
  <c r="DB29" i="1" l="1"/>
  <c r="DB90" i="1"/>
  <c r="DB224" i="1"/>
  <c r="DF90" i="1"/>
  <c r="DH120" i="8"/>
  <c r="L16" i="95"/>
  <c r="CW76" i="98"/>
  <c r="CW121" i="1"/>
  <c r="CW122" i="1" s="1"/>
  <c r="CW82" i="98"/>
  <c r="CW83" i="98" s="1"/>
  <c r="DM120" i="8" l="1"/>
  <c r="DK90" i="1"/>
  <c r="L17" i="95"/>
  <c r="CW115" i="1"/>
  <c r="DW120" i="8" l="1"/>
  <c r="DU90" i="1"/>
  <c r="DR120" i="8"/>
  <c r="DP90" i="1"/>
  <c r="EB120" i="8" l="1"/>
  <c r="DZ90" i="1"/>
  <c r="CX20" i="8" l="1"/>
  <c r="CY16" i="8"/>
  <c r="CZ16" i="8"/>
  <c r="CX62" i="8" l="1"/>
  <c r="CX28" i="8"/>
  <c r="CX53" i="8" s="1"/>
  <c r="CY20" i="8"/>
  <c r="CY28" i="8" s="1"/>
  <c r="CY53" i="8" s="1"/>
  <c r="CY62" i="8" l="1"/>
  <c r="CX57" i="8"/>
  <c r="CX58" i="8"/>
  <c r="CY58" i="8" s="1"/>
  <c r="DB16" i="8"/>
  <c r="DB20" i="8" s="1"/>
  <c r="DB28" i="8" s="1"/>
  <c r="CY57" i="8" l="1"/>
  <c r="DD16" i="8" l="1"/>
  <c r="DE16" i="8"/>
  <c r="DF16" i="8" l="1"/>
  <c r="DG16" i="8" l="1"/>
  <c r="DH16" i="8" l="1"/>
  <c r="DI16" i="8" l="1"/>
  <c r="DJ16" i="8"/>
  <c r="DK16" i="8" l="1"/>
  <c r="DL16" i="8" l="1"/>
  <c r="DM16" i="8" l="1"/>
  <c r="DN16" i="8" l="1"/>
  <c r="DO16" i="8"/>
  <c r="DP16" i="8" l="1"/>
  <c r="DQ16" i="8" l="1"/>
  <c r="DR16" i="8" l="1"/>
  <c r="DT16" i="8" s="1"/>
  <c r="DU16" i="8" s="1"/>
  <c r="DV16" i="8" s="1"/>
  <c r="DW16" i="8" s="1"/>
  <c r="DX16" i="8" l="1"/>
  <c r="DY16" i="8"/>
  <c r="DZ16" i="8" s="1"/>
  <c r="EA16" i="8" s="1"/>
  <c r="EB16" i="8" s="1"/>
  <c r="EC16" i="8" s="1"/>
  <c r="DS16" i="8"/>
  <c r="CV138" i="98"/>
  <c r="CV48" i="98"/>
  <c r="CW44" i="98"/>
  <c r="CX44" i="98"/>
  <c r="CZ44" i="98" l="1"/>
  <c r="DA44" i="98" s="1"/>
  <c r="CW138" i="98"/>
  <c r="CW48" i="98"/>
  <c r="CY138" i="98"/>
  <c r="CX138" i="98"/>
  <c r="CX48" i="98"/>
  <c r="DC44" i="98" l="1"/>
  <c r="DC138" i="98" s="1"/>
  <c r="DB44" i="98"/>
  <c r="DA138" i="98"/>
  <c r="CZ138" i="98"/>
  <c r="CW98" i="98"/>
  <c r="CW99" i="98" s="1"/>
  <c r="DB138" i="98"/>
  <c r="DD44" i="98" l="1"/>
  <c r="DD138" i="98"/>
  <c r="DE44" i="98"/>
  <c r="DE138" i="98" l="1"/>
  <c r="DF44" i="98"/>
  <c r="DF138" i="98" l="1"/>
  <c r="DH44" i="98"/>
  <c r="DG44" i="98"/>
  <c r="DH138" i="98" l="1"/>
  <c r="DI44" i="98"/>
  <c r="DG138" i="98"/>
  <c r="DI138" i="98" l="1"/>
  <c r="DJ44" i="98"/>
  <c r="DJ138" i="98" l="1"/>
  <c r="DK44" i="98"/>
  <c r="DK138" i="98" l="1"/>
  <c r="DM44" i="98"/>
  <c r="DL44" i="98"/>
  <c r="DL138" i="98" l="1"/>
  <c r="DM138" i="98"/>
  <c r="DN44" i="98"/>
  <c r="DN138" i="98" l="1"/>
  <c r="DO44" i="98"/>
  <c r="DO138" i="98" l="1"/>
  <c r="DP44" i="98"/>
  <c r="DQ44" i="98" l="1"/>
  <c r="DR44" i="98"/>
  <c r="DP138" i="98"/>
  <c r="DQ138" i="98" l="1"/>
  <c r="DR138" i="98"/>
  <c r="DS44" i="98"/>
  <c r="CW43" i="1"/>
  <c r="CV140" i="98"/>
  <c r="CX245" i="8"/>
  <c r="CX271" i="8" s="1"/>
  <c r="CV64" i="98"/>
  <c r="CX249" i="8" l="1"/>
  <c r="CX272" i="8"/>
  <c r="DT44" i="98"/>
  <c r="DS138" i="98"/>
  <c r="CW140" i="98"/>
  <c r="CW67" i="98"/>
  <c r="CW70" i="98" s="1"/>
  <c r="CX69" i="98" s="1"/>
  <c r="DB69" i="98" s="1"/>
  <c r="CV186" i="1" l="1"/>
  <c r="CW186" i="1" s="1"/>
  <c r="CW190" i="1" s="1"/>
  <c r="DT138" i="98"/>
  <c r="DU44" i="98"/>
  <c r="CW71" i="98"/>
  <c r="CY271" i="8"/>
  <c r="CY272" i="8" s="1"/>
  <c r="CY249" i="8"/>
  <c r="CV190" i="1" l="1"/>
  <c r="DU138" i="98"/>
  <c r="DW44" i="98"/>
  <c r="DV44" i="98"/>
  <c r="DV138" i="98" s="1"/>
  <c r="DW138" i="98" l="1"/>
  <c r="DX44" i="98"/>
  <c r="DX138" i="98" l="1"/>
  <c r="DY44" i="98"/>
  <c r="DY138" i="98" l="1"/>
  <c r="DZ44" i="98"/>
  <c r="EA44" i="98"/>
  <c r="EA138" i="98" s="1"/>
  <c r="DZ138" i="98" l="1"/>
  <c r="CS203" i="1" l="1"/>
  <c r="CS204" i="1" s="1"/>
  <c r="CT203" i="1"/>
  <c r="CT204" i="1" s="1"/>
  <c r="CU203" i="1"/>
  <c r="CU204" i="1" s="1"/>
  <c r="ED108" i="1" l="1"/>
  <c r="EG108" i="1"/>
  <c r="EH108" i="1" l="1"/>
  <c r="EF108" i="1"/>
  <c r="EG109" i="1" l="1"/>
  <c r="CV17" i="1" l="1"/>
  <c r="CV72" i="1" l="1"/>
  <c r="CV83" i="1"/>
  <c r="EG83" i="1" s="1"/>
  <c r="CW17" i="1"/>
  <c r="ED109" i="1" l="1"/>
  <c r="EF109" i="1" s="1"/>
  <c r="EH109" i="1" l="1"/>
  <c r="CW72" i="1"/>
  <c r="CW83" i="1"/>
  <c r="DA136" i="98" l="1"/>
  <c r="DC136" i="98" l="1"/>
  <c r="DF93" i="8" l="1"/>
  <c r="DF109" i="8"/>
  <c r="CY136" i="98"/>
  <c r="DD136" i="98"/>
  <c r="DG109" i="8" l="1"/>
  <c r="DG93" i="8"/>
  <c r="DA79" i="8"/>
  <c r="CZ136" i="98"/>
  <c r="DE136" i="98"/>
  <c r="DI27" i="8" l="1"/>
  <c r="DH109" i="8"/>
  <c r="DH93" i="8"/>
  <c r="DF136" i="98"/>
  <c r="DB79" i="8"/>
  <c r="DG28" i="98"/>
  <c r="DJ27" i="8" l="1"/>
  <c r="DC79" i="8"/>
  <c r="DD48" i="8"/>
  <c r="DE48" i="8" s="1"/>
  <c r="DF48" i="8" s="1"/>
  <c r="DG48" i="8" s="1"/>
  <c r="DH48" i="8" s="1"/>
  <c r="DG136" i="98"/>
  <c r="DK27" i="8" l="1"/>
  <c r="DJ93" i="8"/>
  <c r="DJ109" i="8"/>
  <c r="DD79" i="8"/>
  <c r="DL27" i="8" l="1"/>
  <c r="DK93" i="8"/>
  <c r="DK109" i="8"/>
  <c r="DE79" i="8"/>
  <c r="DM27" i="8" l="1"/>
  <c r="DL109" i="8"/>
  <c r="DL93" i="8"/>
  <c r="DF79" i="8"/>
  <c r="DN27" i="8" l="1"/>
  <c r="DM93" i="8"/>
  <c r="DM109" i="8"/>
  <c r="DG79" i="8"/>
  <c r="DO27" i="8" l="1"/>
  <c r="DH79" i="8"/>
  <c r="DI48" i="8"/>
  <c r="DJ48" i="8" s="1"/>
  <c r="DK48" i="8" s="1"/>
  <c r="DL48" i="8" s="1"/>
  <c r="DM48" i="8" s="1"/>
  <c r="DP27" i="8" l="1"/>
  <c r="DO93" i="8"/>
  <c r="DO109" i="8"/>
  <c r="DI79" i="8"/>
  <c r="DQ27" i="8" l="1"/>
  <c r="DP93" i="8"/>
  <c r="DP109" i="8"/>
  <c r="DJ79" i="8"/>
  <c r="DR27" i="8" l="1"/>
  <c r="DQ93" i="8"/>
  <c r="DQ109" i="8"/>
  <c r="DK79" i="8"/>
  <c r="DS27" i="8" l="1"/>
  <c r="DT27" i="8" s="1"/>
  <c r="DR93" i="8"/>
  <c r="DR109" i="8"/>
  <c r="DL79" i="8"/>
  <c r="DT109" i="8" l="1"/>
  <c r="DU27" i="8"/>
  <c r="DT93" i="8"/>
  <c r="DM79" i="8"/>
  <c r="DN48" i="8"/>
  <c r="DO48" i="8" s="1"/>
  <c r="DP48" i="8" s="1"/>
  <c r="DQ48" i="8" s="1"/>
  <c r="DR48" i="8" s="1"/>
  <c r="DU109" i="8" l="1"/>
  <c r="DU93" i="8"/>
  <c r="DV27" i="8"/>
  <c r="DN79" i="8"/>
  <c r="DV93" i="8" l="1"/>
  <c r="DW27" i="8"/>
  <c r="DV109" i="8"/>
  <c r="DO79" i="8"/>
  <c r="DW93" i="8" l="1"/>
  <c r="DX27" i="8"/>
  <c r="DY27" i="8" s="1"/>
  <c r="DW109" i="8"/>
  <c r="DP79" i="8"/>
  <c r="DY109" i="8" l="1"/>
  <c r="DZ27" i="8"/>
  <c r="DY93" i="8"/>
  <c r="DQ79" i="8"/>
  <c r="EA27" i="8" l="1"/>
  <c r="DZ109" i="8"/>
  <c r="DZ93" i="8"/>
  <c r="DR79" i="8"/>
  <c r="DS48" i="8"/>
  <c r="DT48" i="8" s="1"/>
  <c r="DU48" i="8" s="1"/>
  <c r="DV48" i="8" s="1"/>
  <c r="DW48" i="8" s="1"/>
  <c r="DT79" i="8" l="1"/>
  <c r="EA109" i="8"/>
  <c r="EA93" i="8"/>
  <c r="EB27" i="8"/>
  <c r="DS79" i="8"/>
  <c r="DU79" i="8" l="1"/>
  <c r="EB109" i="8"/>
  <c r="EB93" i="8"/>
  <c r="EC27" i="8"/>
  <c r="CX121" i="8"/>
  <c r="CW30" i="1"/>
  <c r="CV38" i="1"/>
  <c r="CV209" i="1"/>
  <c r="CV159" i="1" l="1"/>
  <c r="CV39" i="1" s="1"/>
  <c r="EG39" i="1" s="1"/>
  <c r="EG38" i="1"/>
  <c r="DV79" i="8"/>
  <c r="CY121" i="8"/>
  <c r="CY125" i="8" s="1"/>
  <c r="CX125" i="8"/>
  <c r="CV45" i="1"/>
  <c r="EG45" i="1" s="1"/>
  <c r="CW209" i="1"/>
  <c r="CV73" i="1"/>
  <c r="EG73" i="1" s="1"/>
  <c r="CV91" i="1"/>
  <c r="EG91" i="1" s="1"/>
  <c r="CV219" i="1"/>
  <c r="CX70" i="8" s="1"/>
  <c r="CV41" i="1"/>
  <c r="CW38" i="1"/>
  <c r="CX56" i="8"/>
  <c r="CV75" i="1" l="1"/>
  <c r="EG75" i="1" s="1"/>
  <c r="EG41" i="1"/>
  <c r="CV161" i="1"/>
  <c r="CV40" i="1" s="1"/>
  <c r="EG40" i="1" s="1"/>
  <c r="DW79" i="8"/>
  <c r="DX48" i="8"/>
  <c r="DY48" i="8" s="1"/>
  <c r="DZ48" i="8" s="1"/>
  <c r="EA48" i="8" s="1"/>
  <c r="EB48" i="8" s="1"/>
  <c r="L7" i="95"/>
  <c r="CW45" i="1"/>
  <c r="CV92" i="1"/>
  <c r="EG92" i="1" s="1"/>
  <c r="CV49" i="1"/>
  <c r="CV42" i="1"/>
  <c r="EG42" i="1" s="1"/>
  <c r="CV74" i="1"/>
  <c r="EG74" i="1" s="1"/>
  <c r="EG94" i="1"/>
  <c r="CV47" i="1"/>
  <c r="EG47" i="1" s="1"/>
  <c r="CV77" i="1"/>
  <c r="EG77" i="1" s="1"/>
  <c r="CW219" i="1"/>
  <c r="CY70" i="8" s="1"/>
  <c r="CV78" i="1"/>
  <c r="EG78" i="1" s="1"/>
  <c r="CV96" i="1"/>
  <c r="EG96" i="1" s="1"/>
  <c r="CV163" i="1"/>
  <c r="CV221" i="1"/>
  <c r="CW73" i="1"/>
  <c r="CW41" i="1"/>
  <c r="CY56" i="8"/>
  <c r="CY59" i="8" s="1"/>
  <c r="CX59" i="8"/>
  <c r="CV63" i="1" l="1"/>
  <c r="EG63" i="1" s="1"/>
  <c r="EG49" i="1"/>
  <c r="DX79" i="8"/>
  <c r="CX77" i="8"/>
  <c r="CX80" i="8" s="1"/>
  <c r="CX81" i="8" s="1"/>
  <c r="CX82" i="8" s="1"/>
  <c r="CV97" i="1"/>
  <c r="EG97" i="1" s="1"/>
  <c r="CV81" i="1"/>
  <c r="EG81" i="1" s="1"/>
  <c r="CV58" i="1"/>
  <c r="CV59" i="1" s="1"/>
  <c r="EG59" i="1" s="1"/>
  <c r="CV197" i="1"/>
  <c r="CV231" i="1"/>
  <c r="CV76" i="1"/>
  <c r="EG76" i="1" s="1"/>
  <c r="CV95" i="1"/>
  <c r="CX68" i="8"/>
  <c r="CW221" i="1"/>
  <c r="CX69" i="8"/>
  <c r="CV182" i="1"/>
  <c r="CV210" i="1" s="1"/>
  <c r="CV162" i="1"/>
  <c r="CW75" i="1"/>
  <c r="L9" i="95"/>
  <c r="CW77" i="1"/>
  <c r="CW78" i="1"/>
  <c r="CW162" i="1" s="1"/>
  <c r="CW47" i="1"/>
  <c r="CW49" i="1"/>
  <c r="DY79" i="8" l="1"/>
  <c r="CV147" i="98"/>
  <c r="CY69" i="8"/>
  <c r="CY68" i="8"/>
  <c r="CW63" i="1"/>
  <c r="CW197" i="1"/>
  <c r="CX55" i="8"/>
  <c r="CY77" i="8"/>
  <c r="CY80" i="8" s="1"/>
  <c r="CY81" i="8" s="1"/>
  <c r="CY82" i="8" s="1"/>
  <c r="CW81" i="1"/>
  <c r="CW182" i="1"/>
  <c r="CW210" i="1" s="1"/>
  <c r="CV98" i="1"/>
  <c r="EG98" i="1" s="1"/>
  <c r="DZ79" i="8" l="1"/>
  <c r="CY55" i="8"/>
  <c r="CY60" i="8" s="1"/>
  <c r="CX60" i="8"/>
  <c r="EA79" i="8" l="1"/>
  <c r="EC48" i="8" l="1"/>
  <c r="EC79" i="8" s="1"/>
  <c r="EB79" i="8"/>
  <c r="CN72" i="1" l="1"/>
  <c r="CN209" i="1"/>
  <c r="CP120" i="8"/>
  <c r="CN90" i="1"/>
  <c r="CN71" i="1"/>
  <c r="CN224" i="1"/>
  <c r="CN225" i="1" s="1"/>
  <c r="CS90" i="1"/>
  <c r="CN203" i="1"/>
  <c r="CN204" i="1" s="1"/>
  <c r="CP121" i="8"/>
  <c r="CR28" i="1"/>
  <c r="CN38" i="1"/>
  <c r="CO209" i="1"/>
  <c r="CO71" i="1"/>
  <c r="CO72" i="1"/>
  <c r="CT90" i="1"/>
  <c r="CO224" i="1"/>
  <c r="CO225" i="1" s="1"/>
  <c r="CS224" i="1"/>
  <c r="CS225" i="1" s="1"/>
  <c r="CQ121" i="8"/>
  <c r="CQ125" i="8" s="1"/>
  <c r="CQ224" i="1"/>
  <c r="CO90" i="1"/>
  <c r="CQ120" i="8"/>
  <c r="CP224" i="1"/>
  <c r="CP225" i="1" s="1"/>
  <c r="CO203" i="1"/>
  <c r="CO204" i="1" s="1"/>
  <c r="CO38" i="1"/>
  <c r="CT120" i="8" l="1"/>
  <c r="CR224" i="1"/>
  <c r="CR225" i="1" s="1"/>
  <c r="CQ225" i="1"/>
  <c r="CR72" i="1"/>
  <c r="CR90" i="1"/>
  <c r="CR209" i="1"/>
  <c r="CW90" i="1"/>
  <c r="CR71" i="1"/>
  <c r="CR203" i="1"/>
  <c r="CR204" i="1" s="1"/>
  <c r="CR38" i="1"/>
  <c r="CN73" i="1"/>
  <c r="CN91" i="1"/>
  <c r="CS56" i="8"/>
  <c r="CN41" i="1"/>
  <c r="CS91" i="1"/>
  <c r="CN219" i="1"/>
  <c r="CP70" i="8" s="1"/>
  <c r="CP56" i="8"/>
  <c r="CP59" i="8" s="1"/>
  <c r="CN45" i="1"/>
  <c r="CN39" i="1"/>
  <c r="CO91" i="1"/>
  <c r="CO73" i="1"/>
  <c r="CT91" i="1"/>
  <c r="CQ56" i="8"/>
  <c r="CQ59" i="8" s="1"/>
  <c r="CP219" i="1"/>
  <c r="CR70" i="8" s="1"/>
  <c r="CO219" i="1"/>
  <c r="CQ70" i="8" s="1"/>
  <c r="CR56" i="8"/>
  <c r="CR59" i="8" s="1"/>
  <c r="CS219" i="1"/>
  <c r="CU70" i="8" s="1"/>
  <c r="CO45" i="1"/>
  <c r="CQ219" i="1"/>
  <c r="CU56" i="8"/>
  <c r="CU59" i="8" s="1"/>
  <c r="CO39" i="1"/>
  <c r="CO41" i="1"/>
  <c r="CP125" i="8"/>
  <c r="CT121" i="8"/>
  <c r="CT125" i="8" s="1"/>
  <c r="CO74" i="1" l="1"/>
  <c r="CO92" i="1"/>
  <c r="CS59" i="8"/>
  <c r="CT56" i="8"/>
  <c r="CT59" i="8" s="1"/>
  <c r="CS70" i="8"/>
  <c r="CR219" i="1"/>
  <c r="CT70" i="8" s="1"/>
  <c r="CN74" i="1"/>
  <c r="CN92" i="1"/>
  <c r="CS92" i="1"/>
  <c r="CR73" i="1"/>
  <c r="CR91" i="1"/>
  <c r="CW91" i="1"/>
  <c r="CR41" i="1"/>
  <c r="K7" i="95"/>
  <c r="CR45" i="1"/>
  <c r="CR159" i="1"/>
  <c r="CR161" i="1" s="1"/>
  <c r="CR39" i="1" s="1"/>
  <c r="CO75" i="1"/>
  <c r="CO221" i="1"/>
  <c r="CP221" i="1"/>
  <c r="CQ221" i="1"/>
  <c r="CS221" i="1"/>
  <c r="CO96" i="1"/>
  <c r="CO47" i="1"/>
  <c r="CO77" i="1"/>
  <c r="CT96" i="1"/>
  <c r="CO78" i="1"/>
  <c r="CO49" i="1"/>
  <c r="CN96" i="1"/>
  <c r="CN78" i="1"/>
  <c r="CN77" i="1"/>
  <c r="CS96" i="1"/>
  <c r="CN47" i="1"/>
  <c r="CN49" i="1"/>
  <c r="CN75" i="1"/>
  <c r="CN221" i="1"/>
  <c r="CR205" i="1"/>
  <c r="CN182" i="1" l="1"/>
  <c r="CN210" i="1" s="1"/>
  <c r="CR74" i="1"/>
  <c r="CR40" i="1"/>
  <c r="CR93" i="1" s="1"/>
  <c r="CR92" i="1"/>
  <c r="K8" i="95"/>
  <c r="L8" i="95"/>
  <c r="CO76" i="1"/>
  <c r="CO95" i="1"/>
  <c r="CO222" i="1"/>
  <c r="CO117" i="1" s="1"/>
  <c r="CP222" i="1"/>
  <c r="CP117" i="1" s="1"/>
  <c r="CQ222" i="1"/>
  <c r="CS222" i="1"/>
  <c r="CS117" i="1" s="1"/>
  <c r="CO231" i="1"/>
  <c r="CS232" i="1" s="1"/>
  <c r="CU72" i="8" s="1"/>
  <c r="CS97" i="1"/>
  <c r="CN81" i="1"/>
  <c r="CN63" i="1"/>
  <c r="CN58" i="1"/>
  <c r="CN97" i="1"/>
  <c r="CN197" i="1"/>
  <c r="CP77" i="8"/>
  <c r="CP55" i="8"/>
  <c r="CP60" i="8" s="1"/>
  <c r="CU68" i="8"/>
  <c r="CU69" i="8"/>
  <c r="CS69" i="8"/>
  <c r="CS68" i="8"/>
  <c r="CR221" i="1"/>
  <c r="CR75" i="1"/>
  <c r="K9" i="95"/>
  <c r="CN95" i="1"/>
  <c r="CN76" i="1"/>
  <c r="CS95" i="1"/>
  <c r="CN222" i="1"/>
  <c r="CN117" i="1" s="1"/>
  <c r="CN231" i="1"/>
  <c r="CO182" i="1"/>
  <c r="CO210" i="1" s="1"/>
  <c r="CQ68" i="8"/>
  <c r="CQ69" i="8"/>
  <c r="CP68" i="8"/>
  <c r="CP69" i="8"/>
  <c r="CO197" i="1"/>
  <c r="CO97" i="1"/>
  <c r="CQ55" i="8"/>
  <c r="CQ60" i="8" s="1"/>
  <c r="CO81" i="1"/>
  <c r="CO63" i="1"/>
  <c r="CO58" i="1"/>
  <c r="CT97" i="1"/>
  <c r="CU55" i="8"/>
  <c r="CU60" i="8" s="1"/>
  <c r="CR55" i="8"/>
  <c r="CR60" i="8" s="1"/>
  <c r="CQ77" i="8"/>
  <c r="CR69" i="8"/>
  <c r="CR68" i="8"/>
  <c r="CR47" i="1"/>
  <c r="CR77" i="1"/>
  <c r="CR96" i="1"/>
  <c r="CR163" i="1"/>
  <c r="CW96" i="1"/>
  <c r="CR49" i="1"/>
  <c r="CR78" i="1"/>
  <c r="CN93" i="1"/>
  <c r="CO93" i="1"/>
  <c r="CR162" i="1" l="1"/>
  <c r="CR182" i="1"/>
  <c r="CR210" i="1" s="1"/>
  <c r="CO232" i="1"/>
  <c r="CQ72" i="8" s="1"/>
  <c r="CR232" i="1"/>
  <c r="CQ232" i="1"/>
  <c r="CS72" i="8" s="1"/>
  <c r="CP232" i="1"/>
  <c r="CR72" i="8" s="1"/>
  <c r="CN232" i="1"/>
  <c r="CP72" i="8" s="1"/>
  <c r="CP80" i="8"/>
  <c r="CP81" i="8" s="1"/>
  <c r="CP82" i="8" s="1"/>
  <c r="CR95" i="1"/>
  <c r="CR76" i="1"/>
  <c r="CR231" i="1"/>
  <c r="CT72" i="8" s="1"/>
  <c r="CQ117" i="1"/>
  <c r="CR222" i="1"/>
  <c r="CR117" i="1" s="1"/>
  <c r="CT69" i="8"/>
  <c r="CT68" i="8"/>
  <c r="CW97" i="1"/>
  <c r="CR97" i="1"/>
  <c r="CR197" i="1"/>
  <c r="CR81" i="1"/>
  <c r="CS55" i="8"/>
  <c r="CT77" i="8"/>
  <c r="CR63" i="1"/>
  <c r="CR58" i="1"/>
  <c r="L10" i="95"/>
  <c r="K10" i="95"/>
  <c r="CQ80" i="8"/>
  <c r="CQ81" i="8" s="1"/>
  <c r="CQ82" i="8" s="1"/>
  <c r="CO59" i="1"/>
  <c r="CO147" i="98"/>
  <c r="CN147" i="98"/>
  <c r="CN59" i="1"/>
  <c r="CR147" i="98" l="1"/>
  <c r="CR59" i="1"/>
  <c r="CP223" i="1"/>
  <c r="CO223" i="1"/>
  <c r="CO98" i="1"/>
  <c r="CS223" i="1"/>
  <c r="CQ223" i="1"/>
  <c r="CR223" i="1" s="1"/>
  <c r="CT80" i="8"/>
  <c r="CT81" i="8" s="1"/>
  <c r="CT82" i="8" s="1"/>
  <c r="CN98" i="1"/>
  <c r="CS98" i="1"/>
  <c r="CN223" i="1"/>
  <c r="CS60" i="8"/>
  <c r="CT55" i="8"/>
  <c r="CT60" i="8" s="1"/>
  <c r="CR124" i="1" l="1"/>
  <c r="K11" i="95"/>
  <c r="CR98" i="1"/>
  <c r="K37" i="95" l="1"/>
  <c r="K12" i="95"/>
  <c r="CW141" i="1" l="1"/>
  <c r="CW29" i="1" l="1"/>
  <c r="CW200" i="1" s="1"/>
  <c r="CW142" i="1"/>
  <c r="CW146" i="1"/>
  <c r="CW145" i="1"/>
  <c r="CT149" i="1"/>
  <c r="CT214" i="1" s="1"/>
  <c r="CW149" i="1" l="1"/>
  <c r="CW163" i="1" s="1"/>
  <c r="CW214" i="1"/>
  <c r="CW152" i="1"/>
  <c r="CW159" i="1" s="1"/>
  <c r="CT152" i="1"/>
  <c r="CT56" i="1" l="1"/>
  <c r="CT154" i="1"/>
  <c r="CT156" i="1" s="1"/>
  <c r="CT159" i="1"/>
  <c r="CW161" i="1"/>
  <c r="CW154" i="1"/>
  <c r="CW156" i="1" s="1"/>
  <c r="CW158" i="1" s="1"/>
  <c r="CT161" i="1" l="1"/>
  <c r="CT40" i="1" s="1"/>
  <c r="CT39" i="1"/>
  <c r="CW56" i="1"/>
  <c r="CT158" i="1"/>
  <c r="CT57" i="1"/>
  <c r="CT92" i="1" l="1"/>
  <c r="CW39" i="1"/>
  <c r="CW74" i="1" s="1"/>
  <c r="CT74" i="1"/>
  <c r="CT42" i="1"/>
  <c r="CT61" i="1"/>
  <c r="CT58" i="1"/>
  <c r="CT11" i="98"/>
  <c r="CW57" i="1"/>
  <c r="CU222" i="1" l="1"/>
  <c r="CW92" i="1"/>
  <c r="CW42" i="1"/>
  <c r="CW95" i="1" s="1"/>
  <c r="CT76" i="1"/>
  <c r="CT222" i="1"/>
  <c r="CT231" i="1"/>
  <c r="CW232" i="1" s="1"/>
  <c r="CT95" i="1"/>
  <c r="CV222" i="1"/>
  <c r="CW222" i="1" s="1"/>
  <c r="CW117" i="1" s="1"/>
  <c r="CT147" i="98"/>
  <c r="CT59" i="1"/>
  <c r="CW58" i="1"/>
  <c r="CW61" i="1"/>
  <c r="CW40" i="1"/>
  <c r="CV11" i="98"/>
  <c r="CT37" i="98"/>
  <c r="CW231" i="1" l="1"/>
  <c r="CY72" i="8" s="1"/>
  <c r="CW76" i="1"/>
  <c r="CV232" i="1"/>
  <c r="CX72" i="8" s="1"/>
  <c r="CU232" i="1"/>
  <c r="CT232" i="1"/>
  <c r="CW147" i="98"/>
  <c r="CW59" i="1"/>
  <c r="CU132" i="98"/>
  <c r="CT119" i="1"/>
  <c r="CT132" i="98"/>
  <c r="CT98" i="98"/>
  <c r="CT73" i="98"/>
  <c r="CT75" i="98" s="1"/>
  <c r="CT67" i="98"/>
  <c r="CT70" i="98" s="1"/>
  <c r="CV37" i="98"/>
  <c r="CT223" i="1"/>
  <c r="CU223" i="1"/>
  <c r="CT98" i="1"/>
  <c r="CV223" i="1"/>
  <c r="CW223" i="1" s="1"/>
  <c r="CU69" i="98" l="1"/>
  <c r="CU70" i="98" s="1"/>
  <c r="CV12" i="8"/>
  <c r="CT71" i="98" s="1"/>
  <c r="CT121" i="1"/>
  <c r="CT122" i="1" s="1"/>
  <c r="CT82" i="98"/>
  <c r="CU99" i="98"/>
  <c r="CT99" i="98"/>
  <c r="CW98" i="1"/>
  <c r="L11" i="95"/>
  <c r="CV98" i="98"/>
  <c r="CV67" i="98"/>
  <c r="CV119" i="1"/>
  <c r="CV132" i="98"/>
  <c r="CW132" i="98" s="1"/>
  <c r="CV73" i="98"/>
  <c r="CV75" i="98" s="1"/>
  <c r="CV72" i="8" l="1"/>
  <c r="CV69" i="8"/>
  <c r="CT115" i="1"/>
  <c r="CT117" i="1" s="1"/>
  <c r="CV20" i="8"/>
  <c r="CV99" i="98"/>
  <c r="CV121" i="1"/>
  <c r="CV122" i="1" s="1"/>
  <c r="CV82" i="98"/>
  <c r="L12" i="95"/>
  <c r="L37" i="95"/>
  <c r="CV69" i="98"/>
  <c r="CV70" i="98" s="1"/>
  <c r="CW12" i="8"/>
  <c r="CU71" i="98" s="1"/>
  <c r="CV71" i="98" l="1"/>
  <c r="CW69" i="8"/>
  <c r="CW72" i="8"/>
  <c r="CU115" i="1"/>
  <c r="CU117" i="1" s="1"/>
  <c r="CW20" i="8"/>
  <c r="CV115" i="1"/>
  <c r="CV117" i="1" s="1"/>
  <c r="CV62" i="8"/>
  <c r="CV28" i="8"/>
  <c r="CV58" i="8" l="1"/>
  <c r="CV53" i="8"/>
  <c r="CV57" i="8"/>
  <c r="CW62" i="8"/>
  <c r="CW28" i="8"/>
  <c r="CV60" i="8" l="1"/>
  <c r="CV59" i="8"/>
  <c r="CW57" i="8"/>
  <c r="CW58" i="8"/>
  <c r="CW53" i="8"/>
  <c r="CW59" i="8" l="1"/>
  <c r="CW60" i="8"/>
  <c r="L15" i="95" l="1"/>
  <c r="CW203" i="1"/>
  <c r="CW204" i="1" s="1"/>
  <c r="CW205" i="1" s="1"/>
  <c r="EG107" i="1" l="1"/>
  <c r="CX203" i="1"/>
  <c r="CX204" i="1" s="1"/>
  <c r="CV203" i="1"/>
  <c r="CV204" i="1" s="1"/>
  <c r="CY203" i="1" l="1"/>
  <c r="CY204" i="1" s="1"/>
  <c r="CZ203" i="1" l="1"/>
  <c r="CZ204" i="1" s="1"/>
  <c r="ED107" i="1" l="1"/>
  <c r="EF107" i="1" s="1"/>
  <c r="DA203" i="1"/>
  <c r="DA204" i="1" s="1"/>
  <c r="EH107" i="1" l="1"/>
  <c r="CX17" i="1"/>
  <c r="CY17" i="1"/>
  <c r="M15" i="95"/>
  <c r="DB203" i="1"/>
  <c r="DB204" i="1" s="1"/>
  <c r="DB205" i="1" s="1"/>
  <c r="CY72" i="1" l="1"/>
  <c r="CX72" i="1"/>
  <c r="CY83" i="1"/>
  <c r="CX22" i="1"/>
  <c r="CX83" i="1"/>
  <c r="CX71" i="1" l="1"/>
  <c r="CX91" i="98"/>
  <c r="CX38" i="1"/>
  <c r="CX45" i="1" l="1"/>
  <c r="CX39" i="1"/>
  <c r="CX74" i="1" s="1"/>
  <c r="CX73" i="1"/>
  <c r="CX159" i="1"/>
  <c r="CX161" i="1" s="1"/>
  <c r="CX40" i="1" s="1"/>
  <c r="CX87" i="1"/>
  <c r="DE203" i="1"/>
  <c r="DE204" i="1" s="1"/>
  <c r="CY87" i="1"/>
  <c r="CY22" i="1"/>
  <c r="CX163" i="1" l="1"/>
  <c r="CX47" i="1"/>
  <c r="CX78" i="1"/>
  <c r="CX49" i="1"/>
  <c r="CX162" i="1"/>
  <c r="CX77" i="1"/>
  <c r="DA118" i="8"/>
  <c r="DA123" i="8" s="1"/>
  <c r="CY91" i="98"/>
  <c r="CY71" i="1"/>
  <c r="CX209" i="1"/>
  <c r="CZ121" i="8"/>
  <c r="CZ125" i="8" s="1"/>
  <c r="DE125" i="8" s="1"/>
  <c r="DF203" i="1"/>
  <c r="DF204" i="1" s="1"/>
  <c r="CY88" i="1"/>
  <c r="CY218" i="1"/>
  <c r="CY225" i="1" s="1"/>
  <c r="CY38" i="1"/>
  <c r="CY39" i="1" s="1"/>
  <c r="CZ87" i="1"/>
  <c r="CX88" i="1"/>
  <c r="CZ118" i="8"/>
  <c r="CZ123" i="8" s="1"/>
  <c r="CX218" i="1"/>
  <c r="CX225" i="1" s="1"/>
  <c r="CY209" i="1"/>
  <c r="DJ125" i="8" l="1"/>
  <c r="DO125" i="8" s="1"/>
  <c r="DT125" i="8" s="1"/>
  <c r="DY125" i="8" s="1"/>
  <c r="DB21" i="1"/>
  <c r="DB22" i="1" s="1"/>
  <c r="DB130" i="98" s="1"/>
  <c r="ED21" i="1"/>
  <c r="DB123" i="8"/>
  <c r="DC123" i="8" s="1"/>
  <c r="CX58" i="1"/>
  <c r="CX81" i="1"/>
  <c r="CZ47" i="8"/>
  <c r="CX182" i="1"/>
  <c r="CX210" i="1" s="1"/>
  <c r="CY159" i="1"/>
  <c r="CY161" i="1" s="1"/>
  <c r="CY40" i="1" s="1"/>
  <c r="CY73" i="1"/>
  <c r="CY45" i="1"/>
  <c r="CY96" i="98"/>
  <c r="CY93" i="98"/>
  <c r="DA36" i="8"/>
  <c r="DA63" i="8" s="1"/>
  <c r="CX42" i="1"/>
  <c r="CX76" i="1" s="1"/>
  <c r="CX41" i="1"/>
  <c r="CX75" i="1" s="1"/>
  <c r="CX96" i="98"/>
  <c r="CX92" i="98"/>
  <c r="DC17" i="1"/>
  <c r="DB87" i="1"/>
  <c r="CZ88" i="1"/>
  <c r="DB118" i="8"/>
  <c r="CZ218" i="1"/>
  <c r="CZ225" i="1" s="1"/>
  <c r="CY91" i="1"/>
  <c r="CY219" i="1"/>
  <c r="DA70" i="8" s="1"/>
  <c r="CY41" i="1"/>
  <c r="DA56" i="8"/>
  <c r="CZ209" i="1"/>
  <c r="DB121" i="8"/>
  <c r="CX91" i="1"/>
  <c r="CX219" i="1"/>
  <c r="CZ70" i="8" s="1"/>
  <c r="CZ56" i="8"/>
  <c r="N15" i="95"/>
  <c r="DD17" i="1"/>
  <c r="CY92" i="98"/>
  <c r="DA87" i="1"/>
  <c r="ED87" i="1" s="1"/>
  <c r="EF87" i="1" s="1"/>
  <c r="DA22" i="1"/>
  <c r="ED22" i="1" l="1"/>
  <c r="EF22" i="1" s="1"/>
  <c r="DA71" i="1"/>
  <c r="DB30" i="1"/>
  <c r="ED30" i="1"/>
  <c r="EH21" i="1"/>
  <c r="EF21" i="1"/>
  <c r="CZ96" i="98"/>
  <c r="CY163" i="1"/>
  <c r="CY77" i="1"/>
  <c r="CY162" i="1"/>
  <c r="CY78" i="1"/>
  <c r="CZ45" i="1"/>
  <c r="CZ159" i="1"/>
  <c r="CZ161" i="1" s="1"/>
  <c r="CZ40" i="1" s="1"/>
  <c r="CY75" i="1"/>
  <c r="CY74" i="1"/>
  <c r="CZ93" i="98"/>
  <c r="CZ227" i="1"/>
  <c r="CZ230" i="1" s="1"/>
  <c r="DA111" i="8"/>
  <c r="DA95" i="8"/>
  <c r="DA41" i="8"/>
  <c r="DD83" i="1"/>
  <c r="CX92" i="1"/>
  <c r="CZ111" i="8"/>
  <c r="CZ95" i="8"/>
  <c r="DA129" i="8"/>
  <c r="CZ36" i="8"/>
  <c r="CZ41" i="8" s="1"/>
  <c r="CY221" i="1"/>
  <c r="DA68" i="8" s="1"/>
  <c r="CZ91" i="1"/>
  <c r="CZ219" i="1"/>
  <c r="DB70" i="8" s="1"/>
  <c r="DB56" i="8"/>
  <c r="CZ41" i="1"/>
  <c r="DB71" i="1"/>
  <c r="M5" i="95"/>
  <c r="DB230" i="1"/>
  <c r="DB88" i="1"/>
  <c r="DB96" i="98" s="1"/>
  <c r="CX227" i="1"/>
  <c r="CY227" i="1"/>
  <c r="DC83" i="1"/>
  <c r="DA88" i="1"/>
  <c r="ED71" i="1"/>
  <c r="EH71" i="1" s="1"/>
  <c r="DA218" i="1"/>
  <c r="DC118" i="8"/>
  <c r="DA227" i="1"/>
  <c r="DA38" i="1"/>
  <c r="DA73" i="1" s="1"/>
  <c r="CX96" i="1"/>
  <c r="DA209" i="1"/>
  <c r="DC121" i="8"/>
  <c r="DC129" i="8" s="1"/>
  <c r="CY96" i="1"/>
  <c r="CZ92" i="98"/>
  <c r="CZ84" i="8"/>
  <c r="CZ100" i="8"/>
  <c r="CX221" i="1"/>
  <c r="CZ68" i="8" s="1"/>
  <c r="DB95" i="8"/>
  <c r="DB36" i="8"/>
  <c r="DB41" i="8" s="1"/>
  <c r="DB52" i="8" s="1"/>
  <c r="DB111" i="8"/>
  <c r="CY92" i="1"/>
  <c r="CY42" i="1"/>
  <c r="EH22" i="1" l="1"/>
  <c r="DB209" i="1"/>
  <c r="DB38" i="1"/>
  <c r="DB45" i="1" s="1"/>
  <c r="EF30" i="1"/>
  <c r="EH30" i="1"/>
  <c r="DA96" i="98"/>
  <c r="ED88" i="1"/>
  <c r="EF88" i="1" s="1"/>
  <c r="EF71" i="1"/>
  <c r="DA159" i="1"/>
  <c r="ED38" i="1"/>
  <c r="CZ163" i="1"/>
  <c r="CZ78" i="1"/>
  <c r="CZ77" i="1"/>
  <c r="CZ162" i="1"/>
  <c r="CZ75" i="1"/>
  <c r="CY182" i="1"/>
  <c r="CY210" i="1" s="1"/>
  <c r="CY76" i="1"/>
  <c r="DA45" i="1"/>
  <c r="DA39" i="1"/>
  <c r="DB14" i="98"/>
  <c r="DA93" i="98"/>
  <c r="DB129" i="8"/>
  <c r="DA100" i="8"/>
  <c r="DA84" i="8"/>
  <c r="DB63" i="8"/>
  <c r="CY49" i="1"/>
  <c r="CY81" i="1" s="1"/>
  <c r="CZ63" i="8"/>
  <c r="CY47" i="1"/>
  <c r="ED73" i="1"/>
  <c r="EF73" i="1" s="1"/>
  <c r="DA91" i="1"/>
  <c r="ED91" i="1" s="1"/>
  <c r="EF91" i="1" s="1"/>
  <c r="DA219" i="1"/>
  <c r="DA41" i="1"/>
  <c r="DC56" i="8"/>
  <c r="DA225" i="1"/>
  <c r="DB218" i="1"/>
  <c r="DB225" i="1" s="1"/>
  <c r="CY222" i="1"/>
  <c r="CY95" i="1"/>
  <c r="CY231" i="1"/>
  <c r="CY230" i="1"/>
  <c r="M7" i="95"/>
  <c r="M8" i="95" s="1"/>
  <c r="CZ92" i="1"/>
  <c r="CZ42" i="1"/>
  <c r="CX222" i="1"/>
  <c r="CX95" i="1"/>
  <c r="CX231" i="1"/>
  <c r="CY36" i="98"/>
  <c r="DA92" i="98"/>
  <c r="CX36" i="98"/>
  <c r="DC111" i="8"/>
  <c r="DC95" i="8"/>
  <c r="DC36" i="8"/>
  <c r="DD31" i="8"/>
  <c r="DA230" i="1"/>
  <c r="DD121" i="8"/>
  <c r="CX228" i="1"/>
  <c r="CZ71" i="8" s="1"/>
  <c r="CX230" i="1"/>
  <c r="CY228" i="1"/>
  <c r="DA71" i="8" s="1"/>
  <c r="CZ228" i="1"/>
  <c r="DB71" i="8" s="1"/>
  <c r="DB228" i="1"/>
  <c r="DD71" i="8" s="1"/>
  <c r="DA228" i="1"/>
  <c r="DC71" i="8" s="1"/>
  <c r="M6" i="95"/>
  <c r="CZ221" i="1"/>
  <c r="DB68" i="8" s="1"/>
  <c r="DD118" i="8"/>
  <c r="CZ96" i="1"/>
  <c r="DB34" i="98"/>
  <c r="DD129" i="8" s="1"/>
  <c r="DB73" i="1" l="1"/>
  <c r="DB91" i="1"/>
  <c r="ED45" i="1"/>
  <c r="EH45" i="1" s="1"/>
  <c r="DA78" i="1"/>
  <c r="DA77" i="1"/>
  <c r="DB159" i="1"/>
  <c r="DB161" i="1" s="1"/>
  <c r="DA161" i="1"/>
  <c r="DA40" i="1" s="1"/>
  <c r="ED41" i="1"/>
  <c r="EF41" i="1" s="1"/>
  <c r="DA75" i="1"/>
  <c r="ED75" i="1" s="1"/>
  <c r="EH75" i="1" s="1"/>
  <c r="ED39" i="1"/>
  <c r="EF39" i="1" s="1"/>
  <c r="DA74" i="1"/>
  <c r="ED74" i="1" s="1"/>
  <c r="EF74" i="1" s="1"/>
  <c r="EH38" i="1"/>
  <c r="EF38" i="1"/>
  <c r="EH73" i="1"/>
  <c r="EF45" i="1"/>
  <c r="CZ76" i="1"/>
  <c r="CZ182" i="1"/>
  <c r="CZ210" i="1" s="1"/>
  <c r="DB41" i="1"/>
  <c r="DB75" i="1" s="1"/>
  <c r="DB92" i="98"/>
  <c r="DB93" i="98"/>
  <c r="DB84" i="8"/>
  <c r="DB100" i="8"/>
  <c r="CY97" i="1"/>
  <c r="DA77" i="8"/>
  <c r="CZ49" i="1"/>
  <c r="CX63" i="1"/>
  <c r="CY197" i="1"/>
  <c r="CY63" i="1"/>
  <c r="DA55" i="8"/>
  <c r="CY58" i="1"/>
  <c r="CY59" i="1" s="1"/>
  <c r="CX59" i="1"/>
  <c r="CX97" i="1"/>
  <c r="CZ55" i="8"/>
  <c r="CX197" i="1"/>
  <c r="CZ77" i="8"/>
  <c r="DC100" i="8"/>
  <c r="DC63" i="8"/>
  <c r="DC84" i="8"/>
  <c r="DD14" i="8"/>
  <c r="DD56" i="8"/>
  <c r="DC70" i="8"/>
  <c r="DB219" i="1"/>
  <c r="DD70" i="8" s="1"/>
  <c r="CZ47" i="1"/>
  <c r="DC87" i="1"/>
  <c r="DC22" i="1"/>
  <c r="DD36" i="8"/>
  <c r="DC41" i="8"/>
  <c r="CX232" i="1"/>
  <c r="DJ203" i="1"/>
  <c r="DJ204" i="1" s="1"/>
  <c r="DA92" i="1"/>
  <c r="ED92" i="1" s="1"/>
  <c r="EF92" i="1" s="1"/>
  <c r="DA42" i="1"/>
  <c r="DB39" i="1"/>
  <c r="DD125" i="8"/>
  <c r="DA96" i="1"/>
  <c r="ED96" i="1" s="1"/>
  <c r="EF96" i="1" s="1"/>
  <c r="ED77" i="1"/>
  <c r="EH77" i="1" s="1"/>
  <c r="ED46" i="1"/>
  <c r="EH46" i="1" s="1"/>
  <c r="DD87" i="1"/>
  <c r="DD22" i="1"/>
  <c r="CZ222" i="1"/>
  <c r="CZ231" i="1"/>
  <c r="CY232" i="1" s="1"/>
  <c r="CZ95" i="1"/>
  <c r="DB77" i="1"/>
  <c r="DB96" i="1"/>
  <c r="DA221" i="1"/>
  <c r="EH41" i="1" l="1"/>
  <c r="DD41" i="8"/>
  <c r="DC52" i="8"/>
  <c r="ED78" i="1"/>
  <c r="DA182" i="1"/>
  <c r="DA210" i="1" s="1"/>
  <c r="EH39" i="1"/>
  <c r="ED42" i="1"/>
  <c r="DA76" i="1"/>
  <c r="EF46" i="1"/>
  <c r="EI46" i="1" s="1"/>
  <c r="EF75" i="1"/>
  <c r="EH74" i="1"/>
  <c r="EF77" i="1"/>
  <c r="CZ81" i="1"/>
  <c r="CZ58" i="1"/>
  <c r="CZ147" i="98" s="1"/>
  <c r="M9" i="95"/>
  <c r="M10" i="95" s="1"/>
  <c r="DA49" i="1"/>
  <c r="CY147" i="98"/>
  <c r="CX147" i="98"/>
  <c r="CX37" i="98"/>
  <c r="CX67" i="98" s="1"/>
  <c r="CZ49" i="8"/>
  <c r="CZ51" i="8" s="1"/>
  <c r="CZ52" i="8" s="1"/>
  <c r="CZ197" i="1"/>
  <c r="CZ63" i="1"/>
  <c r="DB55" i="8"/>
  <c r="CZ97" i="1"/>
  <c r="DB77" i="8"/>
  <c r="CZ80" i="8"/>
  <c r="CZ81" i="8" s="1"/>
  <c r="CZ232" i="1"/>
  <c r="DD14" i="98"/>
  <c r="DD88" i="1"/>
  <c r="DD96" i="98" s="1"/>
  <c r="DD218" i="1"/>
  <c r="DF118" i="8"/>
  <c r="DF14" i="8" s="1"/>
  <c r="CX98" i="1"/>
  <c r="CX223" i="1"/>
  <c r="DC68" i="8"/>
  <c r="DB221" i="1"/>
  <c r="DD68" i="8" s="1"/>
  <c r="DK203" i="1"/>
  <c r="DK204" i="1" s="1"/>
  <c r="DB74" i="1"/>
  <c r="DB92" i="1"/>
  <c r="DB42" i="1"/>
  <c r="DB31" i="98"/>
  <c r="DA47" i="1"/>
  <c r="ED47" i="1" s="1"/>
  <c r="EF47" i="1" s="1"/>
  <c r="DB46" i="1"/>
  <c r="DC88" i="1"/>
  <c r="DC96" i="98" s="1"/>
  <c r="DC218" i="1"/>
  <c r="DE118" i="8"/>
  <c r="DC14" i="98"/>
  <c r="CY98" i="1"/>
  <c r="CY223" i="1"/>
  <c r="DA95" i="1"/>
  <c r="ED76" i="1"/>
  <c r="EF76" i="1" s="1"/>
  <c r="DA222" i="1"/>
  <c r="DB222" i="1" s="1"/>
  <c r="DA231" i="1"/>
  <c r="DD123" i="8"/>
  <c r="DD63" i="8"/>
  <c r="DD64" i="8" s="1"/>
  <c r="ED49" i="1" l="1"/>
  <c r="EF49" i="1" s="1"/>
  <c r="DA81" i="1"/>
  <c r="ED81" i="1" s="1"/>
  <c r="EF81" i="1" s="1"/>
  <c r="EH78" i="1"/>
  <c r="EF78" i="1"/>
  <c r="EH47" i="1"/>
  <c r="EH76" i="1"/>
  <c r="CZ93" i="1"/>
  <c r="CX119" i="1"/>
  <c r="DD93" i="98"/>
  <c r="DC93" i="98"/>
  <c r="DB49" i="1"/>
  <c r="DB36" i="98"/>
  <c r="DA76" i="8"/>
  <c r="CZ67" i="8"/>
  <c r="CX73" i="98"/>
  <c r="CX75" i="98" s="1"/>
  <c r="CX121" i="1" s="1"/>
  <c r="CX122" i="1" s="1"/>
  <c r="CX70" i="98"/>
  <c r="CX132" i="98"/>
  <c r="CX98" i="98"/>
  <c r="CX99" i="98" s="1"/>
  <c r="CZ82" i="8"/>
  <c r="CZ59" i="1"/>
  <c r="DA58" i="1"/>
  <c r="DC77" i="8"/>
  <c r="DA97" i="1"/>
  <c r="ED97" i="1" s="1"/>
  <c r="EF97" i="1" s="1"/>
  <c r="O15" i="95"/>
  <c r="DF84" i="8"/>
  <c r="DI17" i="1"/>
  <c r="DE14" i="8"/>
  <c r="DB95" i="1"/>
  <c r="DB76" i="1"/>
  <c r="DB231" i="1"/>
  <c r="DD92" i="98"/>
  <c r="DB78" i="1"/>
  <c r="DB47" i="1"/>
  <c r="DA232" i="1"/>
  <c r="DH17" i="1"/>
  <c r="DB232" i="1"/>
  <c r="DC92" i="98"/>
  <c r="EH49" i="1" l="1"/>
  <c r="EH81" i="1"/>
  <c r="DA93" i="1"/>
  <c r="ED40" i="1"/>
  <c r="EH40" i="1" s="1"/>
  <c r="CY69" i="98"/>
  <c r="CX71" i="98"/>
  <c r="DB153" i="1"/>
  <c r="DB154" i="1" s="1"/>
  <c r="DB156" i="1" s="1"/>
  <c r="DB11" i="98"/>
  <c r="CZ223" i="1"/>
  <c r="CZ98" i="1"/>
  <c r="CX82" i="98"/>
  <c r="CX83" i="98" s="1"/>
  <c r="CX76" i="98"/>
  <c r="DB40" i="1"/>
  <c r="DB93" i="1" s="1"/>
  <c r="DH83" i="1"/>
  <c r="DB97" i="1"/>
  <c r="DB81" i="1"/>
  <c r="DB58" i="1"/>
  <c r="DD77" i="8"/>
  <c r="DC55" i="8"/>
  <c r="DB182" i="1"/>
  <c r="DB210" i="1" s="1"/>
  <c r="DI83" i="1"/>
  <c r="DE100" i="8"/>
  <c r="DE84" i="8"/>
  <c r="DD31" i="98"/>
  <c r="DF130" i="8" s="1"/>
  <c r="DC31" i="98"/>
  <c r="DE130" i="8" s="1"/>
  <c r="DF100" i="8"/>
  <c r="EF40" i="1" l="1"/>
  <c r="CZ72" i="8"/>
  <c r="CZ20" i="8"/>
  <c r="CZ62" i="8" s="1"/>
  <c r="CX115" i="1"/>
  <c r="CX117" i="1" s="1"/>
  <c r="CZ69" i="8"/>
  <c r="DD55" i="8"/>
  <c r="CZ28" i="8" l="1"/>
  <c r="DI87" i="1"/>
  <c r="DI22" i="1"/>
  <c r="DH87" i="1"/>
  <c r="DH22" i="1"/>
  <c r="DO203" i="1"/>
  <c r="DO204" i="1" s="1"/>
  <c r="CZ58" i="8" l="1"/>
  <c r="CZ53" i="8"/>
  <c r="CZ57" i="8"/>
  <c r="CZ59" i="8" s="1"/>
  <c r="DP203" i="1"/>
  <c r="DP204" i="1" s="1"/>
  <c r="DI14" i="98"/>
  <c r="DI88" i="1"/>
  <c r="DI96" i="98" s="1"/>
  <c r="DK118" i="8"/>
  <c r="DK14" i="8" s="1"/>
  <c r="DH88" i="1"/>
  <c r="DH96" i="98" s="1"/>
  <c r="DJ118" i="8"/>
  <c r="DJ14" i="8" s="1"/>
  <c r="DH14" i="98"/>
  <c r="DH92" i="98" s="1"/>
  <c r="CZ60" i="8" l="1"/>
  <c r="DI93" i="98"/>
  <c r="DH93" i="98"/>
  <c r="DN17" i="1"/>
  <c r="DM17" i="1"/>
  <c r="P15" i="95"/>
  <c r="DK100" i="8"/>
  <c r="DK84" i="8"/>
  <c r="DI92" i="98"/>
  <c r="DI31" i="98"/>
  <c r="DK130" i="8" s="1"/>
  <c r="DJ84" i="8"/>
  <c r="DN83" i="1" l="1"/>
  <c r="DM83" i="1"/>
  <c r="DT203" i="1" l="1"/>
  <c r="DT204" i="1" s="1"/>
  <c r="DN87" i="1"/>
  <c r="DN22" i="1"/>
  <c r="DM87" i="1"/>
  <c r="DM22" i="1"/>
  <c r="DU203" i="1" l="1"/>
  <c r="DU204" i="1" s="1"/>
  <c r="DM88" i="1"/>
  <c r="DM96" i="98" s="1"/>
  <c r="DO118" i="8"/>
  <c r="DO14" i="8" s="1"/>
  <c r="DM14" i="98"/>
  <c r="DP118" i="8"/>
  <c r="DP14" i="8" s="1"/>
  <c r="DN14" i="98"/>
  <c r="DN88" i="1"/>
  <c r="DN96" i="98" s="1"/>
  <c r="DR17" i="1" l="1"/>
  <c r="DN93" i="98"/>
  <c r="DM93" i="98"/>
  <c r="DP100" i="8"/>
  <c r="DP84" i="8"/>
  <c r="DO84" i="8"/>
  <c r="DN31" i="98"/>
  <c r="DP130" i="8" s="1"/>
  <c r="DN92" i="98"/>
  <c r="DM92" i="98"/>
  <c r="DS17" i="1" l="1"/>
  <c r="DR83" i="1"/>
  <c r="DS83" i="1" l="1"/>
  <c r="DY203" i="1" l="1"/>
  <c r="DY204" i="1" s="1"/>
  <c r="DR87" i="1"/>
  <c r="DR22" i="1"/>
  <c r="DS22" i="1" l="1"/>
  <c r="DS87" i="1"/>
  <c r="DR88" i="1"/>
  <c r="DR96" i="98" s="1"/>
  <c r="DT118" i="8"/>
  <c r="DT14" i="8" s="1"/>
  <c r="DR14" i="98"/>
  <c r="DZ203" i="1"/>
  <c r="DZ204" i="1" s="1"/>
  <c r="DT84" i="8" l="1"/>
  <c r="DR92" i="98"/>
  <c r="DR93" i="98"/>
  <c r="DW17" i="1"/>
  <c r="DS88" i="1"/>
  <c r="DS96" i="98" s="1"/>
  <c r="DS14" i="98"/>
  <c r="DU118" i="8"/>
  <c r="DU14" i="8" s="1"/>
  <c r="DS92" i="98" l="1"/>
  <c r="DS93" i="98"/>
  <c r="DX17" i="1"/>
  <c r="DW83" i="1"/>
  <c r="DU84" i="8"/>
  <c r="DU100" i="8"/>
  <c r="DS31" i="98"/>
  <c r="DU130" i="8" l="1"/>
  <c r="DX83" i="1"/>
  <c r="DW87" i="1" l="1"/>
  <c r="DW22" i="1"/>
  <c r="DW14" i="98" l="1"/>
  <c r="DY118" i="8"/>
  <c r="DY14" i="8" s="1"/>
  <c r="DW88" i="1"/>
  <c r="DW96" i="98" s="1"/>
  <c r="DX22" i="1"/>
  <c r="DX87" i="1"/>
  <c r="DX88" i="1" l="1"/>
  <c r="DX96" i="98" s="1"/>
  <c r="DZ118" i="8"/>
  <c r="DZ14" i="8" s="1"/>
  <c r="DX31" i="98" s="1"/>
  <c r="DX14" i="98"/>
  <c r="DW93" i="98"/>
  <c r="DW92" i="98"/>
  <c r="DY84" i="8"/>
  <c r="CY37" i="98"/>
  <c r="DZ130" i="8" l="1"/>
  <c r="DX93" i="98"/>
  <c r="DX92" i="98"/>
  <c r="DZ84" i="8"/>
  <c r="DZ100" i="8"/>
  <c r="CY119" i="1"/>
  <c r="CY132" i="98"/>
  <c r="CY73" i="98"/>
  <c r="CZ37" i="98" l="1"/>
  <c r="CZ119" i="1" l="1"/>
  <c r="CZ132" i="98"/>
  <c r="CZ73" i="98"/>
  <c r="DA37" i="98" l="1"/>
  <c r="DB27" i="98"/>
  <c r="DG27" i="98" s="1"/>
  <c r="CC215" i="1" s="1"/>
  <c r="DC27" i="98" l="1"/>
  <c r="DA119" i="1"/>
  <c r="DA132" i="98"/>
  <c r="DB132" i="98" s="1"/>
  <c r="DA73" i="98"/>
  <c r="DB37" i="98"/>
  <c r="DE27" i="98"/>
  <c r="DF27" i="98"/>
  <c r="DD27" i="98"/>
  <c r="DL27" i="98"/>
  <c r="BX215" i="1"/>
  <c r="DL136" i="98" l="1"/>
  <c r="CH215" i="1"/>
  <c r="DK27" i="98"/>
  <c r="DI27" i="98"/>
  <c r="DQ27" i="98"/>
  <c r="DV27" i="98" s="1"/>
  <c r="DJ27" i="98"/>
  <c r="DH27" i="98"/>
  <c r="DB119" i="1"/>
  <c r="DB73" i="98"/>
  <c r="DS27" i="98" l="1"/>
  <c r="DU27" i="98"/>
  <c r="DT27" i="98"/>
  <c r="EA27" i="98"/>
  <c r="DR27" i="98"/>
  <c r="DV136" i="98"/>
  <c r="CR215" i="1"/>
  <c r="DQ136" i="98"/>
  <c r="CM215" i="1"/>
  <c r="DN27" i="98"/>
  <c r="DO27" i="98"/>
  <c r="DM27" i="98"/>
  <c r="DP27" i="98"/>
  <c r="DI136" i="98"/>
  <c r="DH136" i="98"/>
  <c r="DJ136" i="98"/>
  <c r="DK136" i="98"/>
  <c r="DZ27" i="98" l="1"/>
  <c r="DX27" i="98"/>
  <c r="DW27" i="98"/>
  <c r="DY27" i="98"/>
  <c r="EA136" i="98"/>
  <c r="CW215" i="1"/>
  <c r="DT136" i="98"/>
  <c r="CP215" i="1"/>
  <c r="DU136" i="98"/>
  <c r="CQ215" i="1"/>
  <c r="DR136" i="98"/>
  <c r="CN215" i="1"/>
  <c r="DS136" i="98"/>
  <c r="CO215" i="1"/>
  <c r="DN136" i="98"/>
  <c r="DO136" i="98"/>
  <c r="DP136" i="98"/>
  <c r="DM136" i="98"/>
  <c r="DY136" i="98" l="1"/>
  <c r="CU215" i="1"/>
  <c r="DW136" i="98"/>
  <c r="CS215" i="1"/>
  <c r="DX136" i="98"/>
  <c r="CT215" i="1"/>
  <c r="DZ136" i="98"/>
  <c r="CV215" i="1"/>
  <c r="ED112" i="1" l="1"/>
  <c r="EH112" i="1" s="1"/>
  <c r="EF112" i="1" l="1"/>
  <c r="DB121" i="98" l="1"/>
  <c r="CY133" i="98" l="1"/>
  <c r="CY120" i="1"/>
  <c r="CY74" i="98"/>
  <c r="CY75" i="98" s="1"/>
  <c r="CY48" i="98"/>
  <c r="CY98" i="98" s="1"/>
  <c r="DA80" i="8" l="1"/>
  <c r="DA81" i="8" s="1"/>
  <c r="DA49" i="8"/>
  <c r="DA51" i="8" s="1"/>
  <c r="CY121" i="1"/>
  <c r="CY122" i="1" s="1"/>
  <c r="CY76" i="98"/>
  <c r="CY82" i="98"/>
  <c r="CY83" i="98" s="1"/>
  <c r="DC129" i="98"/>
  <c r="CY99" i="98"/>
  <c r="CY67" i="98"/>
  <c r="CY70" i="98" s="1"/>
  <c r="DA82" i="8" l="1"/>
  <c r="DB80" i="8"/>
  <c r="DD129" i="98"/>
  <c r="DA67" i="8"/>
  <c r="DB76" i="8"/>
  <c r="DA52" i="8"/>
  <c r="CZ69" i="98"/>
  <c r="DB81" i="8" l="1"/>
  <c r="DB82" i="8" s="1"/>
  <c r="CY115" i="1"/>
  <c r="CY117" i="1" s="1"/>
  <c r="DA72" i="8"/>
  <c r="DA69" i="8"/>
  <c r="DA20" i="8"/>
  <c r="CY71" i="98"/>
  <c r="DC130" i="98"/>
  <c r="DC40" i="98"/>
  <c r="DD130" i="98"/>
  <c r="DD40" i="98"/>
  <c r="DB67" i="8"/>
  <c r="DC76" i="8"/>
  <c r="DD120" i="1" l="1"/>
  <c r="DD74" i="98"/>
  <c r="DD48" i="98"/>
  <c r="DC120" i="1"/>
  <c r="DC74" i="98"/>
  <c r="DC48" i="98"/>
  <c r="DA62" i="8"/>
  <c r="DA28" i="8"/>
  <c r="DA57" i="8" l="1"/>
  <c r="DA58" i="8"/>
  <c r="DA53" i="8"/>
  <c r="DG121" i="98"/>
  <c r="DI129" i="98" l="1"/>
  <c r="DA60" i="8"/>
  <c r="DA59" i="8"/>
  <c r="DH129" i="98"/>
  <c r="K32" i="95" l="1"/>
  <c r="I32" i="95"/>
  <c r="M32" i="95"/>
  <c r="L32" i="95"/>
  <c r="J32" i="95"/>
  <c r="DI130" i="98"/>
  <c r="DI40" i="98"/>
  <c r="DI120" i="1" l="1"/>
  <c r="DI74" i="98"/>
  <c r="DI48" i="98"/>
  <c r="DH130" i="98"/>
  <c r="DH40" i="98"/>
  <c r="DH120" i="1" l="1"/>
  <c r="DH74" i="98"/>
  <c r="DH48" i="98"/>
  <c r="DL121" i="98"/>
  <c r="CZ17" i="1" l="1"/>
  <c r="CZ83" i="1" l="1"/>
  <c r="CZ72" i="1"/>
  <c r="CZ74" i="98" l="1"/>
  <c r="CZ75" i="98" s="1"/>
  <c r="CZ48" i="98"/>
  <c r="CZ133" i="98"/>
  <c r="CZ120" i="1"/>
  <c r="DE17" i="1" l="1"/>
  <c r="CZ76" i="98"/>
  <c r="CZ82" i="98"/>
  <c r="CZ83" i="98" s="1"/>
  <c r="CZ121" i="1"/>
  <c r="CZ122" i="1" s="1"/>
  <c r="CZ98" i="98"/>
  <c r="CZ67" i="98"/>
  <c r="CZ70" i="98" s="1"/>
  <c r="CZ99" i="98" l="1"/>
  <c r="DE72" i="1"/>
  <c r="DE83" i="1"/>
  <c r="DA69" i="98"/>
  <c r="DE129" i="98" l="1"/>
  <c r="DB72" i="8"/>
  <c r="DB69" i="8"/>
  <c r="DA115" i="1"/>
  <c r="DA117" i="1" s="1"/>
  <c r="CZ115" i="1"/>
  <c r="CZ117" i="1" s="1"/>
  <c r="DE86" i="1"/>
  <c r="CZ71" i="98"/>
  <c r="DJ17" i="1"/>
  <c r="DG102" i="98" l="1"/>
  <c r="DJ129" i="98"/>
  <c r="DB62" i="8"/>
  <c r="DJ83" i="1"/>
  <c r="DJ72" i="1"/>
  <c r="DE40" i="98"/>
  <c r="DE48" i="98" l="1"/>
  <c r="DE74" i="98"/>
  <c r="DE120" i="1"/>
  <c r="DL102" i="98"/>
  <c r="DJ86" i="1"/>
  <c r="DO17" i="1"/>
  <c r="DB53" i="8"/>
  <c r="DB57" i="8"/>
  <c r="DB58" i="8"/>
  <c r="DE68" i="1"/>
  <c r="DE69" i="1"/>
  <c r="DB59" i="8" l="1"/>
  <c r="DB60" i="8"/>
  <c r="DO72" i="1"/>
  <c r="DO83" i="1"/>
  <c r="DJ40" i="98"/>
  <c r="DO86" i="1" l="1"/>
  <c r="DJ74" i="98"/>
  <c r="DJ48" i="98"/>
  <c r="DJ120" i="1"/>
  <c r="DQ102" i="98"/>
  <c r="DJ68" i="1"/>
  <c r="DT17" i="1"/>
  <c r="DJ69" i="1"/>
  <c r="DT83" i="1" l="1"/>
  <c r="DT72" i="1"/>
  <c r="DT86" i="1" l="1"/>
  <c r="DY17" i="1"/>
  <c r="DO69" i="1"/>
  <c r="DV102" i="98"/>
  <c r="DO68" i="1"/>
  <c r="DY72" i="1" l="1"/>
  <c r="DY83" i="1"/>
  <c r="EA102" i="98" l="1"/>
  <c r="DY86" i="1"/>
  <c r="DT68" i="1"/>
  <c r="DT69" i="1"/>
  <c r="DY68" i="1" l="1"/>
  <c r="DY69" i="1"/>
  <c r="DE87" i="1" l="1"/>
  <c r="DE22" i="1"/>
  <c r="DG118" i="8" l="1"/>
  <c r="DE14" i="98"/>
  <c r="DE71" i="1"/>
  <c r="DE88" i="1"/>
  <c r="DE96" i="98" s="1"/>
  <c r="DE130" i="98"/>
  <c r="DE218" i="1"/>
  <c r="DJ22" i="1" l="1"/>
  <c r="DJ87" i="1"/>
  <c r="DE93" i="98"/>
  <c r="DE92" i="98"/>
  <c r="DG14" i="8"/>
  <c r="DO22" i="1" l="1"/>
  <c r="DO87" i="1"/>
  <c r="DG84" i="8"/>
  <c r="DG100" i="8"/>
  <c r="DE31" i="98"/>
  <c r="DL118" i="8"/>
  <c r="DL14" i="8" s="1"/>
  <c r="DJ14" i="98"/>
  <c r="DJ130" i="98"/>
  <c r="DJ71" i="1"/>
  <c r="DJ88" i="1"/>
  <c r="DJ96" i="98" s="1"/>
  <c r="DJ93" i="98" l="1"/>
  <c r="DJ92" i="98"/>
  <c r="DQ118" i="8"/>
  <c r="DQ14" i="8" s="1"/>
  <c r="DO14" i="98"/>
  <c r="DO71" i="1"/>
  <c r="DO88" i="1"/>
  <c r="DO96" i="98" s="1"/>
  <c r="DT22" i="1"/>
  <c r="DT87" i="1"/>
  <c r="DG130" i="8"/>
  <c r="DY22" i="1"/>
  <c r="DY87" i="1"/>
  <c r="DL100" i="8"/>
  <c r="DL84" i="8"/>
  <c r="DJ31" i="98"/>
  <c r="EA118" i="8" l="1"/>
  <c r="EA14" i="8" s="1"/>
  <c r="DY14" i="98"/>
  <c r="DY71" i="1"/>
  <c r="DY88" i="1"/>
  <c r="DY96" i="98" s="1"/>
  <c r="DQ84" i="8"/>
  <c r="DQ100" i="8"/>
  <c r="DO31" i="98"/>
  <c r="DL130" i="8"/>
  <c r="DV118" i="8"/>
  <c r="DV14" i="8" s="1"/>
  <c r="DT14" i="98"/>
  <c r="DT71" i="1"/>
  <c r="DT88" i="1"/>
  <c r="DT96" i="98" s="1"/>
  <c r="DO93" i="98"/>
  <c r="DO92" i="98"/>
  <c r="DV100" i="8" l="1"/>
  <c r="DV84" i="8"/>
  <c r="DT31" i="98"/>
  <c r="DY92" i="98"/>
  <c r="DY93" i="98"/>
  <c r="DT92" i="98"/>
  <c r="DT93" i="98"/>
  <c r="DQ130" i="8"/>
  <c r="EA84" i="8"/>
  <c r="EA100" i="8"/>
  <c r="DY31" i="98"/>
  <c r="EA130" i="8" l="1"/>
  <c r="DV130" i="8"/>
  <c r="DJ209" i="1" l="1"/>
  <c r="DE209" i="1"/>
  <c r="DO209" i="1" l="1"/>
  <c r="DY209" i="1" l="1"/>
  <c r="DT209" i="1"/>
  <c r="DD38" i="1" l="1"/>
  <c r="DD90" i="1" l="1"/>
  <c r="DF121" i="8"/>
  <c r="DF31" i="8" s="1"/>
  <c r="DF95" i="8" s="1"/>
  <c r="DD72" i="1"/>
  <c r="DD71" i="1"/>
  <c r="DD203" i="1"/>
  <c r="DD204" i="1" s="1"/>
  <c r="DF120" i="8"/>
  <c r="DD209" i="1"/>
  <c r="DD41" i="1"/>
  <c r="DD45" i="1"/>
  <c r="DD73" i="1"/>
  <c r="DD39" i="1"/>
  <c r="DD159" i="1"/>
  <c r="DD91" i="1"/>
  <c r="DF36" i="8" l="1"/>
  <c r="DF41" i="8" s="1"/>
  <c r="DK121" i="8"/>
  <c r="DK31" i="8" s="1"/>
  <c r="DK120" i="8"/>
  <c r="DI71" i="1"/>
  <c r="DI203" i="1"/>
  <c r="DI204" i="1" s="1"/>
  <c r="DI72" i="1"/>
  <c r="DI38" i="1"/>
  <c r="DI90" i="1"/>
  <c r="DI209" i="1"/>
  <c r="DD42" i="1"/>
  <c r="DD74" i="1"/>
  <c r="DD92" i="1"/>
  <c r="DD75" i="1"/>
  <c r="DD46" i="1"/>
  <c r="DD77" i="1"/>
  <c r="DD96" i="1"/>
  <c r="DF63" i="8" l="1"/>
  <c r="DD47" i="1"/>
  <c r="DD49" i="1"/>
  <c r="DD58" i="1" s="1"/>
  <c r="DI41" i="1"/>
  <c r="DI39" i="1"/>
  <c r="DI45" i="1"/>
  <c r="DI73" i="1"/>
  <c r="DI159" i="1"/>
  <c r="DI91" i="1"/>
  <c r="DD76" i="1"/>
  <c r="DD95" i="1"/>
  <c r="DK36" i="8"/>
  <c r="DK95" i="8"/>
  <c r="DD97" i="1" l="1"/>
  <c r="DD11" i="98"/>
  <c r="DD81" i="1"/>
  <c r="DF77" i="8"/>
  <c r="DP120" i="8"/>
  <c r="DP121" i="8"/>
  <c r="DP31" i="8" s="1"/>
  <c r="DN38" i="1"/>
  <c r="DN72" i="1"/>
  <c r="DN71" i="1"/>
  <c r="DN90" i="1"/>
  <c r="DN209" i="1"/>
  <c r="DN203" i="1"/>
  <c r="DN204" i="1" s="1"/>
  <c r="DK41" i="8"/>
  <c r="DK63" i="8"/>
  <c r="DI46" i="1"/>
  <c r="DI47" i="1" s="1"/>
  <c r="DI77" i="1"/>
  <c r="DI96" i="1"/>
  <c r="DI75" i="1"/>
  <c r="DI92" i="1"/>
  <c r="DI42" i="1"/>
  <c r="DI74" i="1"/>
  <c r="DD93" i="1"/>
  <c r="DU121" i="8" l="1"/>
  <c r="DU31" i="8" s="1"/>
  <c r="DU120" i="8"/>
  <c r="DS38" i="1"/>
  <c r="DS71" i="1"/>
  <c r="DS90" i="1"/>
  <c r="DS209" i="1"/>
  <c r="DS203" i="1"/>
  <c r="DS204" i="1" s="1"/>
  <c r="DS72" i="1"/>
  <c r="DI163" i="1"/>
  <c r="DI49" i="1"/>
  <c r="DN39" i="1"/>
  <c r="DN45" i="1"/>
  <c r="DN159" i="1"/>
  <c r="DN91" i="1"/>
  <c r="DN41" i="1"/>
  <c r="DN73" i="1"/>
  <c r="DI76" i="1"/>
  <c r="DI95" i="1"/>
  <c r="DP36" i="8"/>
  <c r="DP95" i="8"/>
  <c r="DP41" i="8" l="1"/>
  <c r="DP63" i="8"/>
  <c r="DS39" i="1"/>
  <c r="DS45" i="1"/>
  <c r="DS41" i="1"/>
  <c r="DS91" i="1"/>
  <c r="DS73" i="1"/>
  <c r="DS159" i="1"/>
  <c r="DN46" i="1"/>
  <c r="DN47" i="1" s="1"/>
  <c r="DN96" i="1"/>
  <c r="DN77" i="1"/>
  <c r="DI93" i="1"/>
  <c r="DN75" i="1"/>
  <c r="DN42" i="1"/>
  <c r="DN92" i="1"/>
  <c r="DN74" i="1"/>
  <c r="DI11" i="98"/>
  <c r="DK77" i="8"/>
  <c r="DI81" i="1"/>
  <c r="DI97" i="1"/>
  <c r="DI58" i="1"/>
  <c r="DU36" i="8"/>
  <c r="DU95" i="8"/>
  <c r="DZ120" i="8"/>
  <c r="DX38" i="1"/>
  <c r="DZ121" i="8"/>
  <c r="DZ31" i="8" s="1"/>
  <c r="DX90" i="1"/>
  <c r="DX209" i="1"/>
  <c r="DX203" i="1"/>
  <c r="DX204" i="1" s="1"/>
  <c r="DX72" i="1"/>
  <c r="DX71" i="1"/>
  <c r="DN49" i="1" l="1"/>
  <c r="DN58" i="1" s="1"/>
  <c r="DX41" i="1"/>
  <c r="DX45" i="1"/>
  <c r="DX39" i="1"/>
  <c r="DX73" i="1"/>
  <c r="DX159" i="1"/>
  <c r="DX91" i="1"/>
  <c r="DN93" i="1"/>
  <c r="DS75" i="1"/>
  <c r="DN163" i="1"/>
  <c r="DS77" i="1"/>
  <c r="DS46" i="1"/>
  <c r="DS163" i="1" s="1"/>
  <c r="DS96" i="1"/>
  <c r="DZ36" i="8"/>
  <c r="DZ95" i="8"/>
  <c r="DN76" i="1"/>
  <c r="DN95" i="1"/>
  <c r="DU41" i="8"/>
  <c r="DU63" i="8"/>
  <c r="DS42" i="1"/>
  <c r="DS74" i="1"/>
  <c r="DS92" i="1"/>
  <c r="DN11" i="98" l="1"/>
  <c r="DN81" i="1"/>
  <c r="DN97" i="1"/>
  <c r="DP77" i="8"/>
  <c r="DX42" i="1"/>
  <c r="DX74" i="1"/>
  <c r="DX92" i="1"/>
  <c r="DS95" i="1"/>
  <c r="DS76" i="1"/>
  <c r="DS49" i="1"/>
  <c r="DX46" i="1"/>
  <c r="DX163" i="1" s="1"/>
  <c r="DX77" i="1"/>
  <c r="DX96" i="1"/>
  <c r="DX75" i="1"/>
  <c r="DS93" i="1"/>
  <c r="DZ41" i="8"/>
  <c r="DZ63" i="8"/>
  <c r="DS47" i="1"/>
  <c r="DX47" i="1" l="1"/>
  <c r="DX49" i="1"/>
  <c r="DX58" i="1" s="1"/>
  <c r="DU77" i="8"/>
  <c r="DS11" i="98"/>
  <c r="DS58" i="1"/>
  <c r="DS81" i="1"/>
  <c r="DS97" i="1"/>
  <c r="DX93" i="1"/>
  <c r="DX76" i="1"/>
  <c r="DX95" i="1"/>
  <c r="DX97" i="1" l="1"/>
  <c r="DX11" i="98"/>
  <c r="DX81" i="1"/>
  <c r="DZ77" i="8"/>
  <c r="DC72" i="1" l="1"/>
  <c r="DE120" i="8"/>
  <c r="DI120" i="8" s="1"/>
  <c r="DC209" i="1"/>
  <c r="DF224" i="1" l="1"/>
  <c r="DG224" i="1" s="1"/>
  <c r="DD224" i="1"/>
  <c r="DD225" i="1" s="1"/>
  <c r="DC224" i="1"/>
  <c r="DC225" i="1" s="1"/>
  <c r="DE121" i="8"/>
  <c r="DE31" i="8" s="1"/>
  <c r="DC71" i="1"/>
  <c r="DC90" i="1"/>
  <c r="DE224" i="1"/>
  <c r="DE225" i="1" s="1"/>
  <c r="DG28" i="1"/>
  <c r="DC203" i="1"/>
  <c r="DC204" i="1" s="1"/>
  <c r="DC38" i="1"/>
  <c r="DC91" i="1" s="1"/>
  <c r="DG203" i="1" l="1"/>
  <c r="DG204" i="1" s="1"/>
  <c r="DG205" i="1" s="1"/>
  <c r="DG90" i="1"/>
  <c r="DC41" i="1"/>
  <c r="DC75" i="1" s="1"/>
  <c r="DC219" i="1"/>
  <c r="DE70" i="8" s="1"/>
  <c r="DE56" i="8"/>
  <c r="DD219" i="1"/>
  <c r="DF70" i="8" s="1"/>
  <c r="DC159" i="1"/>
  <c r="DC73" i="1"/>
  <c r="DC39" i="1"/>
  <c r="DC74" i="1" s="1"/>
  <c r="DF56" i="8"/>
  <c r="DC45" i="1"/>
  <c r="DC46" i="1" s="1"/>
  <c r="DC49" i="1" s="1"/>
  <c r="DE36" i="8"/>
  <c r="DE95" i="8"/>
  <c r="DC34" i="98"/>
  <c r="DF111" i="8"/>
  <c r="DE111" i="8"/>
  <c r="DD34" i="98"/>
  <c r="DD221" i="1" l="1"/>
  <c r="DF68" i="8" s="1"/>
  <c r="DC221" i="1"/>
  <c r="DE68" i="8" s="1"/>
  <c r="DC92" i="1"/>
  <c r="DC42" i="1"/>
  <c r="DC222" i="1" s="1"/>
  <c r="DC96" i="1"/>
  <c r="DC77" i="1"/>
  <c r="DC47" i="1"/>
  <c r="DE41" i="8"/>
  <c r="DE63" i="8"/>
  <c r="DE55" i="8"/>
  <c r="DE77" i="8"/>
  <c r="DF55" i="8"/>
  <c r="DC11" i="98"/>
  <c r="DC58" i="1"/>
  <c r="DC81" i="1"/>
  <c r="DC97" i="1"/>
  <c r="DJ121" i="8"/>
  <c r="DJ31" i="8" s="1"/>
  <c r="DH71" i="1"/>
  <c r="DH203" i="1"/>
  <c r="DH204" i="1" s="1"/>
  <c r="DH90" i="1"/>
  <c r="DH209" i="1"/>
  <c r="DJ120" i="8"/>
  <c r="DH38" i="1"/>
  <c r="DK224" i="1"/>
  <c r="DL28" i="1"/>
  <c r="DH72" i="1"/>
  <c r="DI224" i="1"/>
  <c r="DJ224" i="1"/>
  <c r="DH224" i="1"/>
  <c r="DE129" i="8"/>
  <c r="DC36" i="98"/>
  <c r="DD36" i="98"/>
  <c r="DD37" i="98" s="1"/>
  <c r="DF129" i="8"/>
  <c r="DC95" i="1" l="1"/>
  <c r="DC76" i="1"/>
  <c r="DD222" i="1"/>
  <c r="DD98" i="98"/>
  <c r="DD119" i="1"/>
  <c r="DD73" i="98"/>
  <c r="DD75" i="98" s="1"/>
  <c r="DL203" i="1"/>
  <c r="DL204" i="1" s="1"/>
  <c r="DL205" i="1" s="1"/>
  <c r="DL90" i="1"/>
  <c r="DJ36" i="8"/>
  <c r="DK111" i="8"/>
  <c r="DI34" i="98"/>
  <c r="DJ95" i="8"/>
  <c r="DO121" i="8"/>
  <c r="DO31" i="8" s="1"/>
  <c r="DO120" i="8"/>
  <c r="DQ28" i="1"/>
  <c r="DM72" i="1"/>
  <c r="DM38" i="1"/>
  <c r="DM90" i="1"/>
  <c r="DM209" i="1"/>
  <c r="DM71" i="1"/>
  <c r="DO224" i="1"/>
  <c r="DM224" i="1"/>
  <c r="DM203" i="1"/>
  <c r="DM204" i="1" s="1"/>
  <c r="DN224" i="1"/>
  <c r="DP224" i="1"/>
  <c r="DH73" i="1"/>
  <c r="DH39" i="1"/>
  <c r="DH41" i="1"/>
  <c r="DH45" i="1"/>
  <c r="DH91" i="1"/>
  <c r="DH159" i="1"/>
  <c r="DL224" i="1"/>
  <c r="DC37" i="98"/>
  <c r="DH75" i="1" l="1"/>
  <c r="DC73" i="98"/>
  <c r="DC75" i="98" s="1"/>
  <c r="DC98" i="98" s="1"/>
  <c r="DC132" i="98"/>
  <c r="DC119" i="1"/>
  <c r="DT120" i="8"/>
  <c r="DT121" i="8"/>
  <c r="DT31" i="8" s="1"/>
  <c r="DR71" i="1"/>
  <c r="DR203" i="1"/>
  <c r="DR204" i="1" s="1"/>
  <c r="DR90" i="1"/>
  <c r="DR209" i="1"/>
  <c r="DR38" i="1"/>
  <c r="DS224" i="1"/>
  <c r="DU224" i="1"/>
  <c r="DV28" i="1"/>
  <c r="DR72" i="1"/>
  <c r="DR224" i="1"/>
  <c r="DT224" i="1"/>
  <c r="DJ41" i="8"/>
  <c r="DJ63" i="8"/>
  <c r="DH77" i="1"/>
  <c r="DH96" i="1"/>
  <c r="DH46" i="1"/>
  <c r="DH47" i="1" s="1"/>
  <c r="DQ90" i="1"/>
  <c r="DQ203" i="1"/>
  <c r="DQ204" i="1" s="1"/>
  <c r="DQ205" i="1" s="1"/>
  <c r="DC93" i="1"/>
  <c r="DD132" i="98"/>
  <c r="DD82" i="98"/>
  <c r="DD83" i="98" s="1"/>
  <c r="DD76" i="98"/>
  <c r="DD121" i="1"/>
  <c r="DH92" i="1"/>
  <c r="DH42" i="1"/>
  <c r="DH74" i="1"/>
  <c r="DQ224" i="1"/>
  <c r="DM91" i="1"/>
  <c r="DM159" i="1"/>
  <c r="DM39" i="1"/>
  <c r="DM41" i="1"/>
  <c r="DM45" i="1"/>
  <c r="DM73" i="1"/>
  <c r="DO36" i="8"/>
  <c r="DO95" i="8"/>
  <c r="DP111" i="8"/>
  <c r="DN34" i="98"/>
  <c r="DK129" i="8"/>
  <c r="DI36" i="98"/>
  <c r="DI37" i="98" s="1"/>
  <c r="DH49" i="1" l="1"/>
  <c r="DH81" i="1" s="1"/>
  <c r="DI73" i="98"/>
  <c r="DI75" i="98" s="1"/>
  <c r="DI98" i="98"/>
  <c r="DI119" i="1"/>
  <c r="DM74" i="1"/>
  <c r="DM42" i="1"/>
  <c r="DM92" i="1"/>
  <c r="DV224" i="1"/>
  <c r="DH95" i="1"/>
  <c r="DH76" i="1"/>
  <c r="DP129" i="8"/>
  <c r="DN36" i="98"/>
  <c r="DN37" i="98" s="1"/>
  <c r="DM75" i="1"/>
  <c r="DH163" i="1"/>
  <c r="DR73" i="1"/>
  <c r="DR39" i="1"/>
  <c r="DR41" i="1"/>
  <c r="DR45" i="1"/>
  <c r="DR91" i="1"/>
  <c r="DR159" i="1"/>
  <c r="DY120" i="8"/>
  <c r="DY121" i="8"/>
  <c r="DY31" i="8" s="1"/>
  <c r="EA28" i="1"/>
  <c r="DW72" i="1"/>
  <c r="DW38" i="1"/>
  <c r="DW90" i="1"/>
  <c r="DW209" i="1"/>
  <c r="DW203" i="1"/>
  <c r="DW204" i="1" s="1"/>
  <c r="DW224" i="1"/>
  <c r="DY224" i="1"/>
  <c r="DZ224" i="1"/>
  <c r="DW71" i="1"/>
  <c r="DX224" i="1"/>
  <c r="DM46" i="1"/>
  <c r="DM49" i="1" s="1"/>
  <c r="DM96" i="1"/>
  <c r="DM77" i="1"/>
  <c r="DO41" i="8"/>
  <c r="DO63" i="8"/>
  <c r="DV203" i="1"/>
  <c r="DV204" i="1" s="1"/>
  <c r="DV205" i="1" s="1"/>
  <c r="DV90" i="1"/>
  <c r="DT36" i="8"/>
  <c r="DT95" i="8"/>
  <c r="DU111" i="8"/>
  <c r="DS34" i="98"/>
  <c r="DC76" i="98"/>
  <c r="DC82" i="98"/>
  <c r="DC83" i="98" s="1"/>
  <c r="DC121" i="1"/>
  <c r="DH97" i="1" l="1"/>
  <c r="DH11" i="98"/>
  <c r="DH58" i="1"/>
  <c r="DJ77" i="8"/>
  <c r="DO77" i="8"/>
  <c r="DM11" i="98"/>
  <c r="DM58" i="1"/>
  <c r="DM81" i="1"/>
  <c r="DM97" i="1"/>
  <c r="DU129" i="8"/>
  <c r="DS36" i="98"/>
  <c r="DS37" i="98" s="1"/>
  <c r="DN73" i="98"/>
  <c r="DN119" i="1"/>
  <c r="DM76" i="1"/>
  <c r="DM95" i="1"/>
  <c r="DT63" i="8"/>
  <c r="DT41" i="8"/>
  <c r="EA90" i="1"/>
  <c r="EA203" i="1"/>
  <c r="EA204" i="1" s="1"/>
  <c r="EA205" i="1" s="1"/>
  <c r="DR92" i="1"/>
  <c r="DR42" i="1"/>
  <c r="DR74" i="1"/>
  <c r="DM47" i="1"/>
  <c r="DY36" i="8"/>
  <c r="DY95" i="8"/>
  <c r="DZ111" i="8"/>
  <c r="DX34" i="98"/>
  <c r="DW91" i="1"/>
  <c r="DW159" i="1"/>
  <c r="DW39" i="1"/>
  <c r="DW41" i="1"/>
  <c r="DW45" i="1"/>
  <c r="DW73" i="1"/>
  <c r="DR77" i="1"/>
  <c r="DR96" i="1"/>
  <c r="DR46" i="1"/>
  <c r="DR47" i="1" s="1"/>
  <c r="DI76" i="98"/>
  <c r="DI82" i="98"/>
  <c r="DI83" i="98" s="1"/>
  <c r="DI121" i="1"/>
  <c r="EA224" i="1"/>
  <c r="DM163" i="1"/>
  <c r="DR75" i="1"/>
  <c r="DR49" i="1" l="1"/>
  <c r="DT77" i="8" s="1"/>
  <c r="DH93" i="1"/>
  <c r="DW46" i="1"/>
  <c r="DW96" i="1"/>
  <c r="DW77" i="1"/>
  <c r="DY41" i="8"/>
  <c r="DY63" i="8"/>
  <c r="DW75" i="1"/>
  <c r="DS73" i="98"/>
  <c r="DS119" i="1"/>
  <c r="DW74" i="1"/>
  <c r="DW42" i="1"/>
  <c r="DW92" i="1"/>
  <c r="DM93" i="1"/>
  <c r="DR163" i="1"/>
  <c r="DX36" i="98"/>
  <c r="DX37" i="98" s="1"/>
  <c r="DZ129" i="8"/>
  <c r="DR95" i="1"/>
  <c r="DR76" i="1"/>
  <c r="DR97" i="1" l="1"/>
  <c r="DR81" i="1"/>
  <c r="DR11" i="98"/>
  <c r="DR58" i="1"/>
  <c r="DW163" i="1"/>
  <c r="DW47" i="1"/>
  <c r="DX73" i="98"/>
  <c r="DX119" i="1"/>
  <c r="DW76" i="1"/>
  <c r="DW95" i="1"/>
  <c r="DR93" i="1"/>
  <c r="DW49" i="1"/>
  <c r="DW93" i="1" l="1"/>
  <c r="DY77" i="8"/>
  <c r="DW11" i="98"/>
  <c r="DW58" i="1"/>
  <c r="DW81" i="1"/>
  <c r="DW97" i="1"/>
  <c r="DL119" i="8" l="1"/>
  <c r="DG119" i="8"/>
  <c r="DG121" i="8"/>
  <c r="DE38" i="1"/>
  <c r="DE70" i="1"/>
  <c r="DE208" i="1"/>
  <c r="DE67" i="1"/>
  <c r="DE89" i="1"/>
  <c r="DL121" i="8" l="1"/>
  <c r="DL31" i="8" s="1"/>
  <c r="DL36" i="8" s="1"/>
  <c r="DL41" i="8" s="1"/>
  <c r="DJ208" i="1"/>
  <c r="DJ70" i="1"/>
  <c r="DJ89" i="1"/>
  <c r="DJ38" i="1"/>
  <c r="DJ159" i="1" s="1"/>
  <c r="DJ67" i="1"/>
  <c r="DG31" i="8"/>
  <c r="DG15" i="8"/>
  <c r="DG127" i="8"/>
  <c r="DL15" i="8"/>
  <c r="DL127" i="8"/>
  <c r="DG56" i="8"/>
  <c r="DE39" i="1"/>
  <c r="DE45" i="1"/>
  <c r="DE73" i="1"/>
  <c r="DE219" i="1"/>
  <c r="DG70" i="8" s="1"/>
  <c r="DE41" i="1"/>
  <c r="DE91" i="1"/>
  <c r="DE159" i="1"/>
  <c r="DL95" i="8" l="1"/>
  <c r="DL111" i="8"/>
  <c r="DJ34" i="98"/>
  <c r="DL129" i="8" s="1"/>
  <c r="DJ73" i="1"/>
  <c r="DJ91" i="1"/>
  <c r="DJ41" i="1"/>
  <c r="DJ75" i="1" s="1"/>
  <c r="DJ45" i="1"/>
  <c r="DJ77" i="1" s="1"/>
  <c r="DJ39" i="1"/>
  <c r="DQ121" i="8"/>
  <c r="DQ31" i="8" s="1"/>
  <c r="DQ119" i="8"/>
  <c r="DO38" i="1"/>
  <c r="DO67" i="1"/>
  <c r="DO89" i="1"/>
  <c r="DO70" i="1"/>
  <c r="DO208" i="1"/>
  <c r="DE221" i="1"/>
  <c r="DG68" i="8" s="1"/>
  <c r="DE75" i="1"/>
  <c r="DE42" i="1"/>
  <c r="DE92" i="1"/>
  <c r="DE74" i="1"/>
  <c r="DL63" i="8"/>
  <c r="DL85" i="8"/>
  <c r="DL101" i="8"/>
  <c r="DJ32" i="98"/>
  <c r="DE77" i="1"/>
  <c r="DE96" i="1"/>
  <c r="DE46" i="1"/>
  <c r="DE49" i="1" s="1"/>
  <c r="DG85" i="8"/>
  <c r="DG101" i="8"/>
  <c r="DE32" i="98"/>
  <c r="DG36" i="8"/>
  <c r="DG41" i="8" s="1"/>
  <c r="DG95" i="8"/>
  <c r="DG111" i="8"/>
  <c r="DE34" i="98"/>
  <c r="DJ42" i="1" l="1"/>
  <c r="DJ76" i="1" s="1"/>
  <c r="DJ92" i="1"/>
  <c r="DJ74" i="1"/>
  <c r="DJ46" i="1"/>
  <c r="DJ49" i="1" s="1"/>
  <c r="DJ11" i="98" s="1"/>
  <c r="DJ96" i="1"/>
  <c r="DG55" i="8"/>
  <c r="DG77" i="8"/>
  <c r="DE11" i="98"/>
  <c r="DE81" i="1"/>
  <c r="DE97" i="1"/>
  <c r="DE58" i="1"/>
  <c r="DQ15" i="8"/>
  <c r="DQ127" i="8"/>
  <c r="DJ36" i="98"/>
  <c r="DE76" i="1"/>
  <c r="DE95" i="1"/>
  <c r="DE222" i="1"/>
  <c r="DQ36" i="8"/>
  <c r="DQ41" i="8" s="1"/>
  <c r="DQ111" i="8"/>
  <c r="DQ95" i="8"/>
  <c r="DO34" i="98"/>
  <c r="DV121" i="8"/>
  <c r="DV31" i="8" s="1"/>
  <c r="DV119" i="8"/>
  <c r="DT38" i="1"/>
  <c r="DT89" i="1"/>
  <c r="DT70" i="1"/>
  <c r="DT208" i="1"/>
  <c r="DT67" i="1"/>
  <c r="DG129" i="8"/>
  <c r="DE47" i="1"/>
  <c r="DO39" i="1"/>
  <c r="DO41" i="1"/>
  <c r="DO91" i="1"/>
  <c r="DO159" i="1"/>
  <c r="DO45" i="1"/>
  <c r="DO73" i="1"/>
  <c r="DE36" i="98"/>
  <c r="DG63" i="8"/>
  <c r="DJ95" i="1" l="1"/>
  <c r="DJ163" i="1"/>
  <c r="DJ97" i="1"/>
  <c r="DL77" i="8"/>
  <c r="DJ81" i="1"/>
  <c r="DJ58" i="1"/>
  <c r="DJ47" i="1"/>
  <c r="DE37" i="98"/>
  <c r="DJ37" i="98"/>
  <c r="EA121" i="8"/>
  <c r="EA31" i="8" s="1"/>
  <c r="EA119" i="8"/>
  <c r="DY38" i="1"/>
  <c r="DY70" i="1"/>
  <c r="DY208" i="1"/>
  <c r="DY67" i="1"/>
  <c r="DY89" i="1"/>
  <c r="DV36" i="8"/>
  <c r="DV41" i="8" s="1"/>
  <c r="DV95" i="8"/>
  <c r="DT34" i="98"/>
  <c r="DV129" i="8" s="1"/>
  <c r="DV111" i="8"/>
  <c r="DQ129" i="8"/>
  <c r="DT39" i="1"/>
  <c r="DT45" i="1"/>
  <c r="DT73" i="1"/>
  <c r="DT41" i="1"/>
  <c r="DT91" i="1"/>
  <c r="DT159" i="1"/>
  <c r="DQ85" i="8"/>
  <c r="DQ63" i="8"/>
  <c r="DQ101" i="8"/>
  <c r="DO32" i="98"/>
  <c r="DO46" i="1"/>
  <c r="DO77" i="1"/>
  <c r="DO96" i="1"/>
  <c r="DO74" i="1"/>
  <c r="DO42" i="1"/>
  <c r="DO92" i="1"/>
  <c r="DV15" i="8"/>
  <c r="DV127" i="8"/>
  <c r="DO75" i="1"/>
  <c r="DO163" i="1" l="1"/>
  <c r="DO47" i="1"/>
  <c r="DT46" i="1"/>
  <c r="DT47" i="1" s="1"/>
  <c r="DT77" i="1"/>
  <c r="DT96" i="1"/>
  <c r="DE93" i="1"/>
  <c r="EA36" i="8"/>
  <c r="EA41" i="8" s="1"/>
  <c r="EA95" i="8"/>
  <c r="EA111" i="8"/>
  <c r="DY34" i="98"/>
  <c r="EA129" i="8" s="1"/>
  <c r="DJ73" i="98"/>
  <c r="DJ75" i="98" s="1"/>
  <c r="DJ98" i="98"/>
  <c r="DJ119" i="1"/>
  <c r="DJ93" i="1"/>
  <c r="EA15" i="8"/>
  <c r="EA127" i="8"/>
  <c r="DO95" i="1"/>
  <c r="DO76" i="1"/>
  <c r="DO49" i="1"/>
  <c r="DO36" i="98"/>
  <c r="DE73" i="98"/>
  <c r="DE75" i="98" s="1"/>
  <c r="DE132" i="98"/>
  <c r="DE98" i="98"/>
  <c r="DE119" i="1"/>
  <c r="DV63" i="8"/>
  <c r="DV85" i="8"/>
  <c r="DV101" i="8"/>
  <c r="DT32" i="98"/>
  <c r="DT36" i="98" s="1"/>
  <c r="DT75" i="1"/>
  <c r="DT74" i="1"/>
  <c r="DT42" i="1"/>
  <c r="DT92" i="1"/>
  <c r="DY39" i="1"/>
  <c r="DY45" i="1"/>
  <c r="DY73" i="1"/>
  <c r="DY41" i="1"/>
  <c r="DY91" i="1"/>
  <c r="DY159" i="1"/>
  <c r="DY77" i="1" l="1"/>
  <c r="DY96" i="1"/>
  <c r="DY46" i="1"/>
  <c r="DY49" i="1" s="1"/>
  <c r="DT76" i="1"/>
  <c r="DT95" i="1"/>
  <c r="EA63" i="8"/>
  <c r="EA85" i="8"/>
  <c r="EA101" i="8"/>
  <c r="DY32" i="98"/>
  <c r="DY36" i="98" s="1"/>
  <c r="DO93" i="1"/>
  <c r="DT163" i="1"/>
  <c r="DY75" i="1"/>
  <c r="DY42" i="1"/>
  <c r="DY92" i="1"/>
  <c r="DY74" i="1"/>
  <c r="DE82" i="98"/>
  <c r="DE83" i="98" s="1"/>
  <c r="DE76" i="98"/>
  <c r="DE121" i="1"/>
  <c r="DQ77" i="8"/>
  <c r="DO11" i="98"/>
  <c r="DO81" i="1"/>
  <c r="DO97" i="1"/>
  <c r="DO58" i="1"/>
  <c r="DJ82" i="98"/>
  <c r="DJ76" i="98"/>
  <c r="DJ121" i="1"/>
  <c r="DT49" i="1"/>
  <c r="DY47" i="1" l="1"/>
  <c r="DJ83" i="98"/>
  <c r="EA77" i="8"/>
  <c r="DY11" i="98"/>
  <c r="DY81" i="1"/>
  <c r="DY97" i="1"/>
  <c r="DY58" i="1"/>
  <c r="DV77" i="8"/>
  <c r="DT11" i="98"/>
  <c r="DT81" i="1"/>
  <c r="DT97" i="1"/>
  <c r="DT58" i="1"/>
  <c r="DO37" i="98"/>
  <c r="DY76" i="1"/>
  <c r="DY95" i="1"/>
  <c r="DT93" i="1"/>
  <c r="DY163" i="1"/>
  <c r="DT37" i="98" l="1"/>
  <c r="DY37" i="98"/>
  <c r="DY93" i="1"/>
  <c r="DO73" i="98"/>
  <c r="DO119" i="1"/>
  <c r="DT73" i="98" l="1"/>
  <c r="DT119" i="1"/>
  <c r="DY73" i="98"/>
  <c r="DY119" i="1"/>
  <c r="DM194" i="1" l="1"/>
  <c r="DN194" i="1"/>
  <c r="DN123" i="1" s="1"/>
  <c r="DO194" i="1"/>
  <c r="DO123" i="1" s="1"/>
  <c r="DM123" i="1" l="1"/>
  <c r="DR194" i="1" l="1"/>
  <c r="DR123" i="1" s="1"/>
  <c r="DS194" i="1"/>
  <c r="DT194" i="1"/>
  <c r="DT123" i="1" l="1"/>
  <c r="DS123" i="1"/>
  <c r="DW194" i="1" l="1"/>
  <c r="DW123" i="1" s="1"/>
  <c r="DX194" i="1"/>
  <c r="DX123" i="1" s="1"/>
  <c r="DY194" i="1"/>
  <c r="DY123" i="1" l="1"/>
  <c r="D27" i="95"/>
  <c r="CY166" i="1"/>
  <c r="CZ166" i="1"/>
  <c r="CY173" i="1"/>
  <c r="CY172" i="1" s="1"/>
  <c r="CY175" i="1"/>
  <c r="CY179" i="1"/>
  <c r="DA168" i="1"/>
  <c r="DC168" i="1" s="1"/>
  <c r="K35" i="95" l="1"/>
  <c r="J36" i="95"/>
  <c r="I33" i="95"/>
  <c r="J33" i="95"/>
  <c r="D29" i="95"/>
  <c r="L36" i="95"/>
  <c r="J35" i="95"/>
  <c r="K36" i="95"/>
  <c r="I36" i="95"/>
  <c r="K33" i="95"/>
  <c r="I35" i="95"/>
  <c r="L35" i="95"/>
  <c r="L33" i="95"/>
  <c r="M36" i="95"/>
  <c r="DC170" i="1"/>
  <c r="DD168" i="1"/>
  <c r="DA170" i="1"/>
  <c r="L34" i="95" l="1"/>
  <c r="L30" i="95"/>
  <c r="J30" i="95"/>
  <c r="M30" i="95"/>
  <c r="L31" i="95"/>
  <c r="K34" i="95"/>
  <c r="I30" i="95"/>
  <c r="J38" i="95"/>
  <c r="I38" i="95"/>
  <c r="M31" i="95"/>
  <c r="J34" i="95"/>
  <c r="K38" i="95"/>
  <c r="K31" i="95"/>
  <c r="I34" i="95"/>
  <c r="K30" i="95"/>
  <c r="I31" i="95"/>
  <c r="L38" i="95"/>
  <c r="J31" i="95"/>
  <c r="DD170" i="1"/>
  <c r="DE168" i="1"/>
  <c r="DD172" i="1"/>
  <c r="DD171" i="1" l="1"/>
  <c r="DF168" i="1"/>
  <c r="DE170" i="1"/>
  <c r="DH168" i="1" l="1"/>
  <c r="DF170" i="1"/>
  <c r="DH170" i="1" l="1"/>
  <c r="DI168" i="1"/>
  <c r="DI170" i="1" l="1"/>
  <c r="DJ168" i="1"/>
  <c r="DI172" i="1"/>
  <c r="DI171" i="1" l="1"/>
  <c r="DK168" i="1"/>
  <c r="DJ170" i="1"/>
  <c r="DM168" i="1" l="1"/>
  <c r="DK170" i="1"/>
  <c r="DM170" i="1" l="1"/>
  <c r="DN168" i="1"/>
  <c r="DN170" i="1" l="1"/>
  <c r="DO168" i="1"/>
  <c r="DN172" i="1"/>
  <c r="DN171" i="1" l="1"/>
  <c r="DP168" i="1"/>
  <c r="DO170" i="1"/>
  <c r="DR168" i="1" l="1"/>
  <c r="DP170" i="1"/>
  <c r="DR170" i="1" l="1"/>
  <c r="DS168" i="1"/>
  <c r="DS170" i="1" l="1"/>
  <c r="DT168" i="1"/>
  <c r="DS172" i="1"/>
  <c r="DS171" i="1" l="1"/>
  <c r="DU168" i="1"/>
  <c r="DT170" i="1"/>
  <c r="DW168" i="1" l="1"/>
  <c r="DU170" i="1"/>
  <c r="DW170" i="1" l="1"/>
  <c r="DX168" i="1"/>
  <c r="DX170" i="1" l="1"/>
  <c r="DY168" i="1"/>
  <c r="DX172" i="1"/>
  <c r="DX171" i="1" s="1"/>
  <c r="DZ168" i="1" l="1"/>
  <c r="DZ170" i="1" s="1"/>
  <c r="DY170" i="1"/>
  <c r="DA60" i="1"/>
  <c r="ED60" i="1" s="1"/>
  <c r="EF60" i="1" s="1"/>
  <c r="DA166" i="1"/>
  <c r="DA174" i="1" s="1"/>
  <c r="CZ173" i="1"/>
  <c r="CZ172" i="1" s="1"/>
  <c r="DE172" i="1" s="1"/>
  <c r="DA192" i="1"/>
  <c r="DB174" i="1" l="1"/>
  <c r="DA179" i="1"/>
  <c r="DB179" i="1" s="1"/>
  <c r="DA176" i="1"/>
  <c r="DA178" i="1" s="1"/>
  <c r="DA180" i="1" s="1"/>
  <c r="DB192" i="1"/>
  <c r="DB197" i="1" s="1"/>
  <c r="DA197" i="1"/>
  <c r="DA193" i="1"/>
  <c r="DA64" i="98"/>
  <c r="DA147" i="98"/>
  <c r="DA85" i="98"/>
  <c r="DA63" i="1"/>
  <c r="ED63" i="1" s="1"/>
  <c r="DA157" i="1"/>
  <c r="DA158" i="1" s="1"/>
  <c r="DA61" i="1"/>
  <c r="ED61" i="1" s="1"/>
  <c r="EF61" i="1" s="1"/>
  <c r="DA59" i="1"/>
  <c r="ED59" i="1" s="1"/>
  <c r="DB65" i="1"/>
  <c r="DE171" i="1"/>
  <c r="DJ172" i="1"/>
  <c r="DC166" i="1" l="1"/>
  <c r="DC174" i="1" s="1"/>
  <c r="DC176" i="1" s="1"/>
  <c r="DC178" i="1" s="1"/>
  <c r="DB193" i="1"/>
  <c r="EF59" i="1"/>
  <c r="EH59" i="1"/>
  <c r="EH63" i="1"/>
  <c r="EF63" i="1"/>
  <c r="DJ171" i="1"/>
  <c r="DO172" i="1"/>
  <c r="DA98" i="1"/>
  <c r="ED98" i="1" s="1"/>
  <c r="EF98" i="1" s="1"/>
  <c r="DA223" i="1"/>
  <c r="DB223" i="1" s="1"/>
  <c r="DD47" i="8"/>
  <c r="DC80" i="8"/>
  <c r="DC81" i="8" s="1"/>
  <c r="DB59" i="1"/>
  <c r="DB63" i="1"/>
  <c r="DB157" i="1"/>
  <c r="DB158" i="1" s="1"/>
  <c r="DB60" i="1"/>
  <c r="DB64" i="1"/>
  <c r="DB61" i="1"/>
  <c r="DB89" i="98"/>
  <c r="DB85" i="98"/>
  <c r="DB147" i="98"/>
  <c r="M18" i="95"/>
  <c r="M35" i="95" s="1"/>
  <c r="DC65" i="1" l="1"/>
  <c r="DC180" i="1"/>
  <c r="DD166" i="1"/>
  <c r="DD174" i="1" s="1"/>
  <c r="DC179" i="1"/>
  <c r="DC82" i="8"/>
  <c r="DO171" i="1"/>
  <c r="DT172" i="1"/>
  <c r="DC67" i="8"/>
  <c r="DD49" i="8"/>
  <c r="DD51" i="8" s="1"/>
  <c r="DD80" i="8"/>
  <c r="DD81" i="8" s="1"/>
  <c r="DB98" i="1"/>
  <c r="M11" i="95"/>
  <c r="DD179" i="1" l="1"/>
  <c r="DE166" i="1"/>
  <c r="DE174" i="1" s="1"/>
  <c r="DD176" i="1"/>
  <c r="DC61" i="1"/>
  <c r="DC60" i="1"/>
  <c r="DC63" i="1"/>
  <c r="DC192" i="1"/>
  <c r="DC59" i="1"/>
  <c r="DC157" i="1"/>
  <c r="DC158" i="1" s="1"/>
  <c r="DC122" i="1"/>
  <c r="DD52" i="8"/>
  <c r="DD67" i="8"/>
  <c r="DE76" i="8"/>
  <c r="DI76" i="8"/>
  <c r="M37" i="95"/>
  <c r="M12" i="95"/>
  <c r="DD82" i="8"/>
  <c r="DT171" i="1"/>
  <c r="DY172" i="1"/>
  <c r="DY171" i="1" s="1"/>
  <c r="DD178" i="1" l="1"/>
  <c r="DC1" i="1"/>
  <c r="DC3" i="1" s="1"/>
  <c r="DC98" i="1"/>
  <c r="DC223" i="1"/>
  <c r="DE176" i="1"/>
  <c r="DE178" i="1" s="1"/>
  <c r="DF166" i="1"/>
  <c r="DF174" i="1" s="1"/>
  <c r="DF176" i="1" s="1"/>
  <c r="DF178" i="1" s="1"/>
  <c r="DE179" i="1"/>
  <c r="DC61" i="98"/>
  <c r="DC197" i="1"/>
  <c r="DC193" i="1"/>
  <c r="DF180" i="1" l="1"/>
  <c r="DF65" i="1"/>
  <c r="DG176" i="1"/>
  <c r="DE47" i="8"/>
  <c r="DC85" i="98"/>
  <c r="DC64" i="98"/>
  <c r="DC67" i="98" s="1"/>
  <c r="DC147" i="98"/>
  <c r="DG174" i="1"/>
  <c r="DF179" i="1"/>
  <c r="DG179" i="1" s="1"/>
  <c r="DG178" i="1"/>
  <c r="DD65" i="1"/>
  <c r="DD180" i="1"/>
  <c r="DE180" i="1"/>
  <c r="DE65" i="1"/>
  <c r="DD192" i="1" l="1"/>
  <c r="DD63" i="1"/>
  <c r="DD61" i="1"/>
  <c r="DD157" i="1"/>
  <c r="DD158" i="1" s="1"/>
  <c r="DG65" i="1"/>
  <c r="DD60" i="1"/>
  <c r="DD59" i="1"/>
  <c r="DD122" i="1"/>
  <c r="DE80" i="8"/>
  <c r="DE81" i="8" s="1"/>
  <c r="DE49" i="8"/>
  <c r="DE51" i="8" s="1"/>
  <c r="DE157" i="1"/>
  <c r="DE158" i="1" s="1"/>
  <c r="DE60" i="1"/>
  <c r="DE61" i="1"/>
  <c r="DE192" i="1"/>
  <c r="DE59" i="1"/>
  <c r="DE63" i="1"/>
  <c r="DE122" i="1"/>
  <c r="DG180" i="1"/>
  <c r="DG177" i="1"/>
  <c r="DF157" i="1"/>
  <c r="DF158" i="1" s="1"/>
  <c r="DF192" i="1"/>
  <c r="DF60" i="1"/>
  <c r="DF61" i="1"/>
  <c r="DH166" i="1"/>
  <c r="DH174" i="1" s="1"/>
  <c r="DH176" i="1" s="1"/>
  <c r="DH178" i="1" s="1"/>
  <c r="DF61" i="98" l="1"/>
  <c r="DF193" i="1"/>
  <c r="DE1" i="1"/>
  <c r="DE3" i="1" s="1"/>
  <c r="DE98" i="1"/>
  <c r="DF76" i="8"/>
  <c r="DE52" i="8"/>
  <c r="DE67" i="8"/>
  <c r="DE223" i="1"/>
  <c r="DD223" i="1"/>
  <c r="DD1" i="1"/>
  <c r="DD3" i="1" s="1"/>
  <c r="DD98" i="1"/>
  <c r="DH65" i="1"/>
  <c r="DH180" i="1"/>
  <c r="DI166" i="1"/>
  <c r="DI174" i="1" s="1"/>
  <c r="DJ166" i="1" s="1"/>
  <c r="DJ174" i="1" s="1"/>
  <c r="DE82" i="8"/>
  <c r="DG60" i="1"/>
  <c r="DG64" i="1"/>
  <c r="DG61" i="1"/>
  <c r="DG157" i="1"/>
  <c r="DD193" i="1"/>
  <c r="DG192" i="1"/>
  <c r="DD61" i="98"/>
  <c r="DD197" i="1"/>
  <c r="DE61" i="98"/>
  <c r="DE193" i="1"/>
  <c r="DE197" i="1"/>
  <c r="DI176" i="1" l="1"/>
  <c r="DI178" i="1" s="1"/>
  <c r="DI65" i="1" s="1"/>
  <c r="DD85" i="98"/>
  <c r="DF47" i="8"/>
  <c r="DD64" i="98"/>
  <c r="DG61" i="98"/>
  <c r="DD147" i="98"/>
  <c r="DE147" i="98"/>
  <c r="DE64" i="98"/>
  <c r="DE67" i="98" s="1"/>
  <c r="DE85" i="98"/>
  <c r="DG193" i="1"/>
  <c r="DG194" i="1"/>
  <c r="DG123" i="1" s="1"/>
  <c r="DJ176" i="1"/>
  <c r="DK166" i="1"/>
  <c r="DK174" i="1" s="1"/>
  <c r="DL174" i="1" s="1"/>
  <c r="DH61" i="1"/>
  <c r="DH192" i="1"/>
  <c r="DH60" i="1"/>
  <c r="DH59" i="1"/>
  <c r="DH63" i="1"/>
  <c r="DH179" i="1"/>
  <c r="DH157" i="1"/>
  <c r="DH158" i="1" s="1"/>
  <c r="DF85" i="98"/>
  <c r="DF64" i="98"/>
  <c r="DI180" i="1" l="1"/>
  <c r="DK176" i="1"/>
  <c r="DK178" i="1" s="1"/>
  <c r="DK65" i="1" s="1"/>
  <c r="DM166" i="1"/>
  <c r="DM174" i="1" s="1"/>
  <c r="DN166" i="1" s="1"/>
  <c r="DN174" i="1" s="1"/>
  <c r="DO166" i="1" s="1"/>
  <c r="DO174" i="1" s="1"/>
  <c r="DO176" i="1" s="1"/>
  <c r="DO178" i="1" s="1"/>
  <c r="DI61" i="1"/>
  <c r="DI192" i="1"/>
  <c r="DI179" i="1"/>
  <c r="DI63" i="1"/>
  <c r="DI59" i="1"/>
  <c r="DI122" i="1"/>
  <c r="DI157" i="1"/>
  <c r="DI158" i="1" s="1"/>
  <c r="DI60" i="1"/>
  <c r="DD67" i="98"/>
  <c r="DG64" i="98"/>
  <c r="DH1" i="1"/>
  <c r="DH3" i="1" s="1"/>
  <c r="DH98" i="1"/>
  <c r="DH61" i="98"/>
  <c r="DH197" i="1"/>
  <c r="DH193" i="1"/>
  <c r="DJ178" i="1"/>
  <c r="DF80" i="8"/>
  <c r="DF81" i="8" s="1"/>
  <c r="DF49" i="8"/>
  <c r="DF51" i="8" s="1"/>
  <c r="DG47" i="8"/>
  <c r="N18" i="95"/>
  <c r="N35" i="95" s="1"/>
  <c r="DG85" i="98"/>
  <c r="DG89" i="98"/>
  <c r="DN176" i="1" l="1"/>
  <c r="DM176" i="1"/>
  <c r="DM178" i="1" s="1"/>
  <c r="DK180" i="1"/>
  <c r="DL176" i="1"/>
  <c r="DG76" i="8"/>
  <c r="DF52" i="8"/>
  <c r="DF67" i="8"/>
  <c r="DJ180" i="1"/>
  <c r="DL178" i="1"/>
  <c r="DJ65" i="1"/>
  <c r="DF82" i="8"/>
  <c r="DG49" i="8"/>
  <c r="DG51" i="8" s="1"/>
  <c r="DG80" i="8"/>
  <c r="DH64" i="98"/>
  <c r="DH85" i="98"/>
  <c r="DH147" i="98"/>
  <c r="DI98" i="1"/>
  <c r="DI1" i="1"/>
  <c r="DI3" i="1" s="1"/>
  <c r="DI197" i="1"/>
  <c r="DI61" i="98"/>
  <c r="DI193" i="1"/>
  <c r="DK179" i="1"/>
  <c r="DL179" i="1" s="1"/>
  <c r="DK192" i="1"/>
  <c r="DK157" i="1"/>
  <c r="DK158" i="1" s="1"/>
  <c r="DK60" i="1"/>
  <c r="DK61" i="1"/>
  <c r="DO65" i="1"/>
  <c r="DO180" i="1"/>
  <c r="DN178" i="1"/>
  <c r="DP166" i="1"/>
  <c r="DP174" i="1" s="1"/>
  <c r="DQ174" i="1" s="1"/>
  <c r="DM180" i="1" l="1"/>
  <c r="DM65" i="1"/>
  <c r="DG52" i="8"/>
  <c r="DG67" i="8"/>
  <c r="DH76" i="8"/>
  <c r="DK193" i="1"/>
  <c r="DK61" i="98"/>
  <c r="DI85" i="98"/>
  <c r="DI147" i="98"/>
  <c r="DI64" i="98"/>
  <c r="DI67" i="98" s="1"/>
  <c r="DJ122" i="1"/>
  <c r="DJ179" i="1"/>
  <c r="DJ61" i="1"/>
  <c r="DJ192" i="1"/>
  <c r="DJ157" i="1"/>
  <c r="DJ158" i="1" s="1"/>
  <c r="DJ59" i="1"/>
  <c r="DJ63" i="1"/>
  <c r="DL65" i="1"/>
  <c r="DJ60" i="1"/>
  <c r="DL177" i="1"/>
  <c r="DL180" i="1"/>
  <c r="DG81" i="8"/>
  <c r="DG82" i="8" s="1"/>
  <c r="DO60" i="1"/>
  <c r="DO59" i="1"/>
  <c r="DO61" i="1"/>
  <c r="DO157" i="1"/>
  <c r="DO158" i="1" s="1"/>
  <c r="DO179" i="1"/>
  <c r="DO192" i="1"/>
  <c r="DO63" i="1"/>
  <c r="DN180" i="1"/>
  <c r="DN65" i="1"/>
  <c r="DP176" i="1"/>
  <c r="DR166" i="1"/>
  <c r="DR174" i="1" s="1"/>
  <c r="DR176" i="1" s="1"/>
  <c r="DM63" i="1" l="1"/>
  <c r="DM60" i="1"/>
  <c r="DM179" i="1"/>
  <c r="DM157" i="1"/>
  <c r="DM158" i="1" s="1"/>
  <c r="DM192" i="1"/>
  <c r="DM61" i="1"/>
  <c r="DM59" i="1"/>
  <c r="DJ98" i="1"/>
  <c r="DJ1" i="1"/>
  <c r="DJ3" i="1" s="1"/>
  <c r="DL157" i="1"/>
  <c r="DL158" i="1" s="1"/>
  <c r="DL61" i="1"/>
  <c r="DL60" i="1"/>
  <c r="DL64" i="1"/>
  <c r="DL192" i="1"/>
  <c r="DJ61" i="98"/>
  <c r="DJ193" i="1"/>
  <c r="DJ197" i="1"/>
  <c r="DK64" i="98"/>
  <c r="DK85" i="98"/>
  <c r="DR178" i="1"/>
  <c r="DS166" i="1"/>
  <c r="DS174" i="1" s="1"/>
  <c r="DS176" i="1" s="1"/>
  <c r="DP178" i="1"/>
  <c r="DQ176" i="1"/>
  <c r="DN59" i="1"/>
  <c r="DN63" i="1"/>
  <c r="DN157" i="1"/>
  <c r="DN158" i="1" s="1"/>
  <c r="DN60" i="1"/>
  <c r="DN61" i="1"/>
  <c r="DN179" i="1"/>
  <c r="DN192" i="1"/>
  <c r="DO61" i="98"/>
  <c r="DO197" i="1"/>
  <c r="DO193" i="1"/>
  <c r="DO1" i="1"/>
  <c r="DO3" i="1" s="1"/>
  <c r="DO98" i="1"/>
  <c r="DM193" i="1" l="1"/>
  <c r="DM61" i="98"/>
  <c r="DM197" i="1"/>
  <c r="DM98" i="1"/>
  <c r="DM1" i="1"/>
  <c r="DM3" i="1" s="1"/>
  <c r="DJ64" i="98"/>
  <c r="DJ147" i="98"/>
  <c r="DJ85" i="98"/>
  <c r="DL61" i="98"/>
  <c r="DL193" i="1"/>
  <c r="DL194" i="1"/>
  <c r="DS178" i="1"/>
  <c r="DN61" i="98"/>
  <c r="DN193" i="1"/>
  <c r="DN197" i="1"/>
  <c r="DP65" i="1"/>
  <c r="DP180" i="1"/>
  <c r="DQ178" i="1"/>
  <c r="DO64" i="98"/>
  <c r="DO85" i="98"/>
  <c r="DO147" i="98"/>
  <c r="DN98" i="1"/>
  <c r="DN1" i="1"/>
  <c r="DN3" i="1" s="1"/>
  <c r="DT166" i="1"/>
  <c r="DT174" i="1" s="1"/>
  <c r="DT176" i="1" s="1"/>
  <c r="DR65" i="1"/>
  <c r="DR180" i="1"/>
  <c r="DM147" i="98" l="1"/>
  <c r="DM64" i="98"/>
  <c r="DM85" i="98"/>
  <c r="DL123" i="1"/>
  <c r="DL195" i="1"/>
  <c r="DJ67" i="98"/>
  <c r="DL64" i="98"/>
  <c r="DL85" i="98"/>
  <c r="DL89" i="98"/>
  <c r="O18" i="95"/>
  <c r="O35" i="95" s="1"/>
  <c r="DT178" i="1"/>
  <c r="DR59" i="1"/>
  <c r="DR63" i="1"/>
  <c r="DR157" i="1"/>
  <c r="DR158" i="1" s="1"/>
  <c r="DR60" i="1"/>
  <c r="DR179" i="1"/>
  <c r="DR61" i="1"/>
  <c r="DR192" i="1"/>
  <c r="DQ65" i="1"/>
  <c r="DQ177" i="1"/>
  <c r="DQ180" i="1"/>
  <c r="DP61" i="1"/>
  <c r="DP60" i="1"/>
  <c r="DP157" i="1"/>
  <c r="DP158" i="1" s="1"/>
  <c r="DP192" i="1"/>
  <c r="DP179" i="1"/>
  <c r="DQ179" i="1" s="1"/>
  <c r="DN85" i="98"/>
  <c r="DN147" i="98"/>
  <c r="DN64" i="98"/>
  <c r="DU166" i="1"/>
  <c r="DU174" i="1" s="1"/>
  <c r="DV174" i="1" s="1"/>
  <c r="DS65" i="1"/>
  <c r="DS180" i="1"/>
  <c r="DU176" i="1" l="1"/>
  <c r="DP61" i="98"/>
  <c r="DP193" i="1"/>
  <c r="DQ192" i="1"/>
  <c r="DQ157" i="1"/>
  <c r="DQ158" i="1" s="1"/>
  <c r="DQ61" i="1"/>
  <c r="DQ60" i="1"/>
  <c r="DQ64" i="1"/>
  <c r="DW166" i="1"/>
  <c r="DW174" i="1" s="1"/>
  <c r="DW176" i="1" s="1"/>
  <c r="DR61" i="98"/>
  <c r="DR193" i="1"/>
  <c r="DR197" i="1"/>
  <c r="DR98" i="1"/>
  <c r="DR1" i="1"/>
  <c r="DR3" i="1" s="1"/>
  <c r="DS60" i="1"/>
  <c r="DS59" i="1"/>
  <c r="DS61" i="1"/>
  <c r="DS63" i="1"/>
  <c r="DS157" i="1"/>
  <c r="DS158" i="1" s="1"/>
  <c r="DS179" i="1"/>
  <c r="DS192" i="1"/>
  <c r="DT65" i="1"/>
  <c r="DT180" i="1"/>
  <c r="DW178" i="1" l="1"/>
  <c r="DR85" i="98"/>
  <c r="DR64" i="98"/>
  <c r="DR147" i="98"/>
  <c r="DQ193" i="1"/>
  <c r="DQ194" i="1"/>
  <c r="DS61" i="98"/>
  <c r="DS193" i="1"/>
  <c r="DS197" i="1"/>
  <c r="DS1" i="1"/>
  <c r="DS3" i="1" s="1"/>
  <c r="DS98" i="1"/>
  <c r="DX166" i="1"/>
  <c r="DX174" i="1" s="1"/>
  <c r="DX176" i="1" s="1"/>
  <c r="DX178" i="1" s="1"/>
  <c r="DT61" i="1"/>
  <c r="DT60" i="1"/>
  <c r="DT63" i="1"/>
  <c r="DT157" i="1"/>
  <c r="DT158" i="1" s="1"/>
  <c r="DT59" i="1"/>
  <c r="DT192" i="1"/>
  <c r="DT179" i="1"/>
  <c r="DP85" i="98"/>
  <c r="DP64" i="98"/>
  <c r="DQ61" i="98"/>
  <c r="DU178" i="1"/>
  <c r="DV176" i="1"/>
  <c r="DU65" i="1" l="1"/>
  <c r="DU180" i="1"/>
  <c r="DV178" i="1"/>
  <c r="DQ89" i="98"/>
  <c r="DQ85" i="98"/>
  <c r="P18" i="95"/>
  <c r="P35" i="95" s="1"/>
  <c r="DY166" i="1"/>
  <c r="DY174" i="1" s="1"/>
  <c r="DY176" i="1" s="1"/>
  <c r="DY178" i="1" s="1"/>
  <c r="DT61" i="98"/>
  <c r="DT193" i="1"/>
  <c r="DT197" i="1"/>
  <c r="DQ64" i="98"/>
  <c r="DT1" i="1"/>
  <c r="DT3" i="1" s="1"/>
  <c r="DT98" i="1"/>
  <c r="DQ123" i="1"/>
  <c r="DQ195" i="1"/>
  <c r="DW65" i="1"/>
  <c r="DW180" i="1"/>
  <c r="DX65" i="1"/>
  <c r="DX180" i="1"/>
  <c r="DS64" i="98"/>
  <c r="DS147" i="98"/>
  <c r="DS85" i="98"/>
  <c r="DZ166" i="1" l="1"/>
  <c r="DZ174" i="1" s="1"/>
  <c r="EA174" i="1" s="1"/>
  <c r="DU157" i="1"/>
  <c r="DU158" i="1" s="1"/>
  <c r="DU61" i="1"/>
  <c r="DU60" i="1"/>
  <c r="DU192" i="1"/>
  <c r="DU179" i="1"/>
  <c r="DV179" i="1" s="1"/>
  <c r="DT85" i="98"/>
  <c r="DT64" i="98"/>
  <c r="DT147" i="98"/>
  <c r="DV65" i="1"/>
  <c r="DV177" i="1"/>
  <c r="DV180" i="1"/>
  <c r="DW60" i="1"/>
  <c r="DW59" i="1"/>
  <c r="DW61" i="1"/>
  <c r="DW157" i="1"/>
  <c r="DW158" i="1" s="1"/>
  <c r="DW63" i="1"/>
  <c r="DW179" i="1"/>
  <c r="DW192" i="1"/>
  <c r="DX61" i="1"/>
  <c r="DX60" i="1"/>
  <c r="DX63" i="1"/>
  <c r="DX157" i="1"/>
  <c r="DX158" i="1" s="1"/>
  <c r="DX192" i="1"/>
  <c r="DX59" i="1"/>
  <c r="DX179" i="1"/>
  <c r="DY65" i="1"/>
  <c r="DY180" i="1"/>
  <c r="DW1" i="1" l="1"/>
  <c r="DW3" i="1" s="1"/>
  <c r="DW98" i="1"/>
  <c r="DW61" i="98"/>
  <c r="DW197" i="1"/>
  <c r="DW193" i="1"/>
  <c r="DY63" i="1"/>
  <c r="DY157" i="1"/>
  <c r="DY158" i="1" s="1"/>
  <c r="DY61" i="1"/>
  <c r="DY59" i="1"/>
  <c r="DY60" i="1"/>
  <c r="DY192" i="1"/>
  <c r="DY179" i="1"/>
  <c r="DX1" i="1"/>
  <c r="DX3" i="1" s="1"/>
  <c r="DX98" i="1"/>
  <c r="DU61" i="98"/>
  <c r="DU193" i="1"/>
  <c r="DV192" i="1"/>
  <c r="DZ176" i="1"/>
  <c r="DX61" i="98"/>
  <c r="DX197" i="1"/>
  <c r="DX193" i="1"/>
  <c r="DV157" i="1"/>
  <c r="DV158" i="1" s="1"/>
  <c r="DV60" i="1"/>
  <c r="DV64" i="1"/>
  <c r="DV61" i="1"/>
  <c r="DY61" i="98" l="1"/>
  <c r="DY193" i="1"/>
  <c r="DY197" i="1"/>
  <c r="DW64" i="98"/>
  <c r="DW85" i="98"/>
  <c r="DW147" i="98"/>
  <c r="DZ178" i="1"/>
  <c r="EA176" i="1"/>
  <c r="DU64" i="98"/>
  <c r="DU85" i="98"/>
  <c r="DV61" i="98"/>
  <c r="DX85" i="98"/>
  <c r="DX64" i="98"/>
  <c r="DX147" i="98"/>
  <c r="DV194" i="1"/>
  <c r="DV193" i="1"/>
  <c r="DY98" i="1"/>
  <c r="DY1" i="1"/>
  <c r="DY3" i="1" s="1"/>
  <c r="DV123" i="1" l="1"/>
  <c r="DV195" i="1"/>
  <c r="DZ65" i="1"/>
  <c r="DZ180" i="1"/>
  <c r="EA178" i="1"/>
  <c r="DV64" i="98"/>
  <c r="DV89" i="98"/>
  <c r="DV85" i="98"/>
  <c r="DY64" i="98"/>
  <c r="DY85" i="98"/>
  <c r="DY147" i="98"/>
  <c r="DZ157" i="1" l="1"/>
  <c r="DZ158" i="1" s="1"/>
  <c r="DZ60" i="1"/>
  <c r="DZ179" i="1"/>
  <c r="EA179" i="1" s="1"/>
  <c r="DZ61" i="1"/>
  <c r="DZ192" i="1"/>
  <c r="EA65" i="1"/>
  <c r="EA180" i="1"/>
  <c r="EA177" i="1"/>
  <c r="DZ61" i="98" l="1"/>
  <c r="DZ193" i="1"/>
  <c r="EA192" i="1"/>
  <c r="EA60" i="1"/>
  <c r="EA64" i="1"/>
  <c r="EA61" i="1"/>
  <c r="EA157" i="1"/>
  <c r="EA158" i="1" s="1"/>
  <c r="EA194" i="1" l="1"/>
  <c r="EA193" i="1"/>
  <c r="DZ85" i="98"/>
  <c r="DZ64" i="98"/>
  <c r="EA61" i="98"/>
  <c r="EA123" i="1" l="1"/>
  <c r="EA195" i="1"/>
  <c r="EA89" i="98"/>
  <c r="EA85" i="98"/>
  <c r="EA64" i="98"/>
  <c r="CZ175" i="1" l="1"/>
  <c r="DB176" i="1"/>
  <c r="DB194" i="1" s="1"/>
  <c r="DG195" i="1" l="1"/>
  <c r="DB123" i="1"/>
  <c r="DB124" i="1" s="1"/>
  <c r="CZ177" i="1"/>
  <c r="CZ179" i="1" s="1"/>
  <c r="DB178" i="1"/>
  <c r="DB180" i="1" s="1"/>
  <c r="DB177" i="1" l="1"/>
  <c r="DG106" i="98" l="1"/>
  <c r="DL106" i="98" l="1"/>
  <c r="DM107" i="98" l="1"/>
  <c r="DN107" i="98" l="1"/>
  <c r="DO107" i="98" l="1"/>
  <c r="DP107" i="98" l="1"/>
  <c r="DQ106" i="98" l="1"/>
  <c r="DR107" i="98" s="1"/>
  <c r="EA106" i="98" l="1"/>
  <c r="DS107" i="98"/>
  <c r="DV106" i="98" l="1"/>
  <c r="ED94" i="1" l="1"/>
  <c r="ED51" i="1"/>
  <c r="DB40" i="98" l="1"/>
  <c r="DA48" i="98"/>
  <c r="DA74" i="98"/>
  <c r="DA75" i="98" s="1"/>
  <c r="DC133" i="98"/>
  <c r="DD133" i="98"/>
  <c r="DA133" i="98"/>
  <c r="DB133" i="98" s="1"/>
  <c r="DE133" i="98"/>
  <c r="DA120" i="1"/>
  <c r="DB74" i="98" l="1"/>
  <c r="DB75" i="98" s="1"/>
  <c r="DB120" i="1"/>
  <c r="DD21" i="8"/>
  <c r="DA76" i="98"/>
  <c r="DA82" i="98"/>
  <c r="DA83" i="98" s="1"/>
  <c r="DA121" i="1"/>
  <c r="DA122" i="1" s="1"/>
  <c r="DB48" i="98"/>
  <c r="DB67" i="98" s="1"/>
  <c r="DB70" i="98" s="1"/>
  <c r="DA67" i="98"/>
  <c r="DA70" i="98" s="1"/>
  <c r="DA98" i="98"/>
  <c r="DF129" i="98" l="1"/>
  <c r="DG110" i="98"/>
  <c r="DG20" i="1"/>
  <c r="DF86" i="1"/>
  <c r="DE21" i="8"/>
  <c r="DB76" i="98"/>
  <c r="DB82" i="98"/>
  <c r="DB83" i="98" s="1"/>
  <c r="DB77" i="98"/>
  <c r="DB98" i="98"/>
  <c r="DB99" i="98" s="1"/>
  <c r="M16" i="95"/>
  <c r="DB121" i="1"/>
  <c r="DB122" i="1" s="1"/>
  <c r="DC69" i="98"/>
  <c r="DC99" i="98"/>
  <c r="DD99" i="98"/>
  <c r="DA99" i="98"/>
  <c r="DE99" i="98"/>
  <c r="DF68" i="1" l="1"/>
  <c r="DG25" i="1"/>
  <c r="DG86" i="1"/>
  <c r="DF69" i="1"/>
  <c r="DG26" i="1"/>
  <c r="DG24" i="1"/>
  <c r="DF89" i="1"/>
  <c r="DF70" i="1"/>
  <c r="DF67" i="1"/>
  <c r="DF208" i="1"/>
  <c r="DH119" i="8"/>
  <c r="DG129" i="98"/>
  <c r="DF40" i="98"/>
  <c r="DC20" i="8"/>
  <c r="DD12" i="8"/>
  <c r="DC69" i="8"/>
  <c r="DC72" i="8"/>
  <c r="DF21" i="8"/>
  <c r="DA71" i="98"/>
  <c r="DG69" i="98"/>
  <c r="DC70" i="98"/>
  <c r="M33" i="95"/>
  <c r="M34" i="95"/>
  <c r="M38" i="95"/>
  <c r="M17" i="95"/>
  <c r="DK129" i="98" l="1"/>
  <c r="DK40" i="98" s="1"/>
  <c r="DL110" i="98"/>
  <c r="DM111" i="98" s="1"/>
  <c r="DL26" i="1"/>
  <c r="DH15" i="8"/>
  <c r="DH127" i="8"/>
  <c r="DI119" i="8"/>
  <c r="DL20" i="1"/>
  <c r="DK86" i="1"/>
  <c r="DG68" i="1"/>
  <c r="DF74" i="98"/>
  <c r="DF120" i="1"/>
  <c r="DG40" i="98"/>
  <c r="DJ133" i="98"/>
  <c r="DI133" i="98"/>
  <c r="DF48" i="98"/>
  <c r="DG48" i="98" s="1"/>
  <c r="DH133" i="98"/>
  <c r="DF133" i="98"/>
  <c r="DG133" i="98" s="1"/>
  <c r="DG89" i="1"/>
  <c r="DG70" i="1"/>
  <c r="DG67" i="1"/>
  <c r="DG208" i="1"/>
  <c r="DG69" i="1"/>
  <c r="DD72" i="8"/>
  <c r="DD69" i="8"/>
  <c r="DB115" i="1"/>
  <c r="DB117" i="1" s="1"/>
  <c r="DB71" i="98"/>
  <c r="DE12" i="8"/>
  <c r="DC71" i="98" s="1"/>
  <c r="DD69" i="98"/>
  <c r="DD70" i="98" s="1"/>
  <c r="DK68" i="1"/>
  <c r="DL25" i="1"/>
  <c r="DD20" i="8"/>
  <c r="DC28" i="8"/>
  <c r="DC53" i="8" s="1"/>
  <c r="DC62" i="8"/>
  <c r="DG21" i="8"/>
  <c r="DM119" i="8"/>
  <c r="DL24" i="1"/>
  <c r="DK67" i="1"/>
  <c r="DK89" i="1" l="1"/>
  <c r="DL129" i="98"/>
  <c r="DK70" i="1"/>
  <c r="DK69" i="1"/>
  <c r="DK208" i="1"/>
  <c r="DL86" i="1"/>
  <c r="DG120" i="1"/>
  <c r="DG74" i="98"/>
  <c r="DH32" i="98"/>
  <c r="DH85" i="8"/>
  <c r="DH101" i="8"/>
  <c r="DF32" i="98"/>
  <c r="DI15" i="8"/>
  <c r="DL40" i="98"/>
  <c r="DK48" i="98"/>
  <c r="DL48" i="98" s="1"/>
  <c r="DK74" i="98"/>
  <c r="DK133" i="98"/>
  <c r="DL133" i="98" s="1"/>
  <c r="DK120" i="1"/>
  <c r="DD62" i="8"/>
  <c r="DF12" i="8"/>
  <c r="DD71" i="98" s="1"/>
  <c r="DE69" i="98"/>
  <c r="DE70" i="98" s="1"/>
  <c r="DL70" i="1"/>
  <c r="DL67" i="1"/>
  <c r="DL89" i="1"/>
  <c r="DL208" i="1"/>
  <c r="DL69" i="1"/>
  <c r="DL68" i="1"/>
  <c r="DE20" i="8"/>
  <c r="DE69" i="8"/>
  <c r="DC115" i="1"/>
  <c r="DC117" i="1" s="1"/>
  <c r="DM15" i="8"/>
  <c r="DM127" i="8"/>
  <c r="DD28" i="8"/>
  <c r="DC57" i="8"/>
  <c r="DC58" i="8"/>
  <c r="DD58" i="8" s="1"/>
  <c r="DN111" i="98"/>
  <c r="DP89" i="1" l="1"/>
  <c r="DQ20" i="1"/>
  <c r="DP86" i="1"/>
  <c r="DJ101" i="8"/>
  <c r="DI124" i="8"/>
  <c r="DG32" i="98"/>
  <c r="DG12" i="8"/>
  <c r="DE71" i="98" s="1"/>
  <c r="DF69" i="98"/>
  <c r="DD57" i="8"/>
  <c r="DC60" i="8"/>
  <c r="DC59" i="8"/>
  <c r="DE28" i="8"/>
  <c r="DE62" i="8"/>
  <c r="DF20" i="8"/>
  <c r="DF69" i="8"/>
  <c r="DD115" i="1"/>
  <c r="DD117" i="1" s="1"/>
  <c r="DL74" i="98"/>
  <c r="DL120" i="1"/>
  <c r="DM129" i="98"/>
  <c r="DO111" i="98"/>
  <c r="DN15" i="8"/>
  <c r="DM85" i="8"/>
  <c r="DM101" i="8"/>
  <c r="DM32" i="98"/>
  <c r="DK32" i="98"/>
  <c r="DP69" i="1"/>
  <c r="DQ26" i="1"/>
  <c r="DR119" i="8"/>
  <c r="DP67" i="1"/>
  <c r="DQ24" i="1"/>
  <c r="DP70" i="1"/>
  <c r="DP208" i="1"/>
  <c r="DD53" i="8"/>
  <c r="DP68" i="1" l="1"/>
  <c r="DQ25" i="1"/>
  <c r="DQ89" i="1" s="1"/>
  <c r="DQ86" i="1"/>
  <c r="DN129" i="98"/>
  <c r="DQ67" i="1"/>
  <c r="DE53" i="8"/>
  <c r="DE58" i="8"/>
  <c r="DE57" i="8"/>
  <c r="DQ69" i="1"/>
  <c r="DM40" i="98"/>
  <c r="DM130" i="98"/>
  <c r="DD60" i="8"/>
  <c r="DD59" i="8"/>
  <c r="DR15" i="8"/>
  <c r="DR127" i="8"/>
  <c r="DL32" i="98"/>
  <c r="DO101" i="8"/>
  <c r="DP111" i="98"/>
  <c r="DF28" i="8"/>
  <c r="DF62" i="8"/>
  <c r="DG20" i="8"/>
  <c r="DG69" i="8"/>
  <c r="DE115" i="1"/>
  <c r="DE117" i="1" s="1"/>
  <c r="DF115" i="1"/>
  <c r="DQ68" i="1" l="1"/>
  <c r="DQ70" i="1"/>
  <c r="DQ208" i="1"/>
  <c r="DV20" i="1"/>
  <c r="DV86" i="1" s="1"/>
  <c r="DU86" i="1"/>
  <c r="DF53" i="8"/>
  <c r="DF58" i="8"/>
  <c r="DF57" i="8"/>
  <c r="DM48" i="98"/>
  <c r="DM74" i="98"/>
  <c r="DM133" i="98"/>
  <c r="DM120" i="1"/>
  <c r="DE59" i="8"/>
  <c r="DE60" i="8"/>
  <c r="DU68" i="1"/>
  <c r="DV25" i="1"/>
  <c r="DN40" i="98"/>
  <c r="DN130" i="98"/>
  <c r="DO129" i="98"/>
  <c r="DW119" i="8"/>
  <c r="DV24" i="1"/>
  <c r="DU70" i="1"/>
  <c r="DU67" i="1"/>
  <c r="DU89" i="1"/>
  <c r="DU208" i="1"/>
  <c r="DG28" i="8"/>
  <c r="DG62" i="8"/>
  <c r="DP129" i="98"/>
  <c r="DV26" i="1"/>
  <c r="DU69" i="1"/>
  <c r="DS15" i="8"/>
  <c r="DR101" i="8"/>
  <c r="DR85" i="8"/>
  <c r="DR32" i="98"/>
  <c r="DP32" i="98"/>
  <c r="DQ110" i="98"/>
  <c r="DV69" i="1" l="1"/>
  <c r="DV68" i="1"/>
  <c r="DQ32" i="98"/>
  <c r="DR111" i="98"/>
  <c r="DV70" i="1"/>
  <c r="DV67" i="1"/>
  <c r="DV89" i="1"/>
  <c r="DV208" i="1"/>
  <c r="DO40" i="98"/>
  <c r="DO130" i="98"/>
  <c r="DQ129" i="98"/>
  <c r="DT101" i="8"/>
  <c r="DW15" i="8"/>
  <c r="DW127" i="8"/>
  <c r="DN48" i="98"/>
  <c r="DN74" i="98"/>
  <c r="DN75" i="98" s="1"/>
  <c r="DN133" i="98"/>
  <c r="DN120" i="1"/>
  <c r="DP40" i="98"/>
  <c r="DG53" i="8"/>
  <c r="DG57" i="8"/>
  <c r="DG58" i="8"/>
  <c r="DF60" i="8"/>
  <c r="DF59" i="8"/>
  <c r="EB119" i="8" l="1"/>
  <c r="DQ40" i="98"/>
  <c r="EA20" i="1"/>
  <c r="EA86" i="1" s="1"/>
  <c r="DZ86" i="1"/>
  <c r="DN76" i="98"/>
  <c r="DN82" i="98"/>
  <c r="DN83" i="98" s="1"/>
  <c r="DN121" i="1"/>
  <c r="DN122" i="1" s="1"/>
  <c r="DG60" i="8"/>
  <c r="DG59" i="8"/>
  <c r="DN67" i="98"/>
  <c r="DN98" i="98"/>
  <c r="DX15" i="8"/>
  <c r="DW85" i="8"/>
  <c r="DW101" i="8"/>
  <c r="DU32" i="98"/>
  <c r="DW32" i="98"/>
  <c r="DS111" i="98"/>
  <c r="DP48" i="98"/>
  <c r="DP74" i="98"/>
  <c r="DP133" i="98"/>
  <c r="DQ133" i="98" s="1"/>
  <c r="DP120" i="1"/>
  <c r="DZ69" i="1"/>
  <c r="EA26" i="1"/>
  <c r="DO48" i="98"/>
  <c r="DO74" i="98"/>
  <c r="DO75" i="98" s="1"/>
  <c r="DO133" i="98"/>
  <c r="DO120" i="1"/>
  <c r="DZ70" i="1" l="1"/>
  <c r="EA24" i="1"/>
  <c r="EA67" i="1" s="1"/>
  <c r="DZ67" i="1"/>
  <c r="DZ89" i="1"/>
  <c r="DZ208" i="1"/>
  <c r="DZ68" i="1"/>
  <c r="EA25" i="1"/>
  <c r="DQ120" i="1"/>
  <c r="DQ74" i="98"/>
  <c r="EA69" i="1"/>
  <c r="DO67" i="98"/>
  <c r="DO98" i="98"/>
  <c r="DY101" i="8"/>
  <c r="DT111" i="98"/>
  <c r="DV32" i="98"/>
  <c r="DR129" i="98"/>
  <c r="EB15" i="8"/>
  <c r="EB127" i="8"/>
  <c r="DQ48" i="98"/>
  <c r="DO76" i="98"/>
  <c r="DO82" i="98"/>
  <c r="DO83" i="98" s="1"/>
  <c r="DO121" i="1"/>
  <c r="DO122" i="1" s="1"/>
  <c r="EA70" i="1" l="1"/>
  <c r="EA89" i="1"/>
  <c r="EA68" i="1"/>
  <c r="EA208" i="1"/>
  <c r="EC15" i="8"/>
  <c r="EB101" i="8"/>
  <c r="EB85" i="8"/>
  <c r="DZ32" i="98"/>
  <c r="DS129" i="98"/>
  <c r="DR40" i="98"/>
  <c r="DR130" i="98"/>
  <c r="DU111" i="98"/>
  <c r="DT129" i="98" l="1"/>
  <c r="DV110" i="98"/>
  <c r="DR48" i="98"/>
  <c r="DR74" i="98"/>
  <c r="DR133" i="98"/>
  <c r="DR120" i="1"/>
  <c r="DS40" i="98"/>
  <c r="DS130" i="98"/>
  <c r="DU129" i="98"/>
  <c r="EA32" i="98"/>
  <c r="DV129" i="98" l="1"/>
  <c r="DU40" i="98"/>
  <c r="DT40" i="98"/>
  <c r="DT130" i="98"/>
  <c r="DS48" i="98"/>
  <c r="DS74" i="98"/>
  <c r="DS75" i="98" s="1"/>
  <c r="DS133" i="98"/>
  <c r="DS120" i="1"/>
  <c r="DW111" i="98"/>
  <c r="DS76" i="98" l="1"/>
  <c r="DS82" i="98"/>
  <c r="DS83" i="98" s="1"/>
  <c r="DS121" i="1"/>
  <c r="DS122" i="1" s="1"/>
  <c r="DU48" i="98"/>
  <c r="DU74" i="98"/>
  <c r="DU133" i="98"/>
  <c r="DV133" i="98" s="1"/>
  <c r="DU120" i="1"/>
  <c r="DS67" i="98"/>
  <c r="DS98" i="98"/>
  <c r="DT48" i="98"/>
  <c r="DT74" i="98"/>
  <c r="DT75" i="98" s="1"/>
  <c r="DT133" i="98"/>
  <c r="DT120" i="1"/>
  <c r="DV40" i="98"/>
  <c r="DX111" i="98"/>
  <c r="DV74" i="98" l="1"/>
  <c r="DV120" i="1"/>
  <c r="DW129" i="98"/>
  <c r="DY111" i="98"/>
  <c r="DT76" i="98"/>
  <c r="DT82" i="98"/>
  <c r="DT83" i="98" s="1"/>
  <c r="DT121" i="1"/>
  <c r="DT122" i="1" s="1"/>
  <c r="DT67" i="98"/>
  <c r="DT98" i="98"/>
  <c r="DV48" i="98"/>
  <c r="DX129" i="98" l="1"/>
  <c r="DW40" i="98"/>
  <c r="DW130" i="98"/>
  <c r="DZ111" i="98"/>
  <c r="DY129" i="98" l="1"/>
  <c r="DZ129" i="98"/>
  <c r="DX40" i="98"/>
  <c r="DX130" i="98"/>
  <c r="EA110" i="98"/>
  <c r="DW48" i="98"/>
  <c r="DW74" i="98"/>
  <c r="DW133" i="98"/>
  <c r="DW120" i="1"/>
  <c r="DY40" i="98" l="1"/>
  <c r="DY130" i="98"/>
  <c r="EA129" i="98"/>
  <c r="DX48" i="98"/>
  <c r="DX74" i="98"/>
  <c r="DX75" i="98" s="1"/>
  <c r="DX133" i="98"/>
  <c r="DX120" i="1"/>
  <c r="DZ40" i="98"/>
  <c r="DY48" i="98" l="1"/>
  <c r="DY74" i="98"/>
  <c r="DY75" i="98" s="1"/>
  <c r="DY133" i="98"/>
  <c r="DY120" i="1"/>
  <c r="EA40" i="98"/>
  <c r="DX76" i="98"/>
  <c r="DX82" i="98"/>
  <c r="DX83" i="98" s="1"/>
  <c r="DX121" i="1"/>
  <c r="DX122" i="1" s="1"/>
  <c r="DZ48" i="98"/>
  <c r="DZ74" i="98"/>
  <c r="DZ133" i="98"/>
  <c r="EA133" i="98" s="1"/>
  <c r="DZ120" i="1"/>
  <c r="DX67" i="98"/>
  <c r="DX98" i="98"/>
  <c r="DY76" i="98" l="1"/>
  <c r="DY82" i="98"/>
  <c r="DY83" i="98" s="1"/>
  <c r="DY121" i="1"/>
  <c r="DY122" i="1" s="1"/>
  <c r="EA74" i="98"/>
  <c r="EA120" i="1"/>
  <c r="DY67" i="98"/>
  <c r="DY98" i="98"/>
  <c r="EA48" i="98"/>
  <c r="DA17" i="1" l="1"/>
  <c r="DB17" i="1" l="1"/>
  <c r="DB200" i="1" s="1"/>
  <c r="DF17" i="1"/>
  <c r="ED17" i="1"/>
  <c r="DA72" i="1"/>
  <c r="DA83" i="1"/>
  <c r="ED83" i="1" s="1"/>
  <c r="EF83" i="1" s="1"/>
  <c r="DB83" i="1" l="1"/>
  <c r="DB72" i="1"/>
  <c r="DK17" i="1"/>
  <c r="EH17" i="1"/>
  <c r="EF17" i="1"/>
  <c r="DG17" i="1"/>
  <c r="DF72" i="1"/>
  <c r="DF83" i="1"/>
  <c r="DG72" i="1" l="1"/>
  <c r="DG83" i="1"/>
  <c r="DG200" i="1"/>
  <c r="DK72" i="1"/>
  <c r="DK83" i="1"/>
  <c r="DL17" i="1"/>
  <c r="DP17" i="1" l="1"/>
  <c r="DL83" i="1"/>
  <c r="DL200" i="1"/>
  <c r="DL72" i="1"/>
  <c r="DP72" i="1" l="1"/>
  <c r="DP83" i="1"/>
  <c r="DQ17" i="1"/>
  <c r="DU17" i="1" l="1"/>
  <c r="DQ72" i="1"/>
  <c r="DQ83" i="1"/>
  <c r="DQ200" i="1"/>
  <c r="DV17" i="1" l="1"/>
  <c r="DU72" i="1"/>
  <c r="DU83" i="1"/>
  <c r="DZ17" i="1" l="1"/>
  <c r="DV83" i="1"/>
  <c r="DV72" i="1"/>
  <c r="DV200" i="1"/>
  <c r="EA17" i="1" l="1"/>
  <c r="DZ72" i="1"/>
  <c r="DZ83" i="1"/>
  <c r="EA72" i="1" l="1"/>
  <c r="EA83" i="1"/>
  <c r="EA200" i="1"/>
  <c r="DG21" i="1" l="1"/>
  <c r="DF22" i="1"/>
  <c r="DF87" i="1"/>
  <c r="DH118" i="8" l="1"/>
  <c r="DF14" i="98"/>
  <c r="DF130" i="98"/>
  <c r="DF88" i="1"/>
  <c r="DF96" i="98" s="1"/>
  <c r="DF38" i="1"/>
  <c r="DF71" i="1"/>
  <c r="DH218" i="1"/>
  <c r="DH225" i="1" s="1"/>
  <c r="DF218" i="1"/>
  <c r="DJ218" i="1"/>
  <c r="DJ225" i="1" s="1"/>
  <c r="DI218" i="1"/>
  <c r="DI225" i="1" s="1"/>
  <c r="DH121" i="8"/>
  <c r="DG30" i="1"/>
  <c r="DF209" i="1"/>
  <c r="DG22" i="1"/>
  <c r="DG87" i="1"/>
  <c r="DK22" i="1"/>
  <c r="DK87" i="1"/>
  <c r="DL21" i="1"/>
  <c r="DM118" i="8" l="1"/>
  <c r="DM14" i="8" s="1"/>
  <c r="DK14" i="98"/>
  <c r="DK38" i="1"/>
  <c r="DK71" i="1"/>
  <c r="DK130" i="98"/>
  <c r="DK88" i="1"/>
  <c r="DK96" i="98" s="1"/>
  <c r="DK218" i="1"/>
  <c r="DO218" i="1"/>
  <c r="DO225" i="1" s="1"/>
  <c r="DN218" i="1"/>
  <c r="DN225" i="1" s="1"/>
  <c r="DM218" i="1"/>
  <c r="DM225" i="1" s="1"/>
  <c r="DH31" i="8"/>
  <c r="DI121" i="8"/>
  <c r="DQ21" i="1"/>
  <c r="DP22" i="1"/>
  <c r="DP87" i="1"/>
  <c r="DG71" i="1"/>
  <c r="DG130" i="98"/>
  <c r="DG88" i="1"/>
  <c r="DG96" i="98" s="1"/>
  <c r="N5" i="95"/>
  <c r="DG38" i="1"/>
  <c r="DD227" i="1"/>
  <c r="DG230" i="1"/>
  <c r="DE227" i="1"/>
  <c r="DC227" i="1"/>
  <c r="DM121" i="8"/>
  <c r="DM31" i="8" s="1"/>
  <c r="DL30" i="1"/>
  <c r="DK209" i="1"/>
  <c r="DF227" i="1"/>
  <c r="DH21" i="8"/>
  <c r="DG14" i="98"/>
  <c r="DF93" i="98"/>
  <c r="DF92" i="98"/>
  <c r="DL22" i="1"/>
  <c r="DK227" i="1" s="1"/>
  <c r="DL87" i="1"/>
  <c r="DJ56" i="8"/>
  <c r="DK56" i="8"/>
  <c r="DH56" i="8"/>
  <c r="DL56" i="8"/>
  <c r="DF39" i="1"/>
  <c r="DF41" i="1"/>
  <c r="DF45" i="1"/>
  <c r="DF73" i="1"/>
  <c r="DF91" i="1"/>
  <c r="DI219" i="1"/>
  <c r="DK70" i="8" s="1"/>
  <c r="DF219" i="1"/>
  <c r="DJ219" i="1"/>
  <c r="DL70" i="8" s="1"/>
  <c r="DH219" i="1"/>
  <c r="DJ70" i="8" s="1"/>
  <c r="DF159" i="1"/>
  <c r="DG159" i="1" s="1"/>
  <c r="DH14" i="8"/>
  <c r="DI118" i="8"/>
  <c r="DG209" i="1"/>
  <c r="DG218" i="1"/>
  <c r="DG225" i="1" s="1"/>
  <c r="DF225" i="1"/>
  <c r="DK230" i="1" l="1"/>
  <c r="DI21" i="8"/>
  <c r="DE231" i="1"/>
  <c r="DE230" i="1"/>
  <c r="N6" i="95"/>
  <c r="N36" i="95"/>
  <c r="DR118" i="8"/>
  <c r="DR14" i="8" s="1"/>
  <c r="DP14" i="98"/>
  <c r="DP130" i="98"/>
  <c r="DP88" i="1"/>
  <c r="DP96" i="98" s="1"/>
  <c r="DP38" i="1"/>
  <c r="DP71" i="1"/>
  <c r="DS218" i="1"/>
  <c r="DS225" i="1" s="1"/>
  <c r="DP218" i="1"/>
  <c r="DT218" i="1"/>
  <c r="DT225" i="1" s="1"/>
  <c r="DR218" i="1"/>
  <c r="DR225" i="1" s="1"/>
  <c r="DR121" i="8"/>
  <c r="DR31" i="8" s="1"/>
  <c r="DQ30" i="1"/>
  <c r="DP209" i="1"/>
  <c r="DL14" i="98"/>
  <c r="DK92" i="98"/>
  <c r="DK93" i="98"/>
  <c r="DF92" i="1"/>
  <c r="DG39" i="1"/>
  <c r="DF42" i="1"/>
  <c r="DF74" i="1"/>
  <c r="DI14" i="8"/>
  <c r="DH84" i="8"/>
  <c r="DH100" i="8"/>
  <c r="DF31" i="98"/>
  <c r="DH31" i="98"/>
  <c r="DH70" i="8"/>
  <c r="DG219" i="1"/>
  <c r="DI70" i="8" s="1"/>
  <c r="DF96" i="1"/>
  <c r="DF77" i="1"/>
  <c r="DF46" i="1"/>
  <c r="DF47" i="1" s="1"/>
  <c r="DI56" i="8"/>
  <c r="DF230" i="1"/>
  <c r="DL209" i="1"/>
  <c r="DQ22" i="1"/>
  <c r="DQ87" i="1"/>
  <c r="DI31" i="8"/>
  <c r="DH36" i="8"/>
  <c r="DH111" i="8"/>
  <c r="DH95" i="8"/>
  <c r="DH34" i="98"/>
  <c r="DF34" i="98"/>
  <c r="DN14" i="8"/>
  <c r="DM100" i="8"/>
  <c r="DM84" i="8"/>
  <c r="DK31" i="98"/>
  <c r="DM31" i="98"/>
  <c r="DD228" i="1"/>
  <c r="DF71" i="8" s="1"/>
  <c r="DC230" i="1"/>
  <c r="DE228" i="1"/>
  <c r="DG71" i="8" s="1"/>
  <c r="DC231" i="1"/>
  <c r="DC228" i="1"/>
  <c r="DE71" i="8" s="1"/>
  <c r="DG228" i="1"/>
  <c r="DI71" i="8" s="1"/>
  <c r="DF228" i="1"/>
  <c r="DH71" i="8" s="1"/>
  <c r="DF75" i="1"/>
  <c r="DH221" i="1"/>
  <c r="DJ68" i="8" s="1"/>
  <c r="DF221" i="1"/>
  <c r="DJ221" i="1"/>
  <c r="DL68" i="8" s="1"/>
  <c r="DI221" i="1"/>
  <c r="DK68" i="8" s="1"/>
  <c r="DL80" i="1"/>
  <c r="DL38" i="1"/>
  <c r="DL71" i="1"/>
  <c r="DL130" i="98"/>
  <c r="O5" i="95"/>
  <c r="DL88" i="1"/>
  <c r="DL96" i="98" s="1"/>
  <c r="DI227" i="1"/>
  <c r="DJ227" i="1"/>
  <c r="DL230" i="1"/>
  <c r="DH227" i="1"/>
  <c r="DN31" i="8"/>
  <c r="DM36" i="8"/>
  <c r="DM63" i="8" s="1"/>
  <c r="DM95" i="8"/>
  <c r="DM111" i="8"/>
  <c r="DM34" i="98"/>
  <c r="DK34" i="98"/>
  <c r="DD230" i="1"/>
  <c r="DD231" i="1"/>
  <c r="DG93" i="98"/>
  <c r="DG92" i="98"/>
  <c r="N7" i="95"/>
  <c r="N8" i="95" s="1"/>
  <c r="DG41" i="1"/>
  <c r="DG45" i="1"/>
  <c r="DG73" i="1"/>
  <c r="DG91" i="1"/>
  <c r="EA21" i="1"/>
  <c r="DZ22" i="1"/>
  <c r="DZ87" i="1"/>
  <c r="DL218" i="1"/>
  <c r="DL225" i="1" s="1"/>
  <c r="DK225" i="1"/>
  <c r="DM56" i="8"/>
  <c r="DQ56" i="8"/>
  <c r="DO56" i="8"/>
  <c r="DP56" i="8"/>
  <c r="DK91" i="1"/>
  <c r="DK39" i="1"/>
  <c r="DK41" i="1"/>
  <c r="DK45" i="1"/>
  <c r="DK73" i="1"/>
  <c r="DK159" i="1"/>
  <c r="DM219" i="1"/>
  <c r="DO70" i="8" s="1"/>
  <c r="DN219" i="1"/>
  <c r="DP70" i="8" s="1"/>
  <c r="DK219" i="1"/>
  <c r="DO219" i="1"/>
  <c r="DQ70" i="8" s="1"/>
  <c r="DU22" i="1"/>
  <c r="DU87" i="1"/>
  <c r="DV21" i="1"/>
  <c r="DF49" i="1" l="1"/>
  <c r="DK55" i="8" s="1"/>
  <c r="DV22" i="1"/>
  <c r="DU227" i="1" s="1"/>
  <c r="DV87" i="1"/>
  <c r="DK42" i="1"/>
  <c r="DK74" i="1"/>
  <c r="DK92" i="1"/>
  <c r="DL39" i="1"/>
  <c r="EB118" i="8"/>
  <c r="EB14" i="8" s="1"/>
  <c r="DZ14" i="98"/>
  <c r="DZ130" i="98"/>
  <c r="DZ88" i="1"/>
  <c r="DZ96" i="98" s="1"/>
  <c r="DZ38" i="1"/>
  <c r="DZ71" i="1"/>
  <c r="DZ218" i="1"/>
  <c r="DL228" i="1"/>
  <c r="DN71" i="8" s="1"/>
  <c r="DH230" i="1"/>
  <c r="DK228" i="1"/>
  <c r="DM71" i="8" s="1"/>
  <c r="DH231" i="1"/>
  <c r="DG34" i="98"/>
  <c r="DH129" i="8"/>
  <c r="DI36" i="8"/>
  <c r="DI63" i="8" s="1"/>
  <c r="DI64" i="8" s="1"/>
  <c r="DH41" i="8"/>
  <c r="DI41" i="8" s="1"/>
  <c r="P5" i="95"/>
  <c r="DQ71" i="1"/>
  <c r="DQ130" i="98"/>
  <c r="DQ80" i="1"/>
  <c r="DQ88" i="1"/>
  <c r="DQ38" i="1"/>
  <c r="DN227" i="1"/>
  <c r="DO227" i="1"/>
  <c r="DM227" i="1"/>
  <c r="DM228" i="1" s="1"/>
  <c r="DO71" i="8" s="1"/>
  <c r="DQ230" i="1"/>
  <c r="DJ130" i="8"/>
  <c r="DL31" i="98"/>
  <c r="DH36" i="98"/>
  <c r="DH63" i="8"/>
  <c r="DF95" i="1"/>
  <c r="DF76" i="1"/>
  <c r="DI222" i="1"/>
  <c r="DF231" i="1"/>
  <c r="DF232" i="1" s="1"/>
  <c r="DF222" i="1"/>
  <c r="DJ222" i="1"/>
  <c r="DH222" i="1"/>
  <c r="DL93" i="98"/>
  <c r="DL92" i="98"/>
  <c r="DS31" i="8"/>
  <c r="DR36" i="8"/>
  <c r="DR95" i="8"/>
  <c r="DP34" i="98"/>
  <c r="DQ34" i="98" s="1"/>
  <c r="DR111" i="8"/>
  <c r="DR34" i="98"/>
  <c r="DU56" i="8"/>
  <c r="DR56" i="8"/>
  <c r="DV56" i="8"/>
  <c r="DT56" i="8"/>
  <c r="DP39" i="1"/>
  <c r="DP41" i="1"/>
  <c r="DP45" i="1"/>
  <c r="DP73" i="1"/>
  <c r="DP91" i="1"/>
  <c r="DR219" i="1"/>
  <c r="DT70" i="8" s="1"/>
  <c r="DP219" i="1"/>
  <c r="DT219" i="1"/>
  <c r="DV70" i="8" s="1"/>
  <c r="DP159" i="1"/>
  <c r="DQ159" i="1" s="1"/>
  <c r="DS219" i="1"/>
  <c r="DU70" i="8" s="1"/>
  <c r="DS14" i="8"/>
  <c r="DR84" i="8"/>
  <c r="DR100" i="8"/>
  <c r="DR31" i="98"/>
  <c r="DP31" i="98"/>
  <c r="DQ31" i="98" s="1"/>
  <c r="DK75" i="1"/>
  <c r="DK221" i="1"/>
  <c r="DO221" i="1"/>
  <c r="DQ68" i="8" s="1"/>
  <c r="DN221" i="1"/>
  <c r="DP68" i="8" s="1"/>
  <c r="DM221" i="1"/>
  <c r="DO68" i="8" s="1"/>
  <c r="DI231" i="1"/>
  <c r="DI230" i="1"/>
  <c r="DN56" i="8"/>
  <c r="DM129" i="8"/>
  <c r="DN36" i="8"/>
  <c r="DN63" i="8" s="1"/>
  <c r="DM41" i="8"/>
  <c r="DN41" i="8" s="1"/>
  <c r="O36" i="95"/>
  <c r="O6" i="95"/>
  <c r="DL73" i="1"/>
  <c r="O7" i="95"/>
  <c r="O8" i="95" s="1"/>
  <c r="DL91" i="1"/>
  <c r="DL41" i="1"/>
  <c r="DL45" i="1"/>
  <c r="DL159" i="1"/>
  <c r="DW121" i="8"/>
  <c r="DW31" i="8" s="1"/>
  <c r="DV30" i="1"/>
  <c r="DV209" i="1" s="1"/>
  <c r="DU209" i="1"/>
  <c r="DO130" i="8"/>
  <c r="DM36" i="98"/>
  <c r="DJ129" i="8"/>
  <c r="DL34" i="98"/>
  <c r="DI125" i="8"/>
  <c r="DJ111" i="8"/>
  <c r="DI228" i="1"/>
  <c r="DK71" i="8" s="1"/>
  <c r="DF36" i="98"/>
  <c r="DG36" i="98" s="1"/>
  <c r="DG31" i="98"/>
  <c r="DH130" i="8"/>
  <c r="DJ100" i="8"/>
  <c r="DI123" i="8"/>
  <c r="DG74" i="1"/>
  <c r="DG92" i="1"/>
  <c r="DG42" i="1"/>
  <c r="DP225" i="1"/>
  <c r="DQ218" i="1"/>
  <c r="DQ225" i="1" s="1"/>
  <c r="DJ21" i="8"/>
  <c r="DG96" i="1"/>
  <c r="DG77" i="1"/>
  <c r="DM70" i="8"/>
  <c r="DL219" i="1"/>
  <c r="DN70" i="8" s="1"/>
  <c r="N9" i="95"/>
  <c r="DG75" i="1"/>
  <c r="EA22" i="1"/>
  <c r="EA87" i="1"/>
  <c r="DU14" i="98"/>
  <c r="DW118" i="8"/>
  <c r="DW14" i="8" s="1"/>
  <c r="DU38" i="1"/>
  <c r="DU71" i="1"/>
  <c r="DU130" i="98"/>
  <c r="DU88" i="1"/>
  <c r="DU96" i="98" s="1"/>
  <c r="DW218" i="1"/>
  <c r="DW225" i="1" s="1"/>
  <c r="DX218" i="1"/>
  <c r="DX225" i="1" s="1"/>
  <c r="DU218" i="1"/>
  <c r="DY218" i="1"/>
  <c r="DY225" i="1" s="1"/>
  <c r="DK46" i="1"/>
  <c r="DK49" i="1" s="1"/>
  <c r="DK96" i="1"/>
  <c r="DK77" i="1"/>
  <c r="DH228" i="1"/>
  <c r="DJ71" i="8" s="1"/>
  <c r="DO129" i="8"/>
  <c r="DO111" i="8"/>
  <c r="DJ231" i="1"/>
  <c r="DJ230" i="1"/>
  <c r="DH68" i="8"/>
  <c r="DG221" i="1"/>
  <c r="DI68" i="8" s="1"/>
  <c r="DK36" i="98"/>
  <c r="DM130" i="8"/>
  <c r="DO100" i="8"/>
  <c r="DG46" i="1"/>
  <c r="DP227" i="1"/>
  <c r="DE232" i="1"/>
  <c r="DG72" i="8" s="1"/>
  <c r="DD232" i="1"/>
  <c r="DF72" i="8" s="1"/>
  <c r="DC232" i="1"/>
  <c r="DE72" i="8" s="1"/>
  <c r="EB121" i="8"/>
  <c r="EB31" i="8" s="1"/>
  <c r="EA30" i="1"/>
  <c r="EA209" i="1" s="1"/>
  <c r="DZ209" i="1"/>
  <c r="DJ228" i="1"/>
  <c r="DL71" i="8" s="1"/>
  <c r="DQ209" i="1"/>
  <c r="DQ14" i="98"/>
  <c r="DP93" i="98"/>
  <c r="DP92" i="98"/>
  <c r="DF197" i="1" l="1"/>
  <c r="DG232" i="1"/>
  <c r="DF81" i="1"/>
  <c r="DH47" i="8"/>
  <c r="DI47" i="8" s="1"/>
  <c r="DF58" i="1"/>
  <c r="DF59" i="1" s="1"/>
  <c r="DJ55" i="8"/>
  <c r="DF97" i="1"/>
  <c r="DF11" i="98"/>
  <c r="DG11" i="98" s="1"/>
  <c r="DL55" i="8"/>
  <c r="DF63" i="1"/>
  <c r="DH77" i="8"/>
  <c r="DN64" i="8"/>
  <c r="DK47" i="1"/>
  <c r="DH232" i="1"/>
  <c r="DG78" i="1"/>
  <c r="DO55" i="8"/>
  <c r="DP55" i="8"/>
  <c r="DQ55" i="8"/>
  <c r="DM77" i="8"/>
  <c r="DK11" i="98"/>
  <c r="DK97" i="1"/>
  <c r="DK81" i="1"/>
  <c r="DK58" i="1"/>
  <c r="DK63" i="1"/>
  <c r="DK197" i="1"/>
  <c r="DU225" i="1"/>
  <c r="DV218" i="1"/>
  <c r="DV225" i="1" s="1"/>
  <c r="DV14" i="98"/>
  <c r="DU92" i="98"/>
  <c r="DU93" i="98"/>
  <c r="DG49" i="1"/>
  <c r="DR70" i="8"/>
  <c r="DQ219" i="1"/>
  <c r="DS70" i="8" s="1"/>
  <c r="DP96" i="1"/>
  <c r="DP77" i="1"/>
  <c r="DP46" i="1"/>
  <c r="DP47" i="1" s="1"/>
  <c r="DT129" i="8"/>
  <c r="DS36" i="8"/>
  <c r="DS63" i="8" s="1"/>
  <c r="DS64" i="8" s="1"/>
  <c r="DR41" i="8"/>
  <c r="DS41" i="8" s="1"/>
  <c r="DL36" i="98"/>
  <c r="DH37" i="98"/>
  <c r="DN231" i="1"/>
  <c r="DN230" i="1"/>
  <c r="EA14" i="98"/>
  <c r="DZ92" i="98"/>
  <c r="DZ93" i="98"/>
  <c r="DV38" i="1"/>
  <c r="DV71" i="1"/>
  <c r="DV80" i="1"/>
  <c r="DV130" i="98"/>
  <c r="DV88" i="1"/>
  <c r="DS227" i="1"/>
  <c r="DT227" i="1"/>
  <c r="DR227" i="1"/>
  <c r="DR228" i="1" s="1"/>
  <c r="DT71" i="8" s="1"/>
  <c r="DV230" i="1"/>
  <c r="EC31" i="8"/>
  <c r="EB36" i="8"/>
  <c r="EB63" i="8" s="1"/>
  <c r="EB95" i="8"/>
  <c r="EB111" i="8"/>
  <c r="DZ34" i="98"/>
  <c r="EB129" i="8" s="1"/>
  <c r="DL46" i="1"/>
  <c r="DL49" i="1" s="1"/>
  <c r="DK163" i="1"/>
  <c r="EA71" i="1"/>
  <c r="EA130" i="98"/>
  <c r="EA88" i="1"/>
  <c r="EA38" i="1"/>
  <c r="EA80" i="1"/>
  <c r="DX227" i="1"/>
  <c r="EA230" i="1"/>
  <c r="DY227" i="1"/>
  <c r="DW227" i="1"/>
  <c r="DM37" i="98"/>
  <c r="DL77" i="1"/>
  <c r="DL96" i="1"/>
  <c r="DM68" i="8"/>
  <c r="DL221" i="1"/>
  <c r="DN68" i="8" s="1"/>
  <c r="DP75" i="1"/>
  <c r="DS221" i="1"/>
  <c r="DU68" i="8" s="1"/>
  <c r="DP221" i="1"/>
  <c r="DT221" i="1"/>
  <c r="DV68" i="8" s="1"/>
  <c r="DR221" i="1"/>
  <c r="DT68" i="8" s="1"/>
  <c r="DS56" i="8"/>
  <c r="DT111" i="8"/>
  <c r="DF117" i="1"/>
  <c r="DG222" i="1"/>
  <c r="DN130" i="8"/>
  <c r="DQ41" i="1"/>
  <c r="DQ45" i="1"/>
  <c r="P7" i="95"/>
  <c r="P8" i="95" s="1"/>
  <c r="DQ73" i="1"/>
  <c r="DQ91" i="1"/>
  <c r="DI129" i="8"/>
  <c r="EB56" i="8"/>
  <c r="DZ39" i="1"/>
  <c r="DZ41" i="1"/>
  <c r="DZ45" i="1"/>
  <c r="DZ73" i="1"/>
  <c r="DZ91" i="1"/>
  <c r="DZ219" i="1"/>
  <c r="DZ159" i="1"/>
  <c r="EA159" i="1" s="1"/>
  <c r="EC14" i="8"/>
  <c r="EB84" i="8"/>
  <c r="EB100" i="8"/>
  <c r="DZ31" i="98"/>
  <c r="DQ93" i="98"/>
  <c r="DU230" i="1"/>
  <c r="DY56" i="8"/>
  <c r="DZ56" i="8"/>
  <c r="DW56" i="8"/>
  <c r="EA56" i="8"/>
  <c r="DU91" i="1"/>
  <c r="DU39" i="1"/>
  <c r="DU41" i="1"/>
  <c r="DU45" i="1"/>
  <c r="DU73" i="1"/>
  <c r="DU159" i="1"/>
  <c r="DV159" i="1" s="1"/>
  <c r="DU219" i="1"/>
  <c r="DY219" i="1"/>
  <c r="EA70" i="8" s="1"/>
  <c r="DX219" i="1"/>
  <c r="DZ70" i="8" s="1"/>
  <c r="DW219" i="1"/>
  <c r="DY70" i="8" s="1"/>
  <c r="N30" i="95"/>
  <c r="N10" i="95"/>
  <c r="N32" i="95"/>
  <c r="N31" i="95"/>
  <c r="DK21" i="8"/>
  <c r="DI130" i="8"/>
  <c r="DN129" i="8"/>
  <c r="DS130" i="8"/>
  <c r="DX31" i="8"/>
  <c r="DY111" i="8" s="1"/>
  <c r="DW36" i="8"/>
  <c r="DW63" i="8" s="1"/>
  <c r="DW95" i="8"/>
  <c r="DW111" i="8"/>
  <c r="DU34" i="98"/>
  <c r="DW129" i="8" s="1"/>
  <c r="DW34" i="98"/>
  <c r="DL75" i="1"/>
  <c r="O9" i="95"/>
  <c r="DR130" i="8"/>
  <c r="DP36" i="98"/>
  <c r="DQ36" i="98" s="1"/>
  <c r="DR63" i="8"/>
  <c r="DP92" i="1"/>
  <c r="DQ39" i="1"/>
  <c r="DP42" i="1"/>
  <c r="DP74" i="1"/>
  <c r="DR129" i="8"/>
  <c r="DI232" i="1"/>
  <c r="DJ232" i="1"/>
  <c r="DP228" i="1"/>
  <c r="DR71" i="8" s="1"/>
  <c r="DQ228" i="1"/>
  <c r="DS71" i="8" s="1"/>
  <c r="DM231" i="1"/>
  <c r="DM230" i="1"/>
  <c r="DO228" i="1"/>
  <c r="DQ71" i="8" s="1"/>
  <c r="DN228" i="1"/>
  <c r="DP71" i="8" s="1"/>
  <c r="P36" i="95"/>
  <c r="P6" i="95"/>
  <c r="DZ227" i="1"/>
  <c r="DZ230" i="1" s="1"/>
  <c r="DK95" i="1"/>
  <c r="DK76" i="1"/>
  <c r="DM222" i="1"/>
  <c r="DN222" i="1"/>
  <c r="DK231" i="1"/>
  <c r="DL232" i="1" s="1"/>
  <c r="DO222" i="1"/>
  <c r="DK222" i="1"/>
  <c r="DL222" i="1" s="1"/>
  <c r="DP230" i="1"/>
  <c r="DS129" i="8"/>
  <c r="DX14" i="8"/>
  <c r="DW84" i="8"/>
  <c r="DW100" i="8"/>
  <c r="DW31" i="98"/>
  <c r="DU31" i="98"/>
  <c r="DV31" i="98" s="1"/>
  <c r="DX130" i="8" s="1"/>
  <c r="DG47" i="1"/>
  <c r="DG76" i="1"/>
  <c r="DG95" i="1"/>
  <c r="DG231" i="1"/>
  <c r="DR36" i="98"/>
  <c r="DT130" i="8"/>
  <c r="DT100" i="8"/>
  <c r="DO230" i="1"/>
  <c r="DO231" i="1"/>
  <c r="EA218" i="1"/>
  <c r="EA225" i="1" s="1"/>
  <c r="DZ225" i="1"/>
  <c r="DL42" i="1"/>
  <c r="DL74" i="1"/>
  <c r="DL92" i="1"/>
  <c r="DF147" i="98" l="1"/>
  <c r="DF37" i="98"/>
  <c r="DF73" i="98" s="1"/>
  <c r="DF75" i="98" s="1"/>
  <c r="DH49" i="8"/>
  <c r="DH51" i="8" s="1"/>
  <c r="DH67" i="8" s="1"/>
  <c r="DT228" i="1"/>
  <c r="DV71" i="8" s="1"/>
  <c r="DH80" i="8"/>
  <c r="DH81" i="8" s="1"/>
  <c r="DS228" i="1"/>
  <c r="DU71" i="8" s="1"/>
  <c r="DL47" i="1"/>
  <c r="DX228" i="1"/>
  <c r="DZ71" i="8" s="1"/>
  <c r="DL95" i="1"/>
  <c r="DL76" i="1"/>
  <c r="DL231" i="1"/>
  <c r="DY100" i="8"/>
  <c r="DN232" i="1"/>
  <c r="DO232" i="1"/>
  <c r="DY129" i="8"/>
  <c r="EA34" i="98"/>
  <c r="EC129" i="8" s="1"/>
  <c r="DX36" i="8"/>
  <c r="DX63" i="8" s="1"/>
  <c r="DX64" i="8" s="1"/>
  <c r="DW41" i="8"/>
  <c r="DX41" i="8" s="1"/>
  <c r="DU46" i="1"/>
  <c r="DU49" i="1" s="1"/>
  <c r="DU96" i="1"/>
  <c r="DU77" i="1"/>
  <c r="DZ36" i="98"/>
  <c r="EB130" i="8"/>
  <c r="DZ92" i="1"/>
  <c r="EA39" i="1"/>
  <c r="DZ42" i="1"/>
  <c r="DZ74" i="1"/>
  <c r="DV73" i="1"/>
  <c r="DV91" i="1"/>
  <c r="DV41" i="1"/>
  <c r="DV75" i="1" s="1"/>
  <c r="DV45" i="1"/>
  <c r="DW36" i="98"/>
  <c r="DY130" i="8"/>
  <c r="EA31" i="98"/>
  <c r="EC130" i="8" s="1"/>
  <c r="DQ74" i="1"/>
  <c r="DQ92" i="1"/>
  <c r="DQ42" i="1"/>
  <c r="DW70" i="8"/>
  <c r="DV219" i="1"/>
  <c r="DX70" i="8" s="1"/>
  <c r="DU75" i="1"/>
  <c r="DW221" i="1"/>
  <c r="DY68" i="8" s="1"/>
  <c r="DX221" i="1"/>
  <c r="DZ68" i="8" s="1"/>
  <c r="DU221" i="1"/>
  <c r="DY221" i="1"/>
  <c r="EA68" i="8" s="1"/>
  <c r="DX56" i="8"/>
  <c r="DY228" i="1"/>
  <c r="EA71" i="8" s="1"/>
  <c r="EC56" i="8"/>
  <c r="DQ96" i="1"/>
  <c r="DQ77" i="1"/>
  <c r="DM73" i="98"/>
  <c r="DM75" i="98" s="1"/>
  <c r="DM67" i="98"/>
  <c r="DM98" i="98"/>
  <c r="DM119" i="1"/>
  <c r="DX230" i="1"/>
  <c r="DX231" i="1"/>
  <c r="EC36" i="8"/>
  <c r="EC63" i="8" s="1"/>
  <c r="EB41" i="8"/>
  <c r="EC41" i="8" s="1"/>
  <c r="DR231" i="1"/>
  <c r="DU228" i="1"/>
  <c r="DW71" i="8" s="1"/>
  <c r="DR230" i="1"/>
  <c r="DV228" i="1"/>
  <c r="DX71" i="8" s="1"/>
  <c r="EA93" i="98"/>
  <c r="DM232" i="1"/>
  <c r="DR37" i="98"/>
  <c r="DF1" i="1"/>
  <c r="DF3" i="1" s="1"/>
  <c r="DF98" i="1"/>
  <c r="DH223" i="1"/>
  <c r="DF223" i="1"/>
  <c r="DG223" i="1" s="1"/>
  <c r="DJ223" i="1"/>
  <c r="DI223" i="1"/>
  <c r="DW130" i="8"/>
  <c r="DU36" i="98"/>
  <c r="DV36" i="98" s="1"/>
  <c r="DP95" i="1"/>
  <c r="DP76" i="1"/>
  <c r="DR222" i="1"/>
  <c r="DP222" i="1"/>
  <c r="DQ222" i="1" s="1"/>
  <c r="DT222" i="1"/>
  <c r="DS222" i="1"/>
  <c r="DP231" i="1"/>
  <c r="DP232" i="1" s="1"/>
  <c r="O31" i="95"/>
  <c r="O30" i="95"/>
  <c r="O10" i="95"/>
  <c r="O32" i="95"/>
  <c r="DL21" i="8"/>
  <c r="DU42" i="1"/>
  <c r="DU74" i="1"/>
  <c r="DU92" i="1"/>
  <c r="DV39" i="1"/>
  <c r="DZ96" i="1"/>
  <c r="DZ77" i="1"/>
  <c r="DZ46" i="1"/>
  <c r="DZ47" i="1" s="1"/>
  <c r="DK232" i="1"/>
  <c r="P9" i="95"/>
  <c r="DQ75" i="1"/>
  <c r="DM55" i="8"/>
  <c r="DN77" i="8"/>
  <c r="DL58" i="1"/>
  <c r="DL63" i="1"/>
  <c r="DL97" i="1"/>
  <c r="DL81" i="1"/>
  <c r="DL197" i="1"/>
  <c r="DW230" i="1"/>
  <c r="DW231" i="1"/>
  <c r="EA228" i="1"/>
  <c r="EC71" i="8" s="1"/>
  <c r="DZ228" i="1"/>
  <c r="EB71" i="8" s="1"/>
  <c r="DL78" i="1"/>
  <c r="DL163" i="1"/>
  <c r="DT230" i="1"/>
  <c r="DT231" i="1"/>
  <c r="DP49" i="1"/>
  <c r="DJ47" i="8"/>
  <c r="DI49" i="8"/>
  <c r="DI51" i="8" s="1"/>
  <c r="DV93" i="98"/>
  <c r="DL11" i="98"/>
  <c r="DK37" i="98"/>
  <c r="DL37" i="98" s="1"/>
  <c r="DF93" i="1"/>
  <c r="DG40" i="1"/>
  <c r="DG93" i="1" s="1"/>
  <c r="EB70" i="8"/>
  <c r="EA219" i="1"/>
  <c r="EC70" i="8" s="1"/>
  <c r="DZ75" i="1"/>
  <c r="DZ221" i="1"/>
  <c r="DR68" i="8"/>
  <c r="DQ221" i="1"/>
  <c r="DS68" i="8" s="1"/>
  <c r="DY231" i="1"/>
  <c r="DY230" i="1"/>
  <c r="EA41" i="1"/>
  <c r="EA75" i="1" s="1"/>
  <c r="EA45" i="1"/>
  <c r="EA73" i="1"/>
  <c r="EA91" i="1"/>
  <c r="DS230" i="1"/>
  <c r="DS231" i="1"/>
  <c r="DW228" i="1"/>
  <c r="DY71" i="8" s="1"/>
  <c r="DH73" i="98"/>
  <c r="DH75" i="98" s="1"/>
  <c r="DH67" i="98"/>
  <c r="DH98" i="98"/>
  <c r="DH119" i="1"/>
  <c r="DV34" i="98"/>
  <c r="DX129" i="8" s="1"/>
  <c r="DQ46" i="1"/>
  <c r="DQ78" i="1" s="1"/>
  <c r="DP163" i="1"/>
  <c r="DH55" i="8"/>
  <c r="DI77" i="8"/>
  <c r="DG81" i="1"/>
  <c r="DG58" i="1"/>
  <c r="DG63" i="1"/>
  <c r="DG97" i="1"/>
  <c r="DG197" i="1"/>
  <c r="DK59" i="1"/>
  <c r="DK147" i="98"/>
  <c r="DG153" i="1"/>
  <c r="DG154" i="1" s="1"/>
  <c r="DG156" i="1" s="1"/>
  <c r="DG158" i="1" s="1"/>
  <c r="DG182" i="1"/>
  <c r="DG210" i="1" s="1"/>
  <c r="DG37" i="98" l="1"/>
  <c r="DG73" i="98" s="1"/>
  <c r="DG75" i="98" s="1"/>
  <c r="DG77" i="98" s="1"/>
  <c r="DF132" i="98"/>
  <c r="DG132" i="98" s="1"/>
  <c r="DJ132" i="98"/>
  <c r="DH132" i="98"/>
  <c r="DF119" i="1"/>
  <c r="DF67" i="98"/>
  <c r="DF70" i="98" s="1"/>
  <c r="DH12" i="8" s="1"/>
  <c r="DF71" i="98" s="1"/>
  <c r="DF98" i="98"/>
  <c r="DF99" i="98" s="1"/>
  <c r="DI132" i="98"/>
  <c r="DH82" i="8"/>
  <c r="DH52" i="8"/>
  <c r="EC64" i="8"/>
  <c r="DZ49" i="1"/>
  <c r="EB77" i="8" s="1"/>
  <c r="DU47" i="1"/>
  <c r="DQ163" i="1"/>
  <c r="DH76" i="98"/>
  <c r="DH82" i="98"/>
  <c r="DH83" i="98" s="1"/>
  <c r="DH121" i="1"/>
  <c r="DH122" i="1" s="1"/>
  <c r="DK47" i="8"/>
  <c r="DJ49" i="8"/>
  <c r="DJ51" i="8" s="1"/>
  <c r="DJ80" i="8"/>
  <c r="DL59" i="1"/>
  <c r="DL147" i="98"/>
  <c r="DU95" i="1"/>
  <c r="DU76" i="1"/>
  <c r="DU222" i="1"/>
  <c r="DV222" i="1" s="1"/>
  <c r="DY222" i="1"/>
  <c r="DX222" i="1"/>
  <c r="DU231" i="1"/>
  <c r="DW232" i="1" s="1"/>
  <c r="DW222" i="1"/>
  <c r="DR67" i="98"/>
  <c r="DR73" i="98"/>
  <c r="DR75" i="98" s="1"/>
  <c r="DR98" i="98"/>
  <c r="DR119" i="1"/>
  <c r="DQ49" i="1"/>
  <c r="EA36" i="98"/>
  <c r="DW37" i="98"/>
  <c r="DF82" i="98"/>
  <c r="DF83" i="98" s="1"/>
  <c r="DF76" i="98"/>
  <c r="DF121" i="1"/>
  <c r="DF122" i="1" s="1"/>
  <c r="DZ95" i="1"/>
  <c r="DZ76" i="1"/>
  <c r="DZ231" i="1"/>
  <c r="DZ232" i="1" s="1"/>
  <c r="DZ222" i="1"/>
  <c r="EA222" i="1" s="1"/>
  <c r="EA55" i="8"/>
  <c r="DY55" i="8"/>
  <c r="DZ55" i="8"/>
  <c r="DW77" i="8"/>
  <c r="DU11" i="98"/>
  <c r="DU97" i="1"/>
  <c r="DU81" i="1"/>
  <c r="DU58" i="1"/>
  <c r="DU63" i="1"/>
  <c r="DU197" i="1"/>
  <c r="DP93" i="1"/>
  <c r="DQ40" i="1"/>
  <c r="DQ93" i="1" s="1"/>
  <c r="DK1" i="1"/>
  <c r="DK3" i="1" s="1"/>
  <c r="DK98" i="1"/>
  <c r="DK223" i="1"/>
  <c r="DL223" i="1" s="1"/>
  <c r="DO223" i="1"/>
  <c r="DN223" i="1"/>
  <c r="DM223" i="1"/>
  <c r="EB68" i="8"/>
  <c r="EA221" i="1"/>
  <c r="EC68" i="8" s="1"/>
  <c r="DK67" i="98"/>
  <c r="DK73" i="98"/>
  <c r="DK75" i="98" s="1"/>
  <c r="DK98" i="98"/>
  <c r="DK99" i="98" s="1"/>
  <c r="DK132" i="98"/>
  <c r="DL132" i="98" s="1"/>
  <c r="DK119" i="1"/>
  <c r="P32" i="95"/>
  <c r="P31" i="95"/>
  <c r="P30" i="95"/>
  <c r="P10" i="95"/>
  <c r="DV42" i="1"/>
  <c r="DV74" i="1"/>
  <c r="DV92" i="1"/>
  <c r="DO132" i="98"/>
  <c r="DW68" i="8"/>
  <c r="DV221" i="1"/>
  <c r="DX68" i="8" s="1"/>
  <c r="EA74" i="1"/>
  <c r="EA92" i="1"/>
  <c r="EA42" i="1"/>
  <c r="DV46" i="1"/>
  <c r="DU163" i="1"/>
  <c r="EA96" i="1"/>
  <c r="EA77" i="1"/>
  <c r="DI55" i="8"/>
  <c r="DG59" i="1"/>
  <c r="DG147" i="98"/>
  <c r="DI80" i="8"/>
  <c r="DI81" i="8" s="1"/>
  <c r="DI82" i="8" s="1"/>
  <c r="DR232" i="1"/>
  <c r="DN55" i="8"/>
  <c r="EA46" i="1"/>
  <c r="DZ163" i="1"/>
  <c r="DM21" i="8"/>
  <c r="DN132" i="98"/>
  <c r="DK93" i="1"/>
  <c r="DL40" i="1"/>
  <c r="DL93" i="1" s="1"/>
  <c r="DV77" i="1"/>
  <c r="DV96" i="1"/>
  <c r="DL67" i="98"/>
  <c r="DL73" i="98"/>
  <c r="DL75" i="98" s="1"/>
  <c r="DL77" i="98" s="1"/>
  <c r="DL98" i="98"/>
  <c r="DL99" i="98" s="1"/>
  <c r="DL119" i="1"/>
  <c r="DI52" i="8"/>
  <c r="DI67" i="8"/>
  <c r="DJ76" i="8"/>
  <c r="DN76" i="8"/>
  <c r="DT55" i="8"/>
  <c r="DU55" i="8"/>
  <c r="DV55" i="8"/>
  <c r="DR77" i="8"/>
  <c r="DP11" i="98"/>
  <c r="DP81" i="1"/>
  <c r="DP58" i="1"/>
  <c r="DP63" i="1"/>
  <c r="DP97" i="1"/>
  <c r="DP197" i="1"/>
  <c r="DL162" i="1"/>
  <c r="DL182" i="1"/>
  <c r="DL210" i="1" s="1"/>
  <c r="DT232" i="1"/>
  <c r="DS232" i="1"/>
  <c r="DM132" i="98"/>
  <c r="DM82" i="98"/>
  <c r="DM76" i="98"/>
  <c r="DM121" i="1"/>
  <c r="DM122" i="1" s="1"/>
  <c r="DQ47" i="1"/>
  <c r="DQ76" i="1"/>
  <c r="DQ95" i="1"/>
  <c r="DQ231" i="1"/>
  <c r="DQ232" i="1"/>
  <c r="EA47" i="1" l="1"/>
  <c r="EA78" i="1"/>
  <c r="DV49" i="1"/>
  <c r="DW55" i="8" s="1"/>
  <c r="DV78" i="1"/>
  <c r="DG119" i="1"/>
  <c r="DG67" i="98"/>
  <c r="DG70" i="98" s="1"/>
  <c r="DH69" i="98" s="1"/>
  <c r="DG98" i="98"/>
  <c r="DG99" i="98" s="1"/>
  <c r="DI99" i="98"/>
  <c r="DJ99" i="98"/>
  <c r="DH99" i="98"/>
  <c r="DU232" i="1"/>
  <c r="DM83" i="98"/>
  <c r="DZ197" i="1"/>
  <c r="DZ58" i="1"/>
  <c r="DZ59" i="1" s="1"/>
  <c r="DZ81" i="1"/>
  <c r="DZ97" i="1"/>
  <c r="DZ11" i="98"/>
  <c r="EA11" i="98" s="1"/>
  <c r="DZ63" i="1"/>
  <c r="DV232" i="1"/>
  <c r="DJ81" i="8"/>
  <c r="DJ82" i="8" s="1"/>
  <c r="DV47" i="1"/>
  <c r="EA232" i="1"/>
  <c r="DN21" i="8"/>
  <c r="DV163" i="1"/>
  <c r="DK82" i="98"/>
  <c r="DK83" i="98" s="1"/>
  <c r="DK76" i="98"/>
  <c r="DK121" i="1"/>
  <c r="DK122" i="1" s="1"/>
  <c r="DO99" i="98"/>
  <c r="DR82" i="98"/>
  <c r="DR83" i="98" s="1"/>
  <c r="DR76" i="98"/>
  <c r="DR121" i="1"/>
  <c r="DR122" i="1" s="1"/>
  <c r="DY232" i="1"/>
  <c r="DX232" i="1"/>
  <c r="DK49" i="8"/>
  <c r="DK51" i="8" s="1"/>
  <c r="DL47" i="8"/>
  <c r="DK80" i="8"/>
  <c r="DZ93" i="1"/>
  <c r="EA40" i="1"/>
  <c r="EA93" i="1" s="1"/>
  <c r="DN99" i="98"/>
  <c r="DP147" i="98"/>
  <c r="DP59" i="1"/>
  <c r="DP37" i="98"/>
  <c r="DQ11" i="98"/>
  <c r="DL82" i="98"/>
  <c r="DL76" i="98"/>
  <c r="O16" i="95"/>
  <c r="DL121" i="1"/>
  <c r="DL122" i="1" s="1"/>
  <c r="DG82" i="98"/>
  <c r="DG83" i="98" s="1"/>
  <c r="N16" i="95"/>
  <c r="DG76" i="98"/>
  <c r="DG121" i="1"/>
  <c r="DG122" i="1" s="1"/>
  <c r="EA163" i="1"/>
  <c r="EA49" i="1"/>
  <c r="EA76" i="1"/>
  <c r="EA95" i="1"/>
  <c r="EA231" i="1"/>
  <c r="DI12" i="8"/>
  <c r="DH20" i="8"/>
  <c r="DH69" i="8"/>
  <c r="DH72" i="8"/>
  <c r="DV11" i="98"/>
  <c r="DU37" i="98"/>
  <c r="DX132" i="98" s="1"/>
  <c r="DW67" i="98"/>
  <c r="DW73" i="98"/>
  <c r="DW75" i="98" s="1"/>
  <c r="DW98" i="98"/>
  <c r="DW119" i="1"/>
  <c r="DR55" i="8"/>
  <c r="DS77" i="8"/>
  <c r="DQ81" i="1"/>
  <c r="DQ58" i="1"/>
  <c r="DQ63" i="1"/>
  <c r="DQ97" i="1"/>
  <c r="DQ197" i="1"/>
  <c r="DM99" i="98"/>
  <c r="DU93" i="1"/>
  <c r="DV40" i="1"/>
  <c r="DV93" i="1" s="1"/>
  <c r="O11" i="95"/>
  <c r="DL1" i="1"/>
  <c r="DL3" i="1" s="1"/>
  <c r="DL98" i="1"/>
  <c r="DL124" i="1"/>
  <c r="DQ182" i="1"/>
  <c r="DQ210" i="1" s="1"/>
  <c r="DQ162" i="1"/>
  <c r="N11" i="95"/>
  <c r="DG1" i="1"/>
  <c r="DG3" i="1" s="1"/>
  <c r="DG98" i="1"/>
  <c r="DG124" i="1"/>
  <c r="DV95" i="1"/>
  <c r="DV76" i="1"/>
  <c r="DV231" i="1"/>
  <c r="DU59" i="1"/>
  <c r="DU147" i="98"/>
  <c r="DJ52" i="8"/>
  <c r="DJ67" i="8"/>
  <c r="DK76" i="8"/>
  <c r="DV197" i="1" l="1"/>
  <c r="DV58" i="1"/>
  <c r="DV147" i="98" s="1"/>
  <c r="DV63" i="1"/>
  <c r="DV81" i="1"/>
  <c r="DX77" i="8"/>
  <c r="DV97" i="1"/>
  <c r="DG71" i="98"/>
  <c r="DZ37" i="98"/>
  <c r="EA37" i="98" s="1"/>
  <c r="EA119" i="1" s="1"/>
  <c r="DZ147" i="98"/>
  <c r="DK81" i="8"/>
  <c r="DK82" i="8" s="1"/>
  <c r="DW132" i="98"/>
  <c r="DY132" i="98"/>
  <c r="DU1" i="1"/>
  <c r="DU3" i="1" s="1"/>
  <c r="DU98" i="1"/>
  <c r="DW223" i="1"/>
  <c r="DX223" i="1"/>
  <c r="DY223" i="1"/>
  <c r="DU223" i="1"/>
  <c r="DV223" i="1" s="1"/>
  <c r="DI20" i="8"/>
  <c r="DH28" i="8"/>
  <c r="DH62" i="8"/>
  <c r="O12" i="95"/>
  <c r="O37" i="95"/>
  <c r="DS55" i="8"/>
  <c r="DW82" i="98"/>
  <c r="DW83" i="98" s="1"/>
  <c r="DW76" i="98"/>
  <c r="DW121" i="1"/>
  <c r="DW122" i="1" s="1"/>
  <c r="DU73" i="98"/>
  <c r="DU75" i="98" s="1"/>
  <c r="DU67" i="98"/>
  <c r="DU98" i="98"/>
  <c r="DU99" i="98" s="1"/>
  <c r="DU132" i="98"/>
  <c r="DV132" i="98" s="1"/>
  <c r="DU119" i="1"/>
  <c r="DV37" i="98"/>
  <c r="DI69" i="8"/>
  <c r="DG115" i="1"/>
  <c r="DG117" i="1" s="1"/>
  <c r="DI72" i="8"/>
  <c r="EB55" i="8"/>
  <c r="EC77" i="8"/>
  <c r="EA81" i="1"/>
  <c r="EA58" i="1"/>
  <c r="EA63" i="1"/>
  <c r="EA97" i="1"/>
  <c r="EA197" i="1"/>
  <c r="N34" i="95"/>
  <c r="N17" i="95"/>
  <c r="N33" i="95"/>
  <c r="N38" i="95"/>
  <c r="O34" i="95"/>
  <c r="O17" i="95"/>
  <c r="O33" i="95"/>
  <c r="O38" i="95"/>
  <c r="DP73" i="98"/>
  <c r="DP75" i="98" s="1"/>
  <c r="DP67" i="98"/>
  <c r="DP132" i="98"/>
  <c r="DQ132" i="98" s="1"/>
  <c r="DP98" i="98"/>
  <c r="DP119" i="1"/>
  <c r="DQ37" i="98"/>
  <c r="DT132" i="98"/>
  <c r="DR132" i="98"/>
  <c r="DS132" i="98"/>
  <c r="DV182" i="1"/>
  <c r="DV210" i="1" s="1"/>
  <c r="DV162" i="1"/>
  <c r="N37" i="95"/>
  <c r="N12" i="95"/>
  <c r="DZ1" i="1"/>
  <c r="DZ3" i="1" s="1"/>
  <c r="DZ98" i="1"/>
  <c r="DZ223" i="1"/>
  <c r="EA223" i="1" s="1"/>
  <c r="DQ59" i="1"/>
  <c r="DQ147" i="98"/>
  <c r="DP1" i="1"/>
  <c r="DP3" i="1" s="1"/>
  <c r="DP98" i="1"/>
  <c r="DS223" i="1"/>
  <c r="DP223" i="1"/>
  <c r="DQ223" i="1" s="1"/>
  <c r="DT223" i="1"/>
  <c r="DR223" i="1"/>
  <c r="DX55" i="8"/>
  <c r="DM47" i="8"/>
  <c r="DL49" i="8"/>
  <c r="DL51" i="8" s="1"/>
  <c r="DL80" i="8"/>
  <c r="EA162" i="1"/>
  <c r="EA182" i="1"/>
  <c r="EA210" i="1" s="1"/>
  <c r="DL88" i="98"/>
  <c r="DL83" i="98"/>
  <c r="DL69" i="98"/>
  <c r="DL70" i="98" s="1"/>
  <c r="DH70" i="98"/>
  <c r="DK52" i="8"/>
  <c r="DK67" i="8"/>
  <c r="DL76" i="8"/>
  <c r="DO21" i="8"/>
  <c r="DV59" i="1" l="1"/>
  <c r="DV124" i="1" s="1"/>
  <c r="EA98" i="98"/>
  <c r="EA99" i="98" s="1"/>
  <c r="DZ98" i="98"/>
  <c r="DZ99" i="98" s="1"/>
  <c r="EA67" i="98"/>
  <c r="EA73" i="98"/>
  <c r="EA75" i="98" s="1"/>
  <c r="EA77" i="98" s="1"/>
  <c r="DZ119" i="1"/>
  <c r="DZ67" i="98"/>
  <c r="DZ73" i="98"/>
  <c r="DZ75" i="98" s="1"/>
  <c r="DZ82" i="98" s="1"/>
  <c r="DZ132" i="98"/>
  <c r="EA132" i="98" s="1"/>
  <c r="DX99" i="98"/>
  <c r="DP76" i="98"/>
  <c r="DP82" i="98"/>
  <c r="DP83" i="98" s="1"/>
  <c r="DP121" i="1"/>
  <c r="DP122" i="1" s="1"/>
  <c r="DV73" i="98"/>
  <c r="DV75" i="98" s="1"/>
  <c r="DV77" i="98" s="1"/>
  <c r="DV67" i="98"/>
  <c r="DV98" i="98"/>
  <c r="DV99" i="98" s="1"/>
  <c r="DV119" i="1"/>
  <c r="DQ67" i="98"/>
  <c r="DQ73" i="98"/>
  <c r="DQ75" i="98" s="1"/>
  <c r="DQ77" i="98" s="1"/>
  <c r="DQ98" i="98"/>
  <c r="DQ99" i="98" s="1"/>
  <c r="DQ119" i="1"/>
  <c r="DI62" i="8"/>
  <c r="DP21" i="8"/>
  <c r="DJ12" i="8"/>
  <c r="DH71" i="98" s="1"/>
  <c r="DI69" i="98"/>
  <c r="DI70" i="98" s="1"/>
  <c r="DL52" i="8"/>
  <c r="DM76" i="8"/>
  <c r="DL67" i="8"/>
  <c r="DW99" i="98"/>
  <c r="DQ1" i="1"/>
  <c r="DQ3" i="1" s="1"/>
  <c r="DQ98" i="1"/>
  <c r="P11" i="95"/>
  <c r="DQ124" i="1"/>
  <c r="DP99" i="98"/>
  <c r="DT99" i="98"/>
  <c r="DR99" i="98"/>
  <c r="DS99" i="98"/>
  <c r="EC55" i="8"/>
  <c r="DU82" i="98"/>
  <c r="DU76" i="98"/>
  <c r="DU121" i="1"/>
  <c r="DU122" i="1" s="1"/>
  <c r="DL81" i="8"/>
  <c r="DL82" i="8" s="1"/>
  <c r="DM69" i="98"/>
  <c r="DN47" i="8"/>
  <c r="DM49" i="8"/>
  <c r="DM51" i="8" s="1"/>
  <c r="DM80" i="8"/>
  <c r="DY99" i="98"/>
  <c r="EA59" i="1"/>
  <c r="EA147" i="98"/>
  <c r="DI28" i="8"/>
  <c r="DH58" i="8"/>
  <c r="DI58" i="8" s="1"/>
  <c r="DH57" i="8"/>
  <c r="DH53" i="8"/>
  <c r="DV98" i="1" l="1"/>
  <c r="DV1" i="1"/>
  <c r="DV3" i="1" s="1"/>
  <c r="EA82" i="98"/>
  <c r="EA121" i="1"/>
  <c r="EA122" i="1" s="1"/>
  <c r="EA76" i="98"/>
  <c r="DZ83" i="98"/>
  <c r="DZ121" i="1"/>
  <c r="DZ122" i="1" s="1"/>
  <c r="DZ76" i="98"/>
  <c r="DU83" i="98"/>
  <c r="DQ82" i="98"/>
  <c r="DQ83" i="98" s="1"/>
  <c r="P16" i="95"/>
  <c r="DQ76" i="98"/>
  <c r="DQ121" i="1"/>
  <c r="DQ122" i="1" s="1"/>
  <c r="DI57" i="8"/>
  <c r="DH59" i="8"/>
  <c r="DH60" i="8"/>
  <c r="P37" i="95"/>
  <c r="P12" i="95"/>
  <c r="DV76" i="98"/>
  <c r="DV82" i="98"/>
  <c r="DV121" i="1"/>
  <c r="DV122" i="1" s="1"/>
  <c r="DM52" i="8"/>
  <c r="DM67" i="8"/>
  <c r="DM81" i="8"/>
  <c r="DM82" i="8" s="1"/>
  <c r="DK12" i="8"/>
  <c r="DI71" i="98" s="1"/>
  <c r="DJ69" i="98"/>
  <c r="DJ70" i="98" s="1"/>
  <c r="EA1" i="1"/>
  <c r="EA3" i="1" s="1"/>
  <c r="EA98" i="1"/>
  <c r="EA124" i="1"/>
  <c r="DO47" i="8"/>
  <c r="DN49" i="8"/>
  <c r="DN51" i="8" s="1"/>
  <c r="DN80" i="8"/>
  <c r="DN81" i="8" s="1"/>
  <c r="DI53" i="8"/>
  <c r="DQ69" i="98"/>
  <c r="DQ70" i="98" s="1"/>
  <c r="DM70" i="98"/>
  <c r="DJ20" i="8"/>
  <c r="DJ69" i="8"/>
  <c r="DH115" i="1"/>
  <c r="DH117" i="1" s="1"/>
  <c r="DJ72" i="8"/>
  <c r="DQ21" i="8"/>
  <c r="DV83" i="98" l="1"/>
  <c r="EA83" i="98"/>
  <c r="DR69" i="98"/>
  <c r="DR21" i="8"/>
  <c r="DK20" i="8"/>
  <c r="DK69" i="8"/>
  <c r="DI115" i="1"/>
  <c r="DI117" i="1" s="1"/>
  <c r="DK72" i="8"/>
  <c r="P34" i="95"/>
  <c r="P17" i="95"/>
  <c r="P33" i="95"/>
  <c r="P38" i="95"/>
  <c r="DN52" i="8"/>
  <c r="DN67" i="8"/>
  <c r="DO76" i="8"/>
  <c r="DS76" i="8"/>
  <c r="DI59" i="8"/>
  <c r="DI60" i="8"/>
  <c r="DO49" i="8"/>
  <c r="DO51" i="8" s="1"/>
  <c r="DP47" i="8"/>
  <c r="DO80" i="8"/>
  <c r="DO12" i="8"/>
  <c r="DN69" i="98"/>
  <c r="DN70" i="98" s="1"/>
  <c r="DJ28" i="8"/>
  <c r="DJ62" i="8"/>
  <c r="DN82" i="8"/>
  <c r="DL12" i="8"/>
  <c r="DK69" i="98"/>
  <c r="DK70" i="98" s="1"/>
  <c r="DK28" i="8" l="1"/>
  <c r="DK62" i="8"/>
  <c r="DO20" i="8"/>
  <c r="DO69" i="8"/>
  <c r="DM115" i="1"/>
  <c r="DM117" i="1" s="1"/>
  <c r="DO72" i="8"/>
  <c r="DM12" i="8"/>
  <c r="DK71" i="98" s="1"/>
  <c r="DJ58" i="8"/>
  <c r="DJ57" i="8"/>
  <c r="DJ53" i="8"/>
  <c r="DJ1" i="8" s="1"/>
  <c r="DP12" i="8"/>
  <c r="DN71" i="98" s="1"/>
  <c r="DO69" i="98"/>
  <c r="DO70" i="98" s="1"/>
  <c r="DQ47" i="8"/>
  <c r="DP49" i="8"/>
  <c r="DP51" i="8" s="1"/>
  <c r="DP80" i="8"/>
  <c r="DV69" i="98"/>
  <c r="DV70" i="98" s="1"/>
  <c r="DR70" i="98"/>
  <c r="DL20" i="8"/>
  <c r="DL69" i="8"/>
  <c r="DJ115" i="1"/>
  <c r="DJ117" i="1" s="1"/>
  <c r="DL72" i="8"/>
  <c r="DJ71" i="98"/>
  <c r="DM71" i="98"/>
  <c r="DO52" i="8"/>
  <c r="DO67" i="8"/>
  <c r="DP76" i="8"/>
  <c r="DO81" i="8"/>
  <c r="DO82" i="8" s="1"/>
  <c r="DS21" i="8"/>
  <c r="DP81" i="8" l="1"/>
  <c r="DP82" i="8" s="1"/>
  <c r="DT12" i="8"/>
  <c r="DR71" i="98" s="1"/>
  <c r="DS69" i="98"/>
  <c r="DS70" i="98" s="1"/>
  <c r="DQ12" i="8"/>
  <c r="DP69" i="98"/>
  <c r="DP70" i="98" s="1"/>
  <c r="DJ59" i="8"/>
  <c r="DJ60" i="8"/>
  <c r="DM20" i="8"/>
  <c r="DN12" i="8"/>
  <c r="DM69" i="8"/>
  <c r="DK115" i="1"/>
  <c r="DK117" i="1" s="1"/>
  <c r="DM72" i="8"/>
  <c r="DK58" i="8"/>
  <c r="DK57" i="8"/>
  <c r="DK53" i="8"/>
  <c r="DK1" i="8" s="1"/>
  <c r="DW69" i="98"/>
  <c r="DO28" i="8"/>
  <c r="DO53" i="8" s="1"/>
  <c r="DO62" i="8"/>
  <c r="DP52" i="8"/>
  <c r="DQ76" i="8"/>
  <c r="DP67" i="8"/>
  <c r="DP20" i="8"/>
  <c r="DP69" i="8"/>
  <c r="DN115" i="1"/>
  <c r="DN117" i="1" s="1"/>
  <c r="DP72" i="8"/>
  <c r="DT21" i="8"/>
  <c r="DU21" i="8" s="1"/>
  <c r="DV21" i="8" s="1"/>
  <c r="DW21" i="8" s="1"/>
  <c r="DX21" i="8" s="1"/>
  <c r="DY21" i="8" s="1"/>
  <c r="DZ21" i="8" s="1"/>
  <c r="EA21" i="8" s="1"/>
  <c r="EB21" i="8" s="1"/>
  <c r="EC21" i="8" s="1"/>
  <c r="DL28" i="8"/>
  <c r="DL62" i="8"/>
  <c r="DR47" i="8"/>
  <c r="DQ49" i="8"/>
  <c r="DQ51" i="8" s="1"/>
  <c r="DQ80" i="8"/>
  <c r="DQ81" i="8" l="1"/>
  <c r="DQ82" i="8" s="1"/>
  <c r="DK59" i="8"/>
  <c r="DK60" i="8"/>
  <c r="DQ20" i="8"/>
  <c r="DQ69" i="8"/>
  <c r="DO115" i="1"/>
  <c r="DO117" i="1" s="1"/>
  <c r="DQ72" i="8"/>
  <c r="DL58" i="8"/>
  <c r="DL57" i="8"/>
  <c r="DL53" i="8"/>
  <c r="DL1" i="8" s="1"/>
  <c r="DS47" i="8"/>
  <c r="DR49" i="8"/>
  <c r="DR51" i="8" s="1"/>
  <c r="DR80" i="8"/>
  <c r="EA69" i="98"/>
  <c r="EA70" i="98" s="1"/>
  <c r="DW70" i="98"/>
  <c r="DU12" i="8"/>
  <c r="DS71" i="98" s="1"/>
  <c r="DT69" i="98"/>
  <c r="DT70" i="98" s="1"/>
  <c r="DP28" i="8"/>
  <c r="DP62" i="8"/>
  <c r="DN69" i="8"/>
  <c r="DL115" i="1"/>
  <c r="DL117" i="1" s="1"/>
  <c r="DN72" i="8"/>
  <c r="DL71" i="98"/>
  <c r="DR12" i="8"/>
  <c r="DP71" i="98" s="1"/>
  <c r="DQ52" i="8"/>
  <c r="DQ67" i="8"/>
  <c r="DR76" i="8"/>
  <c r="DO58" i="8"/>
  <c r="DO57" i="8"/>
  <c r="DM28" i="8"/>
  <c r="DN20" i="8"/>
  <c r="DM62" i="8"/>
  <c r="DO71" i="98"/>
  <c r="DT20" i="8"/>
  <c r="DT69" i="8"/>
  <c r="DR115" i="1"/>
  <c r="DR117" i="1" s="1"/>
  <c r="DT72" i="8"/>
  <c r="DR81" i="8" l="1"/>
  <c r="DR82" i="8" s="1"/>
  <c r="DV12" i="8"/>
  <c r="DU69" i="98"/>
  <c r="DU70" i="98" s="1"/>
  <c r="DY12" i="8"/>
  <c r="DW71" i="98" s="1"/>
  <c r="DX69" i="98"/>
  <c r="DX70" i="98" s="1"/>
  <c r="DL59" i="8"/>
  <c r="DL60" i="8"/>
  <c r="DT28" i="8"/>
  <c r="DT62" i="8"/>
  <c r="DN62" i="8"/>
  <c r="DM58" i="8"/>
  <c r="DN58" i="8" s="1"/>
  <c r="DN28" i="8"/>
  <c r="DM57" i="8"/>
  <c r="DM53" i="8"/>
  <c r="DM1" i="8" s="1"/>
  <c r="DU20" i="8"/>
  <c r="DU69" i="8"/>
  <c r="DS115" i="1"/>
  <c r="DS117" i="1" s="1"/>
  <c r="DU72" i="8"/>
  <c r="DR52" i="8"/>
  <c r="DR67" i="8"/>
  <c r="DO59" i="8"/>
  <c r="DO60" i="8"/>
  <c r="DR20" i="8"/>
  <c r="DS12" i="8"/>
  <c r="DR69" i="8"/>
  <c r="DP115" i="1"/>
  <c r="DP117" i="1" s="1"/>
  <c r="DR72" i="8"/>
  <c r="DP58" i="8"/>
  <c r="DP57" i="8"/>
  <c r="DP53" i="8"/>
  <c r="DP1" i="8" s="1"/>
  <c r="DS49" i="8"/>
  <c r="DS51" i="8" s="1"/>
  <c r="DT47" i="8"/>
  <c r="DS80" i="8"/>
  <c r="DS81" i="8" s="1"/>
  <c r="DQ28" i="8"/>
  <c r="DQ62" i="8"/>
  <c r="DS82" i="8" l="1"/>
  <c r="DT57" i="8"/>
  <c r="DZ12" i="8"/>
  <c r="DX71" i="98" s="1"/>
  <c r="DY69" i="98"/>
  <c r="DY70" i="98" s="1"/>
  <c r="DW12" i="8"/>
  <c r="DU47" i="8"/>
  <c r="DT49" i="8"/>
  <c r="DT51" i="8" s="1"/>
  <c r="DT80" i="8"/>
  <c r="DN57" i="8"/>
  <c r="DM59" i="8"/>
  <c r="DM60" i="8"/>
  <c r="DV20" i="8"/>
  <c r="DV69" i="8"/>
  <c r="DT115" i="1"/>
  <c r="DT117" i="1" s="1"/>
  <c r="DV72" i="8"/>
  <c r="DR28" i="8"/>
  <c r="DR53" i="8" s="1"/>
  <c r="DS20" i="8"/>
  <c r="DR62" i="8"/>
  <c r="DQ58" i="8"/>
  <c r="DQ57" i="8"/>
  <c r="DS52" i="8"/>
  <c r="DS67" i="8"/>
  <c r="DT76" i="8"/>
  <c r="DX76" i="8"/>
  <c r="DQ53" i="8"/>
  <c r="DQ1" i="8" s="1"/>
  <c r="DY20" i="8"/>
  <c r="DY69" i="8"/>
  <c r="DW115" i="1"/>
  <c r="DW117" i="1" s="1"/>
  <c r="DY72" i="8"/>
  <c r="DP59" i="8"/>
  <c r="DP60" i="8"/>
  <c r="DS69" i="8"/>
  <c r="DQ115" i="1"/>
  <c r="DQ117" i="1" s="1"/>
  <c r="DS72" i="8"/>
  <c r="DQ71" i="98"/>
  <c r="DU28" i="8"/>
  <c r="DU62" i="8"/>
  <c r="DN53" i="8"/>
  <c r="DT71" i="98"/>
  <c r="DR1" i="8" l="1"/>
  <c r="DT81" i="8"/>
  <c r="DT82" i="8" s="1"/>
  <c r="DN1" i="8"/>
  <c r="DO1" i="8"/>
  <c r="DT52" i="8"/>
  <c r="DT53" i="8" s="1"/>
  <c r="DU76" i="8"/>
  <c r="DT67" i="8"/>
  <c r="DW20" i="8"/>
  <c r="DX12" i="8"/>
  <c r="DW69" i="8"/>
  <c r="DU115" i="1"/>
  <c r="DU117" i="1" s="1"/>
  <c r="DW72" i="8"/>
  <c r="DT58" i="8"/>
  <c r="DT60" i="8" s="1"/>
  <c r="DY28" i="8"/>
  <c r="DY62" i="8"/>
  <c r="DQ59" i="8"/>
  <c r="DQ60" i="8"/>
  <c r="DV47" i="8"/>
  <c r="DU49" i="8"/>
  <c r="DU51" i="8" s="1"/>
  <c r="DU58" i="8" s="1"/>
  <c r="DU80" i="8"/>
  <c r="DS62" i="8"/>
  <c r="DN59" i="8"/>
  <c r="DN60" i="8"/>
  <c r="EA12" i="8"/>
  <c r="DZ69" i="98"/>
  <c r="DZ70" i="98" s="1"/>
  <c r="DU57" i="8"/>
  <c r="DR58" i="8"/>
  <c r="DS58" i="8" s="1"/>
  <c r="DS28" i="8"/>
  <c r="DR57" i="8"/>
  <c r="DV28" i="8"/>
  <c r="DV62" i="8"/>
  <c r="DU71" i="98"/>
  <c r="DZ20" i="8"/>
  <c r="DZ69" i="8"/>
  <c r="DX115" i="1"/>
  <c r="DX117" i="1" s="1"/>
  <c r="DZ72" i="8"/>
  <c r="DT59" i="8"/>
  <c r="EA20" i="8" l="1"/>
  <c r="EA69" i="8"/>
  <c r="DY115" i="1"/>
  <c r="DY117" i="1" s="1"/>
  <c r="EA72" i="8"/>
  <c r="DW47" i="8"/>
  <c r="DV49" i="8"/>
  <c r="DV51" i="8" s="1"/>
  <c r="DV58" i="8" s="1"/>
  <c r="DV80" i="8"/>
  <c r="DY57" i="8"/>
  <c r="DU81" i="8"/>
  <c r="DU82" i="8" s="1"/>
  <c r="DZ28" i="8"/>
  <c r="DZ62" i="8"/>
  <c r="DX69" i="8"/>
  <c r="DV115" i="1"/>
  <c r="DV117" i="1" s="1"/>
  <c r="DX72" i="8"/>
  <c r="DV71" i="98"/>
  <c r="DS57" i="8"/>
  <c r="DR59" i="8"/>
  <c r="DR60" i="8"/>
  <c r="DV57" i="8"/>
  <c r="DU59" i="8"/>
  <c r="DU60" i="8"/>
  <c r="EB12" i="8"/>
  <c r="DZ71" i="98" s="1"/>
  <c r="DW28" i="8"/>
  <c r="DX20" i="8"/>
  <c r="DX62" i="8" s="1"/>
  <c r="DW62" i="8"/>
  <c r="DS53" i="8"/>
  <c r="DS1" i="8" s="1"/>
  <c r="DY71" i="98"/>
  <c r="DU52" i="8"/>
  <c r="DU53" i="8" s="1"/>
  <c r="DU1" i="8" s="1"/>
  <c r="DU67" i="8"/>
  <c r="DV76" i="8"/>
  <c r="DV81" i="8" l="1"/>
  <c r="DV82" i="8" s="1"/>
  <c r="DY59" i="8"/>
  <c r="DW49" i="8"/>
  <c r="DW51" i="8" s="1"/>
  <c r="DW58" i="8" s="1"/>
  <c r="DX58" i="8" s="1"/>
  <c r="DX47" i="8"/>
  <c r="DW80" i="8"/>
  <c r="EC12" i="8"/>
  <c r="EB20" i="8"/>
  <c r="EB69" i="8"/>
  <c r="DZ115" i="1"/>
  <c r="DZ117" i="1" s="1"/>
  <c r="EB72" i="8"/>
  <c r="DT1" i="8"/>
  <c r="DV59" i="8"/>
  <c r="DV60" i="8"/>
  <c r="DS59" i="8"/>
  <c r="DS60" i="8"/>
  <c r="DZ57" i="8"/>
  <c r="DX28" i="8"/>
  <c r="DW57" i="8"/>
  <c r="DV52" i="8"/>
  <c r="DV53" i="8" s="1"/>
  <c r="DV1" i="8" s="1"/>
  <c r="DV67" i="8"/>
  <c r="DW76" i="8"/>
  <c r="EA28" i="8"/>
  <c r="EA62" i="8"/>
  <c r="DW81" i="8" l="1"/>
  <c r="DW82" i="8" s="1"/>
  <c r="DY47" i="8"/>
  <c r="DX49" i="8"/>
  <c r="DX51" i="8" s="1"/>
  <c r="DX80" i="8"/>
  <c r="DX81" i="8" s="1"/>
  <c r="DX57" i="8"/>
  <c r="DW59" i="8"/>
  <c r="DW60" i="8"/>
  <c r="EC20" i="8"/>
  <c r="EC62" i="8" s="1"/>
  <c r="EB28" i="8"/>
  <c r="EB62" i="8"/>
  <c r="DW52" i="8"/>
  <c r="DW53" i="8" s="1"/>
  <c r="DW1" i="8" s="1"/>
  <c r="DW67" i="8"/>
  <c r="EC69" i="8"/>
  <c r="EA115" i="1"/>
  <c r="EA117" i="1" s="1"/>
  <c r="EC72" i="8"/>
  <c r="EA71" i="98"/>
  <c r="EA57" i="8"/>
  <c r="DZ59" i="8"/>
  <c r="DX82" i="8" l="1"/>
  <c r="EC28" i="8"/>
  <c r="EB57" i="8"/>
  <c r="DX59" i="8"/>
  <c r="DX60" i="8"/>
  <c r="EA59" i="8"/>
  <c r="DX52" i="8"/>
  <c r="DX53" i="8" s="1"/>
  <c r="DX1" i="8" s="1"/>
  <c r="DY76" i="8"/>
  <c r="EC76" i="8"/>
  <c r="DX67" i="8"/>
  <c r="DZ47" i="8"/>
  <c r="DY49" i="8"/>
  <c r="DY51" i="8" s="1"/>
  <c r="DY80" i="8"/>
  <c r="EA47" i="8" l="1"/>
  <c r="DZ49" i="8"/>
  <c r="DZ51" i="8" s="1"/>
  <c r="DZ80" i="8"/>
  <c r="EC57" i="8"/>
  <c r="EB59" i="8"/>
  <c r="DY52" i="8"/>
  <c r="DY53" i="8" s="1"/>
  <c r="DY1" i="8" s="1"/>
  <c r="DY67" i="8"/>
  <c r="DZ76" i="8"/>
  <c r="DY58" i="8"/>
  <c r="DY60" i="8" s="1"/>
  <c r="DY81" i="8"/>
  <c r="DY82" i="8" s="1"/>
  <c r="DZ52" i="8" l="1"/>
  <c r="DZ53" i="8" s="1"/>
  <c r="DZ1" i="8" s="1"/>
  <c r="DZ67" i="8"/>
  <c r="EA76" i="8"/>
  <c r="DZ58" i="8"/>
  <c r="DZ60" i="8" s="1"/>
  <c r="EC59" i="8"/>
  <c r="DZ81" i="8"/>
  <c r="DZ82" i="8" s="1"/>
  <c r="EA49" i="8"/>
  <c r="EA51" i="8" s="1"/>
  <c r="EB47" i="8"/>
  <c r="EA80" i="8"/>
  <c r="EA81" i="8" l="1"/>
  <c r="EA82" i="8" s="1"/>
  <c r="EA52" i="8"/>
  <c r="EA53" i="8" s="1"/>
  <c r="EA1" i="8" s="1"/>
  <c r="EA67" i="8"/>
  <c r="EB76" i="8"/>
  <c r="EA58" i="8"/>
  <c r="EA60" i="8" s="1"/>
  <c r="EC47" i="8"/>
  <c r="EB49" i="8"/>
  <c r="EB51" i="8" s="1"/>
  <c r="EB80" i="8"/>
  <c r="EB52" i="8" l="1"/>
  <c r="EB53" i="8" s="1"/>
  <c r="EB1" i="8" s="1"/>
  <c r="EB67" i="8"/>
  <c r="EB58" i="8"/>
  <c r="EC49" i="8"/>
  <c r="EC51" i="8" s="1"/>
  <c r="EC80" i="8"/>
  <c r="EC81" i="8" s="1"/>
  <c r="EB81" i="8"/>
  <c r="EB82" i="8" s="1"/>
  <c r="EC52" i="8" l="1"/>
  <c r="EC53" i="8" s="1"/>
  <c r="EC1" i="8" s="1"/>
  <c r="EC67" i="8"/>
  <c r="EC58" i="8"/>
  <c r="EC60" i="8" s="1"/>
  <c r="EB60" i="8"/>
  <c r="EC82" i="8"/>
  <c r="CU179" i="1" l="1"/>
  <c r="CU173" i="1"/>
  <c r="CV166" i="1"/>
  <c r="CU172" i="1" l="1"/>
  <c r="CU175" i="1" l="1"/>
  <c r="CV179" i="1"/>
  <c r="CW179" i="1" s="1"/>
  <c r="CV173" i="1"/>
  <c r="CW173" i="1" s="1"/>
  <c r="CW172" i="1" s="1"/>
  <c r="CW174" i="1"/>
  <c r="CX175" i="1" s="1"/>
  <c r="CX173" i="1"/>
  <c r="DB173" i="1" s="1"/>
  <c r="CV172" i="1" l="1"/>
  <c r="DA172" i="1" s="1"/>
  <c r="DA171" i="1" s="1"/>
  <c r="DB171" i="1" s="1"/>
  <c r="DB172" i="1" s="1"/>
  <c r="CX166" i="1"/>
  <c r="CX172" i="1"/>
  <c r="DC172" i="1" s="1"/>
  <c r="DF172" i="1" l="1"/>
  <c r="DF171" i="1" s="1"/>
  <c r="DH172" i="1"/>
  <c r="DC171" i="1"/>
  <c r="DK172" i="1" l="1"/>
  <c r="DK171" i="1" s="1"/>
  <c r="DG171" i="1"/>
  <c r="DG172" i="1" s="1"/>
  <c r="DH171" i="1"/>
  <c r="DM172" i="1"/>
  <c r="DP172" i="1" l="1"/>
  <c r="DP171" i="1" s="1"/>
  <c r="DL171" i="1"/>
  <c r="DL172" i="1" s="1"/>
  <c r="DR172" i="1"/>
  <c r="DM171" i="1"/>
  <c r="DU172" i="1" l="1"/>
  <c r="DZ172" i="1" s="1"/>
  <c r="DZ171" i="1" s="1"/>
  <c r="DQ171" i="1"/>
  <c r="DQ172" i="1" s="1"/>
  <c r="DR171" i="1"/>
  <c r="DW172" i="1"/>
  <c r="DW171" i="1" s="1"/>
  <c r="DU171" i="1" l="1"/>
  <c r="DV171" i="1" s="1"/>
  <c r="DV172" i="1" s="1"/>
  <c r="EA171" i="1"/>
  <c r="EA172" i="1" s="1"/>
  <c r="CV175" i="1" l="1"/>
  <c r="CW176" i="1"/>
  <c r="CW177" i="1" s="1"/>
  <c r="CW194" i="1" l="1"/>
  <c r="CW123" i="1" s="1"/>
  <c r="CW124" i="1" s="1"/>
  <c r="CW195" i="1" l="1"/>
  <c r="DB195" i="1"/>
</calcChain>
</file>

<file path=xl/comments1.xml><?xml version="1.0" encoding="utf-8"?>
<comments xmlns="http://schemas.openxmlformats.org/spreadsheetml/2006/main">
  <authors>
    <author>Jon Tower</author>
  </authors>
  <commentList>
    <comment ref="A1" authorId="0">
      <text>
        <r>
          <rPr>
            <b/>
            <sz val="8"/>
            <color indexed="81"/>
            <rFont val="Tahoma"/>
            <family val="2"/>
          </rPr>
          <t>卟䙄_x0001_＀＀秫䵚_x0018_啙幍䝆偟彅呎ōㄠ〯⼷〲ㄱ_x0018_＀＀_x0018_＀＀_x0008_＀＀_x0001_＀＀_x0001_＀＀䞶롯貏䀱秭䵚_x0015_啙幍䝆䕟卐䱟䝔㐨㔰㜵착_x0018_＀＀_x0018_＀＀_x0008_＀＀_x0001_＀＀_x0001_＀＀얠⑒䀦秭䵚_x0015_啙幍䝆䕟卐䱟䝔㐨㐰㐹착_x0018_＀＀_x0018_＀＀_x0008_＀＀_x0001_＀＀_x0001_＀＀쌻雔꠺䀦秭䵚_x0015_啙幍䝆䕟卐䱟䝔㐨㈰㤴착_x0018_＀＀_x0018_＀＀_x0008_＀＀_x0001_＀＀_x0001_＀＀鲪银箜䀧秭䵚_x0015_啙幍䝆䕟卐䱟䝔㐨㄰㘸착_x0018_＀＀_x0018_＀＀_x0008_＀＀_x0001_＀＀_x0001_＀＀_xDD8B_ꬾ䳌䀧秭䵚_x0015_啙幍䝆䕟卐䱟䝔㐨㐰ㄳ착_x0018_＀＀_x0018_＀＀_x0008_＀＀_x0001_＀＀_x0001_＀＀眥䓘晦䀨秫䵚_x0018_啙幍䝆偟彅呎ō㐠㈯⼳〲〱_x0018_＀＀_x0018_＀＀_x0008_＀＀_x0001_＀＀_x0001_＀＀閖ꔦ䀰秫䵚_x0018_啙幍䝆偟彅呎ōㄠ㈯⼸〲ㄱ_x0018_＀＀_x0018_＀＀_x0008_＀＀_x0001_＀＀_x0001_＀＀莥翵䬎䀰秫䵚_x0018_啙幍䝆偟彅呎ō㐠〯⼲〲〱_x0018_＀＀_x0018_＀＀_x0008_＀＀_x0001_＀＀_x0001_＀＀∩⫃샞䀯秭䵚_x0015_啙幍䝆䕟卐䱟䝔㐨㐰㜸착_x0018_＀＀_x0018_＀＀_x0008_＀＀_x0001_＀＀_x0001_＀＀쌻雔꠺䀦秫䵚_x0018_啙幍䝆偟彅呎ō㘠ㄯ⼱〲〱_x0018_＀＀_x0018_＀＀_x0008_＀＀_x0001_＀＀_x0001_＀＀壁샟᫤䀰秭䵚_x0015_啙幍䝆䕟卐䱟䝔㐨㄰㤷착_x0018_＀＀_x0018_＀＀_x0008_＀＀_x0001_＀＀_x0001_＀＀_xDD8B_ꬾ䳌䀧秭䵚_x0015_啙幍䝆䕟卐䱟䝔㐨㐰㐲착_x0018_＀＀_x0018_＀＀_x0008_＀＀_x0001_＀＀_x0001_＀＀眥䓘晦䀨秭䵚_x0015_啙幍䝆䕟卐䱟䝔㐨㌰ㄶ착_x0018_＀＀_x0018_＀＀_x0008_＀＀_x0001_＀＀_x0001_＀＀샗ॖ弖䀧秫䵚_x0018_啙幍䝆偟彅呎ō㠠㈯⼰〲〱_x0018_＀＀_x0018_＀＀_x0008_＀＀_x0001_＀＀_x0001_＀＀ೡ绾錱䀯秭䵚_x0015_啙幍䝆䕟卐䱟䝔㐨㐰㜱착_x0018_＀＀_x0018_＀＀_x0008_＀＀_x0001_＀＀_x0001_＀＀眥䓘晦䀨秭䵚_x0015_啙幍䝆䕟卐䱟䝔㐨㌰㐵착_x0018_＀＀_x0018_＀＀_x0008_＀＀_x0001_＀＀_x0001_＀＀샗ॖ弖䀧秭䵚_x0015_啙幍䝆䕟卐䱟䝔㐨㈰ㄹ착_x0018_＀＀_x0018_＀＀_x0008_＀＀_x0001_＀＀_x0001_＀＀샗ॖ弖䀧秫䵚_x0018_啙幍䝆偟彅呎ō㘠〯⼴〲〱_x0018_＀＀_x0018_＀＀_x0008_＀＀_x0001_＀＀_x0001_＀＀쿝젩曏䀯秫䵚_x0018_啙幍䝆偟彅呎ōㄱㄯ⼲〲〱_x0018_＀＀_x0018_＀＀_x0008_＀＀_x0001_＀＀_x0001_＀＀ꎾ蓆殘䀲秫䵚_x0018_啙幍䝆偟彅呎ō㠠ㄯ⼳〲〱_x0018_＀＀_x0018_＀＀_x0008_＀＀_x0001_＀＀_x0001_＀＀඿帱諳䀮秭䵚_x0015_啙幍䝆䕟卐䱟䝔㐨㌰㜴착_x0018_＀＀_x0018_＀＀_x0008_＀＀_x0001_＀＀_x0001_＀＀샗ॖ弖䀧秭䵚_x0015_啙幍䝆䕟卐䱟䝔㐨㈰㐸착_x0018_＀＀_x0018_＀＀_x0008_＀＀_x0001_＀＀_x0001_＀＀샗ॖ弖䀧秫䵚_x0018_啙幍䝆偟彅呎ō㐠ㄯ⼶〲〱_x0018_＀＀_x0018_＀＀_x0008_＀＀_x0001_＀＀_x0001_＀＀切덽䀰秭䵚_x0015_啙幍䝆䕟卐䱟䝔㐨㈰ㄲ착_x0018_＀＀_x0018_＀＀_x0008_＀＀_x0001_＀＀_x0001_＀＀鲪银箜䀧秫䵚_x0018_啙幍䝆偟彅呎ō㘠㈯⼵〲〱_x0018_＀＀_x0018_＀＀_x0008_＀＀_x0001_＀＀_x0001_＀＀壍鴴䒝䀯秭䵚_x0015_啙幍䝆䕟卐䱟䝔㐨㈰㜷착_x0018_＀＀_x0018_＀＀_x0008_＀＀_x0001_＀＀_x0001_＀＀鲪银箜䀧秭䵚_x0015_啙幍䝆䕟卐䱟䝔㐨㔰㈲착_x0018_＀＀_x0018_＀＀_x0008_＀＀_x0001_＀＀_x0001_＀＀전뇐㪃䀧秫䵚_x0018_啙幍䝆偟彅呎ō㈠ㄯ⼲〲〱_x0018_＀＀_x0018_＀＀_x0008_＀＀_x0001_＀＀_x0001_＀＀驊꘿膵䀫秭䵚_x0015_啙幍䝆䕟卐䱟䝔㐨㈰㐱착_x0018_＀＀_x0018_＀＀_x0008_＀＀_x0001_＀＀_x0001_＀＀媢䑄䀧秫䵚_x0018_啙幍䝆偟彅呎ōㄱ〯⼵〲〱_x0018_＀＀_x0018_＀＀_x0008_＀＀_x0001_＀＀_x0001_＀＀۪밊ꞓ䀲秫䵚_x0018_啙幍䝆偟彅呎ō㠠〯⼶〲〱_x0018_＀＀_x0018_＀＀_x0008_＀＀_x0001_＀＀_x0001_＀＀㜻왭졩䀯秭䵚_x0015_啙幍䝆䕟卐䱟䝔㐨㔰㠷착_x0018_＀＀_x0018_＀＀_x0008_＀＀_x0001_＀＀_x0001_＀＀전뇐㪃䀧秫䵚_x0018_啙幍䝆偟彅呎ō㐠〯⼹〲〱_x0018_＀＀_x0018_＀＀_x0008_＀＀_x0001_＀＀_x0001_＀＀梔慩䀰秭䵚_x0015_啙幍䝆䕟卐䱟䝔㐨㔰㔱착_x0018_＀＀_x0018_＀＀_x0008_＀＀_x0001_＀＀_x0001_＀＀얠⑒䀦秭䵚_x0015_啙幍䝆䕟卐䱟䝔㐨㐰㈵착_x0018_＀＀_x0018_＀＀_x0008_＀＀_x0001_＀＀_x0001_＀＀牜⧜퐝䀧秫䵚_x0018_啙幍䝆偟彅呎ō㘠ㄯ⼸〲〱_x0018_＀＀_x0018_＀＀_x0008_＀＀_x0001_＀＀_x0001_＀＀孠﴿䅧䀰秭䵚_x0015_啙幍䝆䕟卐䱟䝔㐨㈰㜰착_x0018_＀＀_x0018_＀＀_x0008_＀＀_x0001_＀＀_x0001_＀＀瓁띚ᵁ䀧秫䵚_x0018_啙幍䝆偟彅呎ōㄱ㈯⼶〲〱_x0018_＀＀_x0018_＀＀_x0008_＀＀_x0001_＀＀_x0001_＀＀ㄻ﷫䀱秫䵚_x0018_啙幍䝆偟彅呎ō㠠㈯⼷〲〱_x0018_＀＀_x0018_＀＀_x0008_＀＀_x0001_＀＀_x0001_＀＀୛킳臎䀯秫䵚_x0018_啙幍䝆偟彅呎ō㈠㈯⼶〲〱_x0018_＀＀_x0018_＀＀_x0008_＀＀_x0001_＀＀_x0001_＀＀낻ꬵ䀫秫䵚_x0018_啙幍䝆偟彅呎ō㈠〯⼵〲〱_x0018_＀＀_x0018_＀＀_x0008_＀＀_x0001_＀＀_x0001_＀＀灔䅸䩄䀫秭䵚_x0015_啙幍䝆䕟卐䱟䝔㐨㔰㠰착_x0018_＀＀_x0018_＀＀_x0008_＀＀_x0001_＀＀_x0001_＀＀얠⑒䀦秭䵚_x0015_啙幍䝆䕟卐䱟䝔㐨㐰㔴착_x0018_＀＀_x0018_＀＀_x0008_＀＀_x0001_＀＀_x0001_＀＀眥䓘晦䀨秭䵚_x0015_啙幍䝆䕟卐䱟䝔㐨㌰㈸착_x0018_＀＀_x0018_＀＀_x0008_＀＀_x0001_＀＀_x0001_＀＀眥䓘晦䀨秫䵚_x0018_啙幍䝆偟彅呎ō㌠ㄯ⼲〲〱_x0018_＀＀_x0018_＀＀_x0008_＀＀_x0001_＀＀_x0001_＀＀䀨途䀮秫䵚_x0018_啙幍䝆偟彅呎ō㔠㈯⼱〲〱_x0018_＀＀_x0018_＀＀_x0008_＀＀_x0001_＀＀_x0001_＀＀耨摢ﳉ䀮秭䵚_x0015_啙幍䝆䕟卐䱟䝔㐨㐰㠳착_x0018_＀＀_x0018_＀＀_x0008_＀＀_x0001_＀＀_x0001_＀＀眥䓘晦䀨秫䵚_x0018_啙幍䝆偟彅呎ōㄱㄯ⼹〲〱_x0018_＀＀_x0018_＀＀_x0008_＀＀_x0001_＀＀_x0001_＀＀Ӫᄴ䰶䀲秫䵚_x0018_啙幍䝆偟彅呎ō㜠㌯⼰〲〱_x0018_＀＀_x0018_＀＀_x0008_＀＀_x0001_＀＀_x0001_＀＀蛛ၑ฼䀯秭䵚_x0015_啙幍䝆䕟卐䱟䝔㐨㌰㔷착_x0018_＀＀_x0018_＀＀_x0008_＀＀_x0001_＀＀_x0001_＀＀眥䓘晦䀨秭䵚_x0015_啙幍䝆䕟卐䱟䝔㐨㌰㈱착_x0018_＀＀_x0018_＀＀_x0008_＀＀_x0001_＀＀_x0001_＀＀샗ॖ弖䀧秫䵚_x0018_啙幍䝆偟彅呎ō㈠〯⼴〲ㄱ_x0018_＀＀_x0018_＀＀_x0008_＀＀_x0001_＀＀_x0001_＀＀⤵_xDD05_Ṟ䀱秭䵚_x0015_啙幍䝆䕟卐䱟䝔㐨㌰㠶착_x0018_＀＀_x0018_＀＀_x0008_＀＀_x0001_＀＀_x0001_＀＀샗ॖ弖䀧秫䵚_x0018_啙幍䝆偟彅呎ō㌠〯⼵〲〱_x0018_＀＀_x0018_＀＀_x0008_＀＀_x0001_＀＀_x0001_＀＀ᜍꞹ讫䀬秭䵚_x0015_啙幍䝆䕟卐䱟䝔㐨㔰〵착_x0018_＀＀_x0018_＀＀_x0008_＀＀_x0001_＀＀_x0001_＀＀얠⑒䀦秫䵚_x0018_啙幍䝆偟彅呎ō㈱ㄯ⼰〲〱_x0018_＀＀_x0018_＀＀_x0008_＀＀_x0001_＀＀_x0001_＀＀̱ﶕ䀱秭䵚_x0015_啙幍䝆䕟卐䱟䝔㐨㌰㔰착_x0018_＀＀_x0018_＀＀_x0008_＀＀_x0001_＀＀_x0001_＀＀샗ॖ弖䀧秭䵚_x0015_啙幍䝆䕟卐䱟䝔㐨㈰㈴착_x0018_＀＀_x0018_＀＀_x0008_＀＀_x0001_＀＀_x0001_＀＀鲪银箜䀧秫䵚_x0018_啙幍䝆偟彅呎ō㔠ㄯ⼴〲〱_x0018_＀＀_x0018_＀＀_x0008_＀＀_x0001_＀＀_x0001_＀＀ᅞ濼挥䀯秫䵚_x0018_啙幍䝆偟彅呎ō㈠ㄯ⼹〲〱_x0018_＀＀_x0018_＀＀_x0008_＀＀_x0001_＀＀_x0001_＀＀랞_xD9B1_쪑䀫秫䵚_x0018_啙幍䝆偟彅呎ō〱㈯⼲〲〱_x0018_＀＀_x0018_＀＀_x0008_＀＀_x0001_＀＀_x0001_＀＀_xDE87_ᬽ䀲秫䵚_x0018_啙幍䝆偟彅呎ō㜠㈯⼳〲〱_x0018_＀＀_x0018_＀＀_x0008_＀＀_x0001_＀＀_x0001_＀＀䧵냮粉䀯秫䵚_x0018_啙幍䝆偟彅呎ō〱〯⼱〲〱_x0018_＀＀_x0018_＀＀_x0008_＀＀_x0001_＀＀_x0001_＀＀╰㘻ℂ䀱秫䵚_x0018_啙幍䝆偟彅呎ō㌠㈯⼶〲〱_x0018_＀＀_x0018_＀＀_x0008_＀＀_x0001_＀＀_x0001_＀＀ᨑ웁࿵䀯秫䵚_x0018_啙幍䝆偟彅呎ō㈱㌯⼱〲〱_x0018_＀＀_x0018_＀＀_x0008_＀＀_x0001_＀＀_x0001_＀＀隖窑浏䀱秫䵚_x0018_啙幍䝆偟彅呎ō㜠〯⼲〲〱_x0018_＀＀_x0018_＀＀_x0008_＀＀_x0001_＀＀_x0001_＀＀㌼烁憮䀭秭䵚_x0015_啙幍䝆䕟卐䱟䝔㐨㈰㠹착_x0018_＀＀_x0018_＀＀_x0008_＀＀_x0001_＀＀_x0001_＀＀샗ॖ弖䀧秭䵚_x0015_啙幍䝆䕟卐䱟䝔㐨㔰㌴착_x0018_＀＀_x0018_＀＀_x0008_＀＀_x0001_＀＀_x0001_＀＀전뇐㪃䀧秭䵚_x0015_啙幍䝆䕟卐䱟䝔㐨㐰〸착_x0018_＀＀_x0018_＀＀_x0008_＀＀_x0001_＀＀_x0001_＀＀쌻雔꠺䀦秫䵚_x0018_啙幍䝆偟彅呎ōㄠ〯⼱〲〱_x0018_＀＀_x0018_＀＀_x0008_＀＀_x0001_＀＀_x0001_＀＀❒覠膰䀭秭䵚_x0015_啙幍䝆䕟卐䱟䝔㐨㈰㔳착_x0018_＀＀_x0018_＀＀_x0008_＀＀_x0001_＀＀_x0001_＀＀鲪银箜䀧秫䵚_x0018_啙幍䝆偟彅呎ō㤠ㄯ⼰〲〱_x0018_＀＀_x0018_＀＀_x0008_＀＀_x0001_＀＀_x0001_＀＀왔쾿肸䀰秫䵚_x0018_啙幍䝆偟彅呎ōㄠ㈯⼲〲〱_x0018_＀＀_x0018_＀＀_x0008_＀＀_x0001_＀＀_x0001_＀＀㑄莺뇘䀬秭䵚_x0015_啙幍䝆䕟卐䱟䝔㐨㔰㘳착_x0018_＀＀_x0018_＀＀_x0008_＀＀_x0001_＀＀_x0001_＀＀전뇐㪃䀧秭䵚_x0015_啙幍䝆䕟卐䱟䝔㐨㐰㌷착_x0018_＀＀_x0018_＀＀_x0008_＀＀_x0001_＀＀_x0001_＀＀쌻雔꠺䀦秫䵚_x0018_啙幍䝆偟彅呎ō〱ㄯ⼵〲〱_x0018_＀＀_x0018_＀＀_x0008_＀＀_x0001_＀＀_x0001_＀＀؃齉䀱秭䵚_x0015_啙幍䝆䕟卐䱟䝔㐨㈰㠲착_x0018_＀＀_x0018_＀＀_x0008_＀＀_x0001_＀＀_x0001_＀＀鲪银箜䀧秭䵚_x0015_啙幍䝆䕟卐䱟䝔㐨㐰〱착_x0018_＀＀_x0018_＀＀_x0008_＀＀_x0001_＀＀_x0001_＀＀眥䓘晦䀨秫䵚_x0018_啙幍䝆偟彅呎ō㜠ㄯ⼶〲〱_x0018_＀＀_x0018_＀＀_x0008_＀＀_x0001_＀＀_x0001_＀＀㒰揰䀮秫䵚_x0018_啙幍䝆偟彅呎ō㌠ㄯ⼹〲〱_x0018_＀＀_x0018_＀＀_x0008_＀＀_x0001_＀＀_x0001_＀＀覠_xDDE9_䀮秫䵚_x0018_啙幍䝆偟彅呎ō㈱㈯⼴〲〱_x0018_＀＀_x0018_＀＀_x0008_＀＀_x0001_＀＀_x0001_＀＀鑠뾠꿐䀱秫䵚_x0018_啙幍䝆偟彅呎ō㈱〯⼳〲〱_x0018_＀＀_x0018_＀＀_x0008_＀＀_x0001_＀＀_x0001_＀＀쟀╠䀲秫䵚_x0018_啙幍䝆偟彅呎ō㔠㈯⼸〲〱_x0018_＀＀_x0018_＀＀_x0008_＀＀_x0001_＀＀_x0001_＀＀ຝ㵤銵䀯秭䵚_x0015_啙幍䝆䕟卐䱟䝔㐨㔰㤲착_x0018_＀＀_x0018_＀＀_x0008_＀＀_x0001_＀＀_x0001_＀＀전뇐㪃䀧秭䵚_x0015_啙幍䝆䕟卐䱟䝔㐨㐰㘶착_x0018_＀＀_x0018_＀＀_x0008_＀＀_x0001_＀＀_x0001_＀＀쌻雔꠺䀦秫䵚_x0018_啙幍䝆偟彅呎ō㔠〯⼷〲〱_x0018_＀＀_x0018_＀＀_x0008_＀＀_x0001_＀＀_x0001_＀＀ꈚ缊랆䀮秭䵚_x0015_啙幍䝆䕟卐䱟䝔㐨㐰㌰착_x0018_＀＀_x0018_＀＀_x0008_＀＀_x0001_＀＀_x0001_＀＀眥䓘晦䀨秭䵚_x0015_啙幍䝆䕟卐䱟䝔㐨㌰〴착_x0018_＀＀_x0018_＀＀_x0008_＀＀_x0001_＀＀_x0001_＀＀샗ॖ弖䀧秫䵚_x0018_啙幍䝆偟彅呎ōㄠ㈯⼱〲ㄱ_x0018_＀＀_x0018_＀＀_x0008_＀＀_x0001_＀＀_x0001_＀＀ᗰ竝͍䀱秫䵚_x0018_啙幍䝆偟彅呎ōㄠㄯ⼵〲〱_x0018_＀＀_x0018_＀＀_x0008_＀＀_x0001_＀＀_x0001_＀＀㕈醙䀭秭䵚_x0015_啙幍䝆䕟卐䱟䝔㐨㐰㤵착_x0018_＀＀_x0018_＀＀_x0008_＀＀_x0001_＀＀_x0001_＀＀쌻雔꠺䀦秭䵚_x0015_啙幍䝆䕟卐䱟䝔㐨㌰㘹착_x0018_＀＀_x0018_＀＀_x0008_＀＀_x0001_＀＀_x0001_＀＀眥䓘晦䀨秫䵚_x0018_啙幍䝆偟彅呎ō㈱ㄯ⼷〲〱_x0018_＀＀_x0018_＀＀_x0008_＀＀_x0001_＀＀_x0001_＀＀_xFFFF_ﾓ_xDFC9__xDBBD_䀱秫䵚_x0018_啙幍䝆偟彅呎ō㤠㈯⼴〲〱_x0018_＀＀_x0018_＀＀_x0008_＀＀_x0001_＀＀_x0001_＀＀ψⶑ䀱秭䵚_x0015_啙幍䝆䕟卐䱟䝔㐨㌰㌳착_x0018_＀＀_x0018_＀＀_x0008_＀＀_x0001_＀＀_x0001_＀＀샗ॖ弖䀧秭䵚_x0015_啙幍䝆䕟卐䱟䝔㐨㈰〷착_x0018_＀＀_x0018_＀＀_x0008_＀＀_x0001_＀＀_x0001_＀＀鲪银箜䀧秫䵚_x0018_啙幍䝆偟彅呎ō㤠〯⼳〲〱_x0018_＀＀_x0018_＀＀_x0008_＀＀_x0001_＀＀_x0001_＀＀_xDDAC_祶䀰秫䵚_x0018_啙幍䝆偟彅呎ō〱㈯⼹〲〱_x0018_＀＀_x0018_＀＀_x0008_＀＀_x0001_＀＀_x0001_＀＀饆㈍჉䀲䚊䠛_x0013_啙幍䝆䵟呋噟䱁䕕〨착_x0018_＀＀_x0018_＀＀_x0008_＀＀_x0001_＀＀_x0001_＀＀긕흪䃒秫䵚_x0018_啙幍䝆偟彅呎ō〱〯⼸〲〱_x0018_＀＀_x0018_＀＀_x0008_＀＀_x0001_＀＀_x0001_＀＀⺺穼䀱秭䵚_x0015_啙幍䝆䕟卐䱟䝔㐨㌰㤸착_x0018_＀＀_x0018_＀＀_x0008_＀＀_x0001_＀＀_x0001_＀＀眥䓘晦䀨秫䵚_x0018_啙幍䝆偟彅呎ō㜠〯⼹〲〱_x0018_＀＀_x0018_＀＀_x0008_＀＀_x0001_＀＀_x0001_＀＀㪓䴁鶄䀮秭䵚_x0015_啙幍䝆䕟卐䱟䝔㐨㔰ㄷ착_x0018_＀＀_x0018_＀＀_x0008_＀＀_x0001_＀＀_x0001_＀＀전뇐㪃䀧秫䵚_x0018_啙幍䝆偟彅呎ōㄠㄯ⼴〲ㄱ_x0018_＀＀_x0018_＀＀_x0008_＀＀_x0001_＀＀_x0001_＀＀낚擽䀰秭䵚_x0015_啙幍䝆䕟卐䱟䝔㐨㌰㘲착_x0018_＀＀_x0018_＀＀_x0008_＀＀_x0001_＀＀_x0001_＀＀샗ॖ弖䀧秭䵚_x0015_啙幍䝆䕟卐䱟䝔㐨㈰㌶착_x0018_＀＀_x0018_＀＀_x0008_＀＀_x0001_＀＀_x0001_＀＀鲪银箜䀧秫䵚_x0018_啙幍䝆偟彅呎ōㄠ〯⼸〲〱_x0018_＀＀_x0018_＀＀_x0008_＀＀_x0001_＀＀_x0001_＀＀屟튪㜖䀭秭䵚_x0015_啙幍䝆䕟卐䱟䝔㐨㈰〰착_x0018_＀＀_x0018_＀＀_x0008_＀＀_x0001_＀＀_x0001_＀＀_xDD8B_ꬾ䳌䀧秫䵚_x0018_啙幍䝆偟彅呎ō㐠㌯⼰〲〱_x0018_＀＀_x0018_＀＀_x0008_＀＀_x0001_＀＀_x0001_＀＀᣸㢬苕䀰秫䵚_x0018_啙幍䝆偟彅呎ō㤠ㄯ⼷〲〱_x0018_＀＀_x0018_＀＀_x0008_＀＀_x0001_＀＀_x0001_＀＀ἲ䀰秭䵚_x0015_啙幍䝆䕟卐䱟䝔㐨㔰㐶착_x0018_＀＀_x0018_＀＀_x0008_＀＀_x0001_＀＀_x0001_＀＀전뇐㪃䀧秫䵚_x0018_啙幍䝆偟彅呎ōㄠ㈯⼹〲〱_x0018_＀＀_x0018_＀＀_x0008_＀＀_x0001_＀＀_x0001_＀＀䘤⷏蕴䀬秭䵚_x0015_啙幍䝆䕟卐䱟䝔㐨㌰㤱착_x0018_＀＀_x0018_＀＀_x0008_＀＀_x0001_＀＀_x0001_＀＀샗ॖ弖䀧秭䵚_x0015_啙幍䝆䕟卐䱟䝔㐨㈰㘵착_x0018_＀＀_x0018_＀＀_x0008_＀＀_x0001_＀＀_x0001_＀＀鲪银箜䀧秭䵚_x0015_啙幍䝆䕟卐䱟䝔㐨㔰㄰착_x0018_＀＀_x0018_＀＀_x0008_＀＀_x0001_＀＀_x0001_＀＀쌻雔꠺䀦秭䵚_x0015_啙幍䝆䕟卐䱟䝔㐨㄰㌹착_x0018_＀＀_x0018_＀＀_x0008_＀＀_x0001_＀＀_x0001_＀＀_xDD8B_ꬾ䳌䀧唛䠏_x000F_啙幍䝆偟䥒䕃〨착_x0018_＀＀_x0018_＀＀_x0008_＀＀_x0001_＀＀_x0001_＀＀蔟凫㺸䁃</t>
        </r>
      </text>
    </comment>
    <comment ref="B1" authorId="0">
      <text>
        <r>
          <rPr>
            <b/>
            <sz val="8"/>
            <color indexed="81"/>
            <rFont val="Tahoma"/>
            <family val="2"/>
          </rPr>
          <t>3954</t>
        </r>
      </text>
    </comment>
  </commentList>
</comments>
</file>

<file path=xl/comments2.xml><?xml version="1.0" encoding="utf-8"?>
<comments xmlns="http://schemas.openxmlformats.org/spreadsheetml/2006/main">
  <authors>
    <author>towerj</author>
    <author>Jon Tower</author>
    <author>Jake Bartlett</author>
    <author>glassj</author>
    <author>CIBC</author>
    <author>Carril, Christopher E (Research)</author>
    <author>O'Brien, Courtney (Research)</author>
    <author>farmerje</author>
    <author>Sushama Dasari</author>
    <author>A satisfied Microsoft Office user</author>
    <author>Jeff Farmer</author>
    <author>Amy Sutter</author>
    <author>John Glass</author>
    <author>aweinber</author>
    <author>Arianne G. Weinberger</author>
    <author>jon tower</author>
    <author>Glass, John (Research)</author>
    <author>Dana Greenberg</author>
  </authors>
  <commentList>
    <comment ref="AP6" authorId="0">
      <text>
        <r>
          <rPr>
            <b/>
            <sz val="8"/>
            <color indexed="81"/>
            <rFont val="Tahoma"/>
            <family val="2"/>
          </rPr>
          <t>towerj:</t>
        </r>
        <r>
          <rPr>
            <sz val="8"/>
            <color indexed="81"/>
            <rFont val="Tahoma"/>
            <family val="2"/>
          </rPr>
          <t xml:space="preserve">
4.24.06 includes SBC expenses</t>
        </r>
      </text>
    </comment>
    <comment ref="BW7" authorId="1">
      <text>
        <r>
          <rPr>
            <b/>
            <sz val="8"/>
            <color indexed="81"/>
            <rFont val="Tahoma"/>
            <family val="2"/>
          </rPr>
          <t>Jon Tower:</t>
        </r>
        <r>
          <rPr>
            <sz val="8"/>
            <color indexed="81"/>
            <rFont val="Tahoma"/>
            <family val="2"/>
          </rPr>
          <t xml:space="preserve">
Not ALL dvisions have an extra week; US and some YRI do; China and remainder of YRI does not...
6.26.08
2011 is next 53 week year.</t>
        </r>
      </text>
    </comment>
    <comment ref="CB7" authorId="1">
      <text>
        <r>
          <rPr>
            <b/>
            <sz val="8"/>
            <color indexed="81"/>
            <rFont val="Tahoma"/>
            <family val="2"/>
          </rPr>
          <t>Jon Tower:</t>
        </r>
        <r>
          <rPr>
            <sz val="8"/>
            <color indexed="81"/>
            <rFont val="Tahoma"/>
            <family val="2"/>
          </rPr>
          <t xml:space="preserve">
12.5.11 
Note: 2012 will lap the 53rd week from 2011. This will be a headwind in Q4 2012 for YRI and the U.S., and will affect sales and operating profit growth. 
</t>
        </r>
      </text>
    </comment>
    <comment ref="A8" authorId="2">
      <text>
        <r>
          <rPr>
            <b/>
            <sz val="8"/>
            <color indexed="81"/>
            <rFont val="Tahoma"/>
            <family val="2"/>
          </rPr>
          <t>Jake Bartlett:</t>
        </r>
        <r>
          <rPr>
            <sz val="8"/>
            <color indexed="81"/>
            <rFont val="Tahoma"/>
            <family val="2"/>
          </rPr>
          <t xml:space="preserve">
Fiscal year ends the last Saturday in December</t>
        </r>
      </text>
    </comment>
    <comment ref="AB8" authorId="3">
      <text>
        <r>
          <rPr>
            <b/>
            <sz val="8"/>
            <color indexed="81"/>
            <rFont val="Tahoma"/>
            <family val="2"/>
          </rPr>
          <t>glassj:</t>
        </r>
        <r>
          <rPr>
            <sz val="8"/>
            <color indexed="81"/>
            <rFont val="Tahoma"/>
            <family val="2"/>
          </rPr>
          <t xml:space="preserve">
YRG acqusiiton closed in week 7 of 12 week quarter)</t>
        </r>
      </text>
    </comment>
    <comment ref="BA8" authorId="4">
      <text>
        <r>
          <rPr>
            <sz val="8"/>
            <color indexed="81"/>
            <rFont val="Tahoma"/>
            <family val="2"/>
          </rPr>
          <t>5.2.07 (conf call)
In terms of quarterly trends you should be aware of a few thoughts that we can provide. First, it is difficult to predict gains we
may incur from refranchising transactions in advance. However, I can tell you that in quarter two just ahead, based on the
number and the nature of the deals in the pipeline, we will not match last year's gain of $15 million in quarter two. In fact, it is
very likely we will only achieve a slight gain in quarter two. This will have a negative 5 to 6 percentage point impact to quarter
two EPS. This is purely a quarterly timing issue so let me be clear, don't get ahead of us on the second quarter.
Additionally in quarter two, there is an expense we incur at YRI every two years for our franchise convention. This will negatively
impact our growth rate at YRI for quarter two by about 4 points. Finally, in terms of the U.S., our expectation is that performance
will improve sometime in the second half with much more certainty during quarter four as Taco Bell lapps the produce supplier
issue late in the quarter, which includes a $20 million in lost profits and incremental costs related to that incident. We have solid
confidence that our plans in the U.S. will drive positive performance in quarter four. From a corporate perspective, at this time
we expect pretty steady share buy backs throughout the year. One final point, the tax rate could fluctuate fairly dramatically
quarter to quarter.</t>
        </r>
      </text>
    </comment>
    <comment ref="BJ8" authorId="1">
      <text>
        <r>
          <rPr>
            <b/>
            <sz val="8"/>
            <color indexed="81"/>
            <rFont val="Tahoma"/>
            <family val="2"/>
          </rPr>
          <t>Jon Tower:</t>
        </r>
        <r>
          <rPr>
            <sz val="8"/>
            <color indexed="81"/>
            <rFont val="Tahoma"/>
            <family val="2"/>
          </rPr>
          <t xml:space="preserve">
1Q09 End dates
YRI 2/23/2009
China 2/28/2009
US 3/21/2009</t>
        </r>
      </text>
    </comment>
    <comment ref="BK8" authorId="1">
      <text>
        <r>
          <rPr>
            <b/>
            <sz val="8"/>
            <color indexed="81"/>
            <rFont val="Tahoma"/>
            <family val="2"/>
          </rPr>
          <t>Jon Tower:</t>
        </r>
        <r>
          <rPr>
            <sz val="8"/>
            <color indexed="81"/>
            <rFont val="Tahoma"/>
            <family val="2"/>
          </rPr>
          <t xml:space="preserve">
2Q09 End dates
YRI 5/18/2009
China 5/31/2009
US 6/13/2009</t>
        </r>
      </text>
    </comment>
    <comment ref="BL8" authorId="1">
      <text>
        <r>
          <rPr>
            <b/>
            <sz val="8"/>
            <color indexed="81"/>
            <rFont val="Tahoma"/>
            <family val="2"/>
          </rPr>
          <t>Jon Tower:</t>
        </r>
        <r>
          <rPr>
            <sz val="8"/>
            <color indexed="81"/>
            <rFont val="Tahoma"/>
            <family val="2"/>
          </rPr>
          <t xml:space="preserve">
7.14.09
YRI end date 8/10/2009
China end date 8/31/2009
US end date 9/5/2009</t>
        </r>
      </text>
    </comment>
    <comment ref="BM8" authorId="1">
      <text>
        <r>
          <rPr>
            <b/>
            <sz val="8"/>
            <color indexed="81"/>
            <rFont val="Tahoma"/>
            <family val="2"/>
          </rPr>
          <t>Jon Tower:</t>
        </r>
        <r>
          <rPr>
            <sz val="8"/>
            <color indexed="81"/>
            <rFont val="Tahoma"/>
            <family val="2"/>
          </rPr>
          <t xml:space="preserve">
Quarter End:
US 12/26/09
YRI
Period schedule: 11/30/09
Month schedule: 11/30/09
China
12/31/09
Markets operating on a monthly schedule include Asia, Caribbean (except Puerto Rico), South America, the Middle East, and franchise/JV markets in continental Europe.
(Note: Franchise businesses may operate on either a period or monthly basis)</t>
        </r>
      </text>
    </comment>
    <comment ref="BN8" authorId="1">
      <text>
        <r>
          <rPr>
            <b/>
            <sz val="8"/>
            <color indexed="81"/>
            <rFont val="Tahoma"/>
            <family val="2"/>
          </rPr>
          <t>Jon Tower:</t>
        </r>
        <r>
          <rPr>
            <sz val="8"/>
            <color indexed="81"/>
            <rFont val="Tahoma"/>
            <family val="2"/>
          </rPr>
          <t xml:space="preserve">
Quarter End:
US 12/26/09
YRI
Period schedule: 11/30/09
Month schedule: 11/30/09
China
12/31/09
Markets operating on a monthly schedule include Asia, Caribbean (except Puerto Rico), South America, the Middle East, and franchise/JV markets in continental Europe.
(Note: Franchise businesses may operate on either a period or monthly basis)</t>
        </r>
      </text>
    </comment>
    <comment ref="BO8" authorId="1">
      <text>
        <r>
          <rPr>
            <b/>
            <sz val="8"/>
            <color indexed="81"/>
            <rFont val="Tahoma"/>
            <family val="2"/>
          </rPr>
          <t xml:space="preserve">Jon Tower:
Quarter End
</t>
        </r>
        <r>
          <rPr>
            <sz val="8"/>
            <color indexed="81"/>
            <rFont val="Tahoma"/>
            <family val="2"/>
          </rPr>
          <t xml:space="preserve">US 
3/20/10
</t>
        </r>
        <r>
          <rPr>
            <sz val="8"/>
            <color indexed="81"/>
            <rFont val="Tahoma"/>
            <family val="2"/>
          </rPr>
          <t xml:space="preserve">
YRI 
Period schedule 2/22/10
Month schedule 1/31/10
China 
2/28/10</t>
        </r>
      </text>
    </comment>
    <comment ref="BP8" authorId="1">
      <text>
        <r>
          <rPr>
            <b/>
            <sz val="8"/>
            <color indexed="81"/>
            <rFont val="Tahoma"/>
            <family val="2"/>
          </rPr>
          <t xml:space="preserve">Jon Tower:
Quarter End
</t>
        </r>
        <r>
          <rPr>
            <sz val="8"/>
            <color indexed="81"/>
            <rFont val="Tahoma"/>
            <family val="2"/>
          </rPr>
          <t xml:space="preserve">US
6/12/10
</t>
        </r>
        <r>
          <rPr>
            <sz val="8"/>
            <color indexed="81"/>
            <rFont val="Tahoma"/>
            <family val="2"/>
          </rPr>
          <t xml:space="preserve">
YRI 
Period schedule 5/17/10
Month schedule 4/30/10
China 
5/31/10</t>
        </r>
      </text>
    </comment>
    <comment ref="BQ8" authorId="1">
      <text>
        <r>
          <rPr>
            <b/>
            <sz val="8"/>
            <color indexed="81"/>
            <rFont val="Tahoma"/>
            <family val="2"/>
          </rPr>
          <t>Jon Tower:
Quarter End</t>
        </r>
        <r>
          <rPr>
            <sz val="8"/>
            <color indexed="81"/>
            <rFont val="Tahoma"/>
            <family val="2"/>
          </rPr>
          <t xml:space="preserve">
US 9/4/10
YRI 
Period schedule 8/9/10
Month schedule 7/31/10
China 
8/31/10</t>
        </r>
      </text>
    </comment>
    <comment ref="BR8" authorId="1">
      <text>
        <r>
          <rPr>
            <b/>
            <sz val="8"/>
            <color indexed="81"/>
            <rFont val="Tahoma"/>
            <family val="2"/>
          </rPr>
          <t xml:space="preserve">Jon Tower:
Quarter End
</t>
        </r>
        <r>
          <rPr>
            <sz val="8"/>
            <color indexed="81"/>
            <rFont val="Tahoma"/>
            <family val="2"/>
          </rPr>
          <t>US
12/25/10</t>
        </r>
        <r>
          <rPr>
            <b/>
            <sz val="8"/>
            <color indexed="81"/>
            <rFont val="Tahoma"/>
            <family val="2"/>
          </rPr>
          <t xml:space="preserve">
</t>
        </r>
        <r>
          <rPr>
            <sz val="8"/>
            <color indexed="81"/>
            <rFont val="Tahoma"/>
            <family val="2"/>
          </rPr>
          <t xml:space="preserve">
YRI 
Period schedule 11/29/10
Month schedule 11/30/10
China 
12/31/10</t>
        </r>
      </text>
    </comment>
    <comment ref="CV8" authorId="5">
      <text>
        <r>
          <rPr>
            <b/>
            <sz val="9"/>
            <color indexed="81"/>
            <rFont val="Tahoma"/>
            <family val="2"/>
          </rPr>
          <t>Carril, Christopher E (Research):</t>
        </r>
        <r>
          <rPr>
            <sz val="9"/>
            <color indexed="81"/>
            <rFont val="Tahoma"/>
            <family val="2"/>
          </rPr>
          <t xml:space="preserve">
Includes extra week</t>
        </r>
      </text>
    </comment>
    <comment ref="CW8" authorId="6">
      <text>
        <r>
          <rPr>
            <b/>
            <sz val="9"/>
            <color indexed="81"/>
            <rFont val="Tahoma"/>
            <family val="2"/>
          </rPr>
          <t>O'Brien, Courtney (Research): Restatements in 8K published April 13TH.</t>
        </r>
        <r>
          <rPr>
            <sz val="9"/>
            <color indexed="81"/>
            <rFont val="Tahoma"/>
            <family val="2"/>
          </rPr>
          <t xml:space="preserve">
restating 2016 calendar lowered 1q Eps by 2c due to higher g&amp;a and loss of periodization despite higher revenues (gaining mar vs dec); 2q lower due to additional interest (debt raise was around june 16th 2016); 3q ; First, as we've previously disclosed, we changed our fiscal year to better align our global reporting calendar; second, restated results reflect the
2
THOMSON REUTERS STREETEVENTS | www.streetevents.com | Contact Us
©2017 Thomson Reuters. All rights reserved. Republication or redistribution of Thomson Reuters content, including by framing or similar means, is prohibited without
the prior written consent of Thomson Reuters. 'Thomson Reuters' and the Thomson Reuters logo are registered trademarks of Thomson Reuters and its affiliated
companies.
MAY 03, 2017 / 12:15PM, YUM - Q1 2017 Yum! Brands Inc Earnings Call
impact of new accounting standards for pension cost recognition, which we adopted in the first quarter of 2017. An 8-K was filed on April 13, 2017,
with restated results.</t>
        </r>
      </text>
    </comment>
    <comment ref="AB14" authorId="7">
      <text>
        <r>
          <rPr>
            <sz val="8"/>
            <color indexed="81"/>
            <rFont val="Tahoma"/>
            <family val="2"/>
          </rPr>
          <t>Guidance: International Sys Sales growth of 7%</t>
        </r>
      </text>
    </comment>
    <comment ref="BZ15" authorId="8">
      <text>
        <r>
          <rPr>
            <b/>
            <sz val="8"/>
            <color indexed="81"/>
            <rFont val="Tahoma"/>
            <family val="2"/>
          </rPr>
          <t>Sushama Dasari:</t>
        </r>
        <r>
          <rPr>
            <sz val="8"/>
            <color indexed="81"/>
            <rFont val="Tahoma"/>
            <family val="2"/>
          </rPr>
          <t xml:space="preserve">
27% system sales growth (23% ex-Little Sheep)</t>
        </r>
      </text>
    </comment>
    <comment ref="A17" authorId="7">
      <text>
        <r>
          <rPr>
            <sz val="8"/>
            <color indexed="81"/>
            <rFont val="Tahoma"/>
            <family val="2"/>
          </rPr>
          <t>Systemwide sales are estimated after the 4Q03</t>
        </r>
      </text>
    </comment>
    <comment ref="AJ21" authorId="7">
      <text>
        <r>
          <rPr>
            <sz val="8"/>
            <color indexed="81"/>
            <rFont val="Tahoma"/>
            <family val="2"/>
          </rPr>
          <t>guidance: to exceed $900 million</t>
        </r>
      </text>
    </comment>
    <comment ref="AO21" authorId="7">
      <text>
        <r>
          <rPr>
            <sz val="8"/>
            <color indexed="81"/>
            <rFont val="Tahoma"/>
            <family val="2"/>
          </rPr>
          <t>4/21/04 $1 billion</t>
        </r>
      </text>
    </comment>
    <comment ref="AT21" authorId="7">
      <text>
        <r>
          <rPr>
            <sz val="8"/>
            <color indexed="81"/>
            <rFont val="Tahoma"/>
            <family val="2"/>
          </rPr>
          <t>12/2/04 franchise fee growth of 6% to 7% or ~ 1080
7/13/05 Continued growth in franchise fees of at least 7% resulting from worldwide restaurant expansion and samestore-
sales growth, which includes about 1 percentage-point benefit from the fifty-third week. The growth in franchise fees includes the benefit of +1 percentage point from refranchising the Puerto Rico market in 2004.</t>
        </r>
      </text>
    </comment>
    <comment ref="BJ21" authorId="1">
      <text>
        <r>
          <rPr>
            <b/>
            <sz val="8"/>
            <color indexed="81"/>
            <rFont val="Tahoma"/>
            <family val="2"/>
          </rPr>
          <t xml:space="preserve">Jon Tower:
2.4.09
Now only $25M--- convo w/Bruce Bishop --- this will show up as a reduction in franchise fees in the P&amp;L, but as an increase in corp &amp; unallocated G&amp;A in the segment data!
</t>
        </r>
        <r>
          <rPr>
            <sz val="8"/>
            <color indexed="81"/>
            <rFont val="Tahoma"/>
            <family val="2"/>
          </rPr>
          <t xml:space="preserve">
12.10.08
In the first quarter of 2009, U.S. brand reinvestments are expected to total approximately $30 million due to costs related to the installation of new ovens in KFC’s franchise units in preparation
for the national launch of Kentucky Grilled Chicken in the second quarter. This is expected to be reported as a reduction in franchise fees.</t>
        </r>
      </text>
    </comment>
    <comment ref="BK21" authorId="1">
      <text>
        <r>
          <rPr>
            <b/>
            <sz val="8"/>
            <color indexed="81"/>
            <rFont val="Tahoma"/>
            <family val="2"/>
          </rPr>
          <t>Jon Tower:</t>
        </r>
        <r>
          <rPr>
            <sz val="8"/>
            <color indexed="81"/>
            <rFont val="Tahoma"/>
            <family val="2"/>
          </rPr>
          <t xml:space="preserve">
7.14.09
includes $4M in reinvestment back into US brands -- KFC grills
---
Investments in our U.S. Brands recorded
in 2009 reflect our reimbursements or obligations to reimburse KFC franchisees for installation costs of ovens for the national
launch of Kentucky Grilled Chicken and have been recorded as a reduction of Franchise and license fees and income.</t>
        </r>
      </text>
    </comment>
    <comment ref="CW21" authorId="6">
      <text>
        <r>
          <rPr>
            <b/>
            <sz val="9"/>
            <color indexed="81"/>
            <rFont val="Tahoma"/>
            <family val="2"/>
          </rPr>
          <t>O'Brien, Courtney (Research):</t>
        </r>
        <r>
          <rPr>
            <sz val="9"/>
            <color indexed="81"/>
            <rFont val="Tahoma"/>
            <family val="2"/>
          </rPr>
          <t xml:space="preserve">
10.11.16
$2B franchise fees</t>
        </r>
      </text>
    </comment>
    <comment ref="C22" authorId="9">
      <text>
        <r>
          <rPr>
            <sz val="8"/>
            <color indexed="81"/>
            <rFont val="Tahoma"/>
            <family val="2"/>
          </rPr>
          <t>revenues were reduced $88M to account for revenues of non-core assets disposed of at the end of 97</t>
        </r>
      </text>
    </comment>
    <comment ref="CM22" authorId="6">
      <text>
        <r>
          <rPr>
            <b/>
            <sz val="9"/>
            <color indexed="81"/>
            <rFont val="Tahoma"/>
            <family val="2"/>
          </rPr>
          <t>O'Brien, Courtney (Research):</t>
        </r>
        <r>
          <rPr>
            <sz val="9"/>
            <color indexed="81"/>
            <rFont val="Tahoma"/>
            <family val="2"/>
          </rPr>
          <t xml:space="preserve">
12.10.15
$6.5B</t>
        </r>
      </text>
    </comment>
    <comment ref="CR22" authorId="6">
      <text>
        <r>
          <rPr>
            <b/>
            <sz val="9"/>
            <color indexed="81"/>
            <rFont val="Tahoma"/>
            <family val="2"/>
          </rPr>
          <t>O'Brien, Courtney (Research):</t>
        </r>
        <r>
          <rPr>
            <sz val="9"/>
            <color indexed="81"/>
            <rFont val="Tahoma"/>
            <family val="2"/>
          </rPr>
          <t xml:space="preserve">
12.10.15
$6.5B</t>
        </r>
      </text>
    </comment>
    <comment ref="CW22" authorId="6">
      <text>
        <r>
          <rPr>
            <b/>
            <sz val="9"/>
            <color indexed="81"/>
            <rFont val="Tahoma"/>
            <family val="2"/>
          </rPr>
          <t>O'Brien, Courtney (Research):</t>
        </r>
        <r>
          <rPr>
            <sz val="9"/>
            <color indexed="81"/>
            <rFont val="Tahoma"/>
            <family val="2"/>
          </rPr>
          <t xml:space="preserve">
12.10.15
$6.5B</t>
        </r>
      </text>
    </comment>
    <comment ref="DB22" authorId="6">
      <text>
        <r>
          <rPr>
            <b/>
            <sz val="9"/>
            <color indexed="81"/>
            <rFont val="Tahoma"/>
            <family val="2"/>
          </rPr>
          <t>O'Brien, Courtney (Research):</t>
        </r>
        <r>
          <rPr>
            <sz val="9"/>
            <color indexed="81"/>
            <rFont val="Tahoma"/>
            <family val="2"/>
          </rPr>
          <t xml:space="preserve">
10.11.16
goal of 7% (not necessary for $3.75 EPS goal)</t>
        </r>
      </text>
    </comment>
    <comment ref="DG22" authorId="6">
      <text>
        <r>
          <rPr>
            <b/>
            <sz val="9"/>
            <color indexed="81"/>
            <rFont val="Tahoma"/>
            <family val="2"/>
          </rPr>
          <t>O'Brien, Courtney (Research):</t>
        </r>
        <r>
          <rPr>
            <sz val="9"/>
            <color indexed="81"/>
            <rFont val="Tahoma"/>
            <family val="2"/>
          </rPr>
          <t xml:space="preserve">
10.11.16
goal of 7% (not necessary for $3.75 EPS goal)</t>
        </r>
      </text>
    </comment>
    <comment ref="DL22" authorId="6">
      <text>
        <r>
          <rPr>
            <b/>
            <sz val="9"/>
            <color indexed="81"/>
            <rFont val="Tahoma"/>
            <family val="2"/>
          </rPr>
          <t>O'Brien, Courtney (Research):</t>
        </r>
        <r>
          <rPr>
            <sz val="9"/>
            <color indexed="81"/>
            <rFont val="Tahoma"/>
            <family val="2"/>
          </rPr>
          <t xml:space="preserve">
10.11.16
goal of 7% (not necessary for $3.75 EPS goal)</t>
        </r>
      </text>
    </comment>
    <comment ref="AY24" authorId="0">
      <text>
        <r>
          <rPr>
            <b/>
            <sz val="8"/>
            <color indexed="81"/>
            <rFont val="Tahoma"/>
            <family val="2"/>
          </rPr>
          <t>towerj:</t>
        </r>
        <r>
          <rPr>
            <sz val="8"/>
            <color indexed="81"/>
            <rFont val="Tahoma"/>
            <family val="2"/>
          </rPr>
          <t xml:space="preserve">
12.6.05 (analyst day - modeling breakout) food &amp; paper up less than 1% Y/Y -- chicken &amp; meats flat, cheese down Y/Y</t>
        </r>
      </text>
    </comment>
    <comment ref="AQ25" authorId="0">
      <text>
        <r>
          <rPr>
            <b/>
            <sz val="9"/>
            <color indexed="81"/>
            <rFont val="Tahoma"/>
            <family val="2"/>
          </rPr>
          <t>towerj:</t>
        </r>
        <r>
          <rPr>
            <sz val="9"/>
            <color indexed="81"/>
            <rFont val="Tahoma"/>
            <family val="2"/>
          </rPr>
          <t xml:space="preserve">
7.19.06 prior to SO expensing, was $504 million</t>
        </r>
      </text>
    </comment>
    <comment ref="AR25" authorId="0">
      <text>
        <r>
          <rPr>
            <b/>
            <sz val="9"/>
            <color indexed="81"/>
            <rFont val="Tahoma"/>
            <family val="2"/>
          </rPr>
          <t>towerj:</t>
        </r>
        <r>
          <rPr>
            <sz val="9"/>
            <color indexed="81"/>
            <rFont val="Tahoma"/>
            <family val="2"/>
          </rPr>
          <t xml:space="preserve">
10.11.06 was $499 mill prior to sbc expense</t>
        </r>
      </text>
    </comment>
    <comment ref="AT25" authorId="0">
      <text>
        <r>
          <rPr>
            <b/>
            <sz val="8"/>
            <color indexed="81"/>
            <rFont val="Tahoma"/>
            <family val="2"/>
          </rPr>
          <t>towerj:</t>
        </r>
        <r>
          <rPr>
            <sz val="8"/>
            <color indexed="81"/>
            <rFont val="Tahoma"/>
            <family val="2"/>
          </rPr>
          <t xml:space="preserve">
2.6.06 includes $10 mill in stock option expense </t>
        </r>
      </text>
    </comment>
    <comment ref="AY25" authorId="0">
      <text>
        <r>
          <rPr>
            <b/>
            <sz val="8"/>
            <color indexed="81"/>
            <rFont val="Tahoma"/>
            <family val="2"/>
          </rPr>
          <t xml:space="preserve">towerj:
</t>
        </r>
        <r>
          <rPr>
            <sz val="8"/>
            <color indexed="81"/>
            <rFont val="Tahoma"/>
            <family val="2"/>
          </rPr>
          <t>12.6.05 (analyst day - modeling breakout) Labor up 3% Y/Y</t>
        </r>
      </text>
    </comment>
    <comment ref="A26" authorId="0">
      <text>
        <r>
          <rPr>
            <b/>
            <sz val="9"/>
            <color indexed="81"/>
            <rFont val="Tahoma"/>
            <family val="2"/>
          </rPr>
          <t>towerj:</t>
        </r>
        <r>
          <rPr>
            <sz val="9"/>
            <color indexed="81"/>
            <rFont val="Tahoma"/>
            <family val="2"/>
          </rPr>
          <t xml:space="preserve">
includes direct marketing expenses -- advertising</t>
        </r>
      </text>
    </comment>
    <comment ref="AY26" authorId="0">
      <text>
        <r>
          <rPr>
            <b/>
            <sz val="8"/>
            <color indexed="81"/>
            <rFont val="Tahoma"/>
            <family val="2"/>
          </rPr>
          <t>towerj:</t>
        </r>
        <r>
          <rPr>
            <sz val="8"/>
            <color indexed="81"/>
            <rFont val="Tahoma"/>
            <family val="2"/>
          </rPr>
          <t xml:space="preserve">
12.6.05 (analyst day - modeling breakout)  - expect utility costs to be up 10% Y/Y -- largest jump in 1Q &amp; fade throughout year.</t>
        </r>
      </text>
    </comment>
    <comment ref="BQ26" authorId="1">
      <text>
        <r>
          <rPr>
            <b/>
            <sz val="8"/>
            <color indexed="81"/>
            <rFont val="Tahoma"/>
            <family val="2"/>
          </rPr>
          <t>Jon Tower:</t>
        </r>
        <r>
          <rPr>
            <sz val="8"/>
            <color indexed="81"/>
            <rFont val="Tahoma"/>
            <family val="2"/>
          </rPr>
          <t xml:space="preserve">
10.5.10
includes $2M of gains</t>
        </r>
      </text>
    </comment>
    <comment ref="BV26" authorId="1">
      <text>
        <r>
          <rPr>
            <b/>
            <sz val="8"/>
            <color indexed="81"/>
            <rFont val="Tahoma"/>
            <family val="2"/>
          </rPr>
          <t>Jon Tower:</t>
        </r>
        <r>
          <rPr>
            <sz val="8"/>
            <color indexed="81"/>
            <rFont val="Tahoma"/>
            <family val="2"/>
          </rPr>
          <t xml:space="preserve">
10.4.11
includes $2 mn in depreciation reduction from KFC restaurants impaired upon offer to sell ---- hence the segment data does not sum to the consolidated data</t>
        </r>
      </text>
    </comment>
    <comment ref="A28" authorId="10">
      <text>
        <r>
          <rPr>
            <sz val="8"/>
            <color indexed="81"/>
            <rFont val="Tahoma"/>
            <family val="2"/>
          </rPr>
          <t xml:space="preserve">Includes G&amp;A expenses, franchise and license expenses, other(income) expense.
2.3.10
The “General and Administrative Expenses” is used to record expenses to provide support services for both company own restaurants and franchise/license restaurants and includes items like employee salaries/benefits, office expense and other associated expenses.  </t>
        </r>
      </text>
    </comment>
    <comment ref="L28" authorId="11">
      <text>
        <r>
          <rPr>
            <sz val="8"/>
            <color indexed="81"/>
            <rFont val="Tahoma"/>
            <family val="2"/>
          </rPr>
          <t>2.1.05 $0.56</t>
        </r>
      </text>
    </comment>
    <comment ref="M28" authorId="11">
      <text>
        <r>
          <rPr>
            <sz val="8"/>
            <color indexed="81"/>
            <rFont val="Tahoma"/>
            <family val="2"/>
          </rPr>
          <t>2.1.05 $0.73</t>
        </r>
      </text>
    </comment>
    <comment ref="S28" authorId="12">
      <text>
        <r>
          <rPr>
            <b/>
            <sz val="8"/>
            <color indexed="81"/>
            <rFont val="Tahoma"/>
            <family val="2"/>
          </rPr>
          <t>John Glass:</t>
        </r>
        <r>
          <rPr>
            <sz val="8"/>
            <color indexed="81"/>
            <rFont val="Tahoma"/>
            <family val="2"/>
          </rPr>
          <t xml:space="preserve">
Inserts $4 million charge from TB</t>
        </r>
      </text>
    </comment>
    <comment ref="T28" authorId="12">
      <text>
        <r>
          <rPr>
            <b/>
            <sz val="8"/>
            <color indexed="81"/>
            <rFont val="Tahoma"/>
            <family val="2"/>
          </rPr>
          <t>John Glass:</t>
        </r>
        <r>
          <rPr>
            <sz val="8"/>
            <color indexed="81"/>
            <rFont val="Tahoma"/>
            <family val="2"/>
          </rPr>
          <t xml:space="preserve">
Includes $22 charge from TB</t>
        </r>
      </text>
    </comment>
    <comment ref="V28" authorId="13">
      <text>
        <r>
          <rPr>
            <sz val="8"/>
            <color indexed="81"/>
            <rFont val="Tahoma"/>
            <family val="2"/>
          </rPr>
          <t>includes $7 million from TB franchise expenses</t>
        </r>
      </text>
    </comment>
    <comment ref="W28" authorId="12">
      <text>
        <r>
          <rPr>
            <b/>
            <sz val="8"/>
            <color indexed="81"/>
            <rFont val="Tahoma"/>
            <family val="2"/>
          </rPr>
          <t>John Glass:</t>
        </r>
        <r>
          <rPr>
            <sz val="8"/>
            <color indexed="81"/>
            <rFont val="Tahoma"/>
            <family val="2"/>
          </rPr>
          <t xml:space="preserve">
Includes $5 mm for TB</t>
        </r>
      </text>
    </comment>
    <comment ref="X28" authorId="14">
      <text>
        <r>
          <rPr>
            <sz val="8"/>
            <color indexed="81"/>
            <rFont val="Tahoma"/>
            <family val="2"/>
          </rPr>
          <t>Includes $3 m for TB</t>
        </r>
      </text>
    </comment>
    <comment ref="AB28" authorId="7">
      <text>
        <r>
          <rPr>
            <sz val="8"/>
            <color indexed="81"/>
            <rFont val="Tahoma"/>
            <family val="2"/>
          </rPr>
          <t>Up 4% in dollar terms over last year $207 million, 1% excluding YGR acquisition</t>
        </r>
      </text>
    </comment>
    <comment ref="AC28" authorId="3">
      <text>
        <r>
          <rPr>
            <b/>
            <sz val="8"/>
            <color indexed="81"/>
            <rFont val="Tahoma"/>
            <family val="2"/>
          </rPr>
          <t>glassj:</t>
        </r>
        <r>
          <rPr>
            <sz val="8"/>
            <color indexed="81"/>
            <rFont val="Tahoma"/>
            <family val="2"/>
          </rPr>
          <t xml:space="preserve">
Up 15% inc. YRG acquisition; +5% without</t>
        </r>
      </text>
    </comment>
    <comment ref="AD28" authorId="7">
      <text>
        <r>
          <rPr>
            <sz val="8"/>
            <color indexed="81"/>
            <rFont val="Tahoma"/>
            <family val="2"/>
          </rPr>
          <t>guidance - up 15%</t>
        </r>
      </text>
    </comment>
    <comment ref="AF28" authorId="7">
      <text>
        <r>
          <rPr>
            <sz val="8"/>
            <color indexed="81"/>
            <rFont val="Tahoma"/>
            <family val="2"/>
          </rPr>
          <t>2/10/03 G&amp;A up 10%</t>
        </r>
      </text>
    </comment>
    <comment ref="AH28" authorId="7">
      <text>
        <r>
          <rPr>
            <sz val="8"/>
            <color indexed="81"/>
            <rFont val="Tahoma"/>
            <family val="2"/>
          </rPr>
          <t xml:space="preserve">7/15/03 - even in dollar terms vs. last year
8/14/03 - Jerzyk stated G&amp;A will come in a couple million lower than last year - tight controls in recognition of below plan SSS
</t>
        </r>
      </text>
    </comment>
    <comment ref="AI28" authorId="7">
      <text>
        <r>
          <rPr>
            <sz val="8"/>
            <color indexed="81"/>
            <rFont val="Tahoma"/>
            <family val="2"/>
          </rPr>
          <t>10/7/03 - flat vs. last year in dolars</t>
        </r>
      </text>
    </comment>
    <comment ref="AJ28" authorId="7">
      <text>
        <r>
          <rPr>
            <sz val="8"/>
            <color indexed="81"/>
            <rFont val="Tahoma"/>
            <family val="2"/>
          </rPr>
          <t>guidance: increase in G&amp;A by $30 million</t>
        </r>
      </text>
    </comment>
    <comment ref="AK28" authorId="7">
      <text>
        <r>
          <rPr>
            <sz val="8"/>
            <color indexed="81"/>
            <rFont val="Tahoma"/>
            <family val="2"/>
          </rPr>
          <t>4/21/04 includes $4 unfavorable impact from FX conversion, $7 million in one-time charges related to the impairment of corporate assets and $3 in costs associated with a group of Candian units that were previously operated by joint venture partners. Other factors iclude implementaion of new HR systems, increased pension costs and international expension costs.</t>
        </r>
      </text>
    </comment>
    <comment ref="AM28" authorId="3">
      <text>
        <r>
          <rPr>
            <b/>
            <sz val="8"/>
            <color indexed="81"/>
            <rFont val="Tahoma"/>
            <family val="2"/>
          </rPr>
          <t>glassj:</t>
        </r>
        <r>
          <rPr>
            <sz val="8"/>
            <color indexed="81"/>
            <rFont val="Tahoma"/>
            <family val="2"/>
          </rPr>
          <t xml:space="preserve">
$3 million from consol. Canada (prev an JV), also China, new ERP system.</t>
        </r>
      </text>
    </comment>
    <comment ref="AO28" authorId="7">
      <text>
        <r>
          <rPr>
            <sz val="8"/>
            <color indexed="81"/>
            <rFont val="Tahoma"/>
            <family val="2"/>
          </rPr>
          <t>12/4/03 up $25 million
4/21/04 G&amp; A up $50 million
10/05/04 up at least $95 million</t>
        </r>
      </text>
    </comment>
    <comment ref="AQ28" authorId="0">
      <text>
        <r>
          <rPr>
            <b/>
            <sz val="9"/>
            <color indexed="81"/>
            <rFont val="Tahoma"/>
            <family val="2"/>
          </rPr>
          <t>towerj:</t>
        </r>
        <r>
          <rPr>
            <sz val="9"/>
            <color indexed="81"/>
            <rFont val="Tahoma"/>
            <family val="2"/>
          </rPr>
          <t xml:space="preserve">
7.19.06 prior to SO expensing, was $262 million</t>
        </r>
      </text>
    </comment>
    <comment ref="AR28" authorId="0">
      <text>
        <r>
          <rPr>
            <b/>
            <sz val="9"/>
            <color indexed="81"/>
            <rFont val="Tahoma"/>
            <family val="2"/>
          </rPr>
          <t>towerj:</t>
        </r>
        <r>
          <rPr>
            <sz val="9"/>
            <color indexed="81"/>
            <rFont val="Tahoma"/>
            <family val="2"/>
          </rPr>
          <t xml:space="preserve">
10.11.06 was $252 prior to sbc expense</t>
        </r>
      </text>
    </comment>
    <comment ref="AT28" authorId="7">
      <text>
        <r>
          <rPr>
            <sz val="8"/>
            <color indexed="81"/>
            <rFont val="Tahoma"/>
            <family val="2"/>
          </rPr>
          <t>increase 2% to 3%
=1077 to 1087
7/13/05 General and administrative costs (G&amp;A) will increase versus 2004 by approximately +3% prior to the impact of
the fifty-third week, due to increased China spending to support brand expansion and higher charges relating to
certain litigation matters. The fifty-third week adds approximately +1% for the full year.  =1087 to 1099
10.5.05 
12.1.05 - SBC expense included in G&amp;A will be $47 mill for 2005 --- not presently included in our $1.098 mill est.
2.6.06 includes $48 mill in stock option expense</t>
        </r>
      </text>
    </comment>
    <comment ref="AY28" authorId="3">
      <text>
        <r>
          <rPr>
            <b/>
            <sz val="8"/>
            <color indexed="81"/>
            <rFont val="Tahoma"/>
            <family val="2"/>
          </rPr>
          <t>glassj:</t>
        </r>
        <r>
          <rPr>
            <sz val="8"/>
            <color indexed="81"/>
            <rFont val="Tahoma"/>
            <family val="2"/>
          </rPr>
          <t xml:space="preserve">
12/05: +1% y/y</t>
        </r>
      </text>
    </comment>
    <comment ref="BD28" authorId="0">
      <text>
        <r>
          <rPr>
            <b/>
            <sz val="8"/>
            <color indexed="81"/>
            <rFont val="Tahoma"/>
            <family val="2"/>
          </rPr>
          <t>towerj:</t>
        </r>
        <r>
          <rPr>
            <sz val="8"/>
            <color indexed="81"/>
            <rFont val="Tahoma"/>
            <family val="2"/>
          </rPr>
          <t xml:space="preserve">
10.8.07
reit +5% Y/Y
11.30.06 General and administrative costs will increase versus 2006 by +5% due to the continued investment in mainland China and acquisition of the U.K. Pizza Hut joint venture. The U.K. Pizza Hut acquisition adds about $30 million or 3 percentage points impact to YUM.</t>
        </r>
      </text>
    </comment>
    <comment ref="BE28" authorId="15">
      <text>
        <r>
          <rPr>
            <b/>
            <sz val="8"/>
            <color indexed="81"/>
            <rFont val="Tahoma"/>
            <family val="2"/>
          </rPr>
          <t>jon tower:
2.4.08</t>
        </r>
        <r>
          <rPr>
            <sz val="8"/>
            <color indexed="81"/>
            <rFont val="Tahoma"/>
            <family val="2"/>
          </rPr>
          <t xml:space="preserve">
charges of up to $10 million before taxes
related to G&amp;A productivity initiatives and realignment of resources to drive stronger U.S. brand growth;</t>
        </r>
        <r>
          <rPr>
            <sz val="8"/>
            <color indexed="81"/>
            <rFont val="Tahoma"/>
            <family val="2"/>
          </rPr>
          <t xml:space="preserve">. </t>
        </r>
      </text>
    </comment>
    <comment ref="BH28" authorId="1">
      <text>
        <r>
          <rPr>
            <b/>
            <sz val="8"/>
            <color indexed="81"/>
            <rFont val="Tahoma"/>
            <family val="2"/>
          </rPr>
          <t>Jon Tower:</t>
        </r>
        <r>
          <rPr>
            <sz val="8"/>
            <color indexed="81"/>
            <rFont val="Tahoma"/>
            <family val="2"/>
          </rPr>
          <t xml:space="preserve">
2.3.09
includes $41M in charges related to US G&amp;A productivity initiatives &amp; realignment of resources  --- shows up in special items</t>
        </r>
      </text>
    </comment>
    <comment ref="BI28" authorId="1">
      <text>
        <r>
          <rPr>
            <b/>
            <sz val="8"/>
            <color indexed="81"/>
            <rFont val="Tahoma"/>
            <family val="2"/>
          </rPr>
          <t>Jon Tower:</t>
        </r>
        <r>
          <rPr>
            <sz val="8"/>
            <color indexed="81"/>
            <rFont val="Tahoma"/>
            <family val="2"/>
          </rPr>
          <t xml:space="preserve">
3.19.09
$1342M reported
includes $49M one-time charges, hence operating would be $1293M 
</t>
        </r>
      </text>
    </comment>
    <comment ref="BJ28" authorId="1">
      <text>
        <r>
          <rPr>
            <b/>
            <sz val="8"/>
            <color indexed="81"/>
            <rFont val="Tahoma"/>
            <family val="2"/>
          </rPr>
          <t>Jon Tower:</t>
        </r>
        <r>
          <rPr>
            <sz val="8"/>
            <color indexed="81"/>
            <rFont val="Tahoma"/>
            <family val="2"/>
          </rPr>
          <t xml:space="preserve">
12.10.08
In the first quarter of 2009, U.S. G&amp;A restructuring charges are expected to total about $10 million. Some additional charges could occur in Q2.</t>
        </r>
      </text>
    </comment>
    <comment ref="BK28" authorId="1">
      <text>
        <r>
          <rPr>
            <b/>
            <sz val="8"/>
            <color indexed="81"/>
            <rFont val="Tahoma"/>
            <family val="2"/>
          </rPr>
          <t>Jon Tower:</t>
        </r>
        <r>
          <rPr>
            <sz val="8"/>
            <color indexed="81"/>
            <rFont val="Tahoma"/>
            <family val="2"/>
          </rPr>
          <t xml:space="preserve">
12.10.08
In the first quarter of 2009, U.S. G&amp;A restructuring charges are expected to total about $10 million. Some additional charges could occur in Q2.</t>
        </r>
      </text>
    </comment>
    <comment ref="BN28" authorId="1">
      <text>
        <r>
          <rPr>
            <b/>
            <sz val="8"/>
            <color indexed="81"/>
            <rFont val="Tahoma"/>
            <family val="2"/>
          </rPr>
          <t xml:space="preserve">Jon Tower:
3.19.09
convo with Bruce Bishop:
$1342M reported
includes $49M one-time charges, hence operating would be $1293M
then inflate by 1%
back out $70M in G&amp;A savings
reach ~$1,236M for the year.
2.4.09
</t>
        </r>
        <r>
          <rPr>
            <sz val="8"/>
            <color indexed="81"/>
            <rFont val="Tahoma"/>
            <family val="2"/>
          </rPr>
          <t xml:space="preserve">Use $1342M in '08
back out $70M in savings
add inflation of 1% (our est).
=$1284M
</t>
        </r>
        <r>
          <rPr>
            <sz val="8"/>
            <color indexed="81"/>
            <rFont val="Tahoma"/>
            <family val="2"/>
          </rPr>
          <t xml:space="preserve">
12.10.08
should be down $70M Y/Y ex-special items of $10M in 1Q</t>
        </r>
      </text>
    </comment>
    <comment ref="BX28" authorId="1">
      <text>
        <r>
          <rPr>
            <b/>
            <sz val="8"/>
            <color indexed="81"/>
            <rFont val="Tahoma"/>
            <family val="2"/>
          </rPr>
          <t>Jon Tower:</t>
        </r>
        <r>
          <rPr>
            <sz val="8"/>
            <color indexed="81"/>
            <rFont val="Tahoma"/>
            <family val="2"/>
          </rPr>
          <t xml:space="preserve">
2.3.11
implies $1,302.5M off of '10 base (+2%)
12/8/10
+2% Y/Y ex-FX or 53rd week.
</t>
        </r>
      </text>
    </comment>
    <comment ref="CH28" authorId="8">
      <text>
        <r>
          <rPr>
            <b/>
            <sz val="8"/>
            <color indexed="81"/>
            <rFont val="Tahoma"/>
            <family val="2"/>
          </rPr>
          <t>Sushama Dasari:</t>
        </r>
        <r>
          <rPr>
            <sz val="8"/>
            <color indexed="81"/>
            <rFont val="Tahoma"/>
            <family val="2"/>
          </rPr>
          <t xml:space="preserve">
</t>
        </r>
        <r>
          <rPr>
            <b/>
            <sz val="8"/>
            <color indexed="81"/>
            <rFont val="Tahoma"/>
            <family val="2"/>
          </rPr>
          <t xml:space="preserve">2.5.13
</t>
        </r>
        <r>
          <rPr>
            <sz val="8"/>
            <color indexed="81"/>
            <rFont val="Tahoma"/>
            <family val="2"/>
          </rPr>
          <t>Marketing budget is $400M</t>
        </r>
        <r>
          <rPr>
            <sz val="8"/>
            <color indexed="81"/>
            <rFont val="Tahoma"/>
            <family val="2"/>
          </rPr>
          <t xml:space="preserve">
</t>
        </r>
        <r>
          <rPr>
            <b/>
            <sz val="8"/>
            <color indexed="81"/>
            <rFont val="Tahoma"/>
            <family val="2"/>
          </rPr>
          <t xml:space="preserve">12.6.12
</t>
        </r>
        <r>
          <rPr>
            <sz val="8"/>
            <color indexed="81"/>
            <rFont val="Tahoma"/>
            <family val="2"/>
          </rPr>
          <t>Assume worldwide G&amp;A +3% in 2013, with investments in emerging markets offset by savings from PH UK &amp; U.S.</t>
        </r>
      </text>
    </comment>
    <comment ref="CM28" authorId="2">
      <text>
        <r>
          <rPr>
            <b/>
            <sz val="8"/>
            <color indexed="81"/>
            <rFont val="Tahoma"/>
            <family val="2"/>
          </rPr>
          <t>2013 10K</t>
        </r>
        <r>
          <rPr>
            <sz val="8"/>
            <color indexed="81"/>
            <rFont val="Tahoma"/>
            <family val="2"/>
          </rPr>
          <t xml:space="preserve">
Expect pension expense for US plans to decrease by $60M in '14. </t>
        </r>
        <r>
          <rPr>
            <b/>
            <sz val="8"/>
            <color indexed="81"/>
            <rFont val="Tahoma"/>
            <family val="2"/>
          </rPr>
          <t xml:space="preserve">
12.4.13
</t>
        </r>
        <r>
          <rPr>
            <sz val="8"/>
            <color indexed="81"/>
            <rFont val="Tahoma"/>
            <family val="2"/>
          </rPr>
          <t xml:space="preserve">Pension costs will be lower by $45M (50% due to higher discount rate and 50% due to pension buyouts.) </t>
        </r>
        <r>
          <rPr>
            <sz val="8"/>
            <color indexed="81"/>
            <rFont val="Tahoma"/>
            <family val="2"/>
          </rPr>
          <t xml:space="preserve">
</t>
        </r>
      </text>
    </comment>
    <comment ref="DA28" authorId="6">
      <text>
        <r>
          <rPr>
            <b/>
            <sz val="9"/>
            <color indexed="81"/>
            <rFont val="Tahoma"/>
            <family val="2"/>
          </rPr>
          <t>O'Brien, Courtney (Research):</t>
        </r>
        <r>
          <rPr>
            <sz val="9"/>
            <color indexed="81"/>
            <rFont val="Tahoma"/>
            <family val="2"/>
          </rPr>
          <t xml:space="preserve">
LAPPING G&amp;A WITH 93m ADJ</t>
        </r>
      </text>
    </comment>
    <comment ref="DL28" authorId="6">
      <text>
        <r>
          <rPr>
            <b/>
            <sz val="9"/>
            <color indexed="81"/>
            <rFont val="Tahoma"/>
            <family val="2"/>
          </rPr>
          <t>O'Brien, Courtney (Research):</t>
        </r>
        <r>
          <rPr>
            <sz val="9"/>
            <color indexed="81"/>
            <rFont val="Tahoma"/>
            <family val="2"/>
          </rPr>
          <t xml:space="preserve">
10.11.16
reduce g&amp;a by 300M by fy19 vs fy15
=~$800 m</t>
        </r>
      </text>
    </comment>
    <comment ref="EC28" authorId="10">
      <text>
        <r>
          <rPr>
            <sz val="8"/>
            <color indexed="81"/>
            <rFont val="Tahoma"/>
            <family val="2"/>
          </rPr>
          <t>Includes G&amp;A expenses, franchise and license expenses, other(income) expense.</t>
        </r>
      </text>
    </comment>
    <comment ref="A30" authorId="1">
      <text>
        <r>
          <rPr>
            <b/>
            <sz val="8"/>
            <color indexed="81"/>
            <rFont val="Tahoma"/>
            <family val="2"/>
          </rPr>
          <t>Jon Tower:</t>
        </r>
        <r>
          <rPr>
            <sz val="8"/>
            <color indexed="81"/>
            <rFont val="Tahoma"/>
            <family val="2"/>
          </rPr>
          <t xml:space="preserve">
2.3.10
The “Franchise and License Expense” includes direct costs of supporting our franchise and license operations.  The following are a few examples of Franchise and License Expenses to help clarify what goes into this account: i) provisions for franchise and license marketing funding (marketing expenses that we pay in support of a franchise-only market or a portion of marketing expenses that benefit franchisees in a market with both company and franchise units), ii) certain direct incremental franchise and license support costs (such as food safety audits, CHAMPS reviews, internet training and hiring tools), iii) rent expense, depreciation and other facility related expenses on properties that are being leased or subleased to a franchisee (such as the business rental program in France), iv) direct franchise convention meeting costs, and v) estimated uncollectible royalties/fees (bad debt write offs).
</t>
        </r>
      </text>
    </comment>
    <comment ref="AN30" authorId="7">
      <text>
        <r>
          <rPr>
            <sz val="8"/>
            <color indexed="81"/>
            <rFont val="Tahoma"/>
            <family val="2"/>
          </rPr>
          <t>12/2/04 2004 implied at 40 to 45, inturn implies 18 to 23 million in 4Q</t>
        </r>
      </text>
    </comment>
    <comment ref="AQ30" authorId="7">
      <text>
        <r>
          <rPr>
            <sz val="8"/>
            <color indexed="81"/>
            <rFont val="Tahoma"/>
            <family val="2"/>
          </rPr>
          <t>12.2.05 at least 2 million increase due to biennial franchise convention</t>
        </r>
      </text>
    </comment>
    <comment ref="AT30" authorId="7">
      <text>
        <r>
          <rPr>
            <sz val="8"/>
            <color indexed="81"/>
            <rFont val="Tahoma"/>
            <family val="2"/>
          </rPr>
          <t>12/2/04 increase 5 to 6 million, at least 2 million attributable to biannual international franchise convention in 2Q</t>
        </r>
      </text>
    </comment>
    <comment ref="DB30" authorId="6">
      <text>
        <r>
          <rPr>
            <b/>
            <sz val="9"/>
            <color indexed="81"/>
            <rFont val="Tahoma"/>
            <family val="2"/>
          </rPr>
          <t>O'Brien, Courtney (Research):</t>
        </r>
        <r>
          <rPr>
            <sz val="9"/>
            <color indexed="81"/>
            <rFont val="Tahoma"/>
            <family val="2"/>
          </rPr>
          <t xml:space="preserve">
includes 25M PH advertising expense
</t>
        </r>
      </text>
    </comment>
    <comment ref="AY32" authorId="0">
      <text>
        <r>
          <rPr>
            <b/>
            <sz val="8"/>
            <color indexed="81"/>
            <rFont val="Tahoma"/>
            <family val="2"/>
          </rPr>
          <t>towerj:</t>
        </r>
        <r>
          <rPr>
            <sz val="8"/>
            <color indexed="81"/>
            <rFont val="Tahoma"/>
            <family val="2"/>
          </rPr>
          <t xml:space="preserve">
12.1.05 $45 to $50 mill
7.19.06 reit</t>
        </r>
      </text>
    </comment>
    <comment ref="BD32" authorId="0">
      <text>
        <r>
          <rPr>
            <b/>
            <sz val="9"/>
            <color indexed="81"/>
            <rFont val="Tahoma"/>
            <family val="2"/>
          </rPr>
          <t>towerj:
10.8.07
reit $30-40M
7.11.07 $30-40M</t>
        </r>
        <r>
          <rPr>
            <sz val="9"/>
            <color indexed="81"/>
            <rFont val="Tahoma"/>
            <family val="2"/>
          </rPr>
          <t xml:space="preserve">
11.30.06 $45-$50 million</t>
        </r>
      </text>
    </comment>
    <comment ref="BI32" authorId="15">
      <text>
        <r>
          <rPr>
            <b/>
            <sz val="8"/>
            <color indexed="81"/>
            <rFont val="Tahoma"/>
            <family val="2"/>
          </rPr>
          <t>jon tower:
7.16.08
reit</t>
        </r>
        <r>
          <rPr>
            <sz val="8"/>
            <color indexed="81"/>
            <rFont val="Tahoma"/>
            <family val="2"/>
          </rPr>
          <t xml:space="preserve">
12.6.07
Worldwide closure and impairment charges of $30 to $40 million</t>
        </r>
      </text>
    </comment>
    <comment ref="BK32" authorId="1">
      <text>
        <r>
          <rPr>
            <b/>
            <sz val="8"/>
            <color indexed="81"/>
            <rFont val="Tahoma"/>
            <family val="2"/>
          </rPr>
          <t>Jon Tower:</t>
        </r>
        <r>
          <rPr>
            <sz val="8"/>
            <color indexed="81"/>
            <rFont val="Tahoma"/>
            <family val="2"/>
          </rPr>
          <t xml:space="preserve">
4.22.09
We anticipate an increase in year-over-year closure and impairment expenses driven by the lap of last year’s gain of over $10 million from property sales and lease terminations.
In 2009, we expect some minor closure expenses and the potential for an increase in impairment charges. This is in line with our previously disclosed 2009 full year guidance.</t>
        </r>
      </text>
    </comment>
    <comment ref="BN32" authorId="1">
      <text>
        <r>
          <rPr>
            <b/>
            <sz val="8"/>
            <color indexed="81"/>
            <rFont val="Tahoma"/>
            <family val="2"/>
          </rPr>
          <t>Jon Tower:</t>
        </r>
        <r>
          <rPr>
            <sz val="8"/>
            <color indexed="81"/>
            <rFont val="Tahoma"/>
            <family val="2"/>
          </rPr>
          <t xml:space="preserve">
12.10.08
$65M</t>
        </r>
      </text>
    </comment>
    <comment ref="BS32" authorId="1">
      <text>
        <r>
          <rPr>
            <b/>
            <sz val="8"/>
            <color indexed="81"/>
            <rFont val="Tahoma"/>
            <family val="2"/>
          </rPr>
          <t>Jon Tower:</t>
        </r>
        <r>
          <rPr>
            <sz val="8"/>
            <color indexed="81"/>
            <rFont val="Tahoma"/>
            <family val="2"/>
          </rPr>
          <t xml:space="preserve">
12.9.09
Worldwide closure and impairment charges of about $65 million.</t>
        </r>
      </text>
    </comment>
    <comment ref="AI35" authorId="7">
      <text>
        <r>
          <rPr>
            <sz val="8"/>
            <color indexed="81"/>
            <rFont val="Tahoma"/>
            <family val="2"/>
          </rPr>
          <t>10/7/03 - slightly better than last year</t>
        </r>
      </text>
    </comment>
    <comment ref="AO35" authorId="7">
      <text>
        <r>
          <rPr>
            <sz val="8"/>
            <color indexed="81"/>
            <rFont val="Tahoma"/>
            <family val="2"/>
          </rPr>
          <t>12/4/03 "breakeven"
12/2/04 10 million</t>
        </r>
      </text>
    </comment>
    <comment ref="AY35" authorId="0">
      <text>
        <r>
          <rPr>
            <b/>
            <sz val="8"/>
            <color indexed="81"/>
            <rFont val="Tahoma"/>
            <family val="2"/>
          </rPr>
          <t>towerj:</t>
        </r>
        <r>
          <rPr>
            <sz val="8"/>
            <color indexed="81"/>
            <rFont val="Tahoma"/>
            <family val="2"/>
          </rPr>
          <t xml:space="preserve">
12.1.05 $0 to $15 million
7.19.06 reit</t>
        </r>
      </text>
    </comment>
    <comment ref="BA35" authorId="4">
      <text>
        <r>
          <rPr>
            <sz val="8"/>
            <color indexed="81"/>
            <rFont val="Tahoma"/>
            <family val="2"/>
          </rPr>
          <t>5.2.07
However, I can tell you that in quarter two just ahead, based on the
number and the nature of the deals in the pipeline, we will not match last year's gain of $15 million in quarter two. In fact, it is
very likely we will only achieve a slight gain in quarter two. This will have a negative 5 to 6 percentage point impact to quarter
two EPS.</t>
        </r>
      </text>
    </comment>
    <comment ref="BD35" authorId="0">
      <text>
        <r>
          <rPr>
            <b/>
            <sz val="9"/>
            <color indexed="81"/>
            <rFont val="Tahoma"/>
            <family val="2"/>
          </rPr>
          <t>towerj:
10.8.07
reit $0-$15M</t>
        </r>
        <r>
          <rPr>
            <sz val="9"/>
            <color indexed="81"/>
            <rFont val="Tahoma"/>
            <family val="2"/>
          </rPr>
          <t xml:space="preserve">
11.30.06 $$0 to $15 million in gains</t>
        </r>
      </text>
    </comment>
    <comment ref="BE35" authorId="1">
      <text>
        <r>
          <rPr>
            <b/>
            <sz val="8"/>
            <color indexed="81"/>
            <rFont val="Tahoma"/>
            <family val="2"/>
          </rPr>
          <t>Jon Tower:
2.4.08</t>
        </r>
        <r>
          <rPr>
            <sz val="8"/>
            <color indexed="81"/>
            <rFont val="Tahoma"/>
            <family val="2"/>
          </rPr>
          <t xml:space="preserve">
expected refranchising losses of about $20 million.</t>
        </r>
      </text>
    </comment>
    <comment ref="BH35" authorId="1">
      <text>
        <r>
          <rPr>
            <b/>
            <sz val="8"/>
            <color indexed="81"/>
            <rFont val="Tahoma"/>
            <family val="2"/>
          </rPr>
          <t>Jon Tower:</t>
        </r>
        <r>
          <rPr>
            <sz val="8"/>
            <color indexed="81"/>
            <rFont val="Tahoma"/>
            <family val="2"/>
          </rPr>
          <t xml:space="preserve">
2.3.09
includes $17M in US refranchising gains captured in special items</t>
        </r>
      </text>
    </comment>
    <comment ref="BI35" authorId="15">
      <text>
        <r>
          <rPr>
            <b/>
            <sz val="8"/>
            <color indexed="81"/>
            <rFont val="Tahoma"/>
            <family val="2"/>
          </rPr>
          <t>jon tower:
7.16.08
US no longer expected to have gains, YRI have $5-$10M in gains</t>
        </r>
        <r>
          <rPr>
            <sz val="8"/>
            <color indexed="81"/>
            <rFont val="Tahoma"/>
            <family val="2"/>
          </rPr>
          <t xml:space="preserve">
12.6.07
Global gains from refranchising ranging from $20 to $50 million</t>
        </r>
      </text>
    </comment>
    <comment ref="BO35" authorId="1">
      <text>
        <r>
          <rPr>
            <b/>
            <sz val="8"/>
            <color indexed="81"/>
            <rFont val="Tahoma"/>
            <family val="2"/>
          </rPr>
          <t>Jon Tower:</t>
        </r>
        <r>
          <rPr>
            <sz val="8"/>
            <color indexed="81"/>
            <rFont val="Tahoma"/>
            <family val="2"/>
          </rPr>
          <t xml:space="preserve">
4.15.10
Special items included $56 million of expense from refranchising in the U.S. as we continue to execute our U.S. ownership restructuring plan. This includes refranchising gains from 46 restaurants including 27 Pizza Huts and 19 Taco Bells sold in the first quarter and a non-cash charge related to the offer to sell (refranchise) a substantial portion of the KFC U.S. company units. Our current company ownership stands at 16%.</t>
        </r>
      </text>
    </comment>
    <comment ref="BP35" authorId="1">
      <text>
        <r>
          <rPr>
            <b/>
            <sz val="8"/>
            <color indexed="81"/>
            <rFont val="Tahoma"/>
            <family val="2"/>
          </rPr>
          <t>Jon Tower:</t>
        </r>
        <r>
          <rPr>
            <sz val="8"/>
            <color indexed="81"/>
            <rFont val="Tahoma"/>
            <family val="2"/>
          </rPr>
          <t xml:space="preserve">
7.13.10:
INCLUDES ONE-TIME ITEMS:
US refranchising gain (loss) = 5M
</t>
        </r>
      </text>
    </comment>
    <comment ref="BR35" authorId="1">
      <text>
        <r>
          <rPr>
            <b/>
            <sz val="8"/>
            <color indexed="81"/>
            <rFont val="Tahoma"/>
            <family val="2"/>
          </rPr>
          <t>Jon Tower:</t>
        </r>
        <r>
          <rPr>
            <sz val="8"/>
            <color indexed="81"/>
            <rFont val="Tahoma"/>
            <family val="2"/>
          </rPr>
          <t xml:space="preserve">
10.5.10
In the fourth quarter we anticipate recording a pre-tax refranchising loss of approximately $50 million in special items as a result of this transaction
---
Subsequent to the end of our third quarter we agreed to refranchise all of our company owned restaurants in Mexico, which includes 224 KFCs and 123 Pizza Huts. The buyer is an existing Latin American franchise partner, who will also serve as the master franchisor for the Mexico market. We expect the transaction to close by the end of October</t>
        </r>
      </text>
    </comment>
    <comment ref="AL36" authorId="3">
      <text>
        <r>
          <rPr>
            <b/>
            <sz val="8"/>
            <color indexed="81"/>
            <rFont val="Tahoma"/>
            <family val="2"/>
          </rPr>
          <t>glassj:</t>
        </r>
        <r>
          <rPr>
            <sz val="8"/>
            <color indexed="81"/>
            <rFont val="Tahoma"/>
            <family val="2"/>
          </rPr>
          <t xml:space="preserve">
higher losses on refranchiing transactions
total of $0.01 per share</t>
        </r>
      </text>
    </comment>
    <comment ref="AQ36" authorId="7">
      <text>
        <r>
          <rPr>
            <sz val="8"/>
            <color indexed="81"/>
            <rFont val="Tahoma"/>
            <family val="2"/>
          </rPr>
          <t>4.20.05 slightly lower facility lower actions than last year - could go up if Poland/Czech JV IPO goes off</t>
        </r>
      </text>
    </comment>
    <comment ref="AR36" authorId="0">
      <text>
        <r>
          <rPr>
            <b/>
            <sz val="8"/>
            <color indexed="81"/>
            <rFont val="Tahoma"/>
            <family val="2"/>
          </rPr>
          <t>towerj:</t>
        </r>
        <r>
          <rPr>
            <sz val="8"/>
            <color indexed="81"/>
            <rFont val="Tahoma"/>
            <family val="2"/>
          </rPr>
          <t xml:space="preserve">
10.5.05 higher facility actions related primarily to closures in U.S.</t>
        </r>
      </text>
    </comment>
    <comment ref="AS36" authorId="7">
      <text>
        <r>
          <rPr>
            <sz val="8"/>
            <color indexed="81"/>
            <rFont val="Tahoma"/>
            <family val="2"/>
          </rPr>
          <t>7/13/05 In the fourth quarter, facility-action expenses and the effective tax rate are both expected to be unfavorable
versus the prior year, more than offsetting the benefit of the fifty-third week.
10.5.05 -- higher y/y</t>
        </r>
      </text>
    </comment>
    <comment ref="AT36" authorId="7">
      <text>
        <r>
          <rPr>
            <sz val="8"/>
            <color indexed="81"/>
            <rFont val="Tahoma"/>
            <family val="2"/>
          </rPr>
          <t xml:space="preserve">7/13/05 Facility actions to include $60 to $65 million of closure and impairment charges, an increase of $20 million versus 2004. Refranchising gains are expected to be about even with the 2004 full-year forecast of about $10 million. The forecast could be revised upward based on additional reviews during the third quarter.
10.5.05 -- Facility actions to include about $65 million of closure and
 impairment charges, an increase of approximately $30 million  versus 2004. Refranchising gains are expected to be over $30
million for the full year versus $12 million last year.
</t>
        </r>
      </text>
    </comment>
    <comment ref="BT36" authorId="1">
      <text>
        <r>
          <rPr>
            <b/>
            <sz val="8"/>
            <color indexed="81"/>
            <rFont val="Tahoma"/>
            <family val="2"/>
          </rPr>
          <t>Jon Tower:</t>
        </r>
        <r>
          <rPr>
            <sz val="8"/>
            <color indexed="81"/>
            <rFont val="Tahoma"/>
            <family val="2"/>
          </rPr>
          <t xml:space="preserve">
4.20.11
During the first quarter, we decided to sell our Long John Silver’s and A&amp;W All American Food brands. As a result, we recorded a non-cash pre-tax charge in Special Items of $66 million related to the impairment of intangible assets</t>
        </r>
      </text>
    </comment>
    <comment ref="A37" authorId="0">
      <text>
        <r>
          <rPr>
            <b/>
            <sz val="8"/>
            <color indexed="81"/>
            <rFont val="Tahoma"/>
            <family val="2"/>
          </rPr>
          <t xml:space="preserve">towerj:
</t>
        </r>
        <r>
          <rPr>
            <sz val="8"/>
            <color indexed="81"/>
            <rFont val="Tahoma"/>
            <family val="2"/>
          </rPr>
          <t>4.24.06  Other (income) expense primarily includes equity income from investments in unconsolidated affiliates and, in the quarter ended March
25, 2006, an $8 million charge associated with the termination of a beverage agreement in the United States segment.</t>
        </r>
      </text>
    </comment>
    <comment ref="AA37" authorId="3">
      <text>
        <r>
          <rPr>
            <b/>
            <sz val="8"/>
            <color indexed="81"/>
            <rFont val="Tahoma"/>
            <family val="2"/>
          </rPr>
          <t>glassj:</t>
        </r>
        <r>
          <rPr>
            <sz val="8"/>
            <color indexed="81"/>
            <rFont val="Tahoma"/>
            <family val="2"/>
          </rPr>
          <t xml:space="preserve">
store closure costs $8
store impairment $4
equity income ($5)
forex $-</t>
        </r>
      </text>
    </comment>
    <comment ref="AB37" authorId="7">
      <text>
        <r>
          <rPr>
            <sz val="8"/>
            <color indexed="81"/>
            <rFont val="Tahoma"/>
            <family val="2"/>
          </rPr>
          <t xml:space="preserve">store closure costs $5
impairment charges $8
equity income ($8)
forex $-
</t>
        </r>
      </text>
    </comment>
    <comment ref="AK37" authorId="7">
      <text>
        <r>
          <rPr>
            <sz val="8"/>
            <color indexed="81"/>
            <rFont val="Tahoma"/>
            <family val="2"/>
          </rPr>
          <t>4/21/04 Yan Can liquidation expenses captured in this line</t>
        </r>
      </text>
    </comment>
    <comment ref="AQ37" authorId="7">
      <text>
        <r>
          <rPr>
            <sz val="8"/>
            <color indexed="81"/>
            <rFont val="Tahoma"/>
            <family val="2"/>
          </rPr>
          <t>4.20.05 possibility of one-time gain of at least $15M from Poland Czechh joint venture IPO
6.16.05  IPO of our Poland/Czech Republic joint venture occurred April 27, 2005. Including the impact of the IPO transaction, EPS for the second quarter is expected to total $0.59 to $0.60. The transaction generated a gain of $17 million, which will be reflected in other income.</t>
        </r>
        <r>
          <rPr>
            <b/>
            <sz val="8"/>
            <color indexed="81"/>
            <rFont val="Tahoma"/>
            <family val="2"/>
          </rPr>
          <t xml:space="preserve"> Our other income estimate INLUDES the $17M = ~$0.04</t>
        </r>
      </text>
    </comment>
    <comment ref="AR37" authorId="0">
      <text>
        <r>
          <rPr>
            <b/>
            <sz val="8"/>
            <color indexed="81"/>
            <rFont val="Tahoma"/>
            <family val="2"/>
          </rPr>
          <t>towerj:</t>
        </r>
        <r>
          <rPr>
            <sz val="8"/>
            <color indexed="81"/>
            <rFont val="Tahoma"/>
            <family val="2"/>
          </rPr>
          <t xml:space="preserve">
10.5.05 includes ~$12 million from recovery from Chinese suppliers due to Red Dye incident - the remaining $2million (</t>
        </r>
        <r>
          <rPr>
            <b/>
            <sz val="8"/>
            <color indexed="81"/>
            <rFont val="Tahoma"/>
            <family val="2"/>
          </rPr>
          <t>totaling ~$14 million</t>
        </r>
        <r>
          <rPr>
            <sz val="8"/>
            <color indexed="81"/>
            <rFont val="Tahoma"/>
            <family val="2"/>
          </rPr>
          <t xml:space="preserve">) was recognized through equity income from investment in unconsolidate affiliates </t>
        </r>
        <r>
          <rPr>
            <b/>
            <sz val="8"/>
            <color indexed="81"/>
            <rFont val="Tahoma"/>
            <family val="2"/>
          </rPr>
          <t>(also in other (income)/expense)</t>
        </r>
      </text>
    </comment>
    <comment ref="AU37" authorId="0">
      <text>
        <r>
          <rPr>
            <b/>
            <sz val="8"/>
            <color indexed="81"/>
            <rFont val="Tahoma"/>
            <family val="2"/>
          </rPr>
          <t>towerj:</t>
        </r>
        <r>
          <rPr>
            <sz val="8"/>
            <color indexed="81"/>
            <rFont val="Tahoma"/>
            <family val="2"/>
          </rPr>
          <t xml:space="preserve">
4.24.06
includes an $8 million charge associated with the termination of a beverage agreement in the United States segment.</t>
        </r>
      </text>
    </comment>
    <comment ref="AZ37" authorId="1">
      <text>
        <r>
          <rPr>
            <b/>
            <sz val="8"/>
            <color indexed="81"/>
            <rFont val="Tahoma"/>
            <family val="2"/>
          </rPr>
          <t>Jon Tower:</t>
        </r>
        <r>
          <rPr>
            <sz val="8"/>
            <color indexed="81"/>
            <rFont val="Tahoma"/>
            <family val="2"/>
          </rPr>
          <t xml:space="preserve">
2.4.08
In the
quarter ended March 24, 2007, other (income) expense also included recognition of income of $5 million associated with receipt of
payment for a note receivable arising from the 2005 sale of our fifty percent interest in the entity that operated almost all KFCs and Pizza
Huts in Poland and the Czech Republic to our then partner in the entity.</t>
        </r>
      </text>
    </comment>
    <comment ref="BC37" authorId="1">
      <text>
        <r>
          <rPr>
            <b/>
            <sz val="8"/>
            <color indexed="81"/>
            <rFont val="Tahoma"/>
            <family val="2"/>
          </rPr>
          <t>Jon Tower:</t>
        </r>
        <r>
          <rPr>
            <sz val="8"/>
            <color indexed="81"/>
            <rFont val="Tahoma"/>
            <family val="2"/>
          </rPr>
          <t xml:space="preserve">
2.4.08
other (income) expense also includes recognition of $11 million of income from a
recovery from an insurance carrier related to a lawsuit against Taco Bell Corp that was settled in 2004 (the Wrench litigation).</t>
        </r>
      </text>
    </comment>
    <comment ref="BE37" authorId="15">
      <text>
        <r>
          <rPr>
            <b/>
            <sz val="8"/>
            <color indexed="81"/>
            <rFont val="Tahoma"/>
            <family val="2"/>
          </rPr>
          <t>jon tower:
2.4.08
1X gain from sale of MI KFC Japan -- will net out to be $50M pre-tax profit (or $0.06 EPS)</t>
        </r>
        <r>
          <rPr>
            <sz val="8"/>
            <color indexed="81"/>
            <rFont val="Tahoma"/>
            <family val="2"/>
          </rPr>
          <t xml:space="preserve">
12.6.07
(1) one-time gain from the sale of our minority interest in KFC Japan (at least $70 million before taxes in Q1 2008), </t>
        </r>
      </text>
    </comment>
    <comment ref="BY37" authorId="1">
      <text>
        <r>
          <rPr>
            <b/>
            <sz val="8"/>
            <color indexed="81"/>
            <rFont val="Tahoma"/>
            <family val="2"/>
          </rPr>
          <t>Jon Tower:</t>
        </r>
        <r>
          <rPr>
            <sz val="8"/>
            <color indexed="81"/>
            <rFont val="Tahoma"/>
            <family val="2"/>
          </rPr>
          <t xml:space="preserve">
4.18.12
On February 1, 2012 we acquired an additional 66% interest in Little Sheep for $540 million, net of cash acquired of $44
million, increasing our ownership to 93%. The acquisition was driven by our strategy to build leading brands across
China in every significant category. Prior to our acquisition of this additional interest, our 27% interest in Little Sheep
was accounted for under the equity method of accounting. As a result of the acquisition we obtained voting control of
Little Sheep, and thus we began consolidating Little Sheep upon acquisition. As required by GAAP, we remeasured our
previously held 27% ownership in Little Sheep, which had a recorded value of $107 million at the date of acquisition,
at fair value and recognized a non-cash gain of $74 million. This gain, which resulted in no related income tax expense,
was recorded in Other (income) expense on our Condensed Consolidated Statement of Income during the quarter ended
March 24, 2012 and was not allocated to any segment for performance reporting purposes (see accompanying
reconciliation to reported results).
Other than the $74 million gain discussed above, for the quarter ended March 24, 2012, the consolidation of Little Sheep
did not impact Operating Profit or Net Income - YUM! Brands, Inc. While we have not yet completed our allocation of
the purchase price, our Condensed Consolidated Balance Sheet at March 24, 2012 reflects the consolidation of this entity
using preliminary amounts, including $283 million of goodwill and $521 million of other intangible assets. Also, we
released from escrow $300 million of cash that was deemed restricted prior to our acquisition of Little Sheep.</t>
        </r>
      </text>
    </comment>
    <comment ref="AF38" authorId="7">
      <text>
        <r>
          <rPr>
            <sz val="8"/>
            <color indexed="81"/>
            <rFont val="Tahoma"/>
            <family val="2"/>
          </rPr>
          <t>2/10/03 - expected to include 3-5 million in favorable FX impact</t>
        </r>
      </text>
    </comment>
    <comment ref="AI38" authorId="7">
      <text>
        <r>
          <rPr>
            <sz val="8"/>
            <color indexed="81"/>
            <rFont val="Tahoma"/>
            <family val="2"/>
          </rPr>
          <t xml:space="preserve">10/7/03 - $5-6 million fx benefit
</t>
        </r>
      </text>
    </comment>
    <comment ref="AK38" authorId="7">
      <text>
        <r>
          <rPr>
            <sz val="8"/>
            <color indexed="81"/>
            <rFont val="Tahoma"/>
            <family val="2"/>
          </rPr>
          <t>4/21/04 fx benefitted operating income by $8 million</t>
        </r>
      </text>
    </comment>
    <comment ref="AO38" authorId="7">
      <text>
        <r>
          <rPr>
            <sz val="8"/>
            <color indexed="81"/>
            <rFont val="Tahoma"/>
            <family val="2"/>
          </rPr>
          <t>12/4/03 $5 to $10 million FX benefit
4/21/04 FX benefit of $25 million</t>
        </r>
      </text>
    </comment>
    <comment ref="AP38" authorId="7">
      <text>
        <r>
          <rPr>
            <sz val="8"/>
            <color indexed="81"/>
            <rFont val="Tahoma"/>
            <family val="2"/>
          </rPr>
          <t>4.20.05 includes $4 million benefit from FX</t>
        </r>
      </text>
    </comment>
    <comment ref="AQ38" authorId="7">
      <text>
        <r>
          <rPr>
            <sz val="8"/>
            <color indexed="81"/>
            <rFont val="Tahoma"/>
            <family val="2"/>
          </rPr>
          <t>4.20.05 expected to include $4 million benefit from FX</t>
        </r>
      </text>
    </comment>
    <comment ref="AT38" authorId="7">
      <text>
        <r>
          <rPr>
            <sz val="8"/>
            <color indexed="81"/>
            <rFont val="Tahoma"/>
            <family val="2"/>
          </rPr>
          <t>7/13/05 Positive profit impact from foreign currency conversion on operating profit of $15 to $17 million, or $0.03 or $0.04, for the full year.
53rd week to increase op profits by $15mill (or $.04 per share), but benefit will be offset by expense associated with asset actions.</t>
        </r>
      </text>
    </comment>
    <comment ref="BD38" authorId="8">
      <text>
        <r>
          <rPr>
            <b/>
            <sz val="8"/>
            <color indexed="81"/>
            <rFont val="Tahoma"/>
            <family val="2"/>
          </rPr>
          <t>Sushama Dasari:</t>
        </r>
        <r>
          <rPr>
            <sz val="8"/>
            <color indexed="81"/>
            <rFont val="Tahoma"/>
            <family val="2"/>
          </rPr>
          <t xml:space="preserve">
</t>
        </r>
        <r>
          <rPr>
            <b/>
            <sz val="8"/>
            <color indexed="81"/>
            <rFont val="Tahoma"/>
            <family val="2"/>
          </rPr>
          <t>12.6.12</t>
        </r>
        <r>
          <rPr>
            <sz val="8"/>
            <color indexed="81"/>
            <rFont val="Tahoma"/>
            <family val="2"/>
          </rPr>
          <t xml:space="preserve">
FY07 operating profit 35% emerging / 65% developed markets</t>
        </r>
      </text>
    </comment>
    <comment ref="BH38" authorId="1">
      <text>
        <r>
          <rPr>
            <b/>
            <sz val="8"/>
            <color indexed="81"/>
            <rFont val="Tahoma"/>
            <family val="2"/>
          </rPr>
          <t>Jon Tower:</t>
        </r>
        <r>
          <rPr>
            <sz val="8"/>
            <color indexed="81"/>
            <rFont val="Tahoma"/>
            <family val="2"/>
          </rPr>
          <t xml:space="preserve">
2.3.09
includes $26M pre-tax of special items
HENCE, Op profit would have been $386M ex-special items</t>
        </r>
      </text>
    </comment>
    <comment ref="BI38" authorId="1">
      <text>
        <r>
          <rPr>
            <b/>
            <sz val="8"/>
            <color indexed="81"/>
            <rFont val="Tahoma"/>
            <family val="2"/>
          </rPr>
          <t>Jon Tower:</t>
        </r>
        <r>
          <rPr>
            <sz val="8"/>
            <color indexed="81"/>
            <rFont val="Tahoma"/>
            <family val="2"/>
          </rPr>
          <t xml:space="preserve">
12.10.08
$1,480M</t>
        </r>
      </text>
    </comment>
    <comment ref="BN38" authorId="1">
      <text>
        <r>
          <rPr>
            <b/>
            <sz val="8"/>
            <color indexed="81"/>
            <rFont val="Tahoma"/>
            <family val="2"/>
          </rPr>
          <t>Jon Tower:</t>
        </r>
        <r>
          <rPr>
            <sz val="8"/>
            <color indexed="81"/>
            <rFont val="Tahoma"/>
            <family val="2"/>
          </rPr>
          <t xml:space="preserve">
12.10.08
$1,555M</t>
        </r>
      </text>
    </comment>
    <comment ref="BW38" authorId="1">
      <text>
        <r>
          <rPr>
            <b/>
            <sz val="8"/>
            <color indexed="81"/>
            <rFont val="Tahoma"/>
            <family val="2"/>
          </rPr>
          <t xml:space="preserve">Jon Tower:
2.6.12
</t>
        </r>
        <r>
          <rPr>
            <sz val="8"/>
            <color indexed="81"/>
            <rFont val="Tahoma"/>
            <family val="2"/>
          </rPr>
          <t>Our fiscal year ends on the last Saturday in December and, as a result, a 53rd week is added every five or six years. In 2011, this 53rd week benefited the U.S. and a portion of YRI markets by providing an additional week in their reporting calendars.</t>
        </r>
        <r>
          <rPr>
            <b/>
            <sz val="8"/>
            <color indexed="81"/>
            <rFont val="Tahoma"/>
            <family val="2"/>
          </rPr>
          <t xml:space="preserve"> This yielded a $26 million benefit to YRI and U.S. operating profit in the fourth quarter. As </t>
        </r>
        <r>
          <rPr>
            <sz val="8"/>
            <color indexed="81"/>
            <rFont val="Tahoma"/>
            <family val="2"/>
          </rPr>
          <t xml:space="preserve">a result, the operating profit growth rate in the fourth quarter of 2012 will be negatively impacted by this overlap. This benefit was offset throughout 2011 by investments, including franchise development incentives, as well as higher-than-normal spending, such as restaurant closures in the U.S. and YRI. 
</t>
        </r>
        <r>
          <rPr>
            <b/>
            <sz val="8"/>
            <color indexed="81"/>
            <rFont val="Tahoma"/>
            <family val="2"/>
          </rPr>
          <t xml:space="preserve">
12.8.10
expect $23M in incremental op profit from the 53rd week in '11 -- plan to reinvest in strategic initiatives
--- 
US = $17M
YRI = $6M
</t>
        </r>
        <r>
          <rPr>
            <sz val="8"/>
            <color indexed="81"/>
            <rFont val="Tahoma"/>
            <family val="2"/>
          </rPr>
          <t xml:space="preserve">
12.3.10
convo w/Jerzyk -- extra week will add ~$20M in op profit</t>
        </r>
      </text>
    </comment>
    <comment ref="BX38" authorId="1">
      <text>
        <r>
          <rPr>
            <b/>
            <sz val="8"/>
            <color indexed="81"/>
            <rFont val="Tahoma"/>
            <family val="2"/>
          </rPr>
          <t xml:space="preserve">Jon Tower:
</t>
        </r>
        <r>
          <rPr>
            <sz val="8"/>
            <color indexed="81"/>
            <rFont val="Tahoma"/>
            <family val="2"/>
          </rPr>
          <t xml:space="preserve">2.6.12
Our fiscal year ends on the last Saturday in December and, as a result, a 53rd week is added every five or six years. In 2011, this 53rd week benefited the U.S. and a portion of YRI markets by providing an additional week in their reporting calendars. This yielded a $26 million benefit to YRI and U.S. operating profit in the fourth quarter. As a result, the operating profit growth rate in the fourth quarter of 2012 will be negatively impacted by this overlap. This benefit was offset throughout 2011 by investments, including franchise development incentives, as well as higher-than-normal spending, such as restaurant closures in the U.S. and YRI. 
</t>
        </r>
        <r>
          <rPr>
            <b/>
            <sz val="8"/>
            <color indexed="81"/>
            <rFont val="Tahoma"/>
            <family val="2"/>
          </rPr>
          <t xml:space="preserve">
12.8.10
expect $23M in incremental op profit from the 53rd week in '11 -- plan to reinvest in strategic initiatives
--- 
US = $17M
YRI = $6M</t>
        </r>
        <r>
          <rPr>
            <sz val="8"/>
            <color indexed="81"/>
            <rFont val="Tahoma"/>
            <family val="2"/>
          </rPr>
          <t xml:space="preserve">
12.3.10
convo w/Jerzyk -- extra week will add ~$20M in op profit</t>
        </r>
      </text>
    </comment>
    <comment ref="CB38" authorId="1">
      <text>
        <r>
          <rPr>
            <b/>
            <sz val="8"/>
            <color indexed="81"/>
            <rFont val="Tahoma"/>
            <family val="2"/>
          </rPr>
          <t>Jon Tower:</t>
        </r>
        <r>
          <rPr>
            <sz val="8"/>
            <color indexed="81"/>
            <rFont val="Tahoma"/>
            <family val="2"/>
          </rPr>
          <t xml:space="preserve">
2.6.12
Our fiscal year ends on the last Saturday in December and, as a result, a 53rd week is added every five or six years. In 2011, this 53rd week benefited the U.S. and a portion of YRI markets by providing an additional week in their reporting calendars.</t>
        </r>
        <r>
          <rPr>
            <b/>
            <sz val="8"/>
            <color indexed="81"/>
            <rFont val="Tahoma"/>
            <family val="2"/>
          </rPr>
          <t xml:space="preserve"> This yielded a $26 million benefit to YRI and U.S. operating profit in the fourth quarter. As a result, the operating profit growth rate in the fourth quarter of 2012 will be negatively impacted by this overlap. This benefit was offset throughout 2011 by investments, including franchise development incentives, as well as higher-than-normal spending, such as restaurant closures in the U.S. and YRI. </t>
        </r>
        <r>
          <rPr>
            <sz val="8"/>
            <color indexed="81"/>
            <rFont val="Tahoma"/>
            <family val="2"/>
          </rPr>
          <t xml:space="preserve">
</t>
        </r>
      </text>
    </comment>
    <comment ref="CC38" authorId="1">
      <text>
        <r>
          <rPr>
            <b/>
            <sz val="8"/>
            <color indexed="81"/>
            <rFont val="Tahoma"/>
            <family val="2"/>
          </rPr>
          <t xml:space="preserve">Sushama Dasari:
12.6.12
</t>
        </r>
        <r>
          <rPr>
            <sz val="8"/>
            <color indexed="81"/>
            <rFont val="Tahoma"/>
            <family val="2"/>
          </rPr>
          <t>FY12 operating profit 60% emerging / 40% developed markets vs. FY07 35% emerging / 65% developed</t>
        </r>
        <r>
          <rPr>
            <b/>
            <sz val="8"/>
            <color indexed="81"/>
            <rFont val="Tahoma"/>
            <family val="2"/>
          </rPr>
          <t xml:space="preserve">
</t>
        </r>
        <r>
          <rPr>
            <sz val="8"/>
            <color indexed="81"/>
            <rFont val="Tahoma"/>
            <family val="2"/>
          </rPr>
          <t xml:space="preserve">
2.6.12
Our fiscal year ends on the last Saturday in December and, as a result, a 53rd week is added every five or six years. In 2011, this 53rd week benefited the U.S. and a portion of YRI markets by providing an additional week in their reporting calendars.</t>
        </r>
        <r>
          <rPr>
            <b/>
            <sz val="8"/>
            <color indexed="81"/>
            <rFont val="Tahoma"/>
            <family val="2"/>
          </rPr>
          <t xml:space="preserve"> This yielded a $26 million benefit to YRI and U.S. operating profit in the fourth quarter. As a result, the operating profit growth rate in the fourth quarter of 2012 will be negatively impacted by this overlap. This benefit was offset throughout 2011 by investments, including franchise development incentives, as well as higher-than-normal spending, such as restaurant closures in the U.S. and YRI. </t>
        </r>
        <r>
          <rPr>
            <sz val="8"/>
            <color indexed="81"/>
            <rFont val="Tahoma"/>
            <family val="2"/>
          </rPr>
          <t xml:space="preserve">
</t>
        </r>
      </text>
    </comment>
    <comment ref="CR38" authorId="6">
      <text>
        <r>
          <rPr>
            <b/>
            <sz val="9"/>
            <color indexed="81"/>
            <rFont val="Tahoma"/>
            <family val="2"/>
          </rPr>
          <t xml:space="preserve">O'Brien, Courtney (Research):
10.16: PF
</t>
        </r>
        <r>
          <rPr>
            <sz val="9"/>
            <color indexed="81"/>
            <rFont val="Tahoma"/>
            <family val="2"/>
          </rPr>
          <t xml:space="preserve">
12.10.15
$1.5b, ex facility actions (~55M)
</t>
        </r>
      </text>
    </comment>
    <comment ref="CW38" authorId="6">
      <text>
        <r>
          <rPr>
            <b/>
            <sz val="9"/>
            <color indexed="81"/>
            <rFont val="Tahoma"/>
            <family val="2"/>
          </rPr>
          <t>O'Brien, Courtney (Research):</t>
        </r>
        <r>
          <rPr>
            <sz val="9"/>
            <color indexed="81"/>
            <rFont val="Tahoma"/>
            <family val="2"/>
          </rPr>
          <t xml:space="preserve">
12.10.15
$1.5b, ex facility actions (~55M)
</t>
        </r>
      </text>
    </comment>
    <comment ref="BK39" authorId="1">
      <text>
        <r>
          <rPr>
            <b/>
            <sz val="8"/>
            <color indexed="81"/>
            <rFont val="Tahoma"/>
            <family val="2"/>
          </rPr>
          <t>Jon Tower:</t>
        </r>
        <r>
          <rPr>
            <sz val="8"/>
            <color indexed="81"/>
            <rFont val="Tahoma"/>
            <family val="2"/>
          </rPr>
          <t xml:space="preserve">
7.14.09
special items = $60M in gains 
op profit ex-gains = $334M</t>
        </r>
      </text>
    </comment>
    <comment ref="BO39" authorId="1">
      <text>
        <r>
          <rPr>
            <b/>
            <sz val="8"/>
            <color indexed="81"/>
            <rFont val="Tahoma"/>
            <family val="2"/>
          </rPr>
          <t>Jon Tower:</t>
        </r>
        <r>
          <rPr>
            <sz val="8"/>
            <color indexed="81"/>
            <rFont val="Tahoma"/>
            <family val="2"/>
          </rPr>
          <t xml:space="preserve">
4.14.10
Special items included $56 million of expense related to refranchising in the U.S. as net gains from transactions in the first quarter were offset by non-cash write-downs of restaurants offered for sale as we continue to execute our U.S. ownership restructuring plan.
4.14.10 ITEMS:
Loss of refranchising equity market outside US =(7M)
US refranchising gain (loss) = (56M)
Charges related to US G&amp;A productivity initiatives/realignment = (3M)
Total = (66M)
Tax Benefit (expense) = 22M
Special Items Net of Tax = (44M)
or $0.09/share</t>
        </r>
      </text>
    </comment>
    <comment ref="BP39" authorId="1">
      <text>
        <r>
          <rPr>
            <b/>
            <sz val="8"/>
            <color indexed="81"/>
            <rFont val="Tahoma"/>
            <family val="2"/>
          </rPr>
          <t>Jon Tower:</t>
        </r>
        <r>
          <rPr>
            <sz val="8"/>
            <color indexed="81"/>
            <rFont val="Tahoma"/>
            <family val="2"/>
          </rPr>
          <t xml:space="preserve">
7.13.10:
ITEMS:
US refranchising gain (loss) = 5M
Depreciation benefit from KFC restaurants impaired upon offer to sell = $3M
Charges related to US G&amp;A productivity initiatives/realignment = (2M)
Total = 6M
Tax Benefit (expense) = (2M)
Special Items Net of Tax = 4M
or $0.01/share</t>
        </r>
      </text>
    </comment>
    <comment ref="BT39" authorId="1">
      <text>
        <r>
          <rPr>
            <b/>
            <sz val="8"/>
            <color indexed="81"/>
            <rFont val="Tahoma"/>
            <family val="2"/>
          </rPr>
          <t xml:space="preserve">Jon Tower:
</t>
        </r>
        <r>
          <rPr>
            <sz val="8"/>
            <color indexed="81"/>
            <rFont val="Tahoma"/>
            <family val="2"/>
          </rPr>
          <t xml:space="preserve">4.20.11
U.S. Refranchising gain (loss)  --- gain $1M
Depreciation reduction from KFC restaurants impaired upon offer to sell - Gain $3M
Charges relating to U.S. G&amp;A productivity initiatives and realignment of resources - loss $1M
Impairment of intangibles and other costs relating to the planned sale of LJS and A&amp;W $68M
NET = loss $65M
</t>
        </r>
      </text>
    </comment>
    <comment ref="BV39" authorId="1">
      <text>
        <r>
          <rPr>
            <b/>
            <sz val="8"/>
            <color indexed="81"/>
            <rFont val="Tahoma"/>
            <family val="2"/>
          </rPr>
          <t>Jon Tower:</t>
        </r>
        <r>
          <rPr>
            <sz val="8"/>
            <color indexed="81"/>
            <rFont val="Tahoma"/>
            <family val="2"/>
          </rPr>
          <t xml:space="preserve">
10.4.11
loss $76 mn PHUK refranchising
gain $4 mn US refranchising
gain $2 mn US depreciation reduction
loss $1 mn US G&amp;A productivity initiatives
loss $17 mn impairment related to LJS &amp; A&amp;W
Total = $88 mn expense (op profit)
$70 mn tax benefit
NETS = $18 mn in charges = $0.03 to EPS </t>
        </r>
      </text>
    </comment>
    <comment ref="CR39" authorId="6">
      <text>
        <r>
          <rPr>
            <b/>
            <sz val="9"/>
            <color indexed="81"/>
            <rFont val="Tahoma"/>
            <family val="2"/>
          </rPr>
          <t>O'Brien, Courtney (Research):</t>
        </r>
        <r>
          <rPr>
            <sz val="9"/>
            <color indexed="81"/>
            <rFont val="Tahoma"/>
            <family val="2"/>
          </rPr>
          <t xml:space="preserve">
12.10.15
$1.5b, ex facility actions (~55M)
</t>
        </r>
      </text>
    </comment>
    <comment ref="CV40" authorId="16">
      <text>
        <r>
          <rPr>
            <b/>
            <sz val="9"/>
            <color indexed="81"/>
            <rFont val="Tahoma"/>
            <family val="2"/>
          </rPr>
          <t>Glass, John (Research):</t>
        </r>
        <r>
          <rPr>
            <sz val="9"/>
            <color indexed="81"/>
            <rFont val="Tahoma"/>
            <family val="2"/>
          </rPr>
          <t xml:space="preserve">
extra week added $27 m in core op profits</t>
        </r>
      </text>
    </comment>
    <comment ref="CW40" authorId="6">
      <text>
        <r>
          <rPr>
            <b/>
            <sz val="9"/>
            <color indexed="81"/>
            <rFont val="Tahoma"/>
            <family val="2"/>
          </rPr>
          <t>O'Brien, Courtney (Research):</t>
        </r>
        <r>
          <rPr>
            <sz val="9"/>
            <color indexed="81"/>
            <rFont val="Tahoma"/>
            <family val="2"/>
          </rPr>
          <t xml:space="preserve">
53rd week = 27M profits</t>
        </r>
      </text>
    </comment>
    <comment ref="DA40" authorId="16">
      <text>
        <r>
          <rPr>
            <b/>
            <sz val="9"/>
            <color indexed="81"/>
            <rFont val="Tahoma"/>
            <family val="2"/>
          </rPr>
          <t>Glass, John (Research):</t>
        </r>
        <r>
          <rPr>
            <sz val="9"/>
            <color indexed="81"/>
            <rFont val="Tahoma"/>
            <family val="2"/>
          </rPr>
          <t xml:space="preserve">
lapping extra week which added $27 m to 16's 4Q core op profit</t>
        </r>
      </text>
    </comment>
    <comment ref="CC41" authorId="8">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Forecasting $3.0B EBITDA</t>
        </r>
      </text>
    </comment>
    <comment ref="CR41" authorId="6">
      <text>
        <r>
          <rPr>
            <b/>
            <sz val="9"/>
            <color indexed="81"/>
            <rFont val="Tahoma"/>
            <family val="2"/>
          </rPr>
          <t>10.16: '15 PF EBITA ex China = $1.9 M
12.15.10</t>
        </r>
        <r>
          <rPr>
            <sz val="9"/>
            <color indexed="81"/>
            <rFont val="Tahoma"/>
            <family val="2"/>
          </rPr>
          <t xml:space="preserve">
1.9</t>
        </r>
      </text>
    </comment>
    <comment ref="CW41" authorId="6">
      <text>
        <r>
          <rPr>
            <b/>
            <sz val="9"/>
            <color indexed="81"/>
            <rFont val="Tahoma"/>
            <family val="2"/>
          </rPr>
          <t>12.15.10</t>
        </r>
        <r>
          <rPr>
            <sz val="9"/>
            <color indexed="81"/>
            <rFont val="Tahoma"/>
            <family val="2"/>
          </rPr>
          <t xml:space="preserve">
1.9</t>
        </r>
      </text>
    </comment>
    <comment ref="AD43" authorId="7">
      <text>
        <r>
          <rPr>
            <sz val="8"/>
            <color indexed="81"/>
            <rFont val="Tahoma"/>
            <family val="2"/>
          </rPr>
          <t>guidance up 14 vs. last year</t>
        </r>
      </text>
    </comment>
    <comment ref="AE43" authorId="7">
      <text>
        <r>
          <rPr>
            <sz val="8"/>
            <color indexed="81"/>
            <rFont val="Tahoma"/>
            <family val="2"/>
          </rPr>
          <t xml:space="preserve">guidance 173
</t>
        </r>
      </text>
    </comment>
    <comment ref="AF43" authorId="7">
      <text>
        <r>
          <rPr>
            <sz val="8"/>
            <color indexed="81"/>
            <rFont val="Tahoma"/>
            <family val="2"/>
          </rPr>
          <t>2/10/03 up 9 to 10 million vs last year</t>
        </r>
      </text>
    </comment>
    <comment ref="AH43" authorId="7">
      <text>
        <r>
          <rPr>
            <sz val="8"/>
            <color indexed="81"/>
            <rFont val="Tahoma"/>
            <family val="2"/>
          </rPr>
          <t>7/15/03 - down slightly vs. last year</t>
        </r>
      </text>
    </comment>
    <comment ref="AI43" authorId="7">
      <text>
        <r>
          <rPr>
            <sz val="8"/>
            <color indexed="81"/>
            <rFont val="Tahoma"/>
            <family val="2"/>
          </rPr>
          <t>10/7/03 - down $9 million from last year</t>
        </r>
      </text>
    </comment>
    <comment ref="AJ43" authorId="7">
      <text>
        <r>
          <rPr>
            <sz val="8"/>
            <color indexed="81"/>
            <rFont val="Tahoma"/>
            <family val="2"/>
          </rPr>
          <t xml:space="preserve">guidance 175
</t>
        </r>
      </text>
    </comment>
    <comment ref="AO43" authorId="7">
      <text>
        <r>
          <rPr>
            <sz val="8"/>
            <color indexed="81"/>
            <rFont val="Tahoma"/>
            <family val="2"/>
          </rPr>
          <t>12/4/03 down $10 million
4/21/04 interest expense down 20-25 million
7/13/04 down 30 to 35 million</t>
        </r>
      </text>
    </comment>
    <comment ref="AS43" authorId="0">
      <text>
        <r>
          <rPr>
            <b/>
            <sz val="8"/>
            <color indexed="81"/>
            <rFont val="Tahoma"/>
            <family val="2"/>
          </rPr>
          <t>towerj:</t>
        </r>
        <r>
          <rPr>
            <sz val="8"/>
            <color indexed="81"/>
            <rFont val="Tahoma"/>
            <family val="2"/>
          </rPr>
          <t xml:space="preserve">
10.5.05 increase of $8 to $10 mill Y/Y</t>
        </r>
      </text>
    </comment>
    <comment ref="AT43" authorId="7">
      <text>
        <r>
          <rPr>
            <sz val="8"/>
            <color indexed="81"/>
            <rFont val="Tahoma"/>
            <family val="2"/>
          </rPr>
          <t>12/2/04 interest expense to increase slightly as company adds more variable rate debt and interest rates are expected to climb.
7.13.05 - flat y/y</t>
        </r>
      </text>
    </comment>
    <comment ref="AU43" authorId="0">
      <text>
        <r>
          <rPr>
            <b/>
            <sz val="8"/>
            <color indexed="81"/>
            <rFont val="Tahoma"/>
            <family val="2"/>
          </rPr>
          <t>towerj:</t>
        </r>
        <r>
          <rPr>
            <sz val="8"/>
            <color indexed="81"/>
            <rFont val="Tahoma"/>
            <family val="2"/>
          </rPr>
          <t xml:space="preserve">
4.25.06 higher debt levels &amp; higher IRs</t>
        </r>
      </text>
    </comment>
    <comment ref="AX43" authorId="0">
      <text>
        <r>
          <rPr>
            <b/>
            <sz val="9"/>
            <color indexed="81"/>
            <rFont val="Tahoma"/>
            <family val="2"/>
          </rPr>
          <t>towerj:</t>
        </r>
        <r>
          <rPr>
            <sz val="9"/>
            <color indexed="81"/>
            <rFont val="Tahoma"/>
            <family val="2"/>
          </rPr>
          <t xml:space="preserve">
10.11.06 guidance implies $52 mill in 4Q IE</t>
        </r>
      </text>
    </comment>
    <comment ref="AY43" authorId="0">
      <text>
        <r>
          <rPr>
            <b/>
            <sz val="8"/>
            <color indexed="81"/>
            <rFont val="Tahoma"/>
            <family val="2"/>
          </rPr>
          <t>towerj:</t>
        </r>
        <r>
          <rPr>
            <sz val="8"/>
            <color indexed="81"/>
            <rFont val="Tahoma"/>
            <family val="2"/>
          </rPr>
          <t xml:space="preserve">
12.1.05 up $10 to $15 mill Y/Y
7.19.06 up at least $15 million
10.11.06 up $30 mill vs. 2005</t>
        </r>
      </text>
    </comment>
    <comment ref="BC43" authorId="4">
      <text>
        <r>
          <rPr>
            <sz val="8"/>
            <color indexed="81"/>
            <rFont val="Tahoma"/>
            <family val="2"/>
          </rPr>
          <t xml:space="preserve">10.16.07
took on $1.2B of debt
$600 @ 6.25%
$600 @ 6.875%
</t>
        </r>
      </text>
    </comment>
    <comment ref="BD43" authorId="0">
      <text>
        <r>
          <rPr>
            <b/>
            <sz val="9"/>
            <color indexed="81"/>
            <rFont val="Tahoma"/>
            <family val="2"/>
          </rPr>
          <t>towerj:
10.8.07
up $20M from '06</t>
        </r>
        <r>
          <rPr>
            <sz val="9"/>
            <color indexed="81"/>
            <rFont val="Tahoma"/>
            <family val="2"/>
          </rPr>
          <t xml:space="preserve">
11.30.06
IE up $10 mill vs. '06 </t>
        </r>
      </text>
    </comment>
    <comment ref="BE43" authorId="4">
      <text>
        <r>
          <rPr>
            <sz val="8"/>
            <color indexed="81"/>
            <rFont val="Tahoma"/>
            <family val="2"/>
          </rPr>
          <t>10.16.07
took on $1.2B of debt
$600 @ 6.25%
$600 @ 6.875%
 -- also assumes cash earns rate of 3%</t>
        </r>
      </text>
    </comment>
    <comment ref="BF43" authorId="4">
      <text>
        <r>
          <rPr>
            <sz val="8"/>
            <color indexed="81"/>
            <rFont val="Tahoma"/>
            <family val="2"/>
          </rPr>
          <t>10.16.07
took on $1.2B of debt
$600 @ 6.25%
$600 @ 6.875%
 -- also assumes cash earns rate of 3%</t>
        </r>
      </text>
    </comment>
    <comment ref="BG43" authorId="4">
      <text>
        <r>
          <rPr>
            <sz val="8"/>
            <color indexed="81"/>
            <rFont val="Tahoma"/>
            <family val="2"/>
          </rPr>
          <t>10.16.07
took on $1.2B of debt
$600 @ 6.25%
$600 @ 6.875%
 -- also assumes cash earns rate of 3%</t>
        </r>
      </text>
    </comment>
    <comment ref="BH43" authorId="4">
      <text>
        <r>
          <rPr>
            <sz val="8"/>
            <color indexed="81"/>
            <rFont val="Tahoma"/>
            <family val="2"/>
          </rPr>
          <t>10.16.07
took on $1.2B of debt
$600 @ 6.25%
$600 @ 6.875%
 -- also assumes cash earns rate of 3%</t>
        </r>
      </text>
    </comment>
    <comment ref="BI43" authorId="4">
      <text>
        <r>
          <rPr>
            <b/>
            <sz val="8"/>
            <color indexed="81"/>
            <rFont val="Tahoma"/>
            <family val="2"/>
          </rPr>
          <t xml:space="preserve">12.10.08
$225M
7.16.08
up $60-$70M Y/Y
</t>
        </r>
        <r>
          <rPr>
            <sz val="8"/>
            <color indexed="81"/>
            <rFont val="Tahoma"/>
            <family val="2"/>
          </rPr>
          <t xml:space="preserve">12.6.07
Interest expense up about $80 million
</t>
        </r>
        <r>
          <rPr>
            <sz val="8"/>
            <color indexed="81"/>
            <rFont val="Tahoma"/>
            <family val="2"/>
          </rPr>
          <t xml:space="preserve">10.16.07
took on $1.2B of debt
$600 @ 6.25%
$600 @ 6.875%
</t>
        </r>
      </text>
    </comment>
    <comment ref="BN43" authorId="1">
      <text>
        <r>
          <rPr>
            <b/>
            <sz val="8"/>
            <color indexed="81"/>
            <rFont val="Tahoma"/>
            <family val="2"/>
          </rPr>
          <t>Jon Tower:</t>
        </r>
        <r>
          <rPr>
            <sz val="8"/>
            <color indexed="81"/>
            <rFont val="Tahoma"/>
            <family val="2"/>
          </rPr>
          <t xml:space="preserve">
12.10.08
$220M</t>
        </r>
      </text>
    </comment>
    <comment ref="BS43" authorId="1">
      <text>
        <r>
          <rPr>
            <b/>
            <sz val="8"/>
            <color indexed="81"/>
            <rFont val="Tahoma"/>
            <family val="2"/>
          </rPr>
          <t>Jon Tower:</t>
        </r>
        <r>
          <rPr>
            <sz val="8"/>
            <color indexed="81"/>
            <rFont val="Tahoma"/>
            <family val="2"/>
          </rPr>
          <t xml:space="preserve">
12.9.09
roughly flat Y/Y at ~$200M</t>
        </r>
      </text>
    </comment>
    <comment ref="BX43" authorId="1">
      <text>
        <r>
          <rPr>
            <b/>
            <sz val="8"/>
            <color indexed="81"/>
            <rFont val="Tahoma"/>
            <family val="2"/>
          </rPr>
          <t xml:space="preserve">Jon Tower:
2.2.11
at least down to $165M
12.3.10
expect to be lower by at least $10M Y/Y (based on our #s, would imply down to at least $162M)
</t>
        </r>
        <r>
          <rPr>
            <sz val="8"/>
            <color indexed="81"/>
            <rFont val="Tahoma"/>
            <family val="2"/>
          </rPr>
          <t xml:space="preserve">
10.6.10
expect lower interest expense Y/Y.</t>
        </r>
      </text>
    </comment>
    <comment ref="CC43" authorId="1">
      <text>
        <r>
          <rPr>
            <b/>
            <sz val="8"/>
            <color indexed="81"/>
            <rFont val="Tahoma"/>
            <family val="2"/>
          </rPr>
          <t>Jon Tower:</t>
        </r>
        <r>
          <rPr>
            <sz val="8"/>
            <color indexed="81"/>
            <rFont val="Tahoma"/>
            <family val="2"/>
          </rPr>
          <t xml:space="preserve">
12.5.11
2012 Interest expense expected to be flat 
</t>
        </r>
      </text>
    </comment>
    <comment ref="CG43" authorId="2">
      <text>
        <r>
          <rPr>
            <b/>
            <sz val="8"/>
            <color indexed="81"/>
            <rFont val="Tahoma"/>
            <family val="2"/>
          </rPr>
          <t xml:space="preserve">2.3.14:
</t>
        </r>
        <r>
          <rPr>
            <sz val="8"/>
            <color indexed="81"/>
            <rFont val="Tahoma"/>
            <family val="2"/>
          </rPr>
          <t>Includes $118M loss due to refinancing transaction. Interest expenss $35M ex this charge.
Refinancing expected to save ~$10M per year</t>
        </r>
        <r>
          <rPr>
            <sz val="8"/>
            <color indexed="81"/>
            <rFont val="Tahoma"/>
            <family val="2"/>
          </rPr>
          <t xml:space="preserve">
</t>
        </r>
      </text>
    </comment>
    <comment ref="CM43" authorId="2">
      <text>
        <r>
          <rPr>
            <b/>
            <sz val="8"/>
            <color indexed="81"/>
            <rFont val="Tahoma"/>
            <family val="2"/>
          </rPr>
          <t xml:space="preserve">12.02.13
</t>
        </r>
        <r>
          <rPr>
            <sz val="8"/>
            <color indexed="81"/>
            <rFont val="Tahoma"/>
            <family val="2"/>
          </rPr>
          <t>$140M guidance</t>
        </r>
        <r>
          <rPr>
            <sz val="8"/>
            <color indexed="81"/>
            <rFont val="Tahoma"/>
            <family val="2"/>
          </rPr>
          <t xml:space="preserve">
</t>
        </r>
      </text>
    </comment>
    <comment ref="CR43" authorId="16">
      <text>
        <r>
          <rPr>
            <b/>
            <sz val="9"/>
            <color indexed="81"/>
            <rFont val="Tahoma"/>
            <family val="2"/>
          </rPr>
          <t>Glass, John (Research):</t>
        </r>
        <r>
          <rPr>
            <sz val="9"/>
            <color indexed="81"/>
            <rFont val="Tahoma"/>
            <family val="2"/>
          </rPr>
          <t xml:space="preserve">
12;14: interst expense (net) $145 M in 15</t>
        </r>
      </text>
    </comment>
    <comment ref="CW43" authorId="16">
      <text>
        <r>
          <rPr>
            <b/>
            <sz val="9"/>
            <color indexed="81"/>
            <rFont val="Tahoma"/>
            <family val="2"/>
          </rPr>
          <t>Glass, John (Research):</t>
        </r>
        <r>
          <rPr>
            <sz val="9"/>
            <color indexed="81"/>
            <rFont val="Tahoma"/>
            <family val="2"/>
          </rPr>
          <t xml:space="preserve">
12;14: interst expense (net) $145 M in 15</t>
        </r>
      </text>
    </comment>
    <comment ref="CX43" authorId="6">
      <text>
        <r>
          <rPr>
            <b/>
            <sz val="9"/>
            <color indexed="81"/>
            <rFont val="Tahoma"/>
            <family val="2"/>
          </rPr>
          <t>O'Brien, Courtney (Research):</t>
        </r>
        <r>
          <rPr>
            <sz val="9"/>
            <color indexed="81"/>
            <rFont val="Tahoma"/>
            <family val="2"/>
          </rPr>
          <t xml:space="preserve">
5.3.17
As you may have seen, we successfully repriced our $2 billion term loan B in March. This reduced the associated interest rate by 75 basis points, which, after amortization of related fees and expenses, will reduce our ongoing reported annualized interest expense by about $12 million/yr. For 2017, the net interest savings will be approximately $3 million due to the partial year benefit of the lower rate and incremental fees and debt issuance cost, $6 million of which we recognized in the first quarter. ; included 6m of fees</t>
        </r>
      </text>
    </comment>
    <comment ref="CY43" authorId="6">
      <text>
        <r>
          <rPr>
            <b/>
            <sz val="9"/>
            <color indexed="81"/>
            <rFont val="Tahoma"/>
            <family val="2"/>
          </rPr>
          <t>O'Brien, Courtney (Research):</t>
        </r>
        <r>
          <rPr>
            <sz val="9"/>
            <color indexed="81"/>
            <rFont val="Tahoma"/>
            <family val="2"/>
          </rPr>
          <t xml:space="preserve">
save $3M per Q on Term B refi;</t>
        </r>
      </text>
    </comment>
    <comment ref="DB43" authorId="6">
      <text>
        <r>
          <rPr>
            <b/>
            <sz val="9"/>
            <color indexed="81"/>
            <rFont val="Tahoma"/>
            <family val="2"/>
          </rPr>
          <t xml:space="preserve">6.17.17
includes Term B refi in March+ Term A refi in June + $750M debt raise @ 4.75% in June
10.11.16
90% of debt fixed; Average of
~4.75% on total debt
</t>
        </r>
        <r>
          <rPr>
            <sz val="9"/>
            <color indexed="81"/>
            <rFont val="Tahoma"/>
            <family val="2"/>
          </rPr>
          <t xml:space="preserve">
12.10.15
$140M ex refi</t>
        </r>
      </text>
    </comment>
    <comment ref="DG43" authorId="6">
      <text>
        <r>
          <rPr>
            <b/>
            <sz val="9"/>
            <color indexed="81"/>
            <rFont val="Tahoma"/>
            <family val="2"/>
          </rPr>
          <t>O'Brien, Courtney (Research):</t>
        </r>
        <r>
          <rPr>
            <sz val="9"/>
            <color indexed="81"/>
            <rFont val="Tahoma"/>
            <family val="2"/>
          </rPr>
          <t xml:space="preserve">
12.10.15
$140M ex refi</t>
        </r>
      </text>
    </comment>
    <comment ref="AN46" authorId="0">
      <text>
        <r>
          <rPr>
            <b/>
            <sz val="8"/>
            <color indexed="81"/>
            <rFont val="Tahoma"/>
            <family val="2"/>
          </rPr>
          <t>towerj:</t>
        </r>
        <r>
          <rPr>
            <sz val="8"/>
            <color indexed="81"/>
            <rFont val="Tahoma"/>
            <family val="2"/>
          </rPr>
          <t xml:space="preserve">
7.13.05 $6mill tax expense assoc. w/repatriation of $110mill</t>
        </r>
      </text>
    </comment>
    <comment ref="AQ46" authorId="0">
      <text>
        <r>
          <rPr>
            <b/>
            <sz val="9"/>
            <color indexed="81"/>
            <rFont val="Tahoma"/>
            <family val="2"/>
          </rPr>
          <t>towerj:</t>
        </r>
        <r>
          <rPr>
            <sz val="9"/>
            <color indexed="81"/>
            <rFont val="Tahoma"/>
            <family val="2"/>
          </rPr>
          <t xml:space="preserve">
7.19.06 prior to SO expensing, was $57 million</t>
        </r>
      </text>
    </comment>
    <comment ref="AR46" authorId="0">
      <text>
        <r>
          <rPr>
            <b/>
            <sz val="9"/>
            <color indexed="81"/>
            <rFont val="Tahoma"/>
            <family val="2"/>
          </rPr>
          <t>towerj:</t>
        </r>
        <r>
          <rPr>
            <sz val="9"/>
            <color indexed="81"/>
            <rFont val="Tahoma"/>
            <family val="2"/>
          </rPr>
          <t xml:space="preserve">
10.11.06 was $79 mill prior to sbc expense</t>
        </r>
      </text>
    </comment>
    <comment ref="BV46" authorId="1">
      <text>
        <r>
          <rPr>
            <b/>
            <sz val="8"/>
            <color indexed="81"/>
            <rFont val="Tahoma"/>
            <family val="2"/>
          </rPr>
          <t>Jon Tower:</t>
        </r>
        <r>
          <rPr>
            <sz val="8"/>
            <color indexed="81"/>
            <rFont val="Tahoma"/>
            <family val="2"/>
          </rPr>
          <t xml:space="preserve">
10.4.11
Subsequent to the end of the third quarter, we reached definitive agreements to sell Long John Silver’s and A&amp;W All American Restaurants to key franchisee leaders. During the third quarter, we recorded $53 million in tax benefits related
to tax losses from the sales</t>
        </r>
      </text>
    </comment>
    <comment ref="CR46" authorId="16">
      <text>
        <r>
          <rPr>
            <b/>
            <sz val="9"/>
            <color indexed="81"/>
            <rFont val="Tahoma"/>
            <family val="2"/>
          </rPr>
          <t>Glass, John (Research):</t>
        </r>
        <r>
          <rPr>
            <sz val="9"/>
            <color indexed="81"/>
            <rFont val="Tahoma"/>
            <family val="2"/>
          </rPr>
          <t xml:space="preserve">
12;14: interst expense (net) $145 M in 15</t>
        </r>
      </text>
    </comment>
    <comment ref="A48" authorId="1">
      <text>
        <r>
          <rPr>
            <b/>
            <sz val="8"/>
            <color indexed="81"/>
            <rFont val="Tahoma"/>
            <family val="2"/>
          </rPr>
          <t>Jon Tower:</t>
        </r>
        <r>
          <rPr>
            <sz val="8"/>
            <color indexed="81"/>
            <rFont val="Tahoma"/>
            <family val="2"/>
          </rPr>
          <t xml:space="preserve">
4.22.09
Effective the beginning of fiscal 2009 we adopted Statement of Financial Accounting Standard (“SFAS”) No. 160, “Noncontrolling Interests in Consolidated Financial Statements” (“SFAS 160”). SFAS 160 required that net income attributable to the minority
interest in the entity that operates the KFCs in Beijing, China be reported separately on the face of our Consolidated Summary of Results. In 2008 we reported Operating Profit attributable to the minority interest as an Other expense and the related tax benefit
as a reduction to our Income tax provision. Additionally, SFAS 160 required that the portion of equity in the entity not attributable to the Company be reported within equity, separately from the Company’s equity, in the Condensed Consolidated Balance Sheet.
In 2008 we reported this amount within Other liabilities and deferred credits. As required, the presentation requirements of SFAS 160 were applied retroactively to the quarter ended March 22, 2008.</t>
        </r>
      </text>
    </comment>
    <comment ref="EC48" authorId="1">
      <text>
        <r>
          <rPr>
            <b/>
            <sz val="8"/>
            <color indexed="81"/>
            <rFont val="Tahoma"/>
            <family val="2"/>
          </rPr>
          <t>Jon Tower:</t>
        </r>
        <r>
          <rPr>
            <sz val="8"/>
            <color indexed="81"/>
            <rFont val="Tahoma"/>
            <family val="2"/>
          </rPr>
          <t xml:space="preserve">
4.22.09
Effective the beginning of fiscal 2009 we adopted Statement of Financial Accounting Standard (“SFAS”) No. 160, “Noncontrolling Interests in Consolidated Financial Statements” (“SFAS 160”). SFAS 160 required that net income attributable to the minority
interest in the entity that operates the KFCs in Beijing, China be reported separately on the face of our Consolidated Summary of Results. In 2008 we reported Operating Profit attributable to the minority interest as an Other expense and the related tax benefit
as a reduction to our Income tax provision. Additionally, SFAS 160 required that the portion of equity in the entity not attributable to the Company be reported within equity, separately from the Company’s equity, in the Condensed Consolidated Balance Sheet.
In 2008 we reported this amount within Other liabilities and deferred credits. As required, the presentation requirements of SFAS 160 were applied retroactively to the quarter ended March 22, 2008.</t>
        </r>
      </text>
    </comment>
    <comment ref="AE49" authorId="7">
      <text>
        <r>
          <rPr>
            <sz val="8"/>
            <color indexed="81"/>
            <rFont val="Tahoma"/>
            <family val="2"/>
          </rPr>
          <t>guidance 590</t>
        </r>
      </text>
    </comment>
    <comment ref="AJ49" authorId="7">
      <text>
        <r>
          <rPr>
            <sz val="8"/>
            <color indexed="81"/>
            <rFont val="Tahoma"/>
            <family val="2"/>
          </rPr>
          <t xml:space="preserve">guidance 640
</t>
        </r>
      </text>
    </comment>
    <comment ref="AT49" authorId="0">
      <text>
        <r>
          <rPr>
            <b/>
            <sz val="8"/>
            <color indexed="81"/>
            <rFont val="Tahoma"/>
            <family val="2"/>
          </rPr>
          <t>towerj:</t>
        </r>
        <r>
          <rPr>
            <sz val="8"/>
            <color indexed="81"/>
            <rFont val="Tahoma"/>
            <family val="2"/>
          </rPr>
          <t xml:space="preserve">
2.6.06 stock option expense reduced taxes by $20 mill</t>
        </r>
      </text>
    </comment>
    <comment ref="DB49" authorId="6">
      <text>
        <r>
          <rPr>
            <b/>
            <sz val="9"/>
            <color indexed="81"/>
            <rFont val="Tahoma"/>
            <family val="2"/>
          </rPr>
          <t>O'Brien, Courtney (Research):</t>
        </r>
        <r>
          <rPr>
            <sz val="9"/>
            <color indexed="81"/>
            <rFont val="Tahoma"/>
            <family val="2"/>
          </rPr>
          <t xml:space="preserve">
12.10.15
$1.5B</t>
        </r>
      </text>
    </comment>
    <comment ref="DG49" authorId="6">
      <text>
        <r>
          <rPr>
            <b/>
            <sz val="9"/>
            <color indexed="81"/>
            <rFont val="Tahoma"/>
            <family val="2"/>
          </rPr>
          <t>O'Brien, Courtney (Research):</t>
        </r>
        <r>
          <rPr>
            <sz val="9"/>
            <color indexed="81"/>
            <rFont val="Tahoma"/>
            <family val="2"/>
          </rPr>
          <t xml:space="preserve">
12.10.15
$1.5B</t>
        </r>
      </text>
    </comment>
    <comment ref="AT51" authorId="0">
      <text>
        <r>
          <rPr>
            <b/>
            <sz val="8"/>
            <color indexed="81"/>
            <rFont val="Tahoma"/>
            <family val="2"/>
          </rPr>
          <t>towerj:</t>
        </r>
        <r>
          <rPr>
            <sz val="8"/>
            <color indexed="81"/>
            <rFont val="Tahoma"/>
            <family val="2"/>
          </rPr>
          <t xml:space="preserve">
7.13.05 positive impact from FX conversion on Op Profit of ~$15 to $17 mill or $0.03 to $0.04.</t>
        </r>
      </text>
    </comment>
    <comment ref="AU51" authorId="0">
      <text>
        <r>
          <rPr>
            <b/>
            <sz val="8"/>
            <color indexed="81"/>
            <rFont val="Tahoma"/>
            <family val="2"/>
          </rPr>
          <t>towerj:</t>
        </r>
        <r>
          <rPr>
            <sz val="8"/>
            <color indexed="81"/>
            <rFont val="Tahoma"/>
            <family val="2"/>
          </rPr>
          <t xml:space="preserve">
2.6.06 includes negative $4 mill impact from INTL
4.24.06 negative impact of $2 million on YRI op profits due to FX -- expect similar quarterly results for the remainder of the year.</t>
        </r>
      </text>
    </comment>
    <comment ref="AV51" authorId="0">
      <text>
        <r>
          <rPr>
            <b/>
            <sz val="8"/>
            <color indexed="81"/>
            <rFont val="Tahoma"/>
            <family val="2"/>
          </rPr>
          <t>towerj:</t>
        </r>
        <r>
          <rPr>
            <sz val="8"/>
            <color indexed="81"/>
            <rFont val="Tahoma"/>
            <family val="2"/>
          </rPr>
          <t xml:space="preserve">
4.24.06 negative impact of $2 million on YRI op profits due to FX -- expect similar quarterly results for the remainder of the year.
Expect FX to add $1 mill to China division op profit for the balance of the year...</t>
        </r>
      </text>
    </comment>
    <comment ref="AW51" authorId="0">
      <text>
        <r>
          <rPr>
            <b/>
            <sz val="8"/>
            <color indexed="81"/>
            <rFont val="Tahoma"/>
            <family val="2"/>
          </rPr>
          <t>towerj:</t>
        </r>
        <r>
          <rPr>
            <sz val="8"/>
            <color indexed="81"/>
            <rFont val="Tahoma"/>
            <family val="2"/>
          </rPr>
          <t xml:space="preserve">
4.24.06 negative impact of $2 million on YRI op profits due to FX -- expect similar quarterly results for the remainder of the year.
Expect FX to add $1 mill to China division op profit for the balance of the year...</t>
        </r>
      </text>
    </comment>
    <comment ref="AX51" authorId="0">
      <text>
        <r>
          <rPr>
            <b/>
            <sz val="8"/>
            <color indexed="81"/>
            <rFont val="Tahoma"/>
            <family val="2"/>
          </rPr>
          <t>towerj:</t>
        </r>
        <r>
          <rPr>
            <sz val="8"/>
            <color indexed="81"/>
            <rFont val="Tahoma"/>
            <family val="2"/>
          </rPr>
          <t xml:space="preserve">
4.24.06 negative impact of $2 million on YRI op profits due to FX -- expect similar quarterly results for the remainder of the year.
Expect FX to add $1 mill to China division op profit for the balance of the year...</t>
        </r>
      </text>
    </comment>
    <comment ref="AY51" authorId="0">
      <text>
        <r>
          <rPr>
            <b/>
            <sz val="8"/>
            <color indexed="81"/>
            <rFont val="Tahoma"/>
            <family val="2"/>
          </rPr>
          <t>towerj:</t>
        </r>
        <r>
          <rPr>
            <sz val="8"/>
            <color indexed="81"/>
            <rFont val="Tahoma"/>
            <family val="2"/>
          </rPr>
          <t xml:space="preserve">
12.1.05 no net impact from FX on Op Profit
includes $10 mill benefit from China and $10 mill detriment from INTL
</t>
        </r>
        <r>
          <rPr>
            <b/>
            <sz val="8"/>
            <color indexed="81"/>
            <rFont val="Tahoma"/>
            <family val="2"/>
          </rPr>
          <t xml:space="preserve">7.19.06 </t>
        </r>
        <r>
          <rPr>
            <sz val="8"/>
            <color indexed="81"/>
            <rFont val="Tahoma"/>
            <family val="2"/>
          </rPr>
          <t xml:space="preserve">Slightly positive impact (from no net impact) from foreign currency conversion on operating profit for
the full year. This assumes approximately $7 million (from $10 million) of benefit in the China Division
offset by approximately $5 million (from $10 million) of negative impact for the International Division.
</t>
        </r>
        <r>
          <rPr>
            <b/>
            <sz val="8"/>
            <color indexed="81"/>
            <rFont val="Tahoma"/>
            <family val="2"/>
          </rPr>
          <t>10.11.06
$5 mill benefit from FX - $7 mill from china benefit and $2 mill detriment from INTL</t>
        </r>
      </text>
    </comment>
    <comment ref="BD51" authorId="0">
      <text>
        <r>
          <rPr>
            <b/>
            <sz val="9"/>
            <color indexed="81"/>
            <rFont val="Tahoma"/>
            <family val="2"/>
          </rPr>
          <t>towerj:
2.4.08
FX favorable to EPS by $0.06</t>
        </r>
        <r>
          <rPr>
            <sz val="9"/>
            <color indexed="81"/>
            <rFont val="Tahoma"/>
            <family val="2"/>
          </rPr>
          <t xml:space="preserve">
11.30.06 $10 to $15 million positive impact from FX</t>
        </r>
      </text>
    </comment>
    <comment ref="BE51" authorId="1">
      <text>
        <r>
          <rPr>
            <b/>
            <sz val="8"/>
            <color indexed="81"/>
            <rFont val="Tahoma"/>
            <family val="2"/>
          </rPr>
          <t>Jon Tower:</t>
        </r>
        <r>
          <rPr>
            <sz val="8"/>
            <color indexed="81"/>
            <rFont val="Tahoma"/>
            <family val="2"/>
          </rPr>
          <t xml:space="preserve">
4.22.08
$15M benefit from FX in the Q, or about </t>
        </r>
      </text>
    </comment>
    <comment ref="BI51" authorId="1">
      <text>
        <r>
          <rPr>
            <b/>
            <sz val="8"/>
            <color indexed="81"/>
            <rFont val="Tahoma"/>
            <family val="2"/>
          </rPr>
          <t>Jon Tower:</t>
        </r>
        <r>
          <rPr>
            <sz val="8"/>
            <color indexed="81"/>
            <rFont val="Tahoma"/>
            <family val="2"/>
          </rPr>
          <t xml:space="preserve">
12.6.08
Approximately $10 to $20 million positive impact from foreign-currency conversion on operating profit
for the full year. The Chinese renminbi, British pound sterling, Australian dollar, Korean won,
Japanese yen, Canadian dollar, Mexican peso and European euro are important currencies in the
company’s international businesses.</t>
        </r>
      </text>
    </comment>
    <comment ref="BJ51" authorId="1">
      <text>
        <r>
          <rPr>
            <b/>
            <sz val="8"/>
            <color indexed="81"/>
            <rFont val="Tahoma"/>
            <family val="2"/>
          </rPr>
          <t xml:space="preserve">Jon Tower:
4.22.09
</t>
        </r>
        <r>
          <rPr>
            <sz val="8"/>
            <color indexed="81"/>
            <rFont val="Tahoma"/>
            <family val="2"/>
          </rPr>
          <t xml:space="preserve">EPS growth also benefited from last year’s substantial share repurchases and a lower effective tax
rate partially offset by negative foreign currency translation of approximately $0.02 per share.
</t>
        </r>
        <r>
          <rPr>
            <b/>
            <sz val="8"/>
            <color indexed="81"/>
            <rFont val="Tahoma"/>
            <family val="2"/>
          </rPr>
          <t xml:space="preserve">
2008 10K - $20M negative FX impact on operating profit = $0.03-$0.04/share
</t>
        </r>
        <r>
          <rPr>
            <sz val="8"/>
            <color indexed="81"/>
            <rFont val="Tahoma"/>
            <family val="2"/>
          </rPr>
          <t xml:space="preserve">
12.10.08
$0.04 FX headwind</t>
        </r>
      </text>
    </comment>
    <comment ref="BK51" authorId="1">
      <text>
        <r>
          <rPr>
            <b/>
            <sz val="8"/>
            <color indexed="81"/>
            <rFont val="Tahoma"/>
            <family val="2"/>
          </rPr>
          <t>Jon Tower:
7.14.09</t>
        </r>
        <r>
          <rPr>
            <sz val="8"/>
            <color indexed="81"/>
            <rFont val="Tahoma"/>
            <family val="2"/>
          </rPr>
          <t xml:space="preserve">
EPS growth was negatively impacted by foreign currency translation of approximately $0.03 per
share partially offset by the benefit from last year’s substantial share repurchases which reduced
average shares outstanding by 3%.</t>
        </r>
        <r>
          <rPr>
            <b/>
            <sz val="8"/>
            <color indexed="81"/>
            <rFont val="Tahoma"/>
            <family val="2"/>
          </rPr>
          <t xml:space="preserve">
4.23.09
expect $25M in negative FX impact from YRI
</t>
        </r>
        <r>
          <rPr>
            <sz val="8"/>
            <color indexed="81"/>
            <rFont val="Tahoma"/>
            <family val="2"/>
          </rPr>
          <t xml:space="preserve">
2008 10K - expect 2Q09 negative FX impact on YRI op profits of $20M -- would translate to $0.03-$0.04/share</t>
        </r>
      </text>
    </comment>
    <comment ref="BL51" authorId="1">
      <text>
        <r>
          <rPr>
            <b/>
            <sz val="8"/>
            <color indexed="81"/>
            <rFont val="Tahoma"/>
            <family val="2"/>
          </rPr>
          <t>Jon Tower:</t>
        </r>
        <r>
          <rPr>
            <sz val="8"/>
            <color indexed="81"/>
            <rFont val="Tahoma"/>
            <family val="2"/>
          </rPr>
          <t xml:space="preserve">
10.6.09
Foreign currency translation negatively impacted EPS by $0.02 per share.</t>
        </r>
      </text>
    </comment>
    <comment ref="BN51" authorId="1">
      <text>
        <r>
          <rPr>
            <b/>
            <sz val="8"/>
            <color indexed="81"/>
            <rFont val="Tahoma"/>
            <family val="2"/>
          </rPr>
          <t>Jon Tower:</t>
        </r>
        <r>
          <rPr>
            <sz val="8"/>
            <color indexed="81"/>
            <rFont val="Tahoma"/>
            <family val="2"/>
          </rPr>
          <t xml:space="preserve">
2.3.10
EPS growth was negatively impacted by approximately $0.07 per share due to foreign currency
translation that was fully offset by lower interest expense and a lower tax rate</t>
        </r>
      </text>
    </comment>
    <comment ref="BO51" authorId="1">
      <text>
        <r>
          <rPr>
            <b/>
            <sz val="8"/>
            <color indexed="81"/>
            <rFont val="Tahoma"/>
            <family val="2"/>
          </rPr>
          <t>Jon Tower:</t>
        </r>
        <r>
          <rPr>
            <sz val="8"/>
            <color indexed="81"/>
            <rFont val="Tahoma"/>
            <family val="2"/>
          </rPr>
          <t xml:space="preserve">
$14M benefit on Op Profit in YRI -- </t>
        </r>
      </text>
    </comment>
    <comment ref="BP51" authorId="1">
      <text>
        <r>
          <rPr>
            <b/>
            <sz val="8"/>
            <color indexed="81"/>
            <rFont val="Tahoma"/>
            <family val="2"/>
          </rPr>
          <t>Jon Tower:</t>
        </r>
        <r>
          <rPr>
            <sz val="8"/>
            <color indexed="81"/>
            <rFont val="Tahoma"/>
            <family val="2"/>
          </rPr>
          <t xml:space="preserve">
7.13.10
$14M in FX benefit to YRI op profits in 2Q10</t>
        </r>
      </text>
    </comment>
    <comment ref="BS51" authorId="1">
      <text>
        <r>
          <rPr>
            <b/>
            <sz val="8"/>
            <color indexed="81"/>
            <rFont val="Tahoma"/>
            <family val="2"/>
          </rPr>
          <t>Jon Tower:</t>
        </r>
        <r>
          <rPr>
            <sz val="8"/>
            <color indexed="81"/>
            <rFont val="Tahoma"/>
            <family val="2"/>
          </rPr>
          <t xml:space="preserve">
12.4.09
Currently estimating foreign currency translation benefit of $25-50MM on OPERATING PROFIT</t>
        </r>
      </text>
    </comment>
    <comment ref="CA51" authorId="8">
      <text>
        <r>
          <rPr>
            <b/>
            <sz val="8"/>
            <color indexed="81"/>
            <rFont val="Tahoma"/>
            <family val="2"/>
          </rPr>
          <t>Sushama Dasari:</t>
        </r>
        <r>
          <rPr>
            <sz val="8"/>
            <color indexed="81"/>
            <rFont val="Tahoma"/>
            <family val="2"/>
          </rPr>
          <t xml:space="preserve">
Per 3Q 10-Q: Foreign currency translation adjustement: </t>
        </r>
        <r>
          <rPr>
            <sz val="8"/>
            <color indexed="81"/>
            <rFont val="Tahoma"/>
            <family val="2"/>
          </rPr>
          <t>-$21M in 3Q and -$38M YTD</t>
        </r>
      </text>
    </comment>
    <comment ref="CH51" authorId="8">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Expect FX effect to be neutral in 2013, with + effect from RMB offset by - effect from YRI</t>
        </r>
      </text>
    </comment>
    <comment ref="CK51" authorId="16">
      <text>
        <r>
          <rPr>
            <b/>
            <sz val="9"/>
            <color indexed="81"/>
            <rFont val="Tahoma"/>
            <family val="2"/>
          </rPr>
          <t>Glass, John (Research):</t>
        </r>
        <r>
          <rPr>
            <sz val="9"/>
            <color indexed="81"/>
            <rFont val="Tahoma"/>
            <family val="2"/>
          </rPr>
          <t xml:space="preserve">
f/x impacted eps by $29 m or 5c by our calc.</t>
        </r>
      </text>
    </comment>
    <comment ref="CP51" authorId="16">
      <text>
        <r>
          <rPr>
            <b/>
            <sz val="9"/>
            <color indexed="81"/>
            <rFont val="Tahoma"/>
            <family val="2"/>
          </rPr>
          <t>Glass, John (Research):</t>
        </r>
        <r>
          <rPr>
            <sz val="9"/>
            <color indexed="81"/>
            <rFont val="Tahoma"/>
            <family val="2"/>
          </rPr>
          <t xml:space="preserve">
f/x impacted eps by $29 m or 5c by our calc.</t>
        </r>
      </text>
    </comment>
    <comment ref="AG56" authorId="7">
      <text>
        <r>
          <rPr>
            <sz val="8"/>
            <color indexed="81"/>
            <rFont val="Tahoma"/>
            <family val="2"/>
          </rPr>
          <t>$35 million charge related to jury verdict in Wrench vs. Taco bell - plaintiffs clainm to have created Taco Bell  "chihuahua"</t>
        </r>
      </text>
    </comment>
    <comment ref="AH56" authorId="7">
      <text>
        <r>
          <rPr>
            <sz val="8"/>
            <color indexed="81"/>
            <rFont val="Tahoma"/>
            <family val="2"/>
          </rPr>
          <t>wrench litigation  and ameriserve reserve reversal</t>
        </r>
      </text>
    </comment>
    <comment ref="AI56" authorId="7">
      <text>
        <r>
          <rPr>
            <sz val="8"/>
            <color indexed="81"/>
            <rFont val="Tahoma"/>
            <family val="2"/>
          </rPr>
          <t>2.11.04 ameriserve recoveries</t>
        </r>
      </text>
    </comment>
    <comment ref="AL56" authorId="7">
      <text>
        <r>
          <rPr>
            <sz val="8"/>
            <color indexed="81"/>
            <rFont val="Tahoma"/>
            <family val="2"/>
          </rPr>
          <t>4/21/04 recover from Ameriserve bankruptcy estate will result in special gain of $0.02</t>
        </r>
      </text>
    </comment>
    <comment ref="AN56" authorId="7">
      <text>
        <r>
          <rPr>
            <sz val="8"/>
            <color indexed="81"/>
            <rFont val="Tahoma"/>
            <family val="2"/>
          </rPr>
          <t>2.1.05 wrench litigation accrual reversal and ameriserve</t>
        </r>
      </text>
    </comment>
    <comment ref="AQ56" authorId="7">
      <text>
        <r>
          <rPr>
            <sz val="8"/>
            <color indexed="81"/>
            <rFont val="Tahoma"/>
            <family val="2"/>
          </rPr>
          <t xml:space="preserve">6.16.05  IPO of our Poland/Czech Republic joint venture occurred April 27, 2005. Including the impact of the IPO transaction, EPS for the second quarter is expected to total $0.59 to $0.60. The transaction generated a gain of $17 million, which will be reflected in other income. </t>
        </r>
      </text>
    </comment>
    <comment ref="AR56" authorId="0">
      <text>
        <r>
          <rPr>
            <b/>
            <sz val="8"/>
            <color indexed="81"/>
            <rFont val="Tahoma"/>
            <family val="2"/>
          </rPr>
          <t>towerj:</t>
        </r>
        <r>
          <rPr>
            <sz val="8"/>
            <color indexed="81"/>
            <rFont val="Tahoma"/>
            <family val="2"/>
          </rPr>
          <t xml:space="preserve">
10.5.05 Wrench litigation settlement of $2 mill or ~$1 mill net-of-tax ~ $0.01/share
</t>
        </r>
      </text>
    </comment>
    <comment ref="AS56" authorId="0">
      <text>
        <r>
          <rPr>
            <b/>
            <sz val="8"/>
            <color indexed="81"/>
            <rFont val="Tahoma"/>
            <family val="2"/>
          </rPr>
          <t>towerj:</t>
        </r>
        <r>
          <rPr>
            <sz val="8"/>
            <color indexed="81"/>
            <rFont val="Tahoma"/>
            <family val="2"/>
          </rPr>
          <t xml:space="preserve">
2.6.06 ameriserve &amp; other charges/credits
</t>
        </r>
      </text>
    </comment>
    <comment ref="BE56" authorId="1">
      <text>
        <r>
          <rPr>
            <b/>
            <sz val="8"/>
            <color indexed="81"/>
            <rFont val="Tahoma"/>
            <family val="2"/>
          </rPr>
          <t>Jon Tower:</t>
        </r>
        <r>
          <rPr>
            <sz val="8"/>
            <color indexed="81"/>
            <rFont val="Tahoma"/>
            <family val="2"/>
          </rPr>
          <t xml:space="preserve">
2.4.08
In the first quarter of 2008, we expect the following one-time impacts: pre-tax gain of approximately $87
million from the sale of our minority interest in KFC Japan; charges of up to $10 million before taxes
related to G&amp;A productivity initiatives and realignment of resources to drive stronger U.S. brand growth;
and expected refranchising losses of about $20 million.</t>
        </r>
      </text>
    </comment>
    <comment ref="BF56" authorId="1">
      <text>
        <r>
          <rPr>
            <b/>
            <sz val="8"/>
            <color indexed="81"/>
            <rFont val="Tahoma"/>
            <family val="2"/>
          </rPr>
          <t>Jon Tower:
7.16.08
$4M  pre-tax charge related to US restructuring, $1M pre-tax US refranchising gains</t>
        </r>
        <r>
          <rPr>
            <sz val="8"/>
            <color indexed="81"/>
            <rFont val="Tahoma"/>
            <family val="2"/>
          </rPr>
          <t xml:space="preserve">
2.4.08
other 1X charges of $7M to offset 1Q $57M benefit - net full year pre-tax to $50M benefit</t>
        </r>
      </text>
    </comment>
    <comment ref="BH56" authorId="1">
      <text>
        <r>
          <rPr>
            <b/>
            <sz val="8"/>
            <color indexed="81"/>
            <rFont val="Tahoma"/>
            <family val="2"/>
          </rPr>
          <t>Jon Tower:
2.3.09</t>
        </r>
        <r>
          <rPr>
            <sz val="8"/>
            <color indexed="81"/>
            <rFont val="Tahoma"/>
            <family val="2"/>
          </rPr>
          <t xml:space="preserve">
US refranchising (gain)/loss = ($17M)
Charges related to US G&amp;A initiatives = $41M
Investment in US brands = $2M
Total Special items = $26M
PRETAX</t>
        </r>
        <r>
          <rPr>
            <b/>
            <sz val="8"/>
            <color indexed="81"/>
            <rFont val="Tahoma"/>
            <family val="2"/>
          </rPr>
          <t xml:space="preserve">
10.7.08
In the fourth quarter, we now expect an estimated $0.05 special items loss
</t>
        </r>
        <r>
          <rPr>
            <sz val="8"/>
            <color indexed="81"/>
            <rFont val="Tahoma"/>
            <family val="2"/>
          </rPr>
          <t xml:space="preserve">
7.17.08
1X charges to hit 4Q or 1Q09 - guidance suggests about @0.02/share</t>
        </r>
      </text>
    </comment>
    <comment ref="BI56" authorId="1">
      <text>
        <r>
          <rPr>
            <b/>
            <sz val="8"/>
            <color indexed="81"/>
            <rFont val="Tahoma"/>
            <family val="2"/>
          </rPr>
          <t xml:space="preserve">Jon Tower:
2.3.09
</t>
        </r>
        <r>
          <rPr>
            <sz val="8"/>
            <color indexed="81"/>
            <rFont val="Tahoma"/>
            <family val="2"/>
          </rPr>
          <t>For the full year, special items totaled a gain of $0.05 per share including a $100 million gain from the sale of our minority interest in KFC Japan and items related to the transformation of our U.S. business: $5 million of U.S. refranchising losses and $56 million of U.S. restructuring charges and U.S. brand reinvestments. In the fourth quarter, special items totaled a loss of $0.03 per share including U.S. refranchising gains of $17 million and $43 million of U.S. restructuring charges and
U.S. brand reinvestments.</t>
        </r>
        <r>
          <rPr>
            <b/>
            <sz val="8"/>
            <color indexed="81"/>
            <rFont val="Tahoma"/>
            <family val="2"/>
          </rPr>
          <t xml:space="preserve">
</t>
        </r>
        <r>
          <rPr>
            <sz val="8"/>
            <color indexed="81"/>
            <rFont val="Tahoma"/>
            <family val="2"/>
          </rPr>
          <t xml:space="preserve">
2.4.08
we expect a one-time gain from the sale of our minority interest in KFC Japan
during the first quarter, as well as gains from global refranchising. We expect these gains will be
partially offset by charges relating to G&amp;A productivity initiatives and realignment of resources, as
well as investments in our U.S. brands to drive stronger growth. The net impact of the gains and
charges is expected to generate approximately $50 million in pre-tax profit, or about $0.06 full-year
EPS,</t>
        </r>
      </text>
    </comment>
    <comment ref="BJ56" authorId="1">
      <text>
        <r>
          <rPr>
            <b/>
            <sz val="8"/>
            <color indexed="81"/>
            <rFont val="Tahoma"/>
            <family val="2"/>
          </rPr>
          <t>Jon Tower:
4.22.09
includes:
US refranchising gains $14M
Charges related to US G&amp;A initiatives &amp; realignment $4M
Investment in US brands $27M
Net =$17M expense
2.3.08</t>
        </r>
        <r>
          <rPr>
            <sz val="8"/>
            <color indexed="81"/>
            <rFont val="Tahoma"/>
            <family val="2"/>
          </rPr>
          <t xml:space="preserve">
Looking ahead to the first quarter of 2009, we expect special items to adversely impact reported EPS due to U.S. brand reinvestments of approximately $25 million related to the installation of new ovens in KFC franchise restaurants and U.S. G&amp;A restructuring charges of about $5 million
partially offset by refranchising gains.
</t>
        </r>
        <r>
          <rPr>
            <sz val="8"/>
            <color indexed="81"/>
            <rFont val="Tahoma"/>
            <family val="2"/>
          </rPr>
          <t xml:space="preserve">
12.10.08
In the first quarter of 2009, U.S. G&amp;A restructuring charges are expected to total about $10 million. Some additional charges could occur in Q2.</t>
        </r>
      </text>
    </comment>
    <comment ref="BK56" authorId="1">
      <text>
        <r>
          <rPr>
            <b/>
            <sz val="8"/>
            <color indexed="81"/>
            <rFont val="Tahoma"/>
            <family val="2"/>
          </rPr>
          <t>Jon Tower:</t>
        </r>
        <r>
          <rPr>
            <sz val="8"/>
            <color indexed="81"/>
            <rFont val="Tahoma"/>
            <family val="2"/>
          </rPr>
          <t xml:space="preserve">
4.22.09
Additionally, we forecast special items to have a slightly negative impact to reported EPS in the
second quarter.</t>
        </r>
      </text>
    </comment>
    <comment ref="BO56" authorId="1">
      <text>
        <r>
          <rPr>
            <b/>
            <sz val="8"/>
            <color indexed="81"/>
            <rFont val="Tahoma"/>
            <family val="2"/>
          </rPr>
          <t>Jon Tower:</t>
        </r>
        <r>
          <rPr>
            <sz val="8"/>
            <color indexed="81"/>
            <rFont val="Tahoma"/>
            <family val="2"/>
          </rPr>
          <t xml:space="preserve">
4.14.10
Special items included $56 million of expense related to refranchising in the U.S. as net gains from transactions in the first quarter were offset by non-cash write-downs of restaurants offered for sale as we continue to execute our U.S. ownership restructuring plan.
4.14.10 ITEMS:
Loss of refranchising equity market outside US =(7M)
US refranchising gain (loss) = (56M)
Charges related to US G&amp;A productivity initiatives/realignment = (3M)
Total = (66M)
Tax Benefit (expense) = 22M
Special Items Net of Tax = (44M)
or $0.09/share</t>
        </r>
      </text>
    </comment>
    <comment ref="BP56" authorId="1">
      <text>
        <r>
          <rPr>
            <b/>
            <sz val="8"/>
            <color indexed="81"/>
            <rFont val="Tahoma"/>
            <family val="2"/>
          </rPr>
          <t>Jon Tower:</t>
        </r>
        <r>
          <rPr>
            <sz val="8"/>
            <color indexed="81"/>
            <rFont val="Tahoma"/>
            <family val="2"/>
          </rPr>
          <t xml:space="preserve">
7.13.10:
ITEMS:
US refranchising gain (loss) = 5M
Depreciation benefit from KFC restaurants impaired upon offer to sell = $3M
Charges related to US G&amp;A productivity initiatives/realignment = (2M)
Total = 6M
Tax Benefit (expense) = (2M)
Special Items Net of Tax = 4M
or $0.01/share</t>
        </r>
      </text>
    </comment>
    <comment ref="BQ56" authorId="1">
      <text>
        <r>
          <rPr>
            <b/>
            <sz val="8"/>
            <color indexed="81"/>
            <rFont val="Tahoma"/>
            <family val="2"/>
          </rPr>
          <t>Jon Tower:</t>
        </r>
        <r>
          <rPr>
            <sz val="8"/>
            <color indexed="81"/>
            <rFont val="Tahoma"/>
            <family val="2"/>
          </rPr>
          <t xml:space="preserve">
10.5.10
Special items:
Depreciation benefit from KFC units impaired upon offer to sell = $2M
Total = $2M
Tax benefir</t>
        </r>
      </text>
    </comment>
    <comment ref="BR56" authorId="1">
      <text>
        <r>
          <rPr>
            <b/>
            <sz val="8"/>
            <color indexed="81"/>
            <rFont val="Tahoma"/>
            <family val="2"/>
          </rPr>
          <t>Jon Tower:</t>
        </r>
        <r>
          <rPr>
            <sz val="8"/>
            <color indexed="81"/>
            <rFont val="Tahoma"/>
            <family val="2"/>
          </rPr>
          <t xml:space="preserve">
10.5.10
In the fourth quarter we anticipate recording a pre-tax refranchising loss of approximately $50 million in special items as a result of this transaction
---
Subsequent to the end of our third quarter we agreed to refranchise all of our company owned restaurants in Mexico, which includes 224 KFCs and 123 Pizza Huts. The buyer is an existing Latin American franchise partner, who will also serve as the master franchisor for the Mexico market. We expect the transaction to close by the end of October</t>
        </r>
      </text>
    </comment>
    <comment ref="BS56" authorId="1">
      <text>
        <r>
          <rPr>
            <b/>
            <sz val="8"/>
            <color indexed="81"/>
            <rFont val="Tahoma"/>
            <family val="2"/>
          </rPr>
          <t>Jon Tower:</t>
        </r>
        <r>
          <rPr>
            <sz val="8"/>
            <color indexed="81"/>
            <rFont val="Tahoma"/>
            <family val="2"/>
          </rPr>
          <t xml:space="preserve">
4.14.10
Special items included $56 million of expense related to refranchising in the U.S. as net gains from transactions in the first quarter were offset by non-cash write-downs of restaurants offered for sale as we continue to execute our U.S. ownership restructuring plan.
4.14.10 ITEMS:
Loss of refranchising equity market outside US =(7M)
US refranchising gain (loss) = (56M)
Charges related to US G&amp;A productivity initiatives/realignment = (3M)
Total = (66M)
Tax Benefit (expense) = 22M
Special Items Net of Tax = (44M)
or $0.09/share</t>
        </r>
      </text>
    </comment>
    <comment ref="BT56" authorId="1">
      <text>
        <r>
          <rPr>
            <b/>
            <sz val="8"/>
            <color indexed="81"/>
            <rFont val="Tahoma"/>
            <family val="2"/>
          </rPr>
          <t xml:space="preserve">Jon Tower:
</t>
        </r>
        <r>
          <rPr>
            <sz val="8"/>
            <color indexed="81"/>
            <rFont val="Tahoma"/>
            <family val="2"/>
          </rPr>
          <t xml:space="preserve">4.20.11
U.S. Refranchising gain (loss)  --- gain $1M
Depreciation reduction from KFC restaurants impaired upon offer to sell - Gain $3M
Charges relating to U.S. G&amp;A productivity initiatives and realignment of resources - loss $1M
Impairment of intangibles and other costs relating to the planned sale of LJS and A&amp;W $68M
NET = loss $65M
</t>
        </r>
      </text>
    </comment>
    <comment ref="BV56" authorId="1">
      <text>
        <r>
          <rPr>
            <b/>
            <sz val="8"/>
            <color indexed="81"/>
            <rFont val="Tahoma"/>
            <family val="2"/>
          </rPr>
          <t>Jon Tower:</t>
        </r>
        <r>
          <rPr>
            <sz val="8"/>
            <color indexed="81"/>
            <rFont val="Tahoma"/>
            <family val="2"/>
          </rPr>
          <t xml:space="preserve">
10.4.11
loss $76 mn PHUK refranchising
gain $4 mn US refranchising
gain $2 mn US depreciation reduction
loss $1 mn US G&amp;A productivity initiatives
loss $17 mn impairment related to LJS &amp; A&amp;W
Total = $88 mn expense (op profit)
$70 mn tax benefit
NETS = $18 mn in charges = $0.03 to EPS </t>
        </r>
      </text>
    </comment>
    <comment ref="BW56" authorId="1">
      <text>
        <r>
          <rPr>
            <b/>
            <sz val="8"/>
            <color indexed="81"/>
            <rFont val="Tahoma"/>
            <family val="2"/>
          </rPr>
          <t xml:space="preserve">Jon Tower:
</t>
        </r>
        <r>
          <rPr>
            <sz val="8"/>
            <color indexed="81"/>
            <rFont val="Tahoma"/>
            <family val="2"/>
          </rPr>
          <t>2.6.12
US refranchising loss = (14)mn
d&amp;a reduction on KFC impaired stores = +2mn
charges related to US G&amp;A realignment = (19)mn 
D&amp;A reduction from PHUK = +3mn 
OPerating  = 28mn expense Op Profit
add in 27mn in tax benefit 
TOTAL NET IMPACT $1mn expense</t>
        </r>
        <r>
          <rPr>
            <b/>
            <sz val="8"/>
            <color indexed="81"/>
            <rFont val="Tahoma"/>
            <family val="2"/>
          </rPr>
          <t xml:space="preserve">
</t>
        </r>
        <r>
          <rPr>
            <sz val="8"/>
            <color indexed="81"/>
            <rFont val="Tahoma"/>
            <family val="2"/>
          </rPr>
          <t xml:space="preserve">
2.6.12
During the quarter ended December 31, 2011, we sold the LJS and A&amp;W brands to key franchise leaders and strategic investors in separate transactions. During 2011, as a result of our decision to sell these brands, we recognized $86 million of net pre-tax losses and other costs, primarily in Closures and impairment (income) expenses. Additionally, we recognized $104 million of tax benefits primarily related to tax losses associated with the sales. These items were recorded as Special Items and have not been allocated to any segment for performance reporting purposes (see accompanying reconciliation to reported results). </t>
        </r>
      </text>
    </comment>
    <comment ref="BY56" authorId="1">
      <text>
        <r>
          <rPr>
            <b/>
            <sz val="8"/>
            <color indexed="81"/>
            <rFont val="Tahoma"/>
            <family val="2"/>
          </rPr>
          <t>Jon Tower:</t>
        </r>
        <r>
          <rPr>
            <sz val="8"/>
            <color indexed="81"/>
            <rFont val="Tahoma"/>
            <family val="2"/>
          </rPr>
          <t xml:space="preserve">
4.18.12
PRE-TAX
US refranchising gain (loss) = +$45
Gain on Little Sheep Acq = +$74
Loss on planned refranchising of UK PH = -$21
Other special items = +3
pre-tax special items = +101
Tax benefit (expense) = -7
Net special items = +$94 = $0.20/share</t>
        </r>
      </text>
    </comment>
    <comment ref="BZ56" authorId="8">
      <text>
        <r>
          <rPr>
            <b/>
            <sz val="8"/>
            <color indexed="81"/>
            <rFont val="Tahoma"/>
            <family val="2"/>
          </rPr>
          <t>Sushama Dasari:</t>
        </r>
        <r>
          <rPr>
            <sz val="8"/>
            <color indexed="81"/>
            <rFont val="Tahoma"/>
            <family val="2"/>
          </rPr>
          <t xml:space="preserve">
Resolution of California employment lawsuit vs. Taco Bell</t>
        </r>
      </text>
    </comment>
    <comment ref="CA56" authorId="8">
      <text>
        <r>
          <rPr>
            <b/>
            <sz val="8"/>
            <color indexed="81"/>
            <rFont val="Tahoma"/>
            <family val="2"/>
          </rPr>
          <t>Sushama Dasari:</t>
        </r>
        <r>
          <rPr>
            <sz val="8"/>
            <color indexed="81"/>
            <rFont val="Tahoma"/>
            <family val="2"/>
          </rPr>
          <t xml:space="preserve">
U.S. refranchising loss: -1
Planned PH UK dine-in refranchising loss: -1
Long John Silver's and A&amp;W refranchising tax benefit: +5
</t>
        </r>
      </text>
    </comment>
    <comment ref="CB56" authorId="8">
      <text>
        <r>
          <rPr>
            <b/>
            <sz val="8"/>
            <color indexed="81"/>
            <rFont val="Tahoma"/>
            <family val="2"/>
          </rPr>
          <t>Sushama Dasari:</t>
        </r>
        <r>
          <rPr>
            <sz val="8"/>
            <color indexed="81"/>
            <rFont val="Tahoma"/>
            <family val="2"/>
          </rPr>
          <t xml:space="preserve">
</t>
        </r>
        <r>
          <rPr>
            <b/>
            <sz val="8"/>
            <color indexed="81"/>
            <rFont val="Tahoma"/>
            <family val="2"/>
          </rPr>
          <t xml:space="preserve">2.5.13
</t>
        </r>
        <r>
          <rPr>
            <sz val="8"/>
            <color indexed="81"/>
            <rFont val="Tahoma"/>
            <family val="2"/>
          </rPr>
          <t>$60M pre-tax charge includes:
+ $69M gain from U.S. refranchising
- $84M charge from YUM retirement plan settlement
- $46M loss from PH UK refranchising
- $1M income from Other special items</t>
        </r>
        <r>
          <rPr>
            <sz val="8"/>
            <color indexed="81"/>
            <rFont val="Tahoma"/>
            <family val="2"/>
          </rPr>
          <t xml:space="preserve">
</t>
        </r>
        <r>
          <rPr>
            <b/>
            <sz val="8"/>
            <color indexed="81"/>
            <rFont val="Tahoma"/>
            <family val="2"/>
          </rPr>
          <t>10.9.12</t>
        </r>
        <r>
          <rPr>
            <sz val="8"/>
            <color indexed="81"/>
            <rFont val="Tahoma"/>
            <family val="2"/>
          </rPr>
          <t xml:space="preserve">
In an effort to reduce our ongoing volatility and administration expense in connection with the Company’s U.S.
pension obligation, on October 9, 2012, the Company began notifying certain former employees of a limited
opportunity to voluntarily elect an early payout of their pension benefits to be funded from existing pension assets.
As a result of this program,</t>
        </r>
        <r>
          <rPr>
            <b/>
            <sz val="8"/>
            <color indexed="81"/>
            <rFont val="Tahoma"/>
            <family val="2"/>
          </rPr>
          <t xml:space="preserve"> we anticipate recording a pre-tax non-cash charge between $25 million and $75 million in the fourth quarter of 2012 within Special Items. </t>
        </r>
        <r>
          <rPr>
            <sz val="8"/>
            <color indexed="81"/>
            <rFont val="Tahoma"/>
            <family val="2"/>
          </rPr>
          <t>The amount of this charge will depend on the actual number of
participants electing the lump sum payment option.</t>
        </r>
      </text>
    </comment>
    <comment ref="CF56" authorId="12">
      <text>
        <r>
          <rPr>
            <b/>
            <sz val="8"/>
            <color indexed="81"/>
            <rFont val="Tahoma"/>
            <family val="2"/>
          </rPr>
          <t>John Glass:</t>
        </r>
        <r>
          <rPr>
            <sz val="8"/>
            <color indexed="81"/>
            <rFont val="Tahoma"/>
            <family val="2"/>
          </rPr>
          <t xml:space="preserve">
$295m loss due to write down of Little sheep, partially offset by $37m in refranchising gains. </t>
        </r>
      </text>
    </comment>
    <comment ref="CR56" authorId="6">
      <text>
        <r>
          <rPr>
            <b/>
            <sz val="9"/>
            <color indexed="81"/>
            <rFont val="Tahoma"/>
            <family val="2"/>
          </rPr>
          <t>O'Brien, Courtney (Research):</t>
        </r>
        <r>
          <rPr>
            <sz val="9"/>
            <color indexed="81"/>
            <rFont val="Tahoma"/>
            <family val="2"/>
          </rPr>
          <t xml:space="preserve">
4.22.15
$100 OF  185M for KFC franchisees spend this year, 10M in advert, rest special items
</t>
        </r>
      </text>
    </comment>
    <comment ref="CW56" authorId="6">
      <text>
        <r>
          <rPr>
            <b/>
            <sz val="9"/>
            <color indexed="81"/>
            <rFont val="Tahoma"/>
            <family val="2"/>
          </rPr>
          <t>O'Brien, Courtney (Research):</t>
        </r>
        <r>
          <rPr>
            <sz val="9"/>
            <color indexed="81"/>
            <rFont val="Tahoma"/>
            <family val="2"/>
          </rPr>
          <t xml:space="preserve">
4.22.15
$100 OF  185M for KFC franchisees spend this year, 10M in advert, rest special items
</t>
        </r>
      </text>
    </comment>
    <comment ref="DB56" authorId="6">
      <text>
        <r>
          <rPr>
            <b/>
            <sz val="9"/>
            <color indexed="81"/>
            <rFont val="Tahoma"/>
            <family val="2"/>
          </rPr>
          <t>O'Brien, Courtney (Research):</t>
        </r>
        <r>
          <rPr>
            <sz val="9"/>
            <color indexed="81"/>
            <rFont val="Tahoma"/>
            <family val="2"/>
          </rPr>
          <t xml:space="preserve">
4.22.15
40M of 185M for KFC franchisees spend this year, 20m advertising, rest special items</t>
        </r>
      </text>
    </comment>
    <comment ref="DG56" authorId="6">
      <text>
        <r>
          <rPr>
            <b/>
            <sz val="9"/>
            <color indexed="81"/>
            <rFont val="Tahoma"/>
            <family val="2"/>
          </rPr>
          <t>O'Brien, Courtney (Research):</t>
        </r>
        <r>
          <rPr>
            <sz val="9"/>
            <color indexed="81"/>
            <rFont val="Tahoma"/>
            <family val="2"/>
          </rPr>
          <t xml:space="preserve">
4.22.15
40M of 185M for KFC franchisees spend this year, 20m advertising, rest special items</t>
        </r>
      </text>
    </comment>
    <comment ref="BE57" authorId="1">
      <text>
        <r>
          <rPr>
            <b/>
            <sz val="8"/>
            <color indexed="81"/>
            <rFont val="Tahoma"/>
            <family val="2"/>
          </rPr>
          <t>Jon Tower:</t>
        </r>
        <r>
          <rPr>
            <sz val="8"/>
            <color indexed="81"/>
            <rFont val="Tahoma"/>
            <family val="2"/>
          </rPr>
          <t xml:space="preserve">
2.4.08
In the first quarter of 2008, we expect the following one-time impacts: pre-tax gain of approximately $87
million from the sale of our minority interest in KFC Japan; charges of up to $10 million before taxes
related to G&amp;A productivity initiatives and realignment of resources to drive stronger U.S. brand growth;
and expected refranchising losses of about $20 million.</t>
        </r>
      </text>
    </comment>
    <comment ref="BH57" authorId="1">
      <text>
        <r>
          <rPr>
            <b/>
            <sz val="8"/>
            <color indexed="81"/>
            <rFont val="Tahoma"/>
            <family val="2"/>
          </rPr>
          <t xml:space="preserve">Jon Tower:
2.3.09
</t>
        </r>
        <r>
          <rPr>
            <sz val="8"/>
            <color indexed="81"/>
            <rFont val="Tahoma"/>
            <family val="2"/>
          </rPr>
          <t xml:space="preserve">US refranchising (gain)/loss = ($17M)
Charges related to US G&amp;A initiatives = $41M
Investment in US brands = $2M
Total Special items = $26M
TAX on Special items = $10M
Total special items expense, after tax = $16M
</t>
        </r>
        <r>
          <rPr>
            <b/>
            <sz val="8"/>
            <color indexed="81"/>
            <rFont val="Tahoma"/>
            <family val="2"/>
          </rPr>
          <t xml:space="preserve">
10.7.08
In the fourth quarter, we now expect an estimated $0.05 special items loss
</t>
        </r>
        <r>
          <rPr>
            <sz val="8"/>
            <color indexed="81"/>
            <rFont val="Tahoma"/>
            <family val="2"/>
          </rPr>
          <t xml:space="preserve">
7.17.08
1X charges to hit 4Q or 1Q09 - guidance suggests about @0.02/share</t>
        </r>
      </text>
    </comment>
    <comment ref="BJ57" authorId="1">
      <text>
        <r>
          <rPr>
            <b/>
            <sz val="8"/>
            <color indexed="81"/>
            <rFont val="Tahoma"/>
            <family val="2"/>
          </rPr>
          <t>Jon Tower:</t>
        </r>
        <r>
          <rPr>
            <sz val="8"/>
            <color indexed="81"/>
            <rFont val="Tahoma"/>
            <family val="2"/>
          </rPr>
          <t xml:space="preserve">
4.22.09
includes:
US refranchising gains $14M
Charges related to US G&amp;A initiatives &amp; realignment $4M
Investment in US brands $27M
Net =$17M expense
Tax on special items = $6M
Net impact = $11M or $0.02/share</t>
        </r>
      </text>
    </comment>
    <comment ref="BM57" authorId="1">
      <text>
        <r>
          <rPr>
            <b/>
            <sz val="8"/>
            <color indexed="81"/>
            <rFont val="Tahoma"/>
            <family val="2"/>
          </rPr>
          <t>Jon Tower:</t>
        </r>
        <r>
          <rPr>
            <sz val="8"/>
            <color indexed="81"/>
            <rFont val="Tahoma"/>
            <family val="2"/>
          </rPr>
          <t xml:space="preserve">
2.3.10
US refranchising loss (gain) = ($11)
Charges related to US G&amp;A productivity initiatives = $7
LJS/A&amp;W Goodwill impairment = $26M
tax (benefit) expense on special items = $1
Total special items = $23M = $0.05/share</t>
        </r>
      </text>
    </comment>
    <comment ref="BO57" authorId="1">
      <text>
        <r>
          <rPr>
            <b/>
            <sz val="8"/>
            <color indexed="81"/>
            <rFont val="Tahoma"/>
            <family val="2"/>
          </rPr>
          <t>Jon Tower:</t>
        </r>
        <r>
          <rPr>
            <sz val="8"/>
            <color indexed="81"/>
            <rFont val="Tahoma"/>
            <family val="2"/>
          </rPr>
          <t xml:space="preserve">
4.14.10 ITEMS:
Loss of refranchising equity market outside US =(7M)
US refranchising gain (loss) = (56M)
Charges related to US G&amp;A productivity initiatives/realignment = (3M)
Total = (66M)
Tax Benefit (expense) = 22M
Special Items Net of Tax = (44M)
or $0.09/share</t>
        </r>
      </text>
    </comment>
    <comment ref="BP57" authorId="1">
      <text>
        <r>
          <rPr>
            <b/>
            <sz val="8"/>
            <color indexed="81"/>
            <rFont val="Tahoma"/>
            <family val="2"/>
          </rPr>
          <t>Jon Tower:</t>
        </r>
        <r>
          <rPr>
            <sz val="8"/>
            <color indexed="81"/>
            <rFont val="Tahoma"/>
            <family val="2"/>
          </rPr>
          <t xml:space="preserve">
7.13.10:
ITEMS:
US refranchising gain (loss) = 5M
Depreciation benefit from KFC restaurants impaired upon offer to sell = $3M
Charges related to US G&amp;A productivity initiatives/realignment = (2M)
Total = 6M
Tax Benefit (expense) = (2M)
Special Items Net of Tax = 4M
or $0.01/share</t>
        </r>
      </text>
    </comment>
    <comment ref="BS57" authorId="1">
      <text>
        <r>
          <rPr>
            <b/>
            <sz val="8"/>
            <color indexed="81"/>
            <rFont val="Tahoma"/>
            <family val="2"/>
          </rPr>
          <t>Jon Tower:</t>
        </r>
        <r>
          <rPr>
            <sz val="8"/>
            <color indexed="81"/>
            <rFont val="Tahoma"/>
            <family val="2"/>
          </rPr>
          <t xml:space="preserve">
4.14.10 ITEMS:
Loss of refranchising equity market outside US =(7M)
US refranchising gain (loss) = (56M)
Charges related to US G&amp;A productivity initiatives/realignment = (3M)
Total = (66M)
Tax Benefit (expense) = 22M
Special Items Net of Tax = (44M)
or $0.09/share</t>
        </r>
      </text>
    </comment>
    <comment ref="BT57" authorId="1">
      <text>
        <r>
          <rPr>
            <b/>
            <sz val="8"/>
            <color indexed="81"/>
            <rFont val="Tahoma"/>
            <family val="2"/>
          </rPr>
          <t xml:space="preserve">Jon Tower:
</t>
        </r>
        <r>
          <rPr>
            <sz val="8"/>
            <color indexed="81"/>
            <rFont val="Tahoma"/>
            <family val="2"/>
          </rPr>
          <t>4.20.11
U.S. Refranchising gain (loss)  --- gain $1M
Depreciation reduction from KFC restaurants impaired upon offer to sell - Gain $3M
Charges relating to U.S. G&amp;A productivity initiatives and realignment of resources - loss $1M
Impairment of intangibles and other costs relating to the planned sale of LJS and A&amp;W $68M
NET = loss $65M
tax benefit = $24M
NET HIT $41M, or $0.09 to EPS</t>
        </r>
      </text>
    </comment>
    <comment ref="BV57" authorId="1">
      <text>
        <r>
          <rPr>
            <b/>
            <sz val="8"/>
            <color indexed="81"/>
            <rFont val="Tahoma"/>
            <family val="2"/>
          </rPr>
          <t>Jon Tower:</t>
        </r>
        <r>
          <rPr>
            <sz val="8"/>
            <color indexed="81"/>
            <rFont val="Tahoma"/>
            <family val="2"/>
          </rPr>
          <t xml:space="preserve">
10.4.11
loss $76 mn PHUK refranchising
gain $4 mn US refranchising
gain $2 mn US depreciation reduction
loss $1 mn US G&amp;A productivity initiatives
loss $17 mn impairment related to LJS &amp; A&amp;W
Total = $88 mn expense (op profit)
$70 mn tax benefit
NETS = $18 mn in charges = $0.03 to EPS </t>
        </r>
      </text>
    </comment>
    <comment ref="BW57" authorId="1">
      <text>
        <r>
          <rPr>
            <b/>
            <sz val="8"/>
            <color indexed="81"/>
            <rFont val="Tahoma"/>
            <family val="2"/>
          </rPr>
          <t>Jon Tower:</t>
        </r>
        <r>
          <rPr>
            <sz val="8"/>
            <color indexed="81"/>
            <rFont val="Tahoma"/>
            <family val="2"/>
          </rPr>
          <t xml:space="preserve">
2.6.12
US refranchising loss = (14)mn
d&amp;a reduction on KFC impaired stores = +2mn
charges related to US G&amp;A realignment = (19)mn 
D&amp;A reduction from PHUK = +3mn 
OPerating  = 28mn expense Op Profit
add in 27mn in tax benefit 
TOTAL NET IMPACT $1mn expense
0-----------
During the quarter ended December 31, 2011, we sold the LJS and A&amp;W brands to key franchise leaders and strategic investors in separate transactions. During 2011, as a result of our decision to sell these brands, we recognized $86 million of net pre-tax losses and other costs, primarily in Closures and impairment (income) expenses. Additionally, we recognized $104 million of tax benefits primarily related to tax losses associated with the sales. These items were recorded as Special Items and have not been allocated to any segment for performance reporting purposes (see accompanying reconciliation to reported results</t>
        </r>
      </text>
    </comment>
    <comment ref="BY57" authorId="1">
      <text>
        <r>
          <rPr>
            <b/>
            <sz val="8"/>
            <color indexed="81"/>
            <rFont val="Tahoma"/>
            <family val="2"/>
          </rPr>
          <t>Jon Tower:</t>
        </r>
        <r>
          <rPr>
            <sz val="8"/>
            <color indexed="81"/>
            <rFont val="Tahoma"/>
            <family val="2"/>
          </rPr>
          <t xml:space="preserve">
4.18.12
PRE-TAX
US refranchising gain (loss) = +$45
Gain on Little Sheep Acq = +$74
Loss on planned refranchising of UK PH = -$21
Other special items = +3
pre-tax special items = +101
Tax benefit (expense) = -7
Net special items = +$94 = $0.20/share</t>
        </r>
      </text>
    </comment>
    <comment ref="CB57" authorId="8">
      <text>
        <r>
          <rPr>
            <b/>
            <sz val="8"/>
            <color indexed="81"/>
            <rFont val="Tahoma"/>
            <family val="2"/>
          </rPr>
          <t>Sushama Dasari:</t>
        </r>
        <r>
          <rPr>
            <sz val="8"/>
            <color indexed="81"/>
            <rFont val="Tahoma"/>
            <family val="2"/>
          </rPr>
          <t xml:space="preserve">
$60M pre-tax Special Items expense
- $10M tax benefit
= $50M post-tax Special Items expense</t>
        </r>
      </text>
    </comment>
    <comment ref="AK59" authorId="7">
      <text>
        <r>
          <rPr>
            <sz val="8"/>
            <color indexed="81"/>
            <rFont val="Tahoma"/>
            <family val="2"/>
          </rPr>
          <t>2/12/04 comfortable with $0.43</t>
        </r>
      </text>
    </comment>
    <comment ref="AL59" authorId="7">
      <text>
        <r>
          <rPr>
            <sz val="8"/>
            <color indexed="81"/>
            <rFont val="Tahoma"/>
            <family val="2"/>
          </rPr>
          <t>4/21/04 "comfortable with $0.52";
 $0.03 benefit from lower tax rate
$0.10 PER SHARE DIVIDEND</t>
        </r>
      </text>
    </comment>
    <comment ref="AM59" authorId="7">
      <text>
        <r>
          <rPr>
            <sz val="8"/>
            <color indexed="81"/>
            <rFont val="Tahoma"/>
            <family val="2"/>
          </rPr>
          <t>7/13/04 $0.60</t>
        </r>
      </text>
    </comment>
    <comment ref="AN59" authorId="3">
      <text>
        <r>
          <rPr>
            <b/>
            <sz val="8"/>
            <color indexed="81"/>
            <rFont val="Tahoma"/>
            <family val="2"/>
          </rPr>
          <t>glassj:</t>
        </r>
        <r>
          <rPr>
            <sz val="8"/>
            <color indexed="81"/>
            <rFont val="Tahoma"/>
            <family val="2"/>
          </rPr>
          <t xml:space="preserve">
7/15: comfortbale w/$0.71
10/5/04 $0.72
12/2/04 $0.72</t>
        </r>
      </text>
    </comment>
    <comment ref="AO59" authorId="7">
      <text>
        <r>
          <rPr>
            <sz val="8"/>
            <color indexed="81"/>
            <rFont val="Tahoma"/>
            <family val="2"/>
          </rPr>
          <t>12/4/03 "at least $2.23"
2/11/04 at least $2.27
3/25/04 at least $2.27
4/21/04 at least $2.30
7/13/04 at least $2.33
9/9/04 at least $2.33
10/06 at least $2.35</t>
        </r>
      </text>
    </comment>
    <comment ref="AP59" authorId="7">
      <text>
        <r>
          <rPr>
            <sz val="8"/>
            <color indexed="81"/>
            <rFont val="Tahoma"/>
            <family val="2"/>
          </rPr>
          <t xml:space="preserve">12/2/04 at least $0.49
2.1.05 $0.51
</t>
        </r>
        <r>
          <rPr>
            <b/>
            <sz val="8"/>
            <color indexed="81"/>
            <rFont val="Tahoma"/>
            <family val="2"/>
          </rPr>
          <t>3.30.06 adjusted to include the impact of SBC expense - though no P&amp;L given yet to fully adjust</t>
        </r>
      </text>
    </comment>
    <comment ref="AQ59" authorId="7">
      <text>
        <r>
          <rPr>
            <sz val="8"/>
            <color indexed="81"/>
            <rFont val="Tahoma"/>
            <family val="2"/>
          </rPr>
          <t>4.20.05 $0.56
6.16.05 $0.56, 59 to 60 including poland/Czech IPO
7.13.05 -lower tax rate for the second quarter added $0.03 to EPS versus the company's previously announced expectations.
3.30.06 adjusted to include the impact of SBC expense - though no P&amp;L given yet to fully adjust</t>
        </r>
      </text>
    </comment>
    <comment ref="AR59" authorId="3">
      <text>
        <r>
          <rPr>
            <b/>
            <sz val="8"/>
            <color indexed="81"/>
            <rFont val="Tahoma"/>
            <family val="2"/>
          </rPr>
          <t>glassj:</t>
        </r>
        <r>
          <rPr>
            <sz val="8"/>
            <color indexed="81"/>
            <rFont val="Tahoma"/>
            <family val="2"/>
          </rPr>
          <t xml:space="preserve">
As of 2/05: $0.73 guidance
7.13.05 Guidance prior to special items, $0.70  - In the fourth quarter, facility-action expenses and the effective tax rate are both expected to be unfavorable versus the prior year, more than offsetting the benefit of the fifty-third week.
10.5.05  lower tax rate Y/Y added $0.02, incurred $6 mill in legal costs recorded in G&amp;A, refranchising had positive $9 mill impact on Q. $9 mill benefit offset $6 mill legal costs &amp; $3 mill assoc w/Katrina.
</t>
        </r>
        <r>
          <rPr>
            <b/>
            <sz val="8"/>
            <color indexed="81"/>
            <rFont val="Tahoma"/>
            <family val="2"/>
          </rPr>
          <t>3.30.06 adjusted to include the impact of SBC expense - though no P&amp;L given yet to fully adjust</t>
        </r>
      </text>
    </comment>
    <comment ref="AS59" authorId="3">
      <text>
        <r>
          <rPr>
            <b/>
            <sz val="8"/>
            <color indexed="81"/>
            <rFont val="Tahoma"/>
            <family val="2"/>
          </rPr>
          <t>glassj:</t>
        </r>
        <r>
          <rPr>
            <sz val="8"/>
            <color indexed="81"/>
            <rFont val="Tahoma"/>
            <family val="2"/>
          </rPr>
          <t xml:space="preserve">
Adopted stock options expensing this quarter ($0.04).
 extra week worth 4-5 cents
2.1.05 $0.80
7.13.05 Guidance prior to special items, $0.77. Tax rate and facilities actions will be unfavorable vs prior yr, offsetting the benefit of the extra week.
10.5.05 $0.78 excluding impact of sbc expense --- hurricanes &amp; higher energy prices to negatively impact Q by $0.01 - incl in guidance
</t>
        </r>
        <r>
          <rPr>
            <b/>
            <sz val="8"/>
            <color indexed="81"/>
            <rFont val="Tahoma"/>
            <family val="2"/>
          </rPr>
          <t>12.1.05 reit $0.78</t>
        </r>
      </text>
    </comment>
    <comment ref="AT59" authorId="7">
      <text>
        <r>
          <rPr>
            <sz val="8"/>
            <color indexed="81"/>
            <rFont val="Tahoma"/>
            <family val="2"/>
          </rPr>
          <t>12/2/04 at least 2.59, inldues $0.04 benefit from 53rd week which YUM has stated it will reivest back into on-time strategic actions
2.2.05 at least $2.60
4.20.05 at least $2.60
5.18.05 reit at least $2.60
7.13.05 = guidance prior to special items of $2.62
additional tax expense of $19mill (repatriation of foreign earnings) will impact EPS by $0.06
10.5.05 raised to $2.64 
11.7.05 reit $2.64 excluding special items of $0.01 and the Czech IPO impact (~$0.04)
12.1.05 $2.64 prior to special items</t>
        </r>
      </text>
    </comment>
    <comment ref="AU59" authorId="0">
      <text>
        <r>
          <rPr>
            <b/>
            <sz val="8"/>
            <color indexed="81"/>
            <rFont val="Tahoma"/>
            <family val="2"/>
          </rPr>
          <t>towerj:</t>
        </r>
        <r>
          <rPr>
            <sz val="8"/>
            <color indexed="81"/>
            <rFont val="Tahoma"/>
            <family val="2"/>
          </rPr>
          <t xml:space="preserve">
7.13.05 - expect to see partial financial recovery from seasoning supplier in China - red dye scare.</t>
        </r>
      </text>
    </comment>
    <comment ref="AY59" authorId="0">
      <text>
        <r>
          <rPr>
            <b/>
            <sz val="8"/>
            <color indexed="81"/>
            <rFont val="Tahoma"/>
            <family val="2"/>
          </rPr>
          <t>towerj:</t>
        </r>
        <r>
          <rPr>
            <sz val="8"/>
            <color indexed="81"/>
            <rFont val="Tahoma"/>
            <family val="2"/>
          </rPr>
          <t xml:space="preserve">
12.1.05 $2.90, ex sbc expense of $0.12
2.6.06 $2.79
4.21.06 at least $2.81, 11% growth prior to special items
7.19.06 at least $2.83, or 11% growth
10.11.06 $2.89, or 14% growth</t>
        </r>
      </text>
    </comment>
    <comment ref="BD59" authorId="0">
      <text>
        <r>
          <rPr>
            <b/>
            <sz val="9"/>
            <color indexed="81"/>
            <rFont val="Tahoma"/>
            <family val="2"/>
          </rPr>
          <t>towerj:
10.8.07
$1.65, or 13% growth
7.11.07 $1.63 (now $0.015 higher on a split adjusted basis)
5.1.07 at least $3.23, or 11%
2.12.07 $3.21, or at least 10%</t>
        </r>
        <r>
          <rPr>
            <sz val="9"/>
            <color indexed="81"/>
            <rFont val="Tahoma"/>
            <family val="2"/>
          </rPr>
          <t xml:space="preserve">
11.30.06 at least 10% growth (off $2.89 base) implies at least $3.18</t>
        </r>
      </text>
    </comment>
    <comment ref="BI59" authorId="1">
      <text>
        <r>
          <rPr>
            <b/>
            <sz val="8"/>
            <color indexed="81"/>
            <rFont val="Tahoma"/>
            <family val="2"/>
          </rPr>
          <t>Jon Tower:
10.7.08
reit $1.89 
7.16.08 $1.89, or 12% growth (prior to full year gains of $0.06/share) 
4.22.08 $1.87, or 11% growth</t>
        </r>
        <r>
          <rPr>
            <sz val="8"/>
            <color indexed="81"/>
            <rFont val="Tahoma"/>
            <family val="2"/>
          </rPr>
          <t xml:space="preserve">
2.4.08
$1.85 or at least 10% EPS growth prior to 1X gains</t>
        </r>
      </text>
    </comment>
    <comment ref="BK59" authorId="1">
      <text>
        <r>
          <rPr>
            <b/>
            <sz val="8"/>
            <color indexed="81"/>
            <rFont val="Tahoma"/>
            <family val="2"/>
          </rPr>
          <t>Jon Tower:</t>
        </r>
        <r>
          <rPr>
            <sz val="8"/>
            <color indexed="81"/>
            <rFont val="Tahoma"/>
            <family val="2"/>
          </rPr>
          <t xml:space="preserve">
4.22.09
with our second quarter results likely being the low point of the year due to: 
Lapping the all-time low quarterly tax rate of 14.8% in the second quarter of 2008.
• Continued negative impact of foreign currency translation on YRI’s operating profit above the first quarter level or nearly $25 million.
• We anticipate an increase in year-over-year closure and impairment expenses driven by the lap of last year’s gain of over $10 million from property sales and lease terminations.
In 2009, we expect some minor closure expenses and the potential for an increase in impairment charges. This is in line with our previously disclosed 2009 full year guidance.
• Negative impact of international refranchising gain/loss of about $5 million versus last year.
• The lap of China’s best quarterly performance of 2008 with very strong mainland China same-store-sales growth of 14% and China Division profit growth of 38%.</t>
        </r>
      </text>
    </comment>
    <comment ref="BN59" authorId="1">
      <text>
        <r>
          <rPr>
            <b/>
            <sz val="8"/>
            <color indexed="81"/>
            <rFont val="Tahoma"/>
            <family val="2"/>
          </rPr>
          <t xml:space="preserve">Jon Tower:
12.4.09
Full year 2009 EPS growth of 12%, excluding special items 
--- implies ~$2.14
10.6.09
</t>
        </r>
        <r>
          <rPr>
            <sz val="8"/>
            <color indexed="81"/>
            <rFont val="Tahoma"/>
            <family val="2"/>
          </rPr>
          <t>The Company raised its full-year 2009 EPS forecast from $2.10 to $2.14 per share or 12% growth prior to special items, driven by stronger-than-expected full year performance in China and a lower-than-expected full year effective tax rate.</t>
        </r>
        <r>
          <rPr>
            <b/>
            <sz val="8"/>
            <color indexed="81"/>
            <rFont val="Tahoma"/>
            <family val="2"/>
          </rPr>
          <t xml:space="preserve">
7.14.09
</t>
        </r>
        <r>
          <rPr>
            <sz val="8"/>
            <color indexed="81"/>
            <rFont val="Tahoma"/>
            <family val="2"/>
          </rPr>
          <t xml:space="preserve">The Company maintains its expectation for full year EPS of $2.10, or 10% growth, excluding special items.
</t>
        </r>
        <r>
          <rPr>
            <b/>
            <sz val="8"/>
            <color indexed="81"/>
            <rFont val="Tahoma"/>
            <family val="2"/>
          </rPr>
          <t xml:space="preserve">
</t>
        </r>
        <r>
          <rPr>
            <sz val="8"/>
            <color indexed="81"/>
            <rFont val="Tahoma"/>
            <family val="2"/>
          </rPr>
          <t xml:space="preserve">4.22.09
The Company expects full year 2009 EPS of $2.10, or 10% growth, excluding special items.
</t>
        </r>
        <r>
          <rPr>
            <sz val="8"/>
            <color indexed="81"/>
            <rFont val="Tahoma"/>
            <family val="2"/>
          </rPr>
          <t>2.3.09
at least 10%, or $2.10 excluding special items</t>
        </r>
      </text>
    </comment>
    <comment ref="BS59" authorId="0">
      <text>
        <r>
          <rPr>
            <b/>
            <sz val="8"/>
            <color indexed="81"/>
            <rFont val="Tahoma"/>
            <family val="2"/>
          </rPr>
          <t xml:space="preserve">towerj:
12.3.10
reit 14% EPS growth ex-special items, (or $2.48)
---
</t>
        </r>
        <r>
          <rPr>
            <sz val="8"/>
            <color indexed="81"/>
            <rFont val="Tahoma"/>
            <family val="2"/>
          </rPr>
          <t xml:space="preserve">The Company raised its full-year 2010 EPS forecast from $2.43 to </t>
        </r>
        <r>
          <rPr>
            <b/>
            <sz val="8"/>
            <color indexed="81"/>
            <rFont val="Tahoma"/>
            <family val="2"/>
          </rPr>
          <t>$2.48</t>
        </r>
        <r>
          <rPr>
            <sz val="8"/>
            <color indexed="81"/>
            <rFont val="Tahoma"/>
            <family val="2"/>
          </rPr>
          <t xml:space="preserve"> per share, or from 12% to 14% growth prior to special items, based on strong year-to-date operating profit performance
</t>
        </r>
        <r>
          <rPr>
            <b/>
            <sz val="8"/>
            <color indexed="81"/>
            <rFont val="Tahoma"/>
            <family val="2"/>
          </rPr>
          <t xml:space="preserve">
7.13.10
I’m pleased to report we expect to deliver 12% EPS growth this year,</t>
        </r>
        <r>
          <rPr>
            <sz val="8"/>
            <color indexed="81"/>
            <rFont val="Tahoma"/>
            <family val="2"/>
          </rPr>
          <t xml:space="preserve"> making 2010 the 9th consecutive year we meet or exceed our annual target of at least 10%.</t>
        </r>
        <r>
          <rPr>
            <b/>
            <sz val="8"/>
            <color indexed="81"/>
            <rFont val="Tahoma"/>
            <family val="2"/>
          </rPr>
          <t xml:space="preserve"> 
or $2.43 --- prior to special items
4.14.10</t>
        </r>
        <r>
          <rPr>
            <sz val="8"/>
            <color indexed="81"/>
            <rFont val="Tahoma"/>
            <family val="2"/>
          </rPr>
          <t xml:space="preserve">
Although the global operating environment remains challenging, we are confident we are well on our way to another year of achieving our target of</t>
        </r>
        <r>
          <rPr>
            <b/>
            <sz val="8"/>
            <color indexed="81"/>
            <rFont val="Tahoma"/>
            <family val="2"/>
          </rPr>
          <t xml:space="preserve"> at least 10% EPS growth
Implies at least $2.39
2.3.10
reiterate “In 2010, we once again expect to achieve our annual target of at least 10% EPS growth.'
12.4.09
at least 10% 
10.6.09
Looking to 2010, we expect to deliver 10% EPS growth.
</t>
        </r>
        <r>
          <rPr>
            <sz val="8"/>
            <color indexed="81"/>
            <rFont val="Tahoma"/>
            <family val="2"/>
          </rPr>
          <t xml:space="preserve">
4.25.06 reit LT EPS Growth of 10%</t>
        </r>
      </text>
    </comment>
    <comment ref="BW59" authorId="1">
      <text>
        <r>
          <rPr>
            <b/>
            <sz val="8"/>
            <color indexed="81"/>
            <rFont val="Tahoma"/>
            <family val="2"/>
          </rPr>
          <t>Jon Tower:</t>
        </r>
        <r>
          <rPr>
            <sz val="8"/>
            <color indexed="81"/>
            <rFont val="Tahoma"/>
            <family val="2"/>
          </rPr>
          <t xml:space="preserve">
includes $0.04 from the extra week</t>
        </r>
      </text>
    </comment>
    <comment ref="BX59" authorId="0">
      <text>
        <r>
          <rPr>
            <b/>
            <sz val="8"/>
            <color indexed="81"/>
            <rFont val="Tahoma"/>
            <family val="2"/>
          </rPr>
          <t xml:space="preserve">towerj:
12.5.11
Yum! Brands Inc. (NYSE: YUM), in advance of its annual Investor Update Meeting, increases its full year 2011 EPS growth forecast to at least 13%, or $2.85 a share, excluding special items; previous guidance was at least 12%. 
10.4.11
</t>
        </r>
        <r>
          <rPr>
            <sz val="8"/>
            <color indexed="81"/>
            <rFont val="Tahoma"/>
            <family val="2"/>
          </rPr>
          <t>“I’m pleased to report EPS growth of 13% in the third quarter, excluding special items. As a result of strong performance in China and other emerging markets, we confidently reaffirm our full-year EPS growth forecast of at least 12%, which will make 2011 the 10th consecutive year we exceed our annual target of at least 10% EPS growth</t>
        </r>
        <r>
          <rPr>
            <b/>
            <sz val="8"/>
            <color indexed="81"/>
            <rFont val="Tahoma"/>
            <family val="2"/>
          </rPr>
          <t xml:space="preserve">
7.13.11
Full year EPS growth forecast raised to at least 12%, or at least $2.83 a share, excluding Special Items. 
4.20.11</t>
        </r>
        <r>
          <rPr>
            <sz val="8"/>
            <color indexed="81"/>
            <rFont val="Tahoma"/>
            <family val="2"/>
          </rPr>
          <t xml:space="preserve">
Looking ahead, our international performance and trends are strong, and new unit development is robust. We expect the continued strength of both our China and YRI businesses to overcome a challenging year in the U.S., </t>
        </r>
        <r>
          <rPr>
            <b/>
            <sz val="8"/>
            <color indexed="81"/>
            <rFont val="Tahoma"/>
            <family val="2"/>
          </rPr>
          <t>and that 2011 will be the tenth consecutive year we achieve our annual target of at least 10% EPS growth (implies at least $2.73)</t>
        </r>
        <r>
          <rPr>
            <b/>
            <sz val="8"/>
            <color indexed="81"/>
            <rFont val="Tahoma"/>
            <family val="2"/>
          </rPr>
          <t xml:space="preserve">
12.3.10
reit at least 10% growth, ex-special items (off a $2.48 base, at least $2.73)
10.6.10
at least 10% EPS growth -- off of '10 guidance of $2.48, implies at least $2.73
</t>
        </r>
        <r>
          <rPr>
            <sz val="8"/>
            <color indexed="81"/>
            <rFont val="Tahoma"/>
            <family val="2"/>
          </rPr>
          <t xml:space="preserve">
4.25.06 reit LT EPS Growth of 10%
</t>
        </r>
      </text>
    </comment>
    <comment ref="CC59" authorId="0">
      <text>
        <r>
          <rPr>
            <b/>
            <sz val="8"/>
            <color indexed="81"/>
            <rFont val="Tahoma"/>
            <family val="2"/>
          </rPr>
          <t xml:space="preserve">Sushama Dasari:
1.7.13
</t>
        </r>
        <r>
          <rPr>
            <sz val="8"/>
            <color indexed="81"/>
            <rFont val="Tahoma"/>
            <family val="2"/>
          </rPr>
          <t xml:space="preserve">The Company expects FY12 EPS, ex Special Items, of approximately </t>
        </r>
        <r>
          <rPr>
            <b/>
            <sz val="8"/>
            <color indexed="81"/>
            <rFont val="Tahoma"/>
            <family val="2"/>
          </rPr>
          <t>$3.24</t>
        </r>
        <r>
          <rPr>
            <sz val="8"/>
            <color indexed="81"/>
            <rFont val="Tahoma"/>
            <family val="2"/>
          </rPr>
          <t>.</t>
        </r>
        <r>
          <rPr>
            <b/>
            <sz val="8"/>
            <color indexed="81"/>
            <rFont val="Tahoma"/>
            <family val="2"/>
          </rPr>
          <t xml:space="preserve">
12.6.12
</t>
        </r>
        <r>
          <rPr>
            <sz val="8"/>
            <color indexed="81"/>
            <rFont val="Tahoma"/>
            <family val="2"/>
          </rPr>
          <t xml:space="preserve">Expect at least 13% EPS growth </t>
        </r>
        <r>
          <rPr>
            <b/>
            <sz val="8"/>
            <color indexed="81"/>
            <rFont val="Tahoma"/>
            <family val="2"/>
          </rPr>
          <t>[i.e., $3.24]</t>
        </r>
        <r>
          <rPr>
            <sz val="8"/>
            <color indexed="81"/>
            <rFont val="Tahoma"/>
            <family val="2"/>
          </rPr>
          <t>, driven by +6% from China, +4% from YRI, +4% from U.S., -1% from financial (-3% from increased taxes, +2% from decreased share count)</t>
        </r>
        <r>
          <rPr>
            <b/>
            <sz val="8"/>
            <color indexed="81"/>
            <rFont val="Tahoma"/>
            <family val="2"/>
          </rPr>
          <t xml:space="preserve">
10.9.12
</t>
        </r>
        <r>
          <rPr>
            <sz val="8"/>
            <color indexed="81"/>
            <rFont val="Tahoma"/>
            <family val="2"/>
          </rPr>
          <t>Full-year EPS growth forecast raised to at least 13%, or at least $3.24, excluding Special Items.</t>
        </r>
        <r>
          <rPr>
            <b/>
            <sz val="8"/>
            <color indexed="81"/>
            <rFont val="Tahoma"/>
            <family val="2"/>
          </rPr>
          <t xml:space="preserve">
7.19.12
</t>
        </r>
        <r>
          <rPr>
            <sz val="8"/>
            <color indexed="81"/>
            <rFont val="Tahoma"/>
            <family val="2"/>
          </rPr>
          <t>Confirmed FY EPS growth of at least 12% ($3.21-3.22)</t>
        </r>
        <r>
          <rPr>
            <b/>
            <sz val="8"/>
            <color indexed="81"/>
            <rFont val="Tahoma"/>
            <family val="2"/>
          </rPr>
          <t xml:space="preserve">
4.18.12
</t>
        </r>
        <r>
          <rPr>
            <sz val="8"/>
            <color indexed="81"/>
            <rFont val="Tahoma"/>
            <family val="2"/>
          </rPr>
          <t>Given the strength of our first-quarter results, we
are raising our full-year EPS growth forecast to at least 12%, excluding Special Items</t>
        </r>
        <r>
          <rPr>
            <b/>
            <sz val="8"/>
            <color indexed="81"/>
            <rFont val="Tahoma"/>
            <family val="2"/>
          </rPr>
          <t xml:space="preserve">
2.6.12
</t>
        </r>
        <r>
          <rPr>
            <sz val="8"/>
            <color indexed="81"/>
            <rFont val="Tahoma"/>
            <family val="2"/>
          </rPr>
          <t xml:space="preserve">We are proud of our consistent track record of growth and are well-positioned to meet or exceed our annual target of at least 10% EPS growth in 2012.” </t>
        </r>
        <r>
          <rPr>
            <b/>
            <sz val="8"/>
            <color indexed="81"/>
            <rFont val="Tahoma"/>
            <family val="2"/>
          </rPr>
          <t xml:space="preserve">
12.5.11
Yum! expects to deliver at least 10% EPS growth in 2012, excluding special items. 
10.4.11
</t>
        </r>
        <r>
          <rPr>
            <sz val="8"/>
            <color indexed="81"/>
            <rFont val="Tahoma"/>
            <family val="2"/>
          </rPr>
          <t xml:space="preserve">Looking ahead, the strength of our international brands and outstanding new unit development, combined with aggressive U.S. initiatives, make us confident we will continue our track
record of double-digit earnings growth next year and beyond.
</t>
        </r>
        <r>
          <rPr>
            <sz val="8"/>
            <color indexed="81"/>
            <rFont val="Tahoma"/>
            <family val="2"/>
          </rPr>
          <t xml:space="preserve">
4.25.06 reit LT EPS Growth of 10%</t>
        </r>
      </text>
    </comment>
    <comment ref="CD59" authorId="8">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 xml:space="preserve">For the first quarter, we estimate that EPS
will decline approximately 25% before special items </t>
        </r>
        <r>
          <rPr>
            <b/>
            <sz val="8"/>
            <color indexed="81"/>
            <rFont val="Tahoma"/>
            <family val="2"/>
          </rPr>
          <t>[i.e., ~$0.58]</t>
        </r>
      </text>
    </comment>
    <comment ref="CE59" authorId="12">
      <text>
        <r>
          <rPr>
            <b/>
            <sz val="8"/>
            <color indexed="81"/>
            <rFont val="Tahoma"/>
            <family val="2"/>
          </rPr>
          <t>John Glass:</t>
        </r>
        <r>
          <rPr>
            <sz val="8"/>
            <color indexed="81"/>
            <rFont val="Tahoma"/>
            <family val="2"/>
          </rPr>
          <t xml:space="preserve">
4.13: significant double digit decline in 2Q EPS</t>
        </r>
      </text>
    </comment>
    <comment ref="CH59" authorId="8">
      <text>
        <r>
          <rPr>
            <b/>
            <sz val="8"/>
            <color indexed="81"/>
            <rFont val="Tahoma"/>
            <family val="2"/>
          </rPr>
          <t xml:space="preserve">12.2.13: 
</t>
        </r>
        <r>
          <rPr>
            <sz val="8"/>
            <color indexed="81"/>
            <rFont val="Tahoma"/>
            <family val="2"/>
          </rPr>
          <t>HSD to LDD declines in EPS reconfirmed</t>
        </r>
        <r>
          <rPr>
            <b/>
            <sz val="8"/>
            <color indexed="81"/>
            <rFont val="Tahoma"/>
            <family val="2"/>
          </rPr>
          <t xml:space="preserve">
10.7.13: 
</t>
        </r>
        <r>
          <rPr>
            <sz val="8"/>
            <color indexed="81"/>
            <rFont val="Tahoma"/>
            <family val="2"/>
          </rPr>
          <t>HSD to LDD declines in EPS (we interpret to be down 8 to 12% or $2.86 to $3.00 off of 12's $3.25)</t>
        </r>
        <r>
          <rPr>
            <b/>
            <sz val="8"/>
            <color indexed="81"/>
            <rFont val="Tahoma"/>
            <family val="2"/>
          </rPr>
          <t xml:space="preserve">
7.22.13</t>
        </r>
        <r>
          <rPr>
            <sz val="8"/>
            <color indexed="81"/>
            <rFont val="Tahoma"/>
            <family val="2"/>
          </rPr>
          <t xml:space="preserve">
Maintain -MSD EPS growth guidance with 2Q being the lowest growth. Lowered guidance driven by lowered 4Q China SSS guidance and higher taxes in 3Q.
4&gt;13: reaffirmed MSD decine in EPS, suggests  +/- $3.08
</t>
        </r>
        <r>
          <rPr>
            <b/>
            <sz val="8"/>
            <color indexed="81"/>
            <rFont val="Tahoma"/>
            <family val="2"/>
          </rPr>
          <t>2.23.13</t>
        </r>
        <r>
          <rPr>
            <sz val="8"/>
            <color indexed="81"/>
            <rFont val="Tahoma"/>
            <family val="2"/>
          </rPr>
          <t xml:space="preserve">
reaffirmed
</t>
        </r>
        <r>
          <rPr>
            <b/>
            <sz val="8"/>
            <color indexed="81"/>
            <rFont val="Tahoma"/>
            <family val="2"/>
          </rPr>
          <t>2.4.13</t>
        </r>
        <r>
          <rPr>
            <sz val="8"/>
            <color indexed="81"/>
            <rFont val="Tahoma"/>
            <family val="2"/>
          </rPr>
          <t xml:space="preserve">
We estimate a midsingle
digit EPS decline in 2013 versus prior year, excluding Special Items. This includes an expectation for a significant decline in EPS
performance in the first half of the year followed by EPS growth in the second half.
</t>
        </r>
        <r>
          <rPr>
            <b/>
            <sz val="8"/>
            <color indexed="81"/>
            <rFont val="Tahoma"/>
            <family val="2"/>
          </rPr>
          <t xml:space="preserve">11.29.12: </t>
        </r>
        <r>
          <rPr>
            <sz val="8"/>
            <color indexed="81"/>
            <rFont val="Tahoma"/>
            <family val="2"/>
          </rPr>
          <t xml:space="preserve">at least 10% EPS growth in 13 </t>
        </r>
        <r>
          <rPr>
            <sz val="8"/>
            <color indexed="81"/>
            <rFont val="Tahoma"/>
            <family val="2"/>
          </rPr>
          <t>[i.e., $3.56]</t>
        </r>
        <r>
          <rPr>
            <sz val="8"/>
            <color indexed="81"/>
            <rFont val="Tahoma"/>
            <family val="2"/>
          </rPr>
          <t xml:space="preserve">
</t>
        </r>
        <r>
          <rPr>
            <b/>
            <sz val="8"/>
            <color indexed="81"/>
            <rFont val="Tahoma"/>
            <family val="2"/>
          </rPr>
          <t xml:space="preserve">12.6.12
</t>
        </r>
        <r>
          <rPr>
            <sz val="8"/>
            <color indexed="81"/>
            <rFont val="Tahoma"/>
            <family val="2"/>
          </rPr>
          <t>Long term EPS growth target of at least 10% with contributions of:
+5-6% from China (15% profit growth)
+1-2% from India
+3-4% from YRI (10% profit growth)
+1% from U.S. (5% profit growth)
+1-2% from Financial (taxes, share repurchase)</t>
        </r>
      </text>
    </comment>
    <comment ref="CL59" authorId="6">
      <text>
        <r>
          <rPr>
            <b/>
            <sz val="9"/>
            <color indexed="81"/>
            <rFont val="Tahoma"/>
            <family val="2"/>
          </rPr>
          <t>O'Brien, Courtney (Research):
12.9: implied range is 67-72 c
10.7.14</t>
        </r>
        <r>
          <rPr>
            <sz val="9"/>
            <color indexed="81"/>
            <rFont val="Tahoma"/>
            <family val="2"/>
          </rPr>
          <t xml:space="preserve">
72-84c implied from 14 guidance</t>
        </r>
      </text>
    </comment>
    <comment ref="CM59" authorId="8">
      <text>
        <r>
          <rPr>
            <b/>
            <sz val="8"/>
            <color indexed="81"/>
            <rFont val="Tahoma"/>
            <family val="2"/>
          </rPr>
          <t xml:space="preserve">12.9.14
lowered to MSD growth ex special items (implies $3.15-$3.20)
10.7
lowered to +6% to +10% (3.20-3.32)
7.17.14
</t>
        </r>
        <r>
          <rPr>
            <sz val="8"/>
            <color indexed="81"/>
            <rFont val="Tahoma"/>
            <family val="2"/>
          </rPr>
          <t>"At least 20% EPS growth" reiterated</t>
        </r>
        <r>
          <rPr>
            <b/>
            <sz val="8"/>
            <color indexed="81"/>
            <rFont val="Tahoma"/>
            <family val="2"/>
          </rPr>
          <t xml:space="preserve">
12.02.13</t>
        </r>
        <r>
          <rPr>
            <sz val="8"/>
            <color indexed="81"/>
            <rFont val="Tahoma"/>
            <family val="2"/>
          </rPr>
          <t xml:space="preserve">
"At least" 20% EPS growth. Outsized earnings growth driven by a recovery in China adds 8% and pension savings add 2% to the "at least" 10% LT guidance. 
</t>
        </r>
        <r>
          <rPr>
            <sz val="8"/>
            <color indexed="81"/>
            <rFont val="Tahoma"/>
            <family val="2"/>
          </rPr>
          <t xml:space="preserve">
</t>
        </r>
        <r>
          <rPr>
            <b/>
            <sz val="8"/>
            <color indexed="81"/>
            <rFont val="Tahoma"/>
            <family val="2"/>
          </rPr>
          <t xml:space="preserve">Oct 8 13: </t>
        </r>
        <r>
          <rPr>
            <sz val="8"/>
            <color indexed="81"/>
            <rFont val="Tahoma"/>
            <family val="2"/>
          </rPr>
          <t xml:space="preserve">"at least 20% growht off lowred 13 numbners of $2.86 to $3.00 (based on vague language in release) imples $3.45 to $3.60 - no sss guidance
</t>
        </r>
        <r>
          <rPr>
            <b/>
            <sz val="8"/>
            <color indexed="81"/>
            <rFont val="Tahoma"/>
            <family val="2"/>
          </rPr>
          <t>2.3.14</t>
        </r>
        <r>
          <rPr>
            <sz val="8"/>
            <color indexed="81"/>
            <rFont val="Tahoma"/>
            <family val="2"/>
          </rPr>
          <t xml:space="preserve">
"At least 20%" EPS growth reitereated. 
</t>
        </r>
        <r>
          <rPr>
            <b/>
            <sz val="8"/>
            <color indexed="81"/>
            <rFont val="Tahoma"/>
            <family val="2"/>
          </rPr>
          <t xml:space="preserve">12.6.12
</t>
        </r>
        <r>
          <rPr>
            <sz val="8"/>
            <color indexed="81"/>
            <rFont val="Tahoma"/>
            <family val="2"/>
          </rPr>
          <t>Long term EPS growth target of at least 10% with contributions of:
+5-6% from China (15% profit growth)
+1-2% from India
+3-4% from YRI (10% profit growth)
+1% from U.S. (5% profit growth)
+1-2% from Financial (taxes, share repurchase)</t>
        </r>
      </text>
    </comment>
    <comment ref="CO59" authorId="16">
      <text>
        <r>
          <rPr>
            <b/>
            <sz val="9"/>
            <color indexed="81"/>
            <rFont val="Tahoma"/>
            <family val="2"/>
          </rPr>
          <t>Glass, John (Research):</t>
        </r>
        <r>
          <rPr>
            <sz val="9"/>
            <color indexed="81"/>
            <rFont val="Tahoma"/>
            <family val="2"/>
          </rPr>
          <t xml:space="preserve">
4.15: 2Q EPS will declein roghtly 20% on highe rtax rate, still sluggish china and TB which wont have the same profits growth as 1Q</t>
        </r>
      </text>
    </comment>
    <comment ref="CQ59" authorId="16">
      <text>
        <r>
          <rPr>
            <b/>
            <sz val="9"/>
            <color indexed="81"/>
            <rFont val="Tahoma"/>
            <family val="2"/>
          </rPr>
          <t>Glass, John (Research):</t>
        </r>
        <r>
          <rPr>
            <sz val="9"/>
            <color indexed="81"/>
            <rFont val="Tahoma"/>
            <family val="2"/>
          </rPr>
          <t xml:space="preserve">
12.15: implied range is 59c-68c base don flat to LSD positve full yr sss</t>
        </r>
      </text>
    </comment>
    <comment ref="CR59" authorId="6">
      <text>
        <r>
          <rPr>
            <b/>
            <sz val="9"/>
            <color indexed="81"/>
            <rFont val="Tahoma"/>
            <family val="2"/>
          </rPr>
          <t xml:space="preserve">10..11.16
YUM 2015 PF EPS = $2.20
12.10.15
reaffirmed   flat to LSD EPS growth (implies $3.09 to $3.18)
10.16./15:
Updated gudiance (in addtion to China SSS and op profit)
1) incremetnal F/X headwinds of 1-2%, and 2) lower china = flat to LSD EPS growth
10.6.15:
Low single digit EPS growth in 15 post a slower than expected recovery in china; -6% from FX; = $3.10-$3.24
7.14.15 reit  "at leat 10%" EPS growthin 15 (= ~$3.40)
4.15: "at leat 10%" EPS growthin 15 (= ~$3.40)
2.5.15
reiterated at least +10% (imlies $3.40) , but FX could be as high as 4% impact based on current spot vs 1% prior (FX translation)
why +1-?
</t>
        </r>
        <r>
          <rPr>
            <sz val="9"/>
            <color indexed="81"/>
            <rFont val="Tahoma"/>
            <family val="2"/>
          </rPr>
          <t xml:space="preserve">
12.9.14
at least 10% growth "with potential to do significantly better"
(consensus was at +17% prior) and consistent double digit growth over LT . Assumes no profit growth from kf
compoents of 15 EPS:
6% contribution from china
6% contribution from kfc, tb and ph
1% financial
=13%, but commited to at elast 10%</t>
        </r>
      </text>
    </comment>
    <comment ref="CW59" authorId="6">
      <text>
        <r>
          <rPr>
            <b/>
            <sz val="9"/>
            <color indexed="81"/>
            <rFont val="Tahoma"/>
            <family val="2"/>
          </rPr>
          <t xml:space="preserve">12.10.15
reaffirmed   flat to LSD EPS growth (implies $3.09 to $3.18)
10.16./15:
Updated gudiance (in addtion to China SSS and op profit)
1) incremetnal F/X headwinds of 1-2%, and 2) lower china = flat to LSD EPS growth
10.6.15:
Low single digit EPS growth in 15 post a slower than expected recovery in china; -6% from FX; = $3.10-$3.24
7.14.15 reit  "at leat 10%" EPS growthin 15 (= ~$3.40)
4.15: "at leat 10%" EPS growthin 15 (= ~$3.40)
2.5.15
reiterated at least +10% (imlies $3.40) , but FX could be as high as 4% impact based on current spot vs 1% prior (FX translation)
why +1-?
</t>
        </r>
        <r>
          <rPr>
            <sz val="9"/>
            <color indexed="81"/>
            <rFont val="Tahoma"/>
            <family val="2"/>
          </rPr>
          <t xml:space="preserve">
12.9.14
at least 10% growth "with potential to do significantly better"
(consensus was at +17% prior) and consistent double digit growth over LT . Assumes no profit growth from kf
compoents of 15 EPS:
6% contribution from china
6% contribution from kfc, tb and ph
1% financial
=13%, but commited to at elast 10%</t>
        </r>
      </text>
    </comment>
    <comment ref="DB59" authorId="16">
      <text>
        <r>
          <rPr>
            <b/>
            <sz val="9"/>
            <color indexed="81"/>
            <rFont val="Tahoma"/>
            <family val="2"/>
          </rPr>
          <t>Glass, John (Research):
12.15:
ongoing earnings growth model (17 and beyond)
13% EPS growth
4% KFC
1-2% PH
2% TB
1-2% china royalty
3-5% financial strategies
=13% EPS growth
PLUS
2% div yield
=15% total shareholder return</t>
        </r>
      </text>
    </comment>
    <comment ref="DG59" authorId="16">
      <text>
        <r>
          <rPr>
            <b/>
            <sz val="9"/>
            <color indexed="81"/>
            <rFont val="Tahoma"/>
            <family val="2"/>
          </rPr>
          <t>Glass, John (Research):</t>
        </r>
        <r>
          <rPr>
            <sz val="9"/>
            <color indexed="81"/>
            <rFont val="Tahoma"/>
            <family val="2"/>
          </rPr>
          <t xml:space="preserve">
</t>
        </r>
      </text>
    </comment>
    <comment ref="DL59" authorId="16">
      <text>
        <r>
          <rPr>
            <b/>
            <sz val="9"/>
            <color indexed="81"/>
            <rFont val="Tahoma"/>
            <family val="2"/>
          </rPr>
          <t xml:space="preserve">2.8.2018
</t>
        </r>
        <r>
          <rPr>
            <sz val="9"/>
            <color indexed="81"/>
            <rFont val="Tahoma"/>
            <family val="2"/>
          </rPr>
          <t xml:space="preserve">After evaluating the impacts of tax reform, revenue recognition and our strategic partnership with Grubhub, we continue to expect that we will deliver at least $3.75 in EPS in 2019.
</t>
        </r>
        <r>
          <rPr>
            <b/>
            <sz val="9"/>
            <color indexed="81"/>
            <rFont val="Tahoma"/>
            <family val="2"/>
          </rPr>
          <t xml:space="preserve">
8.3.17
reit 
$3.75 or more in EPS in 2019
</t>
        </r>
        <r>
          <rPr>
            <sz val="9"/>
            <color indexed="81"/>
            <rFont val="Tahoma"/>
            <family val="2"/>
          </rPr>
          <t xml:space="preserve">
10.16: &gt;$3.75 in EPS in F19 (implies 13% CAGR 16-19); 30% of growth = SSSG; 70% due to unit growth, g&amp;a reductions, refranchising efforts, share repurchases and other financial strategies</t>
        </r>
      </text>
    </comment>
    <comment ref="AQ61" authorId="0">
      <text>
        <r>
          <rPr>
            <b/>
            <sz val="8"/>
            <color indexed="81"/>
            <rFont val="Tahoma"/>
            <family val="2"/>
          </rPr>
          <t>towerj:</t>
        </r>
        <r>
          <rPr>
            <sz val="8"/>
            <color indexed="81"/>
            <rFont val="Tahoma"/>
            <family val="2"/>
          </rPr>
          <t xml:space="preserve">
7.13.05 YUM included ~ $0.04 related to Poland/Czech IPO gain in other operating Income...</t>
        </r>
      </text>
    </comment>
    <comment ref="AR61" authorId="0">
      <text>
        <r>
          <rPr>
            <b/>
            <sz val="8"/>
            <color indexed="81"/>
            <rFont val="Tahoma"/>
            <family val="2"/>
          </rPr>
          <t>towerj:</t>
        </r>
        <r>
          <rPr>
            <sz val="8"/>
            <color indexed="81"/>
            <rFont val="Tahoma"/>
            <family val="2"/>
          </rPr>
          <t xml:space="preserve">
7.13.05 expense ~$0.01 due to wrech litigation settlement</t>
        </r>
      </text>
    </comment>
    <comment ref="BE61" authorId="1">
      <text>
        <r>
          <rPr>
            <b/>
            <sz val="8"/>
            <color indexed="81"/>
            <rFont val="Tahoma"/>
            <family val="2"/>
          </rPr>
          <t>Jon Tower:</t>
        </r>
        <r>
          <rPr>
            <sz val="8"/>
            <color indexed="81"/>
            <rFont val="Tahoma"/>
            <family val="2"/>
          </rPr>
          <t xml:space="preserve">
4.22.08
Special items of $0.08 include $100 million pre-tax gain from the sale of minority interest in KFC Japan, $26 million of U.S. refranchising pre-tax losses, and $6 million of pre-tax charges related to U.S. restructuring.</t>
        </r>
      </text>
    </comment>
    <comment ref="BF61" authorId="1">
      <text>
        <r>
          <rPr>
            <b/>
            <sz val="8"/>
            <color indexed="81"/>
            <rFont val="Tahoma"/>
            <family val="2"/>
          </rPr>
          <t>Jon Tower:</t>
        </r>
        <r>
          <rPr>
            <sz val="8"/>
            <color indexed="81"/>
            <rFont val="Tahoma"/>
            <family val="2"/>
          </rPr>
          <t xml:space="preserve">
4.22.08
We expect a special item loss in the range of $0.01 to $0.03 per share due to the continuation of our U.S. business transformation, including refranchising losses and restructuring charges.</t>
        </r>
      </text>
    </comment>
    <comment ref="BH61" authorId="1">
      <text>
        <r>
          <rPr>
            <b/>
            <sz val="8"/>
            <color indexed="81"/>
            <rFont val="Tahoma"/>
            <family val="2"/>
          </rPr>
          <t xml:space="preserve">Jon Tower:
2.3.09
</t>
        </r>
        <r>
          <rPr>
            <sz val="8"/>
            <color indexed="81"/>
            <rFont val="Tahoma"/>
            <family val="2"/>
          </rPr>
          <t xml:space="preserve">US refranchising (gain)/loss = ($17M)
Charges related to US G&amp;A initiatives = $41M
Investment in US brands = $2M
Total Special items = $26M
TAX on Special items = $10M
Total special items expense, after tax = $16M
or $0.03/share
</t>
        </r>
        <r>
          <rPr>
            <b/>
            <sz val="8"/>
            <color indexed="81"/>
            <rFont val="Tahoma"/>
            <family val="2"/>
          </rPr>
          <t xml:space="preserve">10.7.08
In the fourth quarter, we now expect an estimated $0.05 special items loss
</t>
        </r>
        <r>
          <rPr>
            <sz val="8"/>
            <color indexed="81"/>
            <rFont val="Tahoma"/>
            <family val="2"/>
          </rPr>
          <t xml:space="preserve">
7.17.08
1X charges to hit 4Q or 1Q09 - guidance suggests about @0.02/share</t>
        </r>
      </text>
    </comment>
    <comment ref="BI61" authorId="1">
      <text>
        <r>
          <rPr>
            <b/>
            <sz val="8"/>
            <color indexed="81"/>
            <rFont val="Tahoma"/>
            <family val="2"/>
          </rPr>
          <t>Jon Tower:</t>
        </r>
        <r>
          <rPr>
            <sz val="8"/>
            <color indexed="81"/>
            <rFont val="Tahoma"/>
            <family val="2"/>
          </rPr>
          <t xml:space="preserve">
10.7.08
Our full-year estimate is now a net $0.03 gain based on revised estimates of costs related to our U.S.
business transformation including: refranchising gain/loss, restructuring and reinvestment charges.</t>
        </r>
      </text>
    </comment>
    <comment ref="BJ61" authorId="1">
      <text>
        <r>
          <rPr>
            <b/>
            <sz val="8"/>
            <color indexed="81"/>
            <rFont val="Tahoma"/>
            <family val="2"/>
          </rPr>
          <t>Jon Tower:</t>
        </r>
        <r>
          <rPr>
            <sz val="8"/>
            <color indexed="81"/>
            <rFont val="Tahoma"/>
            <family val="2"/>
          </rPr>
          <t xml:space="preserve">
12.10.08
In the first quarter of 2009, U.S. G&amp;A restructuring charges are expected to total about $10 million. Some additional charges could occur in Q2.</t>
        </r>
      </text>
    </comment>
    <comment ref="BK61" authorId="1">
      <text>
        <r>
          <rPr>
            <b/>
            <sz val="8"/>
            <color indexed="81"/>
            <rFont val="Tahoma"/>
            <family val="2"/>
          </rPr>
          <t>Jon Tower:</t>
        </r>
        <r>
          <rPr>
            <sz val="8"/>
            <color indexed="81"/>
            <rFont val="Tahoma"/>
            <family val="2"/>
          </rPr>
          <t xml:space="preserve">
7.14.09 --- $0.13
The 2009 Special Items include the one-time gain recognized upon our acquisition of additional interest in the operating entity that owns the KFC business in Shanghai as well as charges related to our U.S. business
transformation. 
$68M gain - consolidation of former unconsolidated affiliate - China
$1M gain - US refranchising
$5M Charge - US G&amp;A productivity initiatives &amp; realignment
$4M Charge - investment in US brands
___
$60M total gain (pre-tax) = or $63M gain after tax = $0.13/share</t>
        </r>
      </text>
    </comment>
    <comment ref="BN61" authorId="1">
      <text>
        <r>
          <rPr>
            <b/>
            <sz val="8"/>
            <color indexed="81"/>
            <rFont val="Tahoma"/>
            <family val="2"/>
          </rPr>
          <t>Jon Tower:</t>
        </r>
        <r>
          <rPr>
            <sz val="8"/>
            <color indexed="81"/>
            <rFont val="Tahoma"/>
            <family val="2"/>
          </rPr>
          <t xml:space="preserve">
12.10.08
In the first quarter of 2009, U.S. G&amp;A restructuring charges are expected to total about $10 million. Some additional charges could occur in Q2.</t>
        </r>
      </text>
    </comment>
    <comment ref="BO61" authorId="1">
      <text>
        <r>
          <rPr>
            <b/>
            <sz val="8"/>
            <color indexed="81"/>
            <rFont val="Tahoma"/>
            <family val="2"/>
          </rPr>
          <t>Jon Tower:</t>
        </r>
        <r>
          <rPr>
            <sz val="8"/>
            <color indexed="81"/>
            <rFont val="Tahoma"/>
            <family val="2"/>
          </rPr>
          <t xml:space="preserve">
4.14.10 ITEMS:
Loss of refranchising equity market outside US =(7M)
US refranchising gain (loss) = (56M)
Charges related to US G&amp;A productivity initiatives/realignment = (3M)
Total = (66M)
Tax Benefit (expense) = 22M
Special Items Net of Tax = (44M)
or $0.09/share</t>
        </r>
      </text>
    </comment>
    <comment ref="BP61" authorId="1">
      <text>
        <r>
          <rPr>
            <b/>
            <sz val="8"/>
            <color indexed="81"/>
            <rFont val="Tahoma"/>
            <family val="2"/>
          </rPr>
          <t>Jon Tower:</t>
        </r>
        <r>
          <rPr>
            <sz val="8"/>
            <color indexed="81"/>
            <rFont val="Tahoma"/>
            <family val="2"/>
          </rPr>
          <t xml:space="preserve">
7.13.10:
ITEMS:
US refranchising gain (loss) = 5M
Depreciation benefit from KFC restaurants impaired upon offer to sell = $3M
Charges related to US G&amp;A productivity initiatives/realignment = (2M)
Total = 6M
Tax Benefit (expense) = (2M)
Special Items Net of Tax = 4M
or $0.01/share</t>
        </r>
      </text>
    </comment>
    <comment ref="BS61" authorId="1">
      <text>
        <r>
          <rPr>
            <b/>
            <sz val="8"/>
            <color indexed="81"/>
            <rFont val="Tahoma"/>
            <family val="2"/>
          </rPr>
          <t>Jon Tower:</t>
        </r>
        <r>
          <rPr>
            <sz val="8"/>
            <color indexed="81"/>
            <rFont val="Tahoma"/>
            <family val="2"/>
          </rPr>
          <t xml:space="preserve">
4.14.10 ITEMS:
Loss of refranchising equity market outside US =(7M)
US refranchising gain (loss) = (56M)
Charges related to US G&amp;A productivity initiatives/realignment = (3M)
Total = (66M)
Tax Benefit (expense) = 22M
Special Items Net of Tax = (44M)
or $0.09/share</t>
        </r>
      </text>
    </comment>
    <comment ref="BV61" authorId="1">
      <text>
        <r>
          <rPr>
            <b/>
            <sz val="8"/>
            <color indexed="81"/>
            <rFont val="Tahoma"/>
            <family val="2"/>
          </rPr>
          <t>Jon Tower:</t>
        </r>
        <r>
          <rPr>
            <sz val="8"/>
            <color indexed="81"/>
            <rFont val="Tahoma"/>
            <family val="2"/>
          </rPr>
          <t xml:space="preserve">
10.4.11
loss $76 mn PHUK refranchising
gain $4 mn US refranchising
gain $2 mn US depreciation reduction
loss $1 mn US G&amp;A productivity initiatives
loss $17 mn impairment related to LJS &amp; A&amp;W
Total = $88 mn expense (op profit)
$70 mn tax benefit
NETS = $18 mn in charges = $0.03 to EPS </t>
        </r>
      </text>
    </comment>
    <comment ref="BY61" authorId="1">
      <text>
        <r>
          <rPr>
            <b/>
            <sz val="8"/>
            <color indexed="81"/>
            <rFont val="Tahoma"/>
            <family val="2"/>
          </rPr>
          <t>Jon Tower:</t>
        </r>
        <r>
          <rPr>
            <sz val="8"/>
            <color indexed="81"/>
            <rFont val="Tahoma"/>
            <family val="2"/>
          </rPr>
          <t xml:space="preserve">
4.18.12
PRE-TAX
US refranchising gain (loss) = +$45
Gain on Little Sheep Acq = +$74
Loss on planned refranchising of UK PH = -$21
Other special items = +3
pre-tax special items = +101
Tax benefit (expense) = -7
Net special items = +$94 = $0.20/share</t>
        </r>
      </text>
    </comment>
    <comment ref="CF61" authorId="12">
      <text>
        <r>
          <rPr>
            <b/>
            <sz val="8"/>
            <color indexed="81"/>
            <rFont val="Tahoma"/>
            <family val="2"/>
          </rPr>
          <t>John Glass:</t>
        </r>
        <r>
          <rPr>
            <sz val="8"/>
            <color indexed="81"/>
            <rFont val="Tahoma"/>
            <family val="2"/>
          </rPr>
          <t xml:space="preserve">
Majority is the Little Sheep asset write down</t>
        </r>
      </text>
    </comment>
    <comment ref="AH63" authorId="7">
      <text>
        <r>
          <rPr>
            <sz val="8"/>
            <color indexed="81"/>
            <rFont val="Tahoma"/>
            <family val="2"/>
          </rPr>
          <t>7/15/03 - comfortable with $0.52</t>
        </r>
      </text>
    </comment>
    <comment ref="AT63" authorId="0">
      <text>
        <r>
          <rPr>
            <b/>
            <sz val="8"/>
            <color indexed="81"/>
            <rFont val="Tahoma"/>
            <family val="2"/>
          </rPr>
          <t>towerj:</t>
        </r>
        <r>
          <rPr>
            <sz val="8"/>
            <color indexed="81"/>
            <rFont val="Tahoma"/>
            <family val="2"/>
          </rPr>
          <t xml:space="preserve">
10.5.05 $2.64 prior to special items
11.7.05 $2.65 prior to special items ($0.01) - includes Czech IPO benefit</t>
        </r>
      </text>
    </comment>
    <comment ref="BI63" authorId="1">
      <text>
        <r>
          <rPr>
            <b/>
            <sz val="8"/>
            <color indexed="81"/>
            <rFont val="Tahoma"/>
            <family val="2"/>
          </rPr>
          <t xml:space="preserve">Jon Tower:
10.7.08
$1.92 including $0.03 of </t>
        </r>
        <r>
          <rPr>
            <sz val="8"/>
            <color indexed="81"/>
            <rFont val="Tahoma"/>
            <family val="2"/>
          </rPr>
          <t xml:space="preserve">
7.16.08
$1.95 including $0.06 gain, or 16% EPS growth.</t>
        </r>
      </text>
    </comment>
    <comment ref="BK63" authorId="1">
      <text>
        <r>
          <rPr>
            <b/>
            <sz val="8"/>
            <color indexed="81"/>
            <rFont val="Tahoma"/>
            <family val="2"/>
          </rPr>
          <t>Jon Tower:</t>
        </r>
        <r>
          <rPr>
            <sz val="8"/>
            <color indexed="81"/>
            <rFont val="Tahoma"/>
            <family val="2"/>
          </rPr>
          <t xml:space="preserve">
7.14.09
of $0.63 represents 40% growth and included the benefit of a one-time gain of $68 million recognized upon our acquisition of additional ownership in the operating entity that owns the KFC business in Shanghai,</t>
        </r>
      </text>
    </comment>
    <comment ref="A64" authorId="0">
      <text>
        <r>
          <rPr>
            <b/>
            <sz val="8"/>
            <color indexed="81"/>
            <rFont val="Tahoma"/>
            <family val="2"/>
          </rPr>
          <t>towerj:</t>
        </r>
        <r>
          <rPr>
            <sz val="8"/>
            <color indexed="81"/>
            <rFont val="Tahoma"/>
            <family val="2"/>
          </rPr>
          <t xml:space="preserve">
No stock-based employee comensation cost has historically been reflected in NI.</t>
        </r>
      </text>
    </comment>
    <comment ref="AP64" authorId="0">
      <text>
        <r>
          <rPr>
            <b/>
            <sz val="8"/>
            <color indexed="81"/>
            <rFont val="Tahoma"/>
            <family val="2"/>
          </rPr>
          <t>towerj:</t>
        </r>
        <r>
          <rPr>
            <sz val="8"/>
            <color indexed="81"/>
            <rFont val="Tahoma"/>
            <family val="2"/>
          </rPr>
          <t xml:space="preserve">
2.6.06 $0.03</t>
        </r>
      </text>
    </comment>
    <comment ref="AQ64" authorId="0">
      <text>
        <r>
          <rPr>
            <b/>
            <sz val="8"/>
            <color indexed="81"/>
            <rFont val="Tahoma"/>
            <family val="2"/>
          </rPr>
          <t>towerj:</t>
        </r>
        <r>
          <rPr>
            <sz val="8"/>
            <color indexed="81"/>
            <rFont val="Tahoma"/>
            <family val="2"/>
          </rPr>
          <t xml:space="preserve">
2.6.06 $0.03</t>
        </r>
      </text>
    </comment>
    <comment ref="AR64" authorId="0">
      <text>
        <r>
          <rPr>
            <b/>
            <sz val="8"/>
            <color indexed="81"/>
            <rFont val="Tahoma"/>
            <family val="2"/>
          </rPr>
          <t>towerj:</t>
        </r>
        <r>
          <rPr>
            <sz val="8"/>
            <color indexed="81"/>
            <rFont val="Tahoma"/>
            <family val="2"/>
          </rPr>
          <t xml:space="preserve">
2.6.06 $0.03</t>
        </r>
      </text>
    </comment>
    <comment ref="AS64" authorId="0">
      <text>
        <r>
          <rPr>
            <b/>
            <sz val="8"/>
            <color indexed="81"/>
            <rFont val="Tahoma"/>
            <family val="2"/>
          </rPr>
          <t>towerj:</t>
        </r>
        <r>
          <rPr>
            <sz val="8"/>
            <color indexed="81"/>
            <rFont val="Tahoma"/>
            <family val="2"/>
          </rPr>
          <t xml:space="preserve">
11.7.05 ~$0.04 </t>
        </r>
      </text>
    </comment>
    <comment ref="AT64" authorId="0">
      <text>
        <r>
          <rPr>
            <b/>
            <sz val="8"/>
            <color indexed="81"/>
            <rFont val="Tahoma"/>
            <family val="2"/>
          </rPr>
          <t>towerj:</t>
        </r>
        <r>
          <rPr>
            <sz val="8"/>
            <color indexed="81"/>
            <rFont val="Tahoma"/>
            <family val="2"/>
          </rPr>
          <t xml:space="preserve">
11.7.05 ~$0.12
12.1.05 SBC Expense of $56 million in 2005 -- $9mill in Rest-level expense and $47 mill in G&amp;A
12.2.05  USE 37% statutory TR…per convo w/Quan</t>
        </r>
      </text>
    </comment>
    <comment ref="AY64" authorId="0">
      <text>
        <r>
          <rPr>
            <b/>
            <sz val="8"/>
            <color indexed="81"/>
            <rFont val="Tahoma"/>
            <family val="2"/>
          </rPr>
          <t>towerj:</t>
        </r>
        <r>
          <rPr>
            <sz val="8"/>
            <color indexed="81"/>
            <rFont val="Tahoma"/>
            <family val="2"/>
          </rPr>
          <t xml:space="preserve">
11.7.05 ~$0.12 in '06 - convo w/Jerzyk
12.1.05 $0.12 
12.2.05  USE 37% statutory TR…per convo w/Quan
2.6.06 $0.13 per share expense for stock options</t>
        </r>
      </text>
    </comment>
    <comment ref="AF65" authorId="7">
      <text>
        <r>
          <rPr>
            <sz val="8"/>
            <color indexed="81"/>
            <rFont val="Tahoma"/>
            <family val="2"/>
          </rPr>
          <t>guidance decline to range of 304-306</t>
        </r>
      </text>
    </comment>
    <comment ref="AG65" authorId="7">
      <text>
        <r>
          <rPr>
            <sz val="8"/>
            <color indexed="81"/>
            <rFont val="Tahoma"/>
            <family val="2"/>
          </rPr>
          <t>1.33 million shares repurchased</t>
        </r>
      </text>
    </comment>
    <comment ref="AH65" authorId="7">
      <text>
        <r>
          <rPr>
            <sz val="8"/>
            <color indexed="81"/>
            <rFont val="Tahoma"/>
            <family val="2"/>
          </rPr>
          <t>1.33 million repurchased</t>
        </r>
      </text>
    </comment>
    <comment ref="AL65" authorId="3">
      <text>
        <r>
          <rPr>
            <b/>
            <sz val="8"/>
            <color indexed="81"/>
            <rFont val="Tahoma"/>
            <family val="2"/>
          </rPr>
          <t>glassj:</t>
        </r>
        <r>
          <rPr>
            <sz val="8"/>
            <color indexed="81"/>
            <rFont val="Tahoma"/>
            <family val="2"/>
          </rPr>
          <t xml:space="preserve">
$290 million ytd</t>
        </r>
      </text>
    </comment>
    <comment ref="AO65" authorId="7">
      <text>
        <r>
          <rPr>
            <sz val="8"/>
            <color indexed="81"/>
            <rFont val="Tahoma"/>
            <family val="2"/>
          </rPr>
          <t>12/4/03 302 to 307
4/21/04 304 to 307
10/5/04 304 to 305</t>
        </r>
      </text>
    </comment>
    <comment ref="AR65" authorId="0">
      <text>
        <r>
          <rPr>
            <b/>
            <sz val="8"/>
            <color indexed="81"/>
            <rFont val="Tahoma"/>
            <family val="2"/>
          </rPr>
          <t>towerj:</t>
        </r>
        <r>
          <rPr>
            <sz val="8"/>
            <color indexed="81"/>
            <rFont val="Tahoma"/>
            <family val="2"/>
          </rPr>
          <t xml:space="preserve">
10.5.05 bought back 3.8 million shares in Q, with 13.6 million bought back YTD
</t>
        </r>
      </text>
    </comment>
    <comment ref="AS65" authorId="0">
      <text>
        <r>
          <rPr>
            <b/>
            <sz val="8"/>
            <color indexed="81"/>
            <rFont val="Tahoma"/>
            <family val="2"/>
          </rPr>
          <t>towerj:</t>
        </r>
        <r>
          <rPr>
            <sz val="8"/>
            <color indexed="81"/>
            <rFont val="Tahoma"/>
            <family val="2"/>
          </rPr>
          <t xml:space="preserve">
11.18.05 board authorization of additional $500 mill in buyback 
(on top of $500 mill authorized in May '05)</t>
        </r>
      </text>
    </comment>
    <comment ref="AT65" authorId="7">
      <text>
        <r>
          <rPr>
            <sz val="8"/>
            <color indexed="81"/>
            <rFont val="Tahoma"/>
            <family val="2"/>
          </rPr>
          <t xml:space="preserve">12/2/04 295 to 300 million
7.13.05 - 295 to 300
</t>
        </r>
        <r>
          <rPr>
            <b/>
            <sz val="8"/>
            <color indexed="81"/>
            <rFont val="Tahoma"/>
            <family val="2"/>
          </rPr>
          <t>2.6.06</t>
        </r>
        <r>
          <rPr>
            <sz val="8"/>
            <color indexed="81"/>
            <rFont val="Tahoma"/>
            <family val="2"/>
          </rPr>
          <t xml:space="preserve"> repurchased $1.056 bill in stock or ~ 21 mill shares @ avg. cost of $50.</t>
        </r>
      </text>
    </comment>
    <comment ref="AU65" authorId="0">
      <text>
        <r>
          <rPr>
            <b/>
            <sz val="8"/>
            <color indexed="81"/>
            <rFont val="Tahoma"/>
            <family val="2"/>
          </rPr>
          <t>towerj:</t>
        </r>
        <r>
          <rPr>
            <sz val="8"/>
            <color indexed="81"/>
            <rFont val="Tahoma"/>
            <family val="2"/>
          </rPr>
          <t xml:space="preserve">
4.24.06 bought back 7.6 million shares for $371 million -- average price $49</t>
        </r>
      </text>
    </comment>
    <comment ref="AV65" authorId="0">
      <text>
        <r>
          <rPr>
            <b/>
            <sz val="8"/>
            <color indexed="81"/>
            <rFont val="Tahoma"/>
            <family val="2"/>
          </rPr>
          <t>towerj:</t>
        </r>
        <r>
          <rPr>
            <sz val="8"/>
            <color indexed="81"/>
            <rFont val="Tahoma"/>
            <family val="2"/>
          </rPr>
          <t xml:space="preserve">
7.19.06 For the quarter and year to date ended June 17, 2006, we repurchased approximately 3.2 million shares and 10.7 million shares of our
Common Stock, respectively, at an average price of $50 and $49 per share for the quarter and year to date, respectively.</t>
        </r>
      </text>
    </comment>
    <comment ref="AW65" authorId="0">
      <text>
        <r>
          <rPr>
            <b/>
            <sz val="8"/>
            <color indexed="81"/>
            <rFont val="Tahoma"/>
            <family val="2"/>
          </rPr>
          <t>towerj:</t>
        </r>
        <r>
          <rPr>
            <sz val="8"/>
            <color indexed="81"/>
            <rFont val="Tahoma"/>
            <family val="2"/>
          </rPr>
          <t xml:space="preserve">
as of 7.18.06, there were 270.724,838 mill shares outstanding.
On 9.14.06, new $500 mill authorization for repo b/c old one has been almost completed….
As of 6.17.06, there was $440 mill remaining on current share repo authorization.
</t>
        </r>
        <r>
          <rPr>
            <b/>
            <sz val="8"/>
            <color indexed="81"/>
            <rFont val="Tahoma"/>
            <family val="2"/>
          </rPr>
          <t>IMPLIES THAT ~$440 Mill was used to REPO Stock in 3Q06
--- average share price during that time was $48.40 -- assuming no option dilution, would mean almost 9.1 mill shares were repurchased during the Q</t>
        </r>
      </text>
    </comment>
    <comment ref="AY65" authorId="0">
      <text>
        <r>
          <rPr>
            <b/>
            <sz val="8"/>
            <color indexed="81"/>
            <rFont val="Tahoma"/>
            <family val="2"/>
          </rPr>
          <t>towerj:</t>
        </r>
        <r>
          <rPr>
            <sz val="8"/>
            <color indexed="81"/>
            <rFont val="Tahoma"/>
            <family val="2"/>
          </rPr>
          <t xml:space="preserve">
12.1.05 285 to 290 mill
3.15.06 avg. dil SO to decline by at least 4% in 2006
 -- additional $500 mill share repurchase
4.25.06 reit at least 4% reduction in SO
7.19.06 about 280 million, or down 6% Y/Y</t>
        </r>
      </text>
    </comment>
    <comment ref="BA65" authorId="4">
      <text>
        <r>
          <rPr>
            <sz val="8"/>
            <color indexed="81"/>
            <rFont val="Tahoma"/>
            <family val="2"/>
          </rPr>
          <t>7.11.07
bought back 7.2M shares during 2Q07 for $231M (with average price of $31.97, split adjusted)</t>
        </r>
      </text>
    </comment>
    <comment ref="BC65" authorId="1">
      <text>
        <r>
          <rPr>
            <b/>
            <sz val="8"/>
            <color indexed="81"/>
            <rFont val="Tahoma"/>
            <family val="2"/>
          </rPr>
          <t>Jon Tower:</t>
        </r>
        <r>
          <rPr>
            <sz val="8"/>
            <color indexed="81"/>
            <rFont val="Tahoma"/>
            <family val="2"/>
          </rPr>
          <t xml:space="preserve">
2.4.08
repo'd 16 million shares at an average purchase price of $37.03, or a total of $603 million</t>
        </r>
      </text>
    </comment>
    <comment ref="BD65" authorId="0">
      <text>
        <r>
          <rPr>
            <b/>
            <sz val="8"/>
            <color indexed="81"/>
            <rFont val="Tahoma"/>
            <family val="2"/>
          </rPr>
          <t xml:space="preserve">towerj:
2.4.08
</t>
        </r>
        <r>
          <rPr>
            <sz val="8"/>
            <color indexed="81"/>
            <rFont val="Tahoma"/>
            <family val="2"/>
          </rPr>
          <t>For the year, we purchased 42 million shares at an average purchase
price of $33.66, or a total of $1.4 billion, reducing average diluted shares outstanding by 4%</t>
        </r>
        <r>
          <rPr>
            <b/>
            <sz val="8"/>
            <color indexed="81"/>
            <rFont val="Tahoma"/>
            <family val="2"/>
          </rPr>
          <t xml:space="preserve">
</t>
        </r>
        <r>
          <rPr>
            <sz val="8"/>
            <color indexed="81"/>
            <rFont val="Tahoma"/>
            <family val="2"/>
          </rPr>
          <t>10.8.07
540M, or about a 4% reduction
11.30.06 270 million, or 3% reduction Y/Y</t>
        </r>
      </text>
    </comment>
    <comment ref="BE65" authorId="1">
      <text>
        <r>
          <rPr>
            <b/>
            <sz val="8"/>
            <color indexed="81"/>
            <rFont val="Tahoma"/>
            <family val="2"/>
          </rPr>
          <t>Jon Tower:</t>
        </r>
        <r>
          <rPr>
            <sz val="8"/>
            <color indexed="81"/>
            <rFont val="Tahoma"/>
            <family val="2"/>
          </rPr>
          <t xml:space="preserve">
4.22.08
repod 27.7M shares @ avg. price of $35.39,for total of $981M</t>
        </r>
      </text>
    </comment>
    <comment ref="BF65" authorId="1">
      <text>
        <r>
          <rPr>
            <b/>
            <sz val="8"/>
            <color indexed="81"/>
            <rFont val="Tahoma"/>
            <family val="2"/>
          </rPr>
          <t>Jon Tower:</t>
        </r>
        <r>
          <rPr>
            <sz val="8"/>
            <color indexed="81"/>
            <rFont val="Tahoma"/>
            <family val="2"/>
          </rPr>
          <t xml:space="preserve">
7.16.08 - During the second quarter of 2008, we purchased 0.3 million shares at an average price of $37.19, or a total of $11 million. Year-to-date, we have purchased 28 million shares at an average price of $35.41, or a total of $992 million.
</t>
        </r>
      </text>
    </comment>
    <comment ref="BG65" authorId="1">
      <text>
        <r>
          <rPr>
            <b/>
            <sz val="8"/>
            <color indexed="81"/>
            <rFont val="Tahoma"/>
            <family val="2"/>
          </rPr>
          <t xml:space="preserve">Jon Tower:
10.7.08
</t>
        </r>
        <r>
          <rPr>
            <sz val="8"/>
            <color indexed="81"/>
            <rFont val="Tahoma"/>
            <family val="2"/>
          </rPr>
          <t xml:space="preserve">During the third quarter of 2008, we purchased 14 million shares at an average price of $35.17, or a total
of $508 million. Year-to-date, we have purchased 42 million shares at an average price of $35.32, or a
total of $1.5 billion
</t>
        </r>
        <r>
          <rPr>
            <sz val="8"/>
            <color indexed="81"/>
            <rFont val="Tahoma"/>
            <family val="2"/>
          </rPr>
          <t xml:space="preserve">
9.10.08
announced dividend ($0.19/share) and said 'As of September 10, 2008, Yum! has already returned over $1.8 billion to shareholders this year through $1.5 billion of share repurchases and over $300 million in dividends, including this dividend declaration."
</t>
        </r>
        <r>
          <rPr>
            <b/>
            <sz val="8"/>
            <color indexed="81"/>
            <rFont val="Tahoma"/>
            <family val="2"/>
          </rPr>
          <t xml:space="preserve">Implies repurchased ~$500M in stock during the 3Q </t>
        </r>
      </text>
    </comment>
    <comment ref="BH65" authorId="1">
      <text>
        <r>
          <rPr>
            <b/>
            <sz val="8"/>
            <color indexed="81"/>
            <rFont val="Tahoma"/>
            <family val="2"/>
          </rPr>
          <t>Jon Tower:
2.3.09</t>
        </r>
        <r>
          <rPr>
            <sz val="8"/>
            <color indexed="81"/>
            <rFont val="Tahoma"/>
            <family val="2"/>
          </rPr>
          <t xml:space="preserve">
During the fourth quarter, we purchased 4 million shares at an average purchase price of $26.55, or a total of $116 million.</t>
        </r>
        <r>
          <rPr>
            <sz val="8"/>
            <color indexed="81"/>
            <rFont val="Tahoma"/>
            <family val="2"/>
          </rPr>
          <t xml:space="preserve">
12.10.08
$1.7B YTD Share repo</t>
        </r>
      </text>
    </comment>
    <comment ref="BI65" authorId="15">
      <text>
        <r>
          <rPr>
            <b/>
            <sz val="8"/>
            <color indexed="81"/>
            <rFont val="Tahoma"/>
            <family val="2"/>
          </rPr>
          <t xml:space="preserve">jon tower:
2.3.09
</t>
        </r>
        <r>
          <rPr>
            <sz val="8"/>
            <color indexed="81"/>
            <rFont val="Tahoma"/>
            <family val="2"/>
          </rPr>
          <t>For the full year, we purchased 47 million shares at an average purchase price of $34.50 reducing average diluted shares outstanding by 9%.</t>
        </r>
        <r>
          <rPr>
            <b/>
            <sz val="8"/>
            <color indexed="81"/>
            <rFont val="Tahoma"/>
            <family val="2"/>
          </rPr>
          <t xml:space="preserve">
7.16.08
8% reduction in shares out - to 495M</t>
        </r>
        <r>
          <rPr>
            <sz val="8"/>
            <color indexed="81"/>
            <rFont val="Tahoma"/>
            <family val="2"/>
          </rPr>
          <t xml:space="preserve">
12.6.07
Reduction in average shares outstanding of about 6%, to about 510 million shares.</t>
        </r>
      </text>
    </comment>
    <comment ref="BJ65" authorId="1">
      <text>
        <r>
          <rPr>
            <b/>
            <sz val="8"/>
            <color indexed="81"/>
            <rFont val="Tahoma"/>
            <family val="2"/>
          </rPr>
          <t>Jon Tower:</t>
        </r>
        <r>
          <rPr>
            <sz val="8"/>
            <color indexed="81"/>
            <rFont val="Tahoma"/>
            <family val="2"/>
          </rPr>
          <t xml:space="preserve">
authorization expired in Jan '09</t>
        </r>
      </text>
    </comment>
    <comment ref="BK65" authorId="1">
      <text>
        <r>
          <rPr>
            <b/>
            <sz val="8"/>
            <color indexed="81"/>
            <rFont val="Tahoma"/>
            <family val="2"/>
          </rPr>
          <t>Jon Tower:</t>
        </r>
        <r>
          <rPr>
            <sz val="8"/>
            <color indexed="81"/>
            <rFont val="Tahoma"/>
            <family val="2"/>
          </rPr>
          <t xml:space="preserve">
authorization expired in Jan '09</t>
        </r>
      </text>
    </comment>
    <comment ref="BL65" authorId="1">
      <text>
        <r>
          <rPr>
            <b/>
            <sz val="8"/>
            <color indexed="81"/>
            <rFont val="Tahoma"/>
            <family val="2"/>
          </rPr>
          <t>Jon Tower:</t>
        </r>
        <r>
          <rPr>
            <sz val="8"/>
            <color indexed="81"/>
            <rFont val="Tahoma"/>
            <family val="2"/>
          </rPr>
          <t xml:space="preserve">
9.30.09
YUM authorizes $300M in share repurchases</t>
        </r>
      </text>
    </comment>
    <comment ref="BM65" authorId="1">
      <text>
        <r>
          <rPr>
            <b/>
            <sz val="8"/>
            <color indexed="81"/>
            <rFont val="Tahoma"/>
            <family val="2"/>
          </rPr>
          <t>Jon Tower:</t>
        </r>
        <r>
          <rPr>
            <sz val="8"/>
            <color indexed="81"/>
            <rFont val="Tahoma"/>
            <family val="2"/>
          </rPr>
          <t xml:space="preserve">
9.30.09
YUM authorizes $300M in share repurchases</t>
        </r>
      </text>
    </comment>
    <comment ref="BN65" authorId="1">
      <text>
        <r>
          <rPr>
            <b/>
            <sz val="8"/>
            <color indexed="81"/>
            <rFont val="Tahoma"/>
            <family val="2"/>
          </rPr>
          <t>Jon Tower:</t>
        </r>
        <r>
          <rPr>
            <sz val="8"/>
            <color indexed="81"/>
            <rFont val="Tahoma"/>
            <family val="2"/>
          </rPr>
          <t xml:space="preserve">
12.10.08
reduction of 2%, or 480M shares, which reflects no share repo in '09</t>
        </r>
      </text>
    </comment>
    <comment ref="BO65" authorId="1">
      <text>
        <r>
          <rPr>
            <b/>
            <sz val="8"/>
            <color indexed="81"/>
            <rFont val="Tahoma"/>
            <family val="2"/>
          </rPr>
          <t xml:space="preserve">Jon Tower:
4.14.10
</t>
        </r>
        <r>
          <rPr>
            <sz val="8"/>
            <color indexed="81"/>
            <rFont val="Tahoma"/>
            <family val="2"/>
          </rPr>
          <t xml:space="preserve">Share repurchases totaled $137 million for 4 million shares at an average price of $34.12 per share
</t>
        </r>
        <r>
          <rPr>
            <b/>
            <sz val="8"/>
            <color indexed="81"/>
            <rFont val="Tahoma"/>
            <family val="2"/>
          </rPr>
          <t xml:space="preserve">
3.12.10
</t>
        </r>
        <r>
          <rPr>
            <sz val="8"/>
            <color indexed="81"/>
            <rFont val="Tahoma"/>
            <family val="2"/>
          </rPr>
          <t xml:space="preserve">The Board of Directors also authorized $300 million in share repurchases over the next 12 months in addition to the $300 million authorized in September of 2009. </t>
        </r>
        <r>
          <rPr>
            <b/>
            <sz val="8"/>
            <color indexed="81"/>
            <rFont val="Tahoma"/>
            <family val="2"/>
          </rPr>
          <t xml:space="preserve">
This year, Yum! has utilized approximately $130 million of the $300 million share repurchase authorization from September 2009
</t>
        </r>
        <r>
          <rPr>
            <sz val="8"/>
            <color indexed="81"/>
            <rFont val="Tahoma"/>
            <family val="2"/>
          </rPr>
          <t xml:space="preserve">
9.30.09
YUM authorizes $300M in share repurchases</t>
        </r>
      </text>
    </comment>
    <comment ref="BP65" authorId="1">
      <text>
        <r>
          <rPr>
            <b/>
            <sz val="8"/>
            <color indexed="81"/>
            <rFont val="Tahoma"/>
            <family val="2"/>
          </rPr>
          <t xml:space="preserve">Jon Tower:
7.13.10
Share repurchases totaled $115 million for 2.8 million shares at an average price of $40 per share.
3.12.10
</t>
        </r>
        <r>
          <rPr>
            <sz val="8"/>
            <color indexed="81"/>
            <rFont val="Tahoma"/>
            <family val="2"/>
          </rPr>
          <t xml:space="preserve">The Board of Directors also authorized $300 million in share repurchases over the next 12 months in addition to the $300 million authorized in September of 2009. </t>
        </r>
        <r>
          <rPr>
            <b/>
            <sz val="8"/>
            <color indexed="81"/>
            <rFont val="Tahoma"/>
            <family val="2"/>
          </rPr>
          <t xml:space="preserve">
This year, Yum! has utilized approximately $130 million of the $300 million share repurchase authorization from September 2009
</t>
        </r>
        <r>
          <rPr>
            <sz val="8"/>
            <color indexed="81"/>
            <rFont val="Tahoma"/>
            <family val="2"/>
          </rPr>
          <t xml:space="preserve">
9.30.09
YUM authorizes $300M in share repurchases</t>
        </r>
      </text>
    </comment>
    <comment ref="BQ65" authorId="1">
      <text>
        <r>
          <rPr>
            <b/>
            <sz val="8"/>
            <color indexed="81"/>
            <rFont val="Tahoma"/>
            <family val="2"/>
          </rPr>
          <t xml:space="preserve">Jon Tower:
3.12.10
</t>
        </r>
        <r>
          <rPr>
            <sz val="8"/>
            <color indexed="81"/>
            <rFont val="Tahoma"/>
            <family val="2"/>
          </rPr>
          <t xml:space="preserve">The Board of Directors also authorized $300 million in share repurchases over the next 12 months in addition to the $300 million authorized in September of 2009. </t>
        </r>
        <r>
          <rPr>
            <b/>
            <sz val="8"/>
            <color indexed="81"/>
            <rFont val="Tahoma"/>
            <family val="2"/>
          </rPr>
          <t xml:space="preserve">
This year, Yum! has utilized approximately $130 million of the $300 million share repurchase authorization from September 2009
</t>
        </r>
        <r>
          <rPr>
            <sz val="8"/>
            <color indexed="81"/>
            <rFont val="Tahoma"/>
            <family val="2"/>
          </rPr>
          <t xml:space="preserve">
9.30.09
YUM authorizes $300M in share repurchases</t>
        </r>
      </text>
    </comment>
    <comment ref="BR65" authorId="1">
      <text>
        <r>
          <rPr>
            <b/>
            <sz val="8"/>
            <color indexed="81"/>
            <rFont val="Tahoma"/>
            <family val="2"/>
          </rPr>
          <t xml:space="preserve">Jon Tower:
3.12.10
</t>
        </r>
        <r>
          <rPr>
            <sz val="8"/>
            <color indexed="81"/>
            <rFont val="Tahoma"/>
            <family val="2"/>
          </rPr>
          <t xml:space="preserve">The Board of Directors also authorized $300 million in share repurchases over the next 12 months in addition to the $300 million authorized in September of 2009. </t>
        </r>
        <r>
          <rPr>
            <b/>
            <sz val="8"/>
            <color indexed="81"/>
            <rFont val="Tahoma"/>
            <family val="2"/>
          </rPr>
          <t xml:space="preserve">
This year, Yum! has utilized approximately $130 million of the $300 million share repurchase authorization from September 2009
</t>
        </r>
        <r>
          <rPr>
            <sz val="8"/>
            <color indexed="81"/>
            <rFont val="Tahoma"/>
            <family val="2"/>
          </rPr>
          <t xml:space="preserve">
9.30.09
YUM authorizes $300M in share repurchases</t>
        </r>
      </text>
    </comment>
    <comment ref="BS65" authorId="1">
      <text>
        <r>
          <rPr>
            <b/>
            <sz val="8"/>
            <color indexed="81"/>
            <rFont val="Tahoma"/>
            <family val="2"/>
          </rPr>
          <t xml:space="preserve">Jon Tower:
3.12.10
</t>
        </r>
        <r>
          <rPr>
            <sz val="8"/>
            <color indexed="81"/>
            <rFont val="Tahoma"/>
            <family val="2"/>
          </rPr>
          <t>The Board of Directors also authorized $300 million in share repurchases over the next 12 months in addition to the $300 million authorized in September of 2009.
This year, Yum! has utilized approximately $130 million of the $300 million share repurchase authorization from September 2009</t>
        </r>
        <r>
          <rPr>
            <b/>
            <sz val="8"/>
            <color indexed="81"/>
            <rFont val="Tahoma"/>
            <family val="2"/>
          </rPr>
          <t xml:space="preserve">
</t>
        </r>
        <r>
          <rPr>
            <sz val="8"/>
            <color indexed="81"/>
            <rFont val="Tahoma"/>
            <family val="2"/>
          </rPr>
          <t xml:space="preserve">
12.9.09
flat average shares out at 480M</t>
        </r>
      </text>
    </comment>
    <comment ref="BT65" authorId="1">
      <text>
        <r>
          <rPr>
            <b/>
            <sz val="8"/>
            <color indexed="81"/>
            <rFont val="Tahoma"/>
            <family val="2"/>
          </rPr>
          <t xml:space="preserve">Jon Tower: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U65" authorId="1">
      <text>
        <r>
          <rPr>
            <b/>
            <sz val="8"/>
            <color indexed="81"/>
            <rFont val="Tahoma"/>
            <family val="2"/>
          </rPr>
          <t xml:space="preserve">Jon Tower: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V65" authorId="1">
      <text>
        <r>
          <rPr>
            <b/>
            <sz val="8"/>
            <color indexed="81"/>
            <rFont val="Tahoma"/>
            <family val="2"/>
          </rPr>
          <t>Jon Tower:
10.4.11</t>
        </r>
        <r>
          <rPr>
            <sz val="8"/>
            <color indexed="81"/>
            <rFont val="Tahoma"/>
            <family val="2"/>
          </rPr>
          <t xml:space="preserve">
Share repurchases totaled $238 million for 4.6 million shares at an average price of $52 per share. Share repurchases totaled $545 million year-to-date</t>
        </r>
        <r>
          <rPr>
            <b/>
            <sz val="8"/>
            <color indexed="81"/>
            <rFont val="Tahoma"/>
            <family val="2"/>
          </rPr>
          <t xml:space="preserve">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W65" authorId="1">
      <text>
        <r>
          <rPr>
            <b/>
            <sz val="8"/>
            <color indexed="81"/>
            <rFont val="Tahoma"/>
            <family val="2"/>
          </rPr>
          <t xml:space="preserve">Jon Tower:
2.6.12
For 2011 repurchased 14.3 million shares totaling $733 million at an average price of $51.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X65" authorId="1">
      <text>
        <r>
          <rPr>
            <b/>
            <sz val="8"/>
            <color indexed="81"/>
            <rFont val="Tahoma"/>
            <family val="2"/>
          </rPr>
          <t xml:space="preserve">Jon Tower:
2.6.12
2011
Repurchased 14.3 million shares totaling $733 million at an average price of $51.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Y65" authorId="1">
      <text>
        <r>
          <rPr>
            <b/>
            <sz val="8"/>
            <color indexed="81"/>
            <rFont val="Tahoma"/>
            <family val="2"/>
          </rPr>
          <t>Jon Tower:</t>
        </r>
        <r>
          <rPr>
            <sz val="8"/>
            <color indexed="81"/>
            <rFont val="Tahoma"/>
            <family val="2"/>
          </rPr>
          <t xml:space="preserve">
4.18.12
Shares repurchased at an average price of $64 totaled $78 million for 1.2 million shares.</t>
        </r>
      </text>
    </comment>
    <comment ref="CC65" authorId="1">
      <text>
        <r>
          <rPr>
            <b/>
            <sz val="8"/>
            <color indexed="81"/>
            <rFont val="Tahoma"/>
            <family val="2"/>
          </rPr>
          <t>Jon Tower:</t>
        </r>
        <r>
          <rPr>
            <sz val="8"/>
            <color indexed="81"/>
            <rFont val="Tahoma"/>
            <family val="2"/>
          </rPr>
          <t xml:space="preserve">
12.5.11
2% reduction in average diluted shares outstanding as a result of share repurchases 
</t>
        </r>
      </text>
    </comment>
    <comment ref="CL65" authorId="16">
      <text>
        <r>
          <rPr>
            <b/>
            <sz val="9"/>
            <color indexed="81"/>
            <rFont val="Tahoma"/>
            <family val="2"/>
          </rPr>
          <t>Glass, John (Research):</t>
        </r>
        <r>
          <rPr>
            <sz val="9"/>
            <color indexed="81"/>
            <rFont val="Tahoma"/>
            <family val="2"/>
          </rPr>
          <t xml:space="preserve">
thisis the basic sahre count, not fully diluted as yum reproted a loss I the 4Q psot the littl sheep write down</t>
        </r>
      </text>
    </comment>
    <comment ref="CM65" authorId="2">
      <text>
        <r>
          <rPr>
            <b/>
            <sz val="8"/>
            <color indexed="81"/>
            <rFont val="Tahoma"/>
            <family val="2"/>
          </rPr>
          <t xml:space="preserve">12.02.13
</t>
        </r>
        <r>
          <rPr>
            <sz val="8"/>
            <color indexed="81"/>
            <rFont val="Tahoma"/>
            <family val="2"/>
          </rPr>
          <t>1% lower Y/Y</t>
        </r>
        <r>
          <rPr>
            <sz val="8"/>
            <color indexed="81"/>
            <rFont val="Tahoma"/>
            <family val="2"/>
          </rPr>
          <t xml:space="preserve">
</t>
        </r>
      </text>
    </comment>
    <comment ref="CR65" authorId="6">
      <text>
        <r>
          <rPr>
            <b/>
            <sz val="9"/>
            <color indexed="81"/>
            <rFont val="Tahoma"/>
            <family val="2"/>
          </rPr>
          <t>O'Brien, Courtney (Research):</t>
        </r>
        <r>
          <rPr>
            <sz val="9"/>
            <color indexed="81"/>
            <rFont val="Tahoma"/>
            <family val="2"/>
          </rPr>
          <t xml:space="preserve">
12.9.14
-2%
</t>
        </r>
      </text>
    </comment>
    <comment ref="BL67" authorId="1">
      <text>
        <r>
          <rPr>
            <b/>
            <sz val="8"/>
            <color indexed="81"/>
            <rFont val="Tahoma"/>
            <family val="2"/>
          </rPr>
          <t>Jon Tower:</t>
        </r>
        <r>
          <rPr>
            <sz val="8"/>
            <color indexed="81"/>
            <rFont val="Tahoma"/>
            <family val="2"/>
          </rPr>
          <t xml:space="preserve">
4.22.09
will see the greatest benefit of food costs easing in 3Q09.</t>
        </r>
      </text>
    </comment>
    <comment ref="BN67" authorId="1">
      <text>
        <r>
          <rPr>
            <b/>
            <sz val="8"/>
            <color indexed="81"/>
            <rFont val="Tahoma"/>
            <family val="2"/>
          </rPr>
          <t xml:space="preserve">Jon Tower:
7.15.09
now expect $10M in US food cost deflation in 2H09 and $50M in food cost deflation in China in 2H09
</t>
        </r>
        <r>
          <rPr>
            <sz val="8"/>
            <color indexed="81"/>
            <rFont val="Tahoma"/>
            <family val="2"/>
          </rPr>
          <t xml:space="preserve">
4.22.09
Original expectation was for flat food inflation in China and +$60M food  inflation in the US.
NOW expect China deflation of $50M and US flat to slightly up food inflation -- about $110M in savings Y/Y (based on '08 restaurant sales, would be ~110bps benefit Y/Y all else equal)</t>
        </r>
      </text>
    </comment>
    <comment ref="AD70" authorId="7">
      <text>
        <r>
          <rPr>
            <sz val="8"/>
            <color indexed="81"/>
            <rFont val="Tahoma"/>
            <family val="2"/>
          </rPr>
          <t>y/y decrease attributed primarily to higher labor costs</t>
        </r>
      </text>
    </comment>
    <comment ref="AH70" authorId="7">
      <text>
        <r>
          <rPr>
            <sz val="8"/>
            <color indexed="81"/>
            <rFont val="Tahoma"/>
            <family val="2"/>
          </rPr>
          <t>7/15/03  - expected to be down 100 bps to 15.5%</t>
        </r>
      </text>
    </comment>
    <comment ref="AY70" authorId="0">
      <text>
        <r>
          <rPr>
            <b/>
            <sz val="8"/>
            <color indexed="81"/>
            <rFont val="Tahoma"/>
            <family val="2"/>
          </rPr>
          <t>towerj:</t>
        </r>
        <r>
          <rPr>
            <sz val="8"/>
            <color indexed="81"/>
            <rFont val="Tahoma"/>
            <family val="2"/>
          </rPr>
          <t xml:space="preserve">
12.1.05 slightly favorable vs. '05
7.19.06 +1% Y/Y
10.11.06 at least 1%</t>
        </r>
      </text>
    </comment>
    <comment ref="BD70" authorId="0">
      <text>
        <r>
          <rPr>
            <b/>
            <sz val="9"/>
            <color indexed="81"/>
            <rFont val="Tahoma"/>
            <family val="2"/>
          </rPr>
          <t xml:space="preserve">towerj:
10.8.07
reit down slightly vs. '06 w/declines expected in the US and China division
</t>
        </r>
        <r>
          <rPr>
            <sz val="9"/>
            <color indexed="81"/>
            <rFont val="Tahoma"/>
            <family val="2"/>
          </rPr>
          <t xml:space="preserve">7.11.07
down slightly vs. '06 w/declines expected in the US and China division
</t>
        </r>
        <r>
          <rPr>
            <b/>
            <sz val="9"/>
            <color indexed="81"/>
            <rFont val="Tahoma"/>
            <family val="2"/>
          </rPr>
          <t>11.30.06</t>
        </r>
        <r>
          <rPr>
            <sz val="9"/>
            <color indexed="81"/>
            <rFont val="Tahoma"/>
            <family val="2"/>
          </rPr>
          <t xml:space="preserve">
Worldwide restaurant margin slightly favorable versus 2006 with improvement expected in each division</t>
        </r>
      </text>
    </comment>
    <comment ref="BI70" authorId="1">
      <text>
        <r>
          <rPr>
            <b/>
            <sz val="8"/>
            <color indexed="81"/>
            <rFont val="Tahoma"/>
            <family val="2"/>
          </rPr>
          <t>Jon Tower:</t>
        </r>
        <r>
          <rPr>
            <sz val="8"/>
            <color indexed="81"/>
            <rFont val="Tahoma"/>
            <family val="2"/>
          </rPr>
          <t xml:space="preserve">
12.10.08
13.5%</t>
        </r>
      </text>
    </comment>
    <comment ref="BN70" authorId="1">
      <text>
        <r>
          <rPr>
            <b/>
            <sz val="8"/>
            <color indexed="81"/>
            <rFont val="Tahoma"/>
            <family val="2"/>
          </rPr>
          <t>Jon Tower:</t>
        </r>
        <r>
          <rPr>
            <sz val="8"/>
            <color indexed="81"/>
            <rFont val="Tahoma"/>
            <family val="2"/>
          </rPr>
          <t xml:space="preserve">
12.10.08
14.5%</t>
        </r>
      </text>
    </comment>
    <comment ref="AL71" authorId="3">
      <text>
        <r>
          <rPr>
            <b/>
            <sz val="8"/>
            <color indexed="81"/>
            <rFont val="Tahoma"/>
            <family val="2"/>
          </rPr>
          <t>glassj:</t>
        </r>
        <r>
          <rPr>
            <sz val="8"/>
            <color indexed="81"/>
            <rFont val="Tahoma"/>
            <family val="2"/>
          </rPr>
          <t xml:space="preserve">
higher due to international, higher ownership of restaurants in Canada; higher bonsues</t>
        </r>
      </text>
    </comment>
    <comment ref="AQ71" authorId="0">
      <text>
        <r>
          <rPr>
            <b/>
            <sz val="8"/>
            <color indexed="81"/>
            <rFont val="Tahoma"/>
            <family val="2"/>
          </rPr>
          <t>towerj:</t>
        </r>
        <r>
          <rPr>
            <sz val="8"/>
            <color indexed="81"/>
            <rFont val="Tahoma"/>
            <family val="2"/>
          </rPr>
          <t xml:space="preserve">
7.13.05 - negatively impacted by $10mill related to resolution of litigation matters &amp; legal fees ($3mill) assoc w/matters. Also due to investment in China infrastructure. </t>
        </r>
      </text>
    </comment>
    <comment ref="BE71" authorId="15">
      <text>
        <r>
          <rPr>
            <b/>
            <sz val="8"/>
            <color indexed="81"/>
            <rFont val="Tahoma"/>
            <family val="2"/>
          </rPr>
          <t>jon tower:
2.4.08</t>
        </r>
        <r>
          <rPr>
            <sz val="8"/>
            <color indexed="81"/>
            <rFont val="Tahoma"/>
            <family val="2"/>
          </rPr>
          <t xml:space="preserve">
charges of up to $10 million before taxes
related to G&amp;A productivity initiatives and realignment of resources to drive stronger U.S. brand growth;</t>
        </r>
        <r>
          <rPr>
            <sz val="8"/>
            <color indexed="81"/>
            <rFont val="Tahoma"/>
            <family val="2"/>
          </rPr>
          <t xml:space="preserve">. </t>
        </r>
      </text>
    </comment>
    <comment ref="BJ71" authorId="1">
      <text>
        <r>
          <rPr>
            <b/>
            <sz val="8"/>
            <color indexed="81"/>
            <rFont val="Tahoma"/>
            <family val="2"/>
          </rPr>
          <t>Jon Tower:</t>
        </r>
        <r>
          <rPr>
            <sz val="8"/>
            <color indexed="81"/>
            <rFont val="Tahoma"/>
            <family val="2"/>
          </rPr>
          <t xml:space="preserve">
12.10.08
In the first quarter of 2009, U.S. G&amp;A restructuring charges are expected to total about $10 million. Some additional charges could occur in Q2.</t>
        </r>
      </text>
    </comment>
    <comment ref="BK71" authorId="1">
      <text>
        <r>
          <rPr>
            <b/>
            <sz val="8"/>
            <color indexed="81"/>
            <rFont val="Tahoma"/>
            <family val="2"/>
          </rPr>
          <t>Jon Tower:</t>
        </r>
        <r>
          <rPr>
            <sz val="8"/>
            <color indexed="81"/>
            <rFont val="Tahoma"/>
            <family val="2"/>
          </rPr>
          <t xml:space="preserve">
12.10.08
In the first quarter of 2009, U.S. G&amp;A restructuring charges are expected to total about $10 million. Some additional charges could occur in Q2.</t>
        </r>
      </text>
    </comment>
    <comment ref="CA71" authorId="8">
      <text>
        <r>
          <rPr>
            <b/>
            <sz val="8"/>
            <color indexed="81"/>
            <rFont val="Tahoma"/>
            <family val="2"/>
          </rPr>
          <t>Sushama Dasari:</t>
        </r>
        <r>
          <rPr>
            <sz val="8"/>
            <color indexed="81"/>
            <rFont val="Tahoma"/>
            <family val="2"/>
          </rPr>
          <t xml:space="preserve">
</t>
        </r>
        <r>
          <rPr>
            <b/>
            <sz val="8"/>
            <color indexed="81"/>
            <rFont val="Tahoma"/>
            <family val="2"/>
          </rPr>
          <t>7.19.12</t>
        </r>
        <r>
          <rPr>
            <sz val="8"/>
            <color indexed="81"/>
            <rFont val="Tahoma"/>
            <family val="2"/>
          </rPr>
          <t xml:space="preserve">
US, China, YRI - expect less G&amp;A spend in 2H'12
9.0%---&gt;8.8%</t>
        </r>
      </text>
    </comment>
    <comment ref="CB71" authorId="8">
      <text>
        <r>
          <rPr>
            <b/>
            <sz val="8"/>
            <color indexed="81"/>
            <rFont val="Tahoma"/>
            <family val="2"/>
          </rPr>
          <t>Sushama Dasari:
Incoudes $84 m in1x pension expense; ex this woudl have been 11.5% of sales</t>
        </r>
        <r>
          <rPr>
            <sz val="8"/>
            <color indexed="81"/>
            <rFont val="Tahoma"/>
            <family val="2"/>
          </rPr>
          <t xml:space="preserve">
</t>
        </r>
        <r>
          <rPr>
            <b/>
            <sz val="8"/>
            <color indexed="81"/>
            <rFont val="Tahoma"/>
            <family val="2"/>
          </rPr>
          <t>10.9.12</t>
        </r>
        <r>
          <rPr>
            <sz val="8"/>
            <color indexed="81"/>
            <rFont val="Tahoma"/>
            <family val="2"/>
          </rPr>
          <t xml:space="preserve">
In an effort to reduce our ongoing volatility and administration expense in connection with the Company’s U.S.
pension obligation, on October 9, 2012, the Company began notifying certain former employees of a limited
opportunity to voluntarily elect an early payout of their pension benefits to be funded from existing pension assets.
As a result of this program, we anticipate recording a pre-tax non-cash charge between $25 million and $75 million in the fourth quarter of 2012 within Special Items. The amount of this charge will depend on the actual number of
participants electing the lump sum payment option.
</t>
        </r>
        <r>
          <rPr>
            <b/>
            <sz val="8"/>
            <color indexed="81"/>
            <rFont val="Tahoma"/>
            <family val="2"/>
          </rPr>
          <t>7.19.12</t>
        </r>
        <r>
          <rPr>
            <sz val="8"/>
            <color indexed="81"/>
            <rFont val="Tahoma"/>
            <family val="2"/>
          </rPr>
          <t xml:space="preserve">
US, China, YRI - expect less G&amp;A spend in 2H'12</t>
        </r>
      </text>
    </comment>
    <comment ref="CH71" authorId="8">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Assume worldwide G&amp;A +3% in 2013, with investments in emerging markets offset by savings from PH UK &amp; U.S.</t>
        </r>
      </text>
    </comment>
    <comment ref="DL72" authorId="6">
      <text>
        <r>
          <rPr>
            <b/>
            <sz val="9"/>
            <color indexed="81"/>
            <rFont val="Tahoma"/>
            <family val="2"/>
          </rPr>
          <t>8.3.17
reit 1.7% goal</t>
        </r>
        <r>
          <rPr>
            <sz val="9"/>
            <color indexed="81"/>
            <rFont val="Tahoma"/>
            <family val="2"/>
          </rPr>
          <t xml:space="preserve">
10.11.16
~1.7%</t>
        </r>
      </text>
    </comment>
    <comment ref="BM73" authorId="1">
      <text>
        <r>
          <rPr>
            <b/>
            <sz val="8"/>
            <color indexed="81"/>
            <rFont val="Tahoma"/>
            <family val="2"/>
          </rPr>
          <t>Jon Tower:</t>
        </r>
        <r>
          <rPr>
            <sz val="8"/>
            <color indexed="81"/>
            <rFont val="Tahoma"/>
            <family val="2"/>
          </rPr>
          <t xml:space="preserve">
</t>
        </r>
      </text>
    </comment>
    <comment ref="BH74" authorId="1">
      <text>
        <r>
          <rPr>
            <b/>
            <sz val="8"/>
            <color indexed="81"/>
            <rFont val="Tahoma"/>
            <family val="2"/>
          </rPr>
          <t xml:space="preserve">Jon Tower:
</t>
        </r>
      </text>
    </comment>
    <comment ref="BN74" authorId="1">
      <text>
        <r>
          <rPr>
            <b/>
            <sz val="8"/>
            <color indexed="81"/>
            <rFont val="Tahoma"/>
            <family val="2"/>
          </rPr>
          <t>Jon Tower:</t>
        </r>
        <r>
          <rPr>
            <sz val="8"/>
            <color indexed="81"/>
            <rFont val="Tahoma"/>
            <family val="2"/>
          </rPr>
          <t xml:space="preserve">
12.10.09
13.5% (appendix analyst day)</t>
        </r>
      </text>
    </comment>
    <comment ref="AI78" authorId="7">
      <text>
        <r>
          <rPr>
            <sz val="8"/>
            <color indexed="81"/>
            <rFont val="Tahoma"/>
            <family val="2"/>
          </rPr>
          <t>10/7/03 - 29-31%</t>
        </r>
      </text>
    </comment>
    <comment ref="AJ78" authorId="7">
      <text>
        <r>
          <rPr>
            <sz val="8"/>
            <color indexed="81"/>
            <rFont val="Tahoma"/>
            <family val="2"/>
          </rPr>
          <t xml:space="preserve">guidance 31-32
</t>
        </r>
      </text>
    </comment>
    <comment ref="AL78" authorId="3">
      <text>
        <r>
          <rPr>
            <b/>
            <sz val="8"/>
            <color indexed="81"/>
            <rFont val="Tahoma"/>
            <family val="2"/>
          </rPr>
          <t>glassj:</t>
        </r>
        <r>
          <rPr>
            <sz val="8"/>
            <color indexed="81"/>
            <rFont val="Tahoma"/>
            <family val="2"/>
          </rPr>
          <t xml:space="preserve">
one time benefit in tax</t>
        </r>
      </text>
    </comment>
    <comment ref="AN78" authorId="7">
      <text>
        <r>
          <rPr>
            <sz val="8"/>
            <color indexed="81"/>
            <rFont val="Tahoma"/>
            <family val="2"/>
          </rPr>
          <t>2.1.05 lower tax rate due to execution of international tax-planning strategies</t>
        </r>
      </text>
    </comment>
    <comment ref="AO78" authorId="7">
      <text>
        <r>
          <rPr>
            <sz val="8"/>
            <color indexed="81"/>
            <rFont val="Tahoma"/>
            <family val="2"/>
          </rPr>
          <t>12/4/03 31-32%
7/13/04 29 to 30%</t>
        </r>
      </text>
    </comment>
    <comment ref="AP78" authorId="7">
      <text>
        <r>
          <rPr>
            <sz val="8"/>
            <color indexed="81"/>
            <rFont val="Tahoma"/>
            <family val="2"/>
          </rPr>
          <t>2.1.05 in line with full-year guidance of 29-30 %</t>
        </r>
      </text>
    </comment>
    <comment ref="AQ78" authorId="0">
      <text>
        <r>
          <rPr>
            <b/>
            <sz val="8"/>
            <color indexed="81"/>
            <rFont val="Tahoma"/>
            <family val="2"/>
          </rPr>
          <t>towerj:</t>
        </r>
        <r>
          <rPr>
            <sz val="8"/>
            <color indexed="81"/>
            <rFont val="Tahoma"/>
            <family val="2"/>
          </rPr>
          <t xml:space="preserve">
7.13.05 - lower rate primarily due to settlements related to the closure of regular audit cycles, partially offset by additional tax expense due to anticipated foreign earnings repatriation under the American Jobs Creation Act of 2004. The lower tax rate for the second quarter added $0.03 to EPS versus the company's previously announced expectations. </t>
        </r>
      </text>
    </comment>
    <comment ref="AS78" authorId="7">
      <text>
        <r>
          <rPr>
            <sz val="8"/>
            <color indexed="81"/>
            <rFont val="Tahoma"/>
            <family val="2"/>
          </rPr>
          <t>7/13/05 In the fourth quarter, facility-action expenses and the effective tax rate are both expected to be unfavorable
versus the prior year, more than offsetting the benefit of the fifty-third week.
10.5.05 -- TR will increase 4 percentage points Y/Y</t>
        </r>
      </text>
    </comment>
    <comment ref="AT78" authorId="7">
      <text>
        <r>
          <rPr>
            <sz val="8"/>
            <color indexed="81"/>
            <rFont val="Tahoma"/>
            <family val="2"/>
          </rPr>
          <t>12/2/04 guided to 28-30%
4.20.05 tax rate for full year in range of 28-29%
7.13.05 - 26%-28%.</t>
        </r>
      </text>
    </comment>
    <comment ref="AU78" authorId="0">
      <text>
        <r>
          <rPr>
            <b/>
            <sz val="8"/>
            <color indexed="81"/>
            <rFont val="Tahoma"/>
            <family val="2"/>
          </rPr>
          <t>towerj:</t>
        </r>
        <r>
          <rPr>
            <sz val="8"/>
            <color indexed="81"/>
            <rFont val="Tahoma"/>
            <family val="2"/>
          </rPr>
          <t xml:space="preserve">
historically 1Q has high tax rate</t>
        </r>
      </text>
    </comment>
    <comment ref="AV78" authorId="0">
      <text>
        <r>
          <rPr>
            <b/>
            <sz val="9"/>
            <color indexed="81"/>
            <rFont val="Tahoma"/>
            <family val="2"/>
          </rPr>
          <t>towerj:</t>
        </r>
        <r>
          <rPr>
            <sz val="9"/>
            <color indexed="81"/>
            <rFont val="Tahoma"/>
            <family val="2"/>
          </rPr>
          <t xml:space="preserve">
6.22.06 tax rate 32% +- 1%</t>
        </r>
      </text>
    </comment>
    <comment ref="AX78" authorId="0">
      <text>
        <r>
          <rPr>
            <b/>
            <sz val="9"/>
            <color indexed="81"/>
            <rFont val="Tahoma"/>
            <family val="2"/>
          </rPr>
          <t>towerj:</t>
        </r>
        <r>
          <rPr>
            <sz val="9"/>
            <color indexed="81"/>
            <rFont val="Tahoma"/>
            <family val="2"/>
          </rPr>
          <t xml:space="preserve">
</t>
        </r>
        <r>
          <rPr>
            <sz val="8"/>
            <color indexed="81"/>
            <rFont val="Tahoma"/>
            <family val="2"/>
          </rPr>
          <t>2.12.07
The low rate for the fourth quarter included the reversal of tax reserves in connection with our regular U.S. audit cycle, which we had communicated earlier this year, as well as other adjustments to prior years’ accruals and reserves.</t>
        </r>
      </text>
    </comment>
    <comment ref="AY78" authorId="0">
      <text>
        <r>
          <rPr>
            <b/>
            <sz val="8"/>
            <color indexed="81"/>
            <rFont val="Tahoma"/>
            <family val="2"/>
          </rPr>
          <t xml:space="preserve">towerj: 
12.1.05 </t>
        </r>
        <r>
          <rPr>
            <sz val="8"/>
            <color indexed="81"/>
            <rFont val="Tahoma"/>
            <family val="2"/>
          </rPr>
          <t>26% to 28%
6.22.06 maintain 26%-28%, though likely at high end of range - convo w/Tim &amp; Quan</t>
        </r>
      </text>
    </comment>
    <comment ref="AZ78" authorId="0">
      <text>
        <r>
          <rPr>
            <b/>
            <sz val="9"/>
            <color indexed="81"/>
            <rFont val="Tahoma"/>
            <family val="2"/>
          </rPr>
          <t>towerj:</t>
        </r>
        <r>
          <rPr>
            <sz val="9"/>
            <color indexed="81"/>
            <rFont val="Tahoma"/>
            <family val="2"/>
          </rPr>
          <t xml:space="preserve">
11.30.06 26-28% full year tax rate
1Q historically high vs. remainder of the year</t>
        </r>
      </text>
    </comment>
    <comment ref="BA78" authorId="0">
      <text>
        <r>
          <rPr>
            <b/>
            <sz val="9"/>
            <color indexed="81"/>
            <rFont val="Tahoma"/>
            <family val="2"/>
          </rPr>
          <t>towerj:</t>
        </r>
        <r>
          <rPr>
            <sz val="9"/>
            <color indexed="81"/>
            <rFont val="Tahoma"/>
            <family val="2"/>
          </rPr>
          <t xml:space="preserve">
11.30.06 26-28% full year tax rate</t>
        </r>
      </text>
    </comment>
    <comment ref="BB78" authorId="0">
      <text>
        <r>
          <rPr>
            <b/>
            <sz val="9"/>
            <color indexed="81"/>
            <rFont val="Tahoma"/>
            <family val="2"/>
          </rPr>
          <t>towerj:</t>
        </r>
        <r>
          <rPr>
            <sz val="9"/>
            <color indexed="81"/>
            <rFont val="Tahoma"/>
            <family val="2"/>
          </rPr>
          <t xml:space="preserve">
11.30.06 26-28% full year tax rate</t>
        </r>
      </text>
    </comment>
    <comment ref="BC78" authorId="0">
      <text>
        <r>
          <rPr>
            <b/>
            <sz val="8"/>
            <color indexed="81"/>
            <rFont val="Tahoma"/>
            <family val="2"/>
          </rPr>
          <t xml:space="preserve">towerj:
2.4.08
</t>
        </r>
        <r>
          <rPr>
            <sz val="8"/>
            <color indexed="81"/>
            <rFont val="Tahoma"/>
            <family val="2"/>
          </rPr>
          <t>Tax rates for fourth-quarter and full-year 2007 were lower than prior year due to recognition of foreign-tax
credit benefits.
11.30.06 26-28% full year tax rate</t>
        </r>
      </text>
    </comment>
    <comment ref="BD78" authorId="3">
      <text>
        <r>
          <rPr>
            <b/>
            <sz val="8"/>
            <color indexed="81"/>
            <rFont val="Tahoma"/>
            <family val="2"/>
          </rPr>
          <t>glassj:
10.8.07
reit 26-28%</t>
        </r>
        <r>
          <rPr>
            <sz val="8"/>
            <color indexed="81"/>
            <rFont val="Tahoma"/>
            <family val="2"/>
          </rPr>
          <t xml:space="preserve">
3/06: initial guidance: tax rate creeps up to high 20s
</t>
        </r>
        <r>
          <rPr>
            <b/>
            <sz val="8"/>
            <color indexed="81"/>
            <rFont val="Tahoma"/>
            <family val="2"/>
          </rPr>
          <t xml:space="preserve">
11.30.06 26-28%</t>
        </r>
      </text>
    </comment>
    <comment ref="BF78" authorId="1">
      <text>
        <r>
          <rPr>
            <b/>
            <sz val="8"/>
            <color indexed="81"/>
            <rFont val="Tahoma"/>
            <family val="2"/>
          </rPr>
          <t>Jon Tower:</t>
        </r>
        <r>
          <rPr>
            <sz val="8"/>
            <color indexed="81"/>
            <rFont val="Tahoma"/>
            <family val="2"/>
          </rPr>
          <t xml:space="preserve">
4.22.08
Tax rate is likely to be significantly higher than the second-quarter 2007 tax rate of 21.5%</t>
        </r>
      </text>
    </comment>
    <comment ref="BI78" authorId="3">
      <text>
        <r>
          <rPr>
            <b/>
            <sz val="8"/>
            <color indexed="81"/>
            <rFont val="Tahoma"/>
            <family val="2"/>
          </rPr>
          <t xml:space="preserve">glassj:
10.8.08
slightly better than 26%
</t>
        </r>
        <r>
          <rPr>
            <sz val="8"/>
            <color indexed="81"/>
            <rFont val="Tahoma"/>
            <family val="2"/>
          </rPr>
          <t xml:space="preserve">7.17.08
~26%
12.6.07
Effective tax rate of 28% to 30%
</t>
        </r>
        <r>
          <rPr>
            <sz val="8"/>
            <color indexed="81"/>
            <rFont val="Tahoma"/>
            <family val="2"/>
          </rPr>
          <t>3/06: initial guidance: tax rate creeps up to high 20s</t>
        </r>
      </text>
    </comment>
    <comment ref="BK78" authorId="1">
      <text>
        <r>
          <rPr>
            <b/>
            <sz val="8"/>
            <color indexed="81"/>
            <rFont val="Tahoma"/>
            <family val="2"/>
          </rPr>
          <t>Jon Tower:</t>
        </r>
        <r>
          <rPr>
            <sz val="8"/>
            <color indexed="81"/>
            <rFont val="Tahoma"/>
            <family val="2"/>
          </rPr>
          <t xml:space="preserve">
7.14.09
excluding special items - would have been 16.4% --- 
The effective tax rate for the quarter and year to date ended June 13, 2009 was lower due to no related income tax expense recorded on a $68 million
gain recognized upon our acquisition of additional ownership in, and consolidation of, the operating entity that owns the KFC business in Shanghai,
China.</t>
        </r>
      </text>
    </comment>
    <comment ref="BN78" authorId="1">
      <text>
        <r>
          <rPr>
            <b/>
            <sz val="8"/>
            <color indexed="81"/>
            <rFont val="Tahoma"/>
            <family val="2"/>
          </rPr>
          <t>Jon Tower:</t>
        </r>
        <r>
          <rPr>
            <sz val="8"/>
            <color indexed="81"/>
            <rFont val="Tahoma"/>
            <family val="2"/>
          </rPr>
          <t xml:space="preserve">
7.14.09
about 25%
12.10.08
27%</t>
        </r>
      </text>
    </comment>
    <comment ref="BS78" authorId="1">
      <text>
        <r>
          <rPr>
            <b/>
            <sz val="8"/>
            <color indexed="81"/>
            <rFont val="Tahoma"/>
            <family val="2"/>
          </rPr>
          <t>Jon Tower:</t>
        </r>
        <r>
          <rPr>
            <sz val="8"/>
            <color indexed="81"/>
            <rFont val="Tahoma"/>
            <family val="2"/>
          </rPr>
          <t xml:space="preserve">
12.9.09
~26% tax rate over the next 3 years</t>
        </r>
      </text>
    </comment>
    <comment ref="BT78" authorId="1">
      <text>
        <r>
          <rPr>
            <b/>
            <sz val="8"/>
            <color indexed="81"/>
            <rFont val="Tahoma"/>
            <family val="2"/>
          </rPr>
          <t>Jon Tower:</t>
        </r>
        <r>
          <rPr>
            <sz val="8"/>
            <color indexed="81"/>
            <rFont val="Tahoma"/>
            <family val="2"/>
          </rPr>
          <t xml:space="preserve">
4.20.11
special items caused a 24M benefit to the tax line
Effective tax rate before = 27.1%
benefit = 1.9%
Net tax rate = 25.2%
</t>
        </r>
      </text>
    </comment>
    <comment ref="BU78" authorId="1">
      <text>
        <r>
          <rPr>
            <b/>
            <sz val="8"/>
            <color indexed="81"/>
            <rFont val="Tahoma"/>
            <family val="2"/>
          </rPr>
          <t>Jon Tower:</t>
        </r>
        <r>
          <rPr>
            <sz val="8"/>
            <color indexed="81"/>
            <rFont val="Tahoma"/>
            <family val="2"/>
          </rPr>
          <t xml:space="preserve">
7.14.11
not atypical rate for 2Q due to seasonality of tax resolutions with countries</t>
        </r>
      </text>
    </comment>
    <comment ref="BV78" authorId="1">
      <text>
        <r>
          <rPr>
            <b/>
            <sz val="8"/>
            <color indexed="81"/>
            <rFont val="Tahoma"/>
            <family val="2"/>
          </rPr>
          <t>Jon Tower:</t>
        </r>
        <r>
          <rPr>
            <sz val="8"/>
            <color indexed="81"/>
            <rFont val="Tahoma"/>
            <family val="2"/>
          </rPr>
          <t xml:space="preserve">
10.4.11
Worldwide effective tax rate, prior to Special Items, declined to 25.1% from 27.4% in the third quarter of last year. 
</t>
        </r>
      </text>
    </comment>
    <comment ref="BW78" authorId="1">
      <text>
        <r>
          <rPr>
            <b/>
            <sz val="8"/>
            <color indexed="81"/>
            <rFont val="Tahoma"/>
            <family val="2"/>
          </rPr>
          <t>Jon Tower:</t>
        </r>
        <r>
          <rPr>
            <sz val="8"/>
            <color indexed="81"/>
            <rFont val="Tahoma"/>
            <family val="2"/>
          </rPr>
          <t xml:space="preserve">
2.6.12
effective tr prior to special items = 26.7%</t>
        </r>
      </text>
    </comment>
    <comment ref="BX78" authorId="1">
      <text>
        <r>
          <rPr>
            <b/>
            <sz val="8"/>
            <color indexed="81"/>
            <rFont val="Tahoma"/>
            <family val="2"/>
          </rPr>
          <t xml:space="preserve">Jon Tower:
2.6.12
effective tr prior to special items = 24.2%
12.3.10
Estimated tax rate of about 26% with annual and quarterly volatility (2011-2012) 
</t>
        </r>
        <r>
          <rPr>
            <sz val="8"/>
            <color indexed="81"/>
            <rFont val="Tahoma"/>
            <family val="2"/>
          </rPr>
          <t xml:space="preserve">
12.9.09
~26% tax rate over the next 3 years</t>
        </r>
      </text>
    </comment>
    <comment ref="BY78" authorId="1">
      <text>
        <r>
          <rPr>
            <b/>
            <sz val="8"/>
            <color indexed="81"/>
            <rFont val="Tahoma"/>
            <family val="2"/>
          </rPr>
          <t>Jon Tower:</t>
        </r>
        <r>
          <rPr>
            <sz val="8"/>
            <color indexed="81"/>
            <rFont val="Tahoma"/>
            <family val="2"/>
          </rPr>
          <t xml:space="preserve">
4.18.12
effective rate would have been 27.5% pre-items</t>
        </r>
      </text>
    </comment>
    <comment ref="CB78" authorId="8">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Tax rate was 26.4% ex-special items and 27.5% including special items</t>
        </r>
      </text>
    </comment>
    <comment ref="CC78" authorId="1">
      <text>
        <r>
          <rPr>
            <b/>
            <sz val="8"/>
            <color indexed="81"/>
            <rFont val="Tahoma"/>
            <family val="2"/>
          </rPr>
          <t xml:space="preserve">Sushama Dasari:
2.5.13
</t>
        </r>
        <r>
          <rPr>
            <sz val="8"/>
            <color indexed="81"/>
            <rFont val="Tahoma"/>
            <family val="2"/>
          </rPr>
          <t xml:space="preserve">For the year, worldwide effective tax rate, prior to Special Items, increased 1.6 percentage points to 25.8%. </t>
        </r>
        <r>
          <rPr>
            <b/>
            <sz val="8"/>
            <color indexed="81"/>
            <rFont val="Tahoma"/>
            <family val="2"/>
          </rPr>
          <t xml:space="preserve">
12.5.11
</t>
        </r>
        <r>
          <rPr>
            <sz val="8"/>
            <color indexed="81"/>
            <rFont val="Tahoma"/>
            <family val="2"/>
          </rPr>
          <t xml:space="preserve">2012 estimated tax rate of about 26% with quarterly volatility 
</t>
        </r>
        <r>
          <rPr>
            <b/>
            <sz val="8"/>
            <color indexed="81"/>
            <rFont val="Tahoma"/>
            <family val="2"/>
          </rPr>
          <t xml:space="preserve">
12.3.10
Estimated tax rate of about 26% with annual and quarterly volatility (2011-2012) 
</t>
        </r>
        <r>
          <rPr>
            <sz val="8"/>
            <color indexed="81"/>
            <rFont val="Tahoma"/>
            <family val="2"/>
          </rPr>
          <t xml:space="preserve">
12.9.09
~26% tax rate over the next 3 years</t>
        </r>
      </text>
    </comment>
    <comment ref="CF78" authorId="2">
      <text>
        <r>
          <rPr>
            <b/>
            <sz val="8"/>
            <color indexed="81"/>
            <rFont val="Tahoma"/>
            <family val="2"/>
          </rPr>
          <t xml:space="preserve">10.08.13:
</t>
        </r>
        <r>
          <rPr>
            <sz val="8"/>
            <color indexed="81"/>
            <rFont val="Tahoma"/>
            <family val="2"/>
          </rPr>
          <t xml:space="preserve">
33.1% before special items</t>
        </r>
      </text>
    </comment>
    <comment ref="CG78" authorId="2">
      <text>
        <r>
          <rPr>
            <b/>
            <sz val="8"/>
            <color indexed="81"/>
            <rFont val="Tahoma"/>
            <family val="2"/>
          </rPr>
          <t xml:space="preserve">2.3.14:
</t>
        </r>
        <r>
          <rPr>
            <sz val="8"/>
            <color indexed="81"/>
            <rFont val="Tahoma"/>
            <family val="2"/>
          </rPr>
          <t xml:space="preserve">Adjusted rate 27.4%
</t>
        </r>
        <r>
          <rPr>
            <sz val="8"/>
            <color indexed="81"/>
            <rFont val="Tahoma"/>
            <family val="2"/>
          </rPr>
          <t xml:space="preserve">
</t>
        </r>
      </text>
    </comment>
    <comment ref="CH78" authorId="8">
      <text>
        <r>
          <rPr>
            <b/>
            <sz val="8"/>
            <color indexed="81"/>
            <rFont val="Tahoma"/>
            <family val="2"/>
          </rPr>
          <t xml:space="preserve">2013 10K:
</t>
        </r>
        <r>
          <rPr>
            <sz val="8"/>
            <color indexed="81"/>
            <rFont val="Tahoma"/>
            <family val="2"/>
          </rPr>
          <t xml:space="preserve">For 2013, our effective tax rate, excluding Special Items, increased from 
25.8% in 2012 to 28.0% primarily as a result of an incremental provision 
recorded related to the IRS complaint (RAR on June 23, 2010. 
</t>
        </r>
        <r>
          <rPr>
            <b/>
            <sz val="8"/>
            <color indexed="81"/>
            <rFont val="Tahoma"/>
            <family val="2"/>
          </rPr>
          <t xml:space="preserve">
10.09.13: 
</t>
        </r>
        <r>
          <rPr>
            <sz val="8"/>
            <color indexed="81"/>
            <rFont val="Tahoma"/>
            <family val="2"/>
          </rPr>
          <t>28% now prior to special items (esp in the 3q)</t>
        </r>
        <r>
          <rPr>
            <b/>
            <sz val="8"/>
            <color indexed="81"/>
            <rFont val="Tahoma"/>
            <family val="2"/>
          </rPr>
          <t xml:space="preserve">
7.11.13
</t>
        </r>
        <r>
          <rPr>
            <sz val="8"/>
            <color indexed="81"/>
            <rFont val="Tahoma"/>
            <family val="2"/>
          </rPr>
          <t>Guidance remains ~27%</t>
        </r>
        <r>
          <rPr>
            <sz val="8"/>
            <color indexed="81"/>
            <rFont val="Tahoma"/>
            <family val="2"/>
          </rPr>
          <t xml:space="preserve">
</t>
        </r>
        <r>
          <rPr>
            <b/>
            <sz val="8"/>
            <color indexed="81"/>
            <rFont val="Tahoma"/>
            <family val="2"/>
          </rPr>
          <t xml:space="preserve">12.6.12
</t>
        </r>
        <r>
          <rPr>
            <sz val="8"/>
            <color indexed="81"/>
            <rFont val="Tahoma"/>
            <family val="2"/>
          </rPr>
          <t>Assume tax rate ~27% in 2013</t>
        </r>
      </text>
    </comment>
    <comment ref="CK78" authorId="6">
      <text>
        <r>
          <rPr>
            <b/>
            <sz val="9"/>
            <color indexed="81"/>
            <rFont val="Tahoma"/>
            <family val="2"/>
          </rPr>
          <t>O'Brien, Courtney (Research):</t>
        </r>
        <r>
          <rPr>
            <sz val="9"/>
            <color indexed="81"/>
            <rFont val="Tahoma"/>
            <family val="2"/>
          </rPr>
          <t xml:space="preserve">
10.7.14
 11 points lower than prior year as we lapped an incremental tax reserve that we recorded in 2013</t>
        </r>
      </text>
    </comment>
    <comment ref="CM78" authorId="2">
      <text>
        <r>
          <rPr>
            <b/>
            <sz val="8"/>
            <color indexed="81"/>
            <rFont val="Tahoma"/>
            <family val="2"/>
          </rPr>
          <t xml:space="preserve">10.7.14 revised to
25-26% before special items
12.02.13:
</t>
        </r>
        <r>
          <rPr>
            <sz val="8"/>
            <color indexed="81"/>
            <rFont val="Tahoma"/>
            <family val="2"/>
          </rPr>
          <t>26-28% guidance</t>
        </r>
        <r>
          <rPr>
            <sz val="8"/>
            <color indexed="81"/>
            <rFont val="Tahoma"/>
            <family val="2"/>
          </rPr>
          <t xml:space="preserve">
</t>
        </r>
      </text>
    </comment>
    <comment ref="CR78" authorId="6">
      <text>
        <r>
          <rPr>
            <b/>
            <sz val="9"/>
            <color indexed="81"/>
            <rFont val="Tahoma"/>
            <family val="2"/>
          </rPr>
          <t xml:space="preserve">O'Brien, Courtney (Research):
12.9.14
</t>
        </r>
        <r>
          <rPr>
            <sz val="9"/>
            <color indexed="81"/>
            <rFont val="Tahoma"/>
            <family val="2"/>
          </rPr>
          <t xml:space="preserve">
25-27%
</t>
        </r>
      </text>
    </comment>
    <comment ref="CW78" authorId="6">
      <text>
        <r>
          <rPr>
            <b/>
            <sz val="9"/>
            <color indexed="81"/>
            <rFont val="Tahoma"/>
            <family val="2"/>
          </rPr>
          <t>O'Brien, Courtney (Research):</t>
        </r>
        <r>
          <rPr>
            <sz val="9"/>
            <color indexed="81"/>
            <rFont val="Tahoma"/>
            <family val="2"/>
          </rPr>
          <t xml:space="preserve">
12.10-15
26-27%</t>
        </r>
      </text>
    </comment>
    <comment ref="CX78" authorId="16">
      <text>
        <r>
          <rPr>
            <b/>
            <sz val="9"/>
            <color indexed="81"/>
            <rFont val="Tahoma"/>
            <family val="2"/>
          </rPr>
          <t>Glass, John (Research):</t>
        </r>
        <r>
          <rPr>
            <sz val="9"/>
            <color indexed="81"/>
            <rFont val="Tahoma"/>
            <family val="2"/>
          </rPr>
          <t xml:space="preserve">
impacted by new SBC comp plus impact from payouts from recently retired employees (imapcts 1Q disproportionately)</t>
        </r>
      </text>
    </comment>
    <comment ref="DB78" authorId="6">
      <text>
        <r>
          <rPr>
            <b/>
            <sz val="9"/>
            <color indexed="81"/>
            <rFont val="Tahoma"/>
            <family val="2"/>
          </rPr>
          <t>O'Brien, Courtney (Research):</t>
        </r>
        <r>
          <rPr>
            <sz val="9"/>
            <color indexed="81"/>
            <rFont val="Tahoma"/>
            <family val="2"/>
          </rPr>
          <t xml:space="preserve">
1Q17: full yr tax rate will be similar to recent yrs
12.10-15
26-27%</t>
        </r>
      </text>
    </comment>
    <comment ref="DG78" authorId="6">
      <text>
        <r>
          <rPr>
            <b/>
            <sz val="9"/>
            <color indexed="81"/>
            <rFont val="Tahoma"/>
            <family val="2"/>
          </rPr>
          <t>O'Brien, Courtney (Research):</t>
        </r>
        <r>
          <rPr>
            <sz val="9"/>
            <color indexed="81"/>
            <rFont val="Tahoma"/>
            <family val="2"/>
          </rPr>
          <t xml:space="preserve">
2.8.2018
Slightly below 20-22%
Finally, as a result of tax reform, we anticipate an ongoing effective tax rate of approximately 20% to 22% compared to our historical rate of mid-to-upper 20s. While we are able to take advantage of the lower U.S. tax rate, our benefit is somewhat muted by the cap on interest deductibility. The move to a territorial tax system is a positive for us given the high percentage of our taxable income that is earned outside the U.S., but this is largely offset by the impacts of a new
tax on global intangible low taxed income.
Please note that we expect our 2018 tax rate to be slightly below the anticipated range I just provided. This is due to delayed applicability of the new tax on global intangible low taxed income as well as a higher amount of interest deductibility in 2018, primarily given re-franchising gains, which will drive higher U.S. pre-tax earnings.
12.10-15
26-27%</t>
        </r>
      </text>
    </comment>
    <comment ref="DL78" authorId="6">
      <text>
        <r>
          <rPr>
            <b/>
            <sz val="9"/>
            <color indexed="81"/>
            <rFont val="Tahoma"/>
            <family val="2"/>
          </rPr>
          <t>O'Brien, Courtney (Research):</t>
        </r>
        <r>
          <rPr>
            <sz val="9"/>
            <color indexed="81"/>
            <rFont val="Tahoma"/>
            <family val="2"/>
          </rPr>
          <t xml:space="preserve">
2.8.2018
Finally, as a result of tax reform, we anticipate an ongoing effective tax rate of approximately 20% to 22% compared to our historical rate of mid-to-upper 20s.
12.10-15
26-27%</t>
        </r>
      </text>
    </comment>
    <comment ref="DQ78" authorId="6">
      <text>
        <r>
          <rPr>
            <b/>
            <sz val="9"/>
            <color indexed="81"/>
            <rFont val="Tahoma"/>
            <family val="2"/>
          </rPr>
          <t>O'Brien, Courtney (Research):</t>
        </r>
        <r>
          <rPr>
            <sz val="9"/>
            <color indexed="81"/>
            <rFont val="Tahoma"/>
            <family val="2"/>
          </rPr>
          <t xml:space="preserve">
2.8.2018
Finally, as a result of tax reform, we anticipate an ongoing effective tax rate of approximately 20% to 22% compared to our historical rate of mid-to-upper 20s.
12.10-15
26-27%</t>
        </r>
      </text>
    </comment>
    <comment ref="DV78" authorId="6">
      <text>
        <r>
          <rPr>
            <b/>
            <sz val="9"/>
            <color indexed="81"/>
            <rFont val="Tahoma"/>
            <family val="2"/>
          </rPr>
          <t>O'Brien, Courtney (Research):</t>
        </r>
        <r>
          <rPr>
            <sz val="9"/>
            <color indexed="81"/>
            <rFont val="Tahoma"/>
            <family val="2"/>
          </rPr>
          <t xml:space="preserve">
2.8.2018
Finally, as a result of tax reform, we anticipate an ongoing effective tax rate of approximately 20% to 22% compared to our historical rate of mid-to-upper 20s.
12.10-15
26-27%</t>
        </r>
      </text>
    </comment>
    <comment ref="EA78" authorId="6">
      <text>
        <r>
          <rPr>
            <b/>
            <sz val="9"/>
            <color indexed="81"/>
            <rFont val="Tahoma"/>
            <family val="2"/>
          </rPr>
          <t>O'Brien, Courtney (Research):</t>
        </r>
        <r>
          <rPr>
            <sz val="9"/>
            <color indexed="81"/>
            <rFont val="Tahoma"/>
            <family val="2"/>
          </rPr>
          <t xml:space="preserve">
2.8.2018
Finally, as a result of tax reform, we anticipate an ongoing effective tax rate of approximately 20% to 22% compared to our historical rate of mid-to-upper 20s.
12.10-15
26-27%</t>
        </r>
      </text>
    </comment>
    <comment ref="DA79" authorId="5">
      <text>
        <r>
          <rPr>
            <b/>
            <sz val="9"/>
            <color indexed="81"/>
            <rFont val="Tahoma"/>
            <family val="2"/>
          </rPr>
          <t>Carril, Christopher E (Research):</t>
        </r>
        <r>
          <rPr>
            <sz val="9"/>
            <color indexed="81"/>
            <rFont val="Tahoma"/>
            <family val="2"/>
          </rPr>
          <t xml:space="preserve">
2.8.2018
Impact on Tax Rate as a result of Special Items = 51.8%
The Tax Cuts and Jobs Act of 2017 (“Tax Act”) that was enacted on December 22nd required that earnings repatriated from our foreign entities with a November 30 year-end for tax purposes be included in the Deemed Repatriation Tax on foreign earnings that was included in the Tax Act. Our fourth quarter and full year effective tax rates excluding Special Items were lower than anticipated because they did not include tax on those earnings repatriated after November 30. Instead, that tax was included in the one-time Special Items charge of $434 million that we recorded in the fourth quarter related to the Tax Act.</t>
        </r>
      </text>
    </comment>
    <comment ref="AY83" authorId="3">
      <text>
        <r>
          <rPr>
            <b/>
            <sz val="8"/>
            <color indexed="81"/>
            <rFont val="Tahoma"/>
            <family val="2"/>
          </rPr>
          <t xml:space="preserve">glassj:
10/13: system sales growth of 5-6% bef lapping extra week, 4-5% including it.
</t>
        </r>
        <r>
          <rPr>
            <sz val="8"/>
            <color indexed="81"/>
            <rFont val="Tahoma"/>
            <family val="2"/>
          </rPr>
          <t xml:space="preserve">
12/1/05: guidance 5-6%
prior to -1% impact due to 53rd week
</t>
        </r>
      </text>
    </comment>
    <comment ref="BD83" authorId="0">
      <text>
        <r>
          <rPr>
            <b/>
            <sz val="9"/>
            <color indexed="81"/>
            <rFont val="Tahoma"/>
            <family val="2"/>
          </rPr>
          <t>towerj:</t>
        </r>
        <r>
          <rPr>
            <sz val="9"/>
            <color indexed="81"/>
            <rFont val="Tahoma"/>
            <family val="2"/>
          </rPr>
          <t xml:space="preserve">
11.30.06 5-6%</t>
        </r>
      </text>
    </comment>
    <comment ref="DB83" authorId="6">
      <text>
        <r>
          <rPr>
            <b/>
            <sz val="9"/>
            <color indexed="81"/>
            <rFont val="Tahoma"/>
            <family val="2"/>
          </rPr>
          <t>2.7.17
~5% target in '17 (2-3% comps, 3% systems)</t>
        </r>
        <r>
          <rPr>
            <sz val="9"/>
            <color indexed="81"/>
            <rFont val="Tahoma"/>
            <family val="2"/>
          </rPr>
          <t xml:space="preserve">
10.11.16
goal of 7% (not necessary for $3.75 EPS goal)</t>
        </r>
      </text>
    </comment>
    <comment ref="DG83" authorId="6">
      <text>
        <r>
          <rPr>
            <b/>
            <sz val="9"/>
            <color indexed="81"/>
            <rFont val="Tahoma"/>
            <family val="2"/>
          </rPr>
          <t>O'Brien, Courtney (Research):</t>
        </r>
        <r>
          <rPr>
            <sz val="9"/>
            <color indexed="81"/>
            <rFont val="Tahoma"/>
            <family val="2"/>
          </rPr>
          <t xml:space="preserve">
10.11.16
goal of 7% (not necessary for $3.75 EPS goal)</t>
        </r>
      </text>
    </comment>
    <comment ref="DL83" authorId="6">
      <text>
        <r>
          <rPr>
            <b/>
            <sz val="9"/>
            <color indexed="81"/>
            <rFont val="Tahoma"/>
            <family val="2"/>
          </rPr>
          <t>O'Brien, Courtney (Research):</t>
        </r>
        <r>
          <rPr>
            <sz val="9"/>
            <color indexed="81"/>
            <rFont val="Tahoma"/>
            <family val="2"/>
          </rPr>
          <t xml:space="preserve">
10.11.16
goal of 7% (not necessary for $3.75 EPS goal)</t>
        </r>
      </text>
    </comment>
    <comment ref="DQ83" authorId="6">
      <text>
        <r>
          <rPr>
            <sz val="9"/>
            <color indexed="81"/>
            <rFont val="Tahoma"/>
            <family val="2"/>
          </rPr>
          <t xml:space="preserve">
10.11.16
goal of M-HSD systemwide sales growth</t>
        </r>
      </text>
    </comment>
    <comment ref="DV83" authorId="6">
      <text>
        <r>
          <rPr>
            <sz val="9"/>
            <color indexed="81"/>
            <rFont val="Tahoma"/>
            <family val="2"/>
          </rPr>
          <t xml:space="preserve">
10.11.16
goal of M-HSD systemwide sales growth</t>
        </r>
      </text>
    </comment>
    <comment ref="EA83" authorId="6">
      <text>
        <r>
          <rPr>
            <sz val="9"/>
            <color indexed="81"/>
            <rFont val="Tahoma"/>
            <family val="2"/>
          </rPr>
          <t xml:space="preserve">
10.11.16
goal of M-HSD systemwide sales growth</t>
        </r>
      </text>
    </comment>
    <comment ref="CT84" authorId="6">
      <text>
        <r>
          <rPr>
            <b/>
            <sz val="9"/>
            <color indexed="81"/>
            <rFont val="Tahoma"/>
            <family val="2"/>
          </rPr>
          <t>8.3.17
System sales grew 6%, comprised of 2% same-store sales growth and 3% net new unit development</t>
        </r>
        <r>
          <rPr>
            <sz val="9"/>
            <color indexed="81"/>
            <rFont val="Tahoma"/>
            <family val="2"/>
          </rPr>
          <t xml:space="preserve">
</t>
        </r>
      </text>
    </comment>
    <comment ref="CW84" authorId="16">
      <text>
        <r>
          <rPr>
            <b/>
            <sz val="9"/>
            <color indexed="81"/>
            <rFont val="Tahoma"/>
            <family val="2"/>
          </rPr>
          <t>Glass, John (Research):</t>
        </r>
        <r>
          <rPr>
            <sz val="9"/>
            <color indexed="81"/>
            <rFont val="Tahoma"/>
            <family val="2"/>
          </rPr>
          <t xml:space="preserve">
extra week added ~2% to growth</t>
        </r>
      </text>
    </comment>
    <comment ref="DB84" authorId="6">
      <text>
        <r>
          <rPr>
            <b/>
            <sz val="9"/>
            <color indexed="81"/>
            <rFont val="Tahoma"/>
            <family val="2"/>
          </rPr>
          <t>8.3.17
reit at least 5% ex FX ex 53rd week; 53rd week = ~1% impact (less than 1.5% on op profit), so ~4% incl 53 week ex FX</t>
        </r>
        <r>
          <rPr>
            <sz val="9"/>
            <color indexed="81"/>
            <rFont val="Tahoma"/>
            <family val="2"/>
          </rPr>
          <t xml:space="preserve">
2.9.17 we expect global system sales growth of at least 5%, excluding the impact of FX and impact of extra week last yr</t>
        </r>
      </text>
    </comment>
    <comment ref="DG84" authorId="5">
      <text>
        <r>
          <rPr>
            <b/>
            <sz val="9"/>
            <color indexed="81"/>
            <rFont val="Tahoma"/>
            <family val="2"/>
          </rPr>
          <t>Carril, Christopher E (Research):</t>
        </r>
        <r>
          <rPr>
            <sz val="9"/>
            <color indexed="81"/>
            <rFont val="Tahoma"/>
            <family val="2"/>
          </rPr>
          <t xml:space="preserve">
2.8.2018
+5-6% Ex F/X</t>
        </r>
      </text>
    </comment>
    <comment ref="DQ84" authorId="16">
      <text>
        <r>
          <rPr>
            <b/>
            <sz val="9"/>
            <color indexed="81"/>
            <rFont val="Tahoma"/>
            <family val="2"/>
          </rPr>
          <t>Glass, John (Research):</t>
        </r>
        <r>
          <rPr>
            <sz val="9"/>
            <color indexed="81"/>
            <rFont val="Tahoma"/>
            <family val="2"/>
          </rPr>
          <t xml:space="preserve">
2107: goa lf getting system sales growht in cc to 7% beyond '20</t>
        </r>
      </text>
    </comment>
    <comment ref="DV84" authorId="16">
      <text>
        <r>
          <rPr>
            <b/>
            <sz val="9"/>
            <color indexed="81"/>
            <rFont val="Tahoma"/>
            <family val="2"/>
          </rPr>
          <t>Glass, John (Research):</t>
        </r>
        <r>
          <rPr>
            <sz val="9"/>
            <color indexed="81"/>
            <rFont val="Tahoma"/>
            <family val="2"/>
          </rPr>
          <t xml:space="preserve">
2107: goa lf getting system sales growht in cc to 7% beyond '20</t>
        </r>
      </text>
    </comment>
    <comment ref="EA84" authorId="16">
      <text>
        <r>
          <rPr>
            <b/>
            <sz val="9"/>
            <color indexed="81"/>
            <rFont val="Tahoma"/>
            <family val="2"/>
          </rPr>
          <t>Glass, John (Research):</t>
        </r>
        <r>
          <rPr>
            <sz val="9"/>
            <color indexed="81"/>
            <rFont val="Tahoma"/>
            <family val="2"/>
          </rPr>
          <t xml:space="preserve">
2107: goa lf getting system sales growht in cc to 7% beyond '20</t>
        </r>
      </text>
    </comment>
    <comment ref="AO87" authorId="7">
      <text>
        <r>
          <rPr>
            <sz val="8"/>
            <color indexed="81"/>
            <rFont val="Tahoma"/>
            <family val="2"/>
          </rPr>
          <t>12/4/03 4-5% growth, increasing as refranchising occurs
4/21/04 7-8% growth</t>
        </r>
      </text>
    </comment>
    <comment ref="AQ87" authorId="0">
      <text>
        <r>
          <rPr>
            <b/>
            <sz val="8"/>
            <color indexed="81"/>
            <rFont val="Tahoma"/>
            <family val="2"/>
          </rPr>
          <t>towerj:</t>
        </r>
        <r>
          <rPr>
            <sz val="8"/>
            <color indexed="81"/>
            <rFont val="Tahoma"/>
            <family val="2"/>
          </rPr>
          <t xml:space="preserve">
7.13.05 - favorable forex conversion added 2% to growth</t>
        </r>
      </text>
    </comment>
    <comment ref="AT87" authorId="0">
      <text>
        <r>
          <rPr>
            <b/>
            <sz val="8"/>
            <color indexed="81"/>
            <rFont val="Tahoma"/>
            <family val="2"/>
          </rPr>
          <t>towerj:</t>
        </r>
        <r>
          <rPr>
            <sz val="8"/>
            <color indexed="81"/>
            <rFont val="Tahoma"/>
            <family val="2"/>
          </rPr>
          <t xml:space="preserve">
7.13.05 - @ least 7%, including 1% benefit from 53rd week &amp; 1% from refranchising of Puerto Rico mkt in 2004.</t>
        </r>
      </text>
    </comment>
    <comment ref="AY87" authorId="0">
      <text>
        <r>
          <rPr>
            <b/>
            <sz val="8"/>
            <color indexed="81"/>
            <rFont val="Tahoma"/>
            <family val="2"/>
          </rPr>
          <t>towerj:</t>
        </r>
        <r>
          <rPr>
            <sz val="8"/>
            <color indexed="81"/>
            <rFont val="Tahoma"/>
            <family val="2"/>
          </rPr>
          <t xml:space="preserve">
12.1.05 at least 5%
7.19.06 about 8%</t>
        </r>
      </text>
    </comment>
    <comment ref="BD87" authorId="0">
      <text>
        <r>
          <rPr>
            <b/>
            <sz val="8"/>
            <color indexed="81"/>
            <rFont val="Tahoma"/>
            <family val="2"/>
          </rPr>
          <t>towerj:
10.8.07
+9% growth Y/Y
7.11.07 at least 7%</t>
        </r>
        <r>
          <rPr>
            <sz val="8"/>
            <color indexed="81"/>
            <rFont val="Tahoma"/>
            <family val="2"/>
          </rPr>
          <t xml:space="preserve">
11.30.06
Growth in franchise fees of at least +6% resulting from worldwide restaurant expansion, same-storesales
growth, and refranchising in the U.S. and YRI.</t>
        </r>
      </text>
    </comment>
    <comment ref="BI87" authorId="15">
      <text>
        <r>
          <rPr>
            <b/>
            <sz val="8"/>
            <color indexed="81"/>
            <rFont val="Tahoma"/>
            <family val="2"/>
          </rPr>
          <t>jon tower:
7.16.08
at least 10%</t>
        </r>
        <r>
          <rPr>
            <sz val="8"/>
            <color indexed="81"/>
            <rFont val="Tahoma"/>
            <family val="2"/>
          </rPr>
          <t xml:space="preserve">
12.6.07
Growth in franchise fees of at least +8%</t>
        </r>
      </text>
    </comment>
    <comment ref="BJ87" authorId="1">
      <text>
        <r>
          <rPr>
            <b/>
            <sz val="8"/>
            <color indexed="81"/>
            <rFont val="Tahoma"/>
            <family val="2"/>
          </rPr>
          <t>Jon Tower:</t>
        </r>
        <r>
          <rPr>
            <sz val="8"/>
            <color indexed="81"/>
            <rFont val="Tahoma"/>
            <family val="2"/>
          </rPr>
          <t xml:space="preserve">
12.10.08
In the first quarter of 2009, U.S. brand reinvestments are expected to total approximately $30 million due to costs related to the installation of new ovens in KFC’s franchise units in preparation
for the national launch of Kentucky Grilled Chicken in the second quarter. This is expected to be reported as a reduction in franchise fees.</t>
        </r>
      </text>
    </comment>
    <comment ref="BN87" authorId="1">
      <text>
        <r>
          <rPr>
            <b/>
            <sz val="8"/>
            <color indexed="81"/>
            <rFont val="Tahoma"/>
            <family val="2"/>
          </rPr>
          <t>Jon Tower:</t>
        </r>
        <r>
          <rPr>
            <sz val="8"/>
            <color indexed="81"/>
            <rFont val="Tahoma"/>
            <family val="2"/>
          </rPr>
          <t xml:space="preserve">
12.10.08
+10%, prior to FX and special items impact</t>
        </r>
      </text>
    </comment>
    <comment ref="BS87" authorId="1">
      <text>
        <r>
          <rPr>
            <b/>
            <sz val="8"/>
            <color indexed="81"/>
            <rFont val="Tahoma"/>
            <family val="2"/>
          </rPr>
          <t>Jon Tower:</t>
        </r>
        <r>
          <rPr>
            <sz val="8"/>
            <color indexed="81"/>
            <rFont val="Tahoma"/>
            <family val="2"/>
          </rPr>
          <t xml:space="preserve">
12.9.09
Growth in worldwide franchise fees of at least 9%, prior to foreign currency translation and special items, resulting from global restaurant expansion, same-store-sales growth, and refranchising.</t>
        </r>
      </text>
    </comment>
    <comment ref="AI88" authorId="7">
      <text>
        <r>
          <rPr>
            <sz val="8"/>
            <color indexed="81"/>
            <rFont val="Tahoma"/>
            <family val="2"/>
          </rPr>
          <t>10/7/03 up 7%</t>
        </r>
      </text>
    </comment>
    <comment ref="AJ88" authorId="7">
      <text>
        <r>
          <rPr>
            <b/>
            <sz val="8"/>
            <color indexed="81"/>
            <rFont val="Tahoma"/>
            <family val="2"/>
          </rPr>
          <t>Comps +2%, unit gowht 2-3%, portfolio mix 1.5%  2%, asset upgrades 0.5%, total of 5-6%, add 2% for YGR acquisition gets to 7-8%.</t>
        </r>
        <r>
          <rPr>
            <sz val="8"/>
            <color indexed="81"/>
            <rFont val="Tahoma"/>
            <family val="2"/>
          </rPr>
          <t xml:space="preserve">
guidance for 7-8% growth
7/15/03 - 7-8% growth</t>
        </r>
      </text>
    </comment>
    <comment ref="AO88" authorId="7">
      <text>
        <r>
          <rPr>
            <sz val="8"/>
            <color indexed="81"/>
            <rFont val="Tahoma"/>
            <family val="2"/>
          </rPr>
          <t>12/4/03 worldwide revenue growth of 4 to 5%
4/21/04 bumped to 6-7%</t>
        </r>
      </text>
    </comment>
    <comment ref="AT88" authorId="7">
      <text>
        <r>
          <rPr>
            <sz val="8"/>
            <color indexed="81"/>
            <rFont val="Tahoma"/>
            <family val="2"/>
          </rPr>
          <t>12/2/04 5% to 6%
7.13.05 guidance of 4-5% (w/1% from 53rd week)</t>
        </r>
      </text>
    </comment>
    <comment ref="AX88" authorId="0">
      <text>
        <r>
          <rPr>
            <b/>
            <sz val="8"/>
            <color indexed="81"/>
            <rFont val="Tahoma"/>
            <family val="2"/>
          </rPr>
          <t>towerj:</t>
        </r>
        <r>
          <rPr>
            <sz val="8"/>
            <color indexed="81"/>
            <rFont val="Tahoma"/>
            <family val="2"/>
          </rPr>
          <t xml:space="preserve">
negatively impacted by 53rd week</t>
        </r>
      </text>
    </comment>
    <comment ref="AY88" authorId="0">
      <text>
        <r>
          <rPr>
            <b/>
            <sz val="8"/>
            <color indexed="81"/>
            <rFont val="Tahoma"/>
            <family val="2"/>
          </rPr>
          <t>towerj:</t>
        </r>
        <r>
          <rPr>
            <sz val="8"/>
            <color indexed="81"/>
            <rFont val="Tahoma"/>
            <family val="2"/>
          </rPr>
          <t xml:space="preserve">
12.1.05  4% to 5%, prior to negative 1% impact from 53rd week
3.30.06 2-3% including 1% negative impact due to refranchising
</t>
        </r>
        <r>
          <rPr>
            <b/>
            <sz val="8"/>
            <color indexed="81"/>
            <rFont val="Tahoma"/>
            <family val="2"/>
          </rPr>
          <t>7.19.06  now 2%, including the impact of the 53rd week, it's more like 1%</t>
        </r>
      </text>
    </comment>
    <comment ref="BD88" authorId="0">
      <text>
        <r>
          <rPr>
            <b/>
            <sz val="9"/>
            <color indexed="81"/>
            <rFont val="Tahoma"/>
            <family val="2"/>
          </rPr>
          <t>towerj:
7.11.07
6-7%</t>
        </r>
        <r>
          <rPr>
            <sz val="9"/>
            <color indexed="81"/>
            <rFont val="Tahoma"/>
            <family val="2"/>
          </rPr>
          <t xml:space="preserve">
11.30.06 5-6%</t>
        </r>
      </text>
    </comment>
    <comment ref="CW88" authorId="6">
      <text>
        <r>
          <rPr>
            <b/>
            <sz val="9"/>
            <color indexed="81"/>
            <rFont val="Tahoma"/>
            <family val="2"/>
          </rPr>
          <t>O'Brien, Courtney (Research):</t>
        </r>
        <r>
          <rPr>
            <sz val="9"/>
            <color indexed="81"/>
            <rFont val="Tahoma"/>
            <family val="2"/>
          </rPr>
          <t xml:space="preserve">
12.10.16
MSD growth
</t>
        </r>
      </text>
    </comment>
    <comment ref="DA88" authorId="6">
      <text>
        <r>
          <rPr>
            <b/>
            <sz val="9"/>
            <color indexed="81"/>
            <rFont val="Tahoma"/>
            <family val="2"/>
          </rPr>
          <t>O'Brien, Courtney (Research):</t>
        </r>
        <r>
          <rPr>
            <sz val="9"/>
            <color indexed="81"/>
            <rFont val="Tahoma"/>
            <family val="2"/>
          </rPr>
          <t xml:space="preserve">
~7% decline = lapping extra week</t>
        </r>
      </text>
    </comment>
    <comment ref="DB88" authorId="6">
      <text>
        <r>
          <rPr>
            <b/>
            <sz val="9"/>
            <color indexed="81"/>
            <rFont val="Tahoma"/>
            <family val="2"/>
          </rPr>
          <t>O'Brien, Courtney (Research):</t>
        </r>
        <r>
          <rPr>
            <sz val="9"/>
            <color indexed="81"/>
            <rFont val="Tahoma"/>
            <family val="2"/>
          </rPr>
          <t xml:space="preserve">
12.10.16
MSD growth, varies in '17 &amp; due to refranchising
</t>
        </r>
      </text>
    </comment>
    <comment ref="DG88" authorId="6">
      <text>
        <r>
          <rPr>
            <b/>
            <sz val="9"/>
            <color indexed="81"/>
            <rFont val="Tahoma"/>
            <family val="2"/>
          </rPr>
          <t>O'Brien, Courtney (Research):</t>
        </r>
        <r>
          <rPr>
            <sz val="9"/>
            <color indexed="81"/>
            <rFont val="Tahoma"/>
            <family val="2"/>
          </rPr>
          <t xml:space="preserve">
12.10.16
MSD growth, varies in '17 &amp; due to refranchising
</t>
        </r>
      </text>
    </comment>
    <comment ref="DL88" authorId="6">
      <text>
        <r>
          <rPr>
            <b/>
            <sz val="9"/>
            <color indexed="81"/>
            <rFont val="Tahoma"/>
            <family val="2"/>
          </rPr>
          <t>O'Brien, Courtney (Research):</t>
        </r>
        <r>
          <rPr>
            <sz val="9"/>
            <color indexed="81"/>
            <rFont val="Tahoma"/>
            <family val="2"/>
          </rPr>
          <t xml:space="preserve">
12.10.16
MSD growth, varies in '17 &amp; due to refranchising
</t>
        </r>
      </text>
    </comment>
    <comment ref="DQ88" authorId="6">
      <text>
        <r>
          <rPr>
            <b/>
            <sz val="9"/>
            <color indexed="81"/>
            <rFont val="Tahoma"/>
            <family val="2"/>
          </rPr>
          <t>O'Brien, Courtney (Research):</t>
        </r>
        <r>
          <rPr>
            <sz val="9"/>
            <color indexed="81"/>
            <rFont val="Tahoma"/>
            <family val="2"/>
          </rPr>
          <t xml:space="preserve">
12.10.16
MSD growth, varies in '17 &amp; due to refranchising
</t>
        </r>
      </text>
    </comment>
    <comment ref="DV88" authorId="6">
      <text>
        <r>
          <rPr>
            <b/>
            <sz val="9"/>
            <color indexed="81"/>
            <rFont val="Tahoma"/>
            <family val="2"/>
          </rPr>
          <t>O'Brien, Courtney (Research):</t>
        </r>
        <r>
          <rPr>
            <sz val="9"/>
            <color indexed="81"/>
            <rFont val="Tahoma"/>
            <family val="2"/>
          </rPr>
          <t xml:space="preserve">
12.10.16
MSD growth, varies in '17 &amp; due to refranchising
</t>
        </r>
      </text>
    </comment>
    <comment ref="EA88" authorId="6">
      <text>
        <r>
          <rPr>
            <b/>
            <sz val="9"/>
            <color indexed="81"/>
            <rFont val="Tahoma"/>
            <family val="2"/>
          </rPr>
          <t>O'Brien, Courtney (Research):</t>
        </r>
        <r>
          <rPr>
            <sz val="9"/>
            <color indexed="81"/>
            <rFont val="Tahoma"/>
            <family val="2"/>
          </rPr>
          <t xml:space="preserve">
12.10.16
MSD growth, varies in '17 &amp; due to refranchising
</t>
        </r>
      </text>
    </comment>
    <comment ref="AT90" authorId="7">
      <text>
        <r>
          <rPr>
            <sz val="8"/>
            <color indexed="81"/>
            <rFont val="Tahoma"/>
            <family val="2"/>
          </rPr>
          <t>12.2.04 +2-3%
7.13.05 increase y/y by 3% prior to impact of 53rd wk (adds +1%), due to china spending &amp; charges relating to litigation matters.</t>
        </r>
      </text>
    </comment>
    <comment ref="AY90" authorId="0">
      <text>
        <r>
          <rPr>
            <b/>
            <sz val="8"/>
            <color indexed="81"/>
            <rFont val="Tahoma"/>
            <family val="2"/>
          </rPr>
          <t>towerj:</t>
        </r>
        <r>
          <rPr>
            <sz val="8"/>
            <color indexed="81"/>
            <rFont val="Tahoma"/>
            <family val="2"/>
          </rPr>
          <t xml:space="preserve">
12.1.05 up 1% Y/Y, with increased china spending to support brand expansion
7.19.06 reit above
</t>
        </r>
      </text>
    </comment>
    <comment ref="BD90" authorId="0">
      <text>
        <r>
          <rPr>
            <b/>
            <sz val="8"/>
            <color indexed="81"/>
            <rFont val="Tahoma"/>
            <family val="2"/>
          </rPr>
          <t>towerj:</t>
        </r>
        <r>
          <rPr>
            <sz val="8"/>
            <color indexed="81"/>
            <rFont val="Tahoma"/>
            <family val="2"/>
          </rPr>
          <t xml:space="preserve">
10.8.07
reit +5% Y/Y
11.30.06 General and administrative costs will increase versus 2006 by +5% due to the continued investment in mainland China and acquisition of the U.K. Pizza Hut joint venture. The U.K. Pizza Hut acquisition adds about $30 million or 3 percentage points impact to YUM.</t>
        </r>
      </text>
    </comment>
    <comment ref="BI90" authorId="15">
      <text>
        <r>
          <rPr>
            <b/>
            <sz val="8"/>
            <color indexed="81"/>
            <rFont val="Tahoma"/>
            <family val="2"/>
          </rPr>
          <t>jon tower:
7.16.08
+4-5% Y/Y</t>
        </r>
        <r>
          <rPr>
            <sz val="8"/>
            <color indexed="81"/>
            <rFont val="Tahoma"/>
            <family val="2"/>
          </rPr>
          <t xml:space="preserve">
12.6.07
General and administrative costs up by +3% to +4%</t>
        </r>
      </text>
    </comment>
    <comment ref="BS90" authorId="1">
      <text>
        <r>
          <rPr>
            <b/>
            <sz val="8"/>
            <color indexed="81"/>
            <rFont val="Tahoma"/>
            <family val="2"/>
          </rPr>
          <t>Jon Tower:</t>
        </r>
        <r>
          <rPr>
            <sz val="8"/>
            <color indexed="81"/>
            <rFont val="Tahoma"/>
            <family val="2"/>
          </rPr>
          <t xml:space="preserve">
12.9.09
2% Y/Y growth ex-FX</t>
        </r>
      </text>
    </comment>
    <comment ref="BX90" authorId="1">
      <text>
        <r>
          <rPr>
            <b/>
            <sz val="8"/>
            <color indexed="81"/>
            <rFont val="Tahoma"/>
            <family val="2"/>
          </rPr>
          <t>Jon Tower:</t>
        </r>
        <r>
          <rPr>
            <sz val="8"/>
            <color indexed="81"/>
            <rFont val="Tahoma"/>
            <family val="2"/>
          </rPr>
          <t xml:space="preserve">
12/8/10
+2% Y/Y ex-FX or 53rd week.
</t>
        </r>
      </text>
    </comment>
    <comment ref="CC90" authorId="1">
      <text>
        <r>
          <rPr>
            <b/>
            <sz val="8"/>
            <color indexed="81"/>
            <rFont val="Tahoma"/>
            <family val="2"/>
          </rPr>
          <t>Jon Tower:</t>
        </r>
        <r>
          <rPr>
            <sz val="8"/>
            <color indexed="81"/>
            <rFont val="Tahoma"/>
            <family val="2"/>
          </rPr>
          <t xml:space="preserve">
12.5.11
Worldwide G&amp;A increase of 3% due to emerging market investments and increased pension expense, partially offset by U.S. restructuring savings 
</t>
        </r>
      </text>
    </comment>
    <comment ref="CH90" authorId="8">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Assume worldwide G&amp;A +3% in 2013, with investments in emerging markets offset by savings from PH UK &amp; U.S.</t>
        </r>
      </text>
    </comment>
    <comment ref="CM90" authorId="2">
      <text>
        <r>
          <rPr>
            <b/>
            <sz val="8"/>
            <color indexed="81"/>
            <rFont val="Tahoma"/>
            <family val="2"/>
          </rPr>
          <t xml:space="preserve">12.02.13:
</t>
        </r>
        <r>
          <rPr>
            <sz val="8"/>
            <color indexed="81"/>
            <rFont val="Tahoma"/>
            <family val="2"/>
          </rPr>
          <t>4% Y/Y growth</t>
        </r>
        <r>
          <rPr>
            <sz val="8"/>
            <color indexed="81"/>
            <rFont val="Tahoma"/>
            <family val="2"/>
          </rPr>
          <t xml:space="preserve">
</t>
        </r>
      </text>
    </comment>
    <comment ref="CN90" authorId="6">
      <text>
        <r>
          <rPr>
            <b/>
            <sz val="9"/>
            <color indexed="81"/>
            <rFont val="Tahoma"/>
            <family val="2"/>
          </rPr>
          <t>O'Brien, Courtney (Research):</t>
        </r>
        <r>
          <rPr>
            <sz val="9"/>
            <color indexed="81"/>
            <rFont val="Tahoma"/>
            <family val="2"/>
          </rPr>
          <t xml:space="preserve">
4.22.15
hihger in 1h, will be less in 2h as lap investments, less of y/y increase in G&amp;A</t>
        </r>
      </text>
    </comment>
    <comment ref="CR90" authorId="16">
      <text>
        <r>
          <rPr>
            <b/>
            <sz val="9"/>
            <color indexed="81"/>
            <rFont val="Tahoma"/>
            <family val="2"/>
          </rPr>
          <t>4.22.15
Nc to full year guidance, +6-7%; less in 2H</t>
        </r>
        <r>
          <rPr>
            <sz val="9"/>
            <color indexed="81"/>
            <rFont val="Tahoma"/>
            <family val="2"/>
          </rPr>
          <t xml:space="preserve">
12;14: G&amp;A growth is expected to be 6-7% (4% when expluding pension lap and lower bonsu accrual for 14)</t>
        </r>
      </text>
    </comment>
    <comment ref="DG90" authorId="5">
      <text>
        <r>
          <rPr>
            <b/>
            <sz val="9"/>
            <color indexed="81"/>
            <rFont val="Tahoma"/>
            <family val="2"/>
          </rPr>
          <t>Carril, Christopher E (Research):</t>
        </r>
        <r>
          <rPr>
            <sz val="9"/>
            <color indexed="81"/>
            <rFont val="Tahoma"/>
            <family val="2"/>
          </rPr>
          <t xml:space="preserve">
2.8.2018
Timing Impact of Refranchising &amp; Associated G&amp;A Savings = (6) ppts to (7) ppts</t>
        </r>
      </text>
    </comment>
    <comment ref="U91" authorId="0">
      <text>
        <r>
          <rPr>
            <b/>
            <sz val="8"/>
            <color indexed="81"/>
            <rFont val="Tahoma"/>
            <family val="2"/>
          </rPr>
          <t>towerj:
ForEx negatively impacted Y/Y growth rate by 0.7%</t>
        </r>
      </text>
    </comment>
    <comment ref="Z91" authorId="0">
      <text>
        <r>
          <rPr>
            <b/>
            <sz val="8"/>
            <color indexed="81"/>
            <rFont val="Tahoma"/>
            <family val="2"/>
          </rPr>
          <t>towerj:</t>
        </r>
        <r>
          <rPr>
            <sz val="8"/>
            <color indexed="81"/>
            <rFont val="Tahoma"/>
            <family val="2"/>
          </rPr>
          <t xml:space="preserve">
ForEx negatively impacted Y/Y growth rate by 0.3%</t>
        </r>
      </text>
    </comment>
    <comment ref="AE91" authorId="0">
      <text>
        <r>
          <rPr>
            <b/>
            <sz val="8"/>
            <color indexed="81"/>
            <rFont val="Tahoma"/>
            <family val="2"/>
          </rPr>
          <t>towerj:</t>
        </r>
        <r>
          <rPr>
            <sz val="8"/>
            <color indexed="81"/>
            <rFont val="Tahoma"/>
            <family val="2"/>
          </rPr>
          <t xml:space="preserve">
ForEx benefited Y/Y growth rate by 2.6%</t>
        </r>
      </text>
    </comment>
    <comment ref="AJ91" authorId="0">
      <text>
        <r>
          <rPr>
            <b/>
            <sz val="8"/>
            <color indexed="81"/>
            <rFont val="Tahoma"/>
            <family val="2"/>
          </rPr>
          <t>towerj:</t>
        </r>
        <r>
          <rPr>
            <sz val="8"/>
            <color indexed="81"/>
            <rFont val="Tahoma"/>
            <family val="2"/>
          </rPr>
          <t xml:space="preserve">
ForEx benefited Y/Y growth rate by 2.2%</t>
        </r>
      </text>
    </comment>
    <comment ref="AO91" authorId="0">
      <text>
        <r>
          <rPr>
            <b/>
            <sz val="8"/>
            <color indexed="81"/>
            <rFont val="Tahoma"/>
            <family val="2"/>
          </rPr>
          <t>towerj:</t>
        </r>
        <r>
          <rPr>
            <sz val="8"/>
            <color indexed="81"/>
            <rFont val="Tahoma"/>
            <family val="2"/>
          </rPr>
          <t xml:space="preserve">
ForEx benefited Y/Y growth rate by 2.4%</t>
        </r>
      </text>
    </comment>
    <comment ref="BC91" authorId="4">
      <text>
        <r>
          <rPr>
            <sz val="8"/>
            <color indexed="81"/>
            <rFont val="Tahoma"/>
            <family val="2"/>
          </rPr>
          <t>10.8.07
8-10%</t>
        </r>
      </text>
    </comment>
    <comment ref="BD91" authorId="4">
      <text>
        <r>
          <rPr>
            <sz val="8"/>
            <color indexed="81"/>
            <rFont val="Tahoma"/>
            <family val="2"/>
          </rPr>
          <t xml:space="preserve">10.8.07
</t>
        </r>
      </text>
    </comment>
    <comment ref="BE91" authorId="1">
      <text>
        <r>
          <rPr>
            <b/>
            <sz val="8"/>
            <color indexed="81"/>
            <rFont val="Tahoma"/>
            <family val="2"/>
          </rPr>
          <t>Jon Tower:</t>
        </r>
        <r>
          <rPr>
            <sz val="8"/>
            <color indexed="81"/>
            <rFont val="Tahoma"/>
            <family val="2"/>
          </rPr>
          <t xml:space="preserve">
op profit growth worldwide was +13% ex-one time gains</t>
        </r>
      </text>
    </comment>
    <comment ref="BH91" authorId="12">
      <text>
        <r>
          <rPr>
            <b/>
            <sz val="8"/>
            <color indexed="81"/>
            <rFont val="Tahoma"/>
            <family val="2"/>
          </rPr>
          <t>2.3.09
Strong worldwide operating profit growth of 17%, excluding special items
John Glass:
10.7.08 -</t>
        </r>
        <r>
          <rPr>
            <sz val="8"/>
            <color indexed="81"/>
            <rFont val="Tahoma"/>
            <family val="2"/>
          </rPr>
          <t xml:space="preserve"> 'double digit op profit growth'</t>
        </r>
        <r>
          <rPr>
            <b/>
            <sz val="8"/>
            <color indexed="81"/>
            <rFont val="Tahoma"/>
            <family val="2"/>
          </rPr>
          <t xml:space="preserve">
6.30.08</t>
        </r>
        <r>
          <rPr>
            <sz val="8"/>
            <color indexed="81"/>
            <rFont val="Tahoma"/>
            <family val="2"/>
          </rPr>
          <t xml:space="preserve">
11.6% before gains</t>
        </r>
      </text>
    </comment>
    <comment ref="BI91" authorId="12">
      <text>
        <r>
          <rPr>
            <b/>
            <sz val="8"/>
            <color indexed="81"/>
            <rFont val="Tahoma"/>
            <family val="2"/>
          </rPr>
          <t>John Glass:</t>
        </r>
        <r>
          <rPr>
            <sz val="8"/>
            <color indexed="81"/>
            <rFont val="Tahoma"/>
            <family val="2"/>
          </rPr>
          <t xml:space="preserve">
14% ex japan ipo proceeds</t>
        </r>
      </text>
    </comment>
    <comment ref="BJ91" authorId="1">
      <text>
        <r>
          <rPr>
            <b/>
            <sz val="8"/>
            <color indexed="81"/>
            <rFont val="Tahoma"/>
            <family val="2"/>
          </rPr>
          <t>Jon Tower:</t>
        </r>
        <r>
          <rPr>
            <sz val="8"/>
            <color indexed="81"/>
            <rFont val="Tahoma"/>
            <family val="2"/>
          </rPr>
          <t xml:space="preserve">
lap 1X gain from Japan sale in 1Q08</t>
        </r>
      </text>
    </comment>
    <comment ref="BM91" authorId="1">
      <text>
        <r>
          <rPr>
            <b/>
            <sz val="8"/>
            <color indexed="81"/>
            <rFont val="Tahoma"/>
            <family val="2"/>
          </rPr>
          <t>Jon Tower:</t>
        </r>
        <r>
          <rPr>
            <sz val="8"/>
            <color indexed="81"/>
            <rFont val="Tahoma"/>
            <family val="2"/>
          </rPr>
          <t xml:space="preserve">
2.3.10
Worldwide operating profit was flat prior to foreign currency translation with growth of 24% in China
and 9% in YRI, offset by a 23% decline in the United States. After a benefit from foreign currency
translation, worldwide operating profit grew 2%</t>
        </r>
      </text>
    </comment>
    <comment ref="BJ92" authorId="1">
      <text>
        <r>
          <rPr>
            <b/>
            <sz val="8"/>
            <color indexed="81"/>
            <rFont val="Tahoma"/>
            <family val="2"/>
          </rPr>
          <t xml:space="preserve">Jon Tower:
4.22.09
</t>
        </r>
        <r>
          <rPr>
            <sz val="8"/>
            <color indexed="81"/>
            <rFont val="Tahoma"/>
            <family val="2"/>
          </rPr>
          <t xml:space="preserve">The power of our global portfolio allowed us to
overcome a challenging environment with system sales growth of 4% and operating profit growth of 7%, prior to foreign currency translation.
</t>
        </r>
        <r>
          <rPr>
            <sz val="8"/>
            <color indexed="81"/>
            <rFont val="Tahoma"/>
            <family val="2"/>
          </rPr>
          <t xml:space="preserve">
2.4.09
down mid single digits -- could be worse due to US and FX</t>
        </r>
      </text>
    </comment>
    <comment ref="BM92" authorId="1">
      <text>
        <r>
          <rPr>
            <b/>
            <sz val="8"/>
            <color indexed="81"/>
            <rFont val="Tahoma"/>
            <family val="2"/>
          </rPr>
          <t>Jon Tower:</t>
        </r>
        <r>
          <rPr>
            <sz val="8"/>
            <color indexed="81"/>
            <rFont val="Tahoma"/>
            <family val="2"/>
          </rPr>
          <t xml:space="preserve">
2.3.10
Worldwide operating profit was flat prior to foreign currency translation with growth of 24% in China
and 9% in YRI, offset by a 23% decline in the United States. After a benefit from foreign currency
translation, worldwide operating profit grew 2%</t>
        </r>
      </text>
    </comment>
    <comment ref="BP92" authorId="1">
      <text>
        <r>
          <rPr>
            <b/>
            <sz val="8"/>
            <color indexed="81"/>
            <rFont val="Tahoma"/>
            <family val="2"/>
          </rPr>
          <t>Jon Tower:</t>
        </r>
        <r>
          <rPr>
            <sz val="8"/>
            <color indexed="81"/>
            <rFont val="Tahoma"/>
            <family val="2"/>
          </rPr>
          <t xml:space="preserve">
7.13.10
Overall, system sales grew by 4% and worldwide operating profit increased 21%, prior to foreign currency translation benefit and special items.</t>
        </r>
      </text>
    </comment>
    <comment ref="BQ92" authorId="1">
      <text>
        <r>
          <rPr>
            <b/>
            <sz val="8"/>
            <color indexed="81"/>
            <rFont val="Tahoma"/>
            <family val="2"/>
          </rPr>
          <t>Jon Tower:</t>
        </r>
        <r>
          <rPr>
            <sz val="8"/>
            <color indexed="81"/>
            <rFont val="Tahoma"/>
            <family val="2"/>
          </rPr>
          <t xml:space="preserve">
10.5.10
Worldwide operating profit grew 14% prior to foreign currency translation</t>
        </r>
      </text>
    </comment>
    <comment ref="BW92" authorId="1">
      <text>
        <r>
          <rPr>
            <b/>
            <sz val="8"/>
            <color indexed="81"/>
            <rFont val="Tahoma"/>
            <family val="2"/>
          </rPr>
          <t xml:space="preserve">Jon Tower:
2.6.12
</t>
        </r>
        <r>
          <rPr>
            <sz val="8"/>
            <color indexed="81"/>
            <rFont val="Tahoma"/>
            <family val="2"/>
          </rPr>
          <t xml:space="preserve">Our fiscal year ends on the last Saturday in December and, as a result, a 53rd week is added every five or six years. In 2011, this 53rd week benefited the U.S. and a portion of YRI markets by providing an additional week in their reporting calendars. This yielded a $26 million benefit to YRI and U.S. operating profit in the fourth quarter. As a result, the operating profit growth rate in the fourth quarter of 2012 will be negatively impacted by this overlap. This benefit was offset throughout 2011 by investments, including franchise development incentives, as well as higher-than-normal spending, such as restaurant closures in the U.S. and YRI. </t>
        </r>
        <r>
          <rPr>
            <b/>
            <sz val="8"/>
            <color indexed="81"/>
            <rFont val="Tahoma"/>
            <family val="2"/>
          </rPr>
          <t xml:space="preserve">
</t>
        </r>
        <r>
          <rPr>
            <sz val="8"/>
            <color indexed="81"/>
            <rFont val="Tahoma"/>
            <family val="2"/>
          </rPr>
          <t xml:space="preserve">
12.3.10
convo w/Jerzyk -- extra week will add ~$20M in op profit</t>
        </r>
      </text>
    </comment>
    <comment ref="BX92" authorId="1">
      <text>
        <r>
          <rPr>
            <b/>
            <sz val="8"/>
            <color indexed="81"/>
            <rFont val="Tahoma"/>
            <family val="2"/>
          </rPr>
          <t>Jon Tower:</t>
        </r>
        <r>
          <rPr>
            <sz val="8"/>
            <color indexed="81"/>
            <rFont val="Tahoma"/>
            <family val="2"/>
          </rPr>
          <t xml:space="preserve">
12.3.10
convo w/Jerzyk -- extra week will add ~$20M in op profit</t>
        </r>
      </text>
    </comment>
    <comment ref="CB92" authorId="1">
      <text>
        <r>
          <rPr>
            <b/>
            <sz val="8"/>
            <color indexed="81"/>
            <rFont val="Tahoma"/>
            <family val="2"/>
          </rPr>
          <t>Jon Tower:</t>
        </r>
        <r>
          <rPr>
            <sz val="8"/>
            <color indexed="81"/>
            <rFont val="Tahoma"/>
            <family val="2"/>
          </rPr>
          <t xml:space="preserve">
2.6.12
Our fiscal year ends on the last Saturday in December and, as a result, a 53rd week is added every five or six years. In 2011, this 53rd week benefited the U.S. and a portion of YRI markets by providing an additional week in their reporting calendars.</t>
        </r>
        <r>
          <rPr>
            <b/>
            <sz val="8"/>
            <color indexed="81"/>
            <rFont val="Tahoma"/>
            <family val="2"/>
          </rPr>
          <t xml:space="preserve"> This yielded a $26 million benefit to YRI and U.S. operating profit in the fourth quarter. As a result, the operating profit growth rate in the fourth quarter of 2012 will be negatively impacted by this overlap. This benefit was offset throughout 2011 by investments, including franchise development incentives, as well as higher-than-normal spending, such as restaurant closures in the U.S. and YRI. </t>
        </r>
        <r>
          <rPr>
            <sz val="8"/>
            <color indexed="81"/>
            <rFont val="Tahoma"/>
            <family val="2"/>
          </rPr>
          <t xml:space="preserve">
</t>
        </r>
      </text>
    </comment>
    <comment ref="CC92" authorId="1">
      <text>
        <r>
          <rPr>
            <b/>
            <sz val="8"/>
            <color indexed="81"/>
            <rFont val="Tahoma"/>
            <family val="2"/>
          </rPr>
          <t>Jon Tower:</t>
        </r>
        <r>
          <rPr>
            <sz val="8"/>
            <color indexed="81"/>
            <rFont val="Tahoma"/>
            <family val="2"/>
          </rPr>
          <t xml:space="preserve">
2.6.12
Our fiscal year ends on the last Saturday in December and, as a result, a 53rd week is added every five or six years. In 2011, this 53rd week benefited the U.S. and a portion of YRI markets by providing an additional week in their reporting calendars.</t>
        </r>
        <r>
          <rPr>
            <b/>
            <sz val="8"/>
            <color indexed="81"/>
            <rFont val="Tahoma"/>
            <family val="2"/>
          </rPr>
          <t xml:space="preserve"> This yielded a $26 million benefit to YRI and U.S. operating profit in the fourth quarter. As a result, the operating profit growth rate in the fourth quarter of 2012 will be negatively impacted by this overlap. This benefit was offset throughout 2011 by investments, including franchise development incentives, as well as higher-than-normal spending, such as restaurant closures in the U.S. and YRI. </t>
        </r>
        <r>
          <rPr>
            <sz val="8"/>
            <color indexed="81"/>
            <rFont val="Tahoma"/>
            <family val="2"/>
          </rPr>
          <t xml:space="preserve">
</t>
        </r>
      </text>
    </comment>
    <comment ref="DB92" authorId="6">
      <text>
        <r>
          <rPr>
            <b/>
            <sz val="9"/>
            <color indexed="81"/>
            <rFont val="Tahoma"/>
            <family val="2"/>
          </rPr>
          <t>5.3.17
reit MSD core op profit guidance (on base of HSD, minus 1.5% 53rd week and and 1-2% drag from refranchising/G&amp;a timing
10.11.16</t>
        </r>
        <r>
          <rPr>
            <sz val="9"/>
            <color indexed="81"/>
            <rFont val="Tahoma"/>
            <family val="2"/>
          </rPr>
          <t xml:space="preserve">
HSD growth,  varies in '17 &amp; due to refranchising
</t>
        </r>
      </text>
    </comment>
    <comment ref="DG92" authorId="6">
      <text>
        <r>
          <rPr>
            <b/>
            <sz val="9"/>
            <color indexed="81"/>
            <rFont val="Tahoma"/>
            <family val="2"/>
          </rPr>
          <t>O'Brien, Courtney (Research):</t>
        </r>
        <r>
          <rPr>
            <sz val="9"/>
            <color indexed="81"/>
            <rFont val="Tahoma"/>
            <family val="2"/>
          </rPr>
          <t xml:space="preserve">
2.8.2018
High-Single Digits
HSD - LDD growth,  varies in '17 &amp; due to refranchising
</t>
        </r>
      </text>
    </comment>
    <comment ref="DL92" authorId="6">
      <text>
        <r>
          <rPr>
            <b/>
            <sz val="9"/>
            <color indexed="81"/>
            <rFont val="Tahoma"/>
            <family val="2"/>
          </rPr>
          <t>O'Brien, Courtney (Research):</t>
        </r>
        <r>
          <rPr>
            <sz val="9"/>
            <color indexed="81"/>
            <rFont val="Tahoma"/>
            <family val="2"/>
          </rPr>
          <t xml:space="preserve">
HSD - LDD growth,  varies in '17 &amp; due to refranchising
</t>
        </r>
      </text>
    </comment>
    <comment ref="DQ92" authorId="6">
      <text>
        <r>
          <rPr>
            <b/>
            <sz val="9"/>
            <color indexed="81"/>
            <rFont val="Tahoma"/>
            <family val="2"/>
          </rPr>
          <t>O'Brien, Courtney (Research):</t>
        </r>
        <r>
          <rPr>
            <sz val="9"/>
            <color indexed="81"/>
            <rFont val="Tahoma"/>
            <family val="2"/>
          </rPr>
          <t xml:space="preserve">
HSD growth post 2019</t>
        </r>
      </text>
    </comment>
    <comment ref="DV92" authorId="6">
      <text>
        <r>
          <rPr>
            <b/>
            <sz val="9"/>
            <color indexed="81"/>
            <rFont val="Tahoma"/>
            <family val="2"/>
          </rPr>
          <t>O'Brien, Courtney (Research):</t>
        </r>
        <r>
          <rPr>
            <sz val="9"/>
            <color indexed="81"/>
            <rFont val="Tahoma"/>
            <family val="2"/>
          </rPr>
          <t xml:space="preserve">
HSD growth post 2019</t>
        </r>
      </text>
    </comment>
    <comment ref="EA92" authorId="6">
      <text>
        <r>
          <rPr>
            <b/>
            <sz val="9"/>
            <color indexed="81"/>
            <rFont val="Tahoma"/>
            <family val="2"/>
          </rPr>
          <t>O'Brien, Courtney (Research):</t>
        </r>
        <r>
          <rPr>
            <sz val="9"/>
            <color indexed="81"/>
            <rFont val="Tahoma"/>
            <family val="2"/>
          </rPr>
          <t xml:space="preserve">
HSD growth post 2019</t>
        </r>
      </text>
    </comment>
    <comment ref="CS93" authorId="6">
      <text>
        <r>
          <rPr>
            <b/>
            <sz val="9"/>
            <color indexed="81"/>
            <rFont val="Tahoma"/>
            <family val="2"/>
          </rPr>
          <t>O'Brien, Courtney (Research):</t>
        </r>
        <r>
          <rPr>
            <sz val="9"/>
            <color indexed="81"/>
            <rFont val="Tahoma"/>
            <family val="2"/>
          </rPr>
          <t xml:space="preserve">
provided by YUM</t>
        </r>
      </text>
    </comment>
    <comment ref="CT93" authorId="6">
      <text>
        <r>
          <rPr>
            <b/>
            <sz val="9"/>
            <color indexed="81"/>
            <rFont val="Tahoma"/>
            <family val="2"/>
          </rPr>
          <t>O'Brien, Courtney (Research):</t>
        </r>
        <r>
          <rPr>
            <sz val="9"/>
            <color indexed="81"/>
            <rFont val="Tahoma"/>
            <family val="2"/>
          </rPr>
          <t xml:space="preserve">
provided by YUM</t>
        </r>
      </text>
    </comment>
    <comment ref="CU93" authorId="6">
      <text>
        <r>
          <rPr>
            <b/>
            <sz val="9"/>
            <color indexed="81"/>
            <rFont val="Tahoma"/>
            <family val="2"/>
          </rPr>
          <t>O'Brien, Courtney (Research):</t>
        </r>
        <r>
          <rPr>
            <sz val="9"/>
            <color indexed="81"/>
            <rFont val="Tahoma"/>
            <family val="2"/>
          </rPr>
          <t xml:space="preserve">
provided by YUM</t>
        </r>
      </text>
    </comment>
    <comment ref="CV93" authorId="6">
      <text>
        <r>
          <rPr>
            <b/>
            <sz val="9"/>
            <color indexed="81"/>
            <rFont val="Tahoma"/>
            <family val="2"/>
          </rPr>
          <t>O'Brien, Courtney (Research):</t>
        </r>
        <r>
          <rPr>
            <sz val="9"/>
            <color indexed="81"/>
            <rFont val="Tahoma"/>
            <family val="2"/>
          </rPr>
          <t xml:space="preserve">
provided by YUM</t>
        </r>
      </text>
    </comment>
    <comment ref="CW93" authorId="6">
      <text>
        <r>
          <rPr>
            <b/>
            <sz val="9"/>
            <color indexed="81"/>
            <rFont val="Tahoma"/>
            <family val="2"/>
          </rPr>
          <t>O'Brien, Courtney (Research):</t>
        </r>
        <r>
          <rPr>
            <sz val="9"/>
            <color indexed="81"/>
            <rFont val="Tahoma"/>
            <family val="2"/>
          </rPr>
          <t xml:space="preserve">
provided by YUM</t>
        </r>
      </text>
    </comment>
    <comment ref="CX93" authorId="6">
      <text>
        <r>
          <rPr>
            <b/>
            <sz val="9"/>
            <color indexed="81"/>
            <rFont val="Tahoma"/>
            <family val="2"/>
          </rPr>
          <t>O'Brien, Courtney (Research):</t>
        </r>
        <r>
          <rPr>
            <sz val="9"/>
            <color indexed="81"/>
            <rFont val="Tahoma"/>
            <family val="2"/>
          </rPr>
          <t xml:space="preserve">
provided by YUM</t>
        </r>
      </text>
    </comment>
    <comment ref="CY93" authorId="6">
      <text>
        <r>
          <rPr>
            <b/>
            <sz val="9"/>
            <color indexed="81"/>
            <rFont val="Tahoma"/>
            <family val="2"/>
          </rPr>
          <t>O'Brien, Courtney (Research):</t>
        </r>
        <r>
          <rPr>
            <sz val="9"/>
            <color indexed="81"/>
            <rFont val="Tahoma"/>
            <family val="2"/>
          </rPr>
          <t xml:space="preserve">
8.3.17
 19% - included benefit of $9M within KFC outside of normal run rate (fewere impairments, higher renewal, etc).  Includes 2 percentage point negative impact from foreign currency.</t>
        </r>
      </text>
    </comment>
    <comment ref="DA93" authorId="6">
      <text>
        <r>
          <rPr>
            <b/>
            <sz val="9"/>
            <color indexed="81"/>
            <rFont val="Tahoma"/>
            <family val="2"/>
          </rPr>
          <t xml:space="preserve">2.8.2018
</t>
        </r>
        <r>
          <rPr>
            <sz val="9"/>
            <color indexed="81"/>
            <rFont val="Tahoma"/>
            <family val="2"/>
          </rPr>
          <t xml:space="preserve">-1% ex-53rd week
</t>
        </r>
        <r>
          <rPr>
            <b/>
            <sz val="9"/>
            <color indexed="81"/>
            <rFont val="Tahoma"/>
            <family val="2"/>
          </rPr>
          <t xml:space="preserve">
8.3.17</t>
        </r>
        <r>
          <rPr>
            <sz val="9"/>
            <color indexed="81"/>
            <rFont val="Tahoma"/>
            <family val="2"/>
          </rPr>
          <t xml:space="preserve">
10-12% headwind from impact of refranchising + 53rd week lap (53rd week = 7-8% drag, refranchising = 3-5%)</t>
        </r>
      </text>
    </comment>
    <comment ref="DB93" authorId="6">
      <text>
        <r>
          <rPr>
            <b/>
            <sz val="9"/>
            <color indexed="81"/>
            <rFont val="Tahoma"/>
            <family val="2"/>
          </rPr>
          <t>8.3.17
Impact from refranchising = high end of the 1 to 2 % range; MSD core op profit growth adj for refranchising (2% headind) and lapping extra week (1.5% headwind)
5.3.17
reit MSD core op profit guidance (on base of HSD, minus 1.5% 53rd week and and 1-2% drag from refranchising/G&amp;a timing
2.8.17
underlying operting profit growhtof HSD;
as repoted  CC op profit growth mid-single digits in 2017 on an as reported basis given: 53rd week lap is an approximate 1.5 percentage point drag on operating profit growth + 1-2% drag from mismatch of refranchsing and G&amp;A timing
O'Brien, Courtney (Research):</t>
        </r>
        <r>
          <rPr>
            <sz val="9"/>
            <color indexed="81"/>
            <rFont val="Tahoma"/>
            <family val="2"/>
          </rPr>
          <t xml:space="preserve">
HSD - LDD growth,  varies in '17 &amp; due to refranchising
</t>
        </r>
      </text>
    </comment>
    <comment ref="DG93" authorId="5">
      <text>
        <r>
          <rPr>
            <b/>
            <sz val="9"/>
            <color indexed="81"/>
            <rFont val="Tahoma"/>
            <family val="2"/>
          </rPr>
          <t>Carril, Christopher E (Research):</t>
        </r>
        <r>
          <rPr>
            <sz val="9"/>
            <color indexed="81"/>
            <rFont val="Tahoma"/>
            <family val="2"/>
          </rPr>
          <t xml:space="preserve">
2.8.2018
~Flat</t>
        </r>
      </text>
    </comment>
    <comment ref="DQ93" authorId="6">
      <text>
        <r>
          <rPr>
            <b/>
            <sz val="9"/>
            <color indexed="81"/>
            <rFont val="Tahoma"/>
            <family val="2"/>
          </rPr>
          <t>O'Brien, Courtney (Research):</t>
        </r>
        <r>
          <rPr>
            <sz val="9"/>
            <color indexed="81"/>
            <rFont val="Tahoma"/>
            <family val="2"/>
          </rPr>
          <t xml:space="preserve">
10.12.16
goal of HSD op profit growth</t>
        </r>
      </text>
    </comment>
    <comment ref="DV93" authorId="6">
      <text>
        <r>
          <rPr>
            <b/>
            <sz val="9"/>
            <color indexed="81"/>
            <rFont val="Tahoma"/>
            <family val="2"/>
          </rPr>
          <t>O'Brien, Courtney (Research):</t>
        </r>
        <r>
          <rPr>
            <sz val="9"/>
            <color indexed="81"/>
            <rFont val="Tahoma"/>
            <family val="2"/>
          </rPr>
          <t xml:space="preserve">
10.12.16
goal of HSD op profit growth</t>
        </r>
      </text>
    </comment>
    <comment ref="EA93" authorId="6">
      <text>
        <r>
          <rPr>
            <b/>
            <sz val="9"/>
            <color indexed="81"/>
            <rFont val="Tahoma"/>
            <family val="2"/>
          </rPr>
          <t>O'Brien, Courtney (Research):</t>
        </r>
        <r>
          <rPr>
            <sz val="9"/>
            <color indexed="81"/>
            <rFont val="Tahoma"/>
            <family val="2"/>
          </rPr>
          <t xml:space="preserve">
10.12.16
goal of HSD op profit growth</t>
        </r>
      </text>
    </comment>
    <comment ref="CB94" authorId="8">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Excluding the 53rd week impact, worldwide operating profit grew 11%, including 15% at YRI and 5% in the U.S.</t>
        </r>
      </text>
    </comment>
    <comment ref="CW94" authorId="6">
      <text>
        <r>
          <rPr>
            <b/>
            <sz val="9"/>
            <color indexed="81"/>
            <rFont val="Tahoma"/>
            <family val="2"/>
          </rPr>
          <t>12.10.15
Ex Forex, 9% (2% for 53rd week)
HSD to LDD
12.10.15
"at least" 10% cc p[ profit growth; +1.5% from 53rd week; -2% FX</t>
        </r>
      </text>
    </comment>
    <comment ref="DQ95" authorId="6">
      <text>
        <r>
          <rPr>
            <b/>
            <sz val="9"/>
            <color indexed="81"/>
            <rFont val="Tahoma"/>
            <family val="2"/>
          </rPr>
          <t>O'Brien, Courtney (Research):</t>
        </r>
        <r>
          <rPr>
            <sz val="9"/>
            <color indexed="81"/>
            <rFont val="Tahoma"/>
            <family val="2"/>
          </rPr>
          <t xml:space="preserve">
10.11.16
goal of HSD EBITDA growth</t>
        </r>
      </text>
    </comment>
    <comment ref="DV95" authorId="6">
      <text>
        <r>
          <rPr>
            <b/>
            <sz val="9"/>
            <color indexed="81"/>
            <rFont val="Tahoma"/>
            <family val="2"/>
          </rPr>
          <t>O'Brien, Courtney (Research):</t>
        </r>
        <r>
          <rPr>
            <sz val="9"/>
            <color indexed="81"/>
            <rFont val="Tahoma"/>
            <family val="2"/>
          </rPr>
          <t xml:space="preserve">
10.11.16
goal of HSD EBITDA growth</t>
        </r>
      </text>
    </comment>
    <comment ref="EA95" authorId="6">
      <text>
        <r>
          <rPr>
            <b/>
            <sz val="9"/>
            <color indexed="81"/>
            <rFont val="Tahoma"/>
            <family val="2"/>
          </rPr>
          <t>O'Brien, Courtney (Research):</t>
        </r>
        <r>
          <rPr>
            <sz val="9"/>
            <color indexed="81"/>
            <rFont val="Tahoma"/>
            <family val="2"/>
          </rPr>
          <t xml:space="preserve">
10.11.16
goal of HSD EBITDA growth</t>
        </r>
      </text>
    </comment>
    <comment ref="AT98" authorId="0">
      <text>
        <r>
          <rPr>
            <b/>
            <sz val="8"/>
            <color indexed="81"/>
            <rFont val="Tahoma"/>
            <family val="2"/>
          </rPr>
          <t>towerj:</t>
        </r>
        <r>
          <rPr>
            <sz val="8"/>
            <color indexed="81"/>
            <rFont val="Tahoma"/>
            <family val="2"/>
          </rPr>
          <t xml:space="preserve">
10.5.05 -- 12% Y/Y growth
11.7.05 reit 12% op growth, which includes Czech IPO gain of ~$0.04 </t>
        </r>
      </text>
    </comment>
    <comment ref="AV98" authorId="0">
      <text>
        <r>
          <rPr>
            <b/>
            <sz val="8"/>
            <color indexed="81"/>
            <rFont val="Tahoma"/>
            <family val="2"/>
          </rPr>
          <t>towerj:</t>
        </r>
        <r>
          <rPr>
            <sz val="8"/>
            <color indexed="81"/>
            <rFont val="Tahoma"/>
            <family val="2"/>
          </rPr>
          <t xml:space="preserve">
12.1.05 LY's 2Q benefited from 1X gain from Czech Poland IPO</t>
        </r>
      </text>
    </comment>
    <comment ref="AY98" authorId="0">
      <text>
        <r>
          <rPr>
            <b/>
            <sz val="8"/>
            <color indexed="81"/>
            <rFont val="Tahoma"/>
            <family val="2"/>
          </rPr>
          <t>towerj:</t>
        </r>
        <r>
          <rPr>
            <sz val="8"/>
            <color indexed="81"/>
            <rFont val="Tahoma"/>
            <family val="2"/>
          </rPr>
          <t xml:space="preserve">
10.5.05 at least 10%
12.1.05 at least 10%
2.6.06 reit at least 10%
4.24.06 at least 11%</t>
        </r>
      </text>
    </comment>
    <comment ref="BC98" authorId="4">
      <text>
        <r>
          <rPr>
            <sz val="8"/>
            <color indexed="81"/>
            <rFont val="Tahoma"/>
            <family val="2"/>
          </rPr>
          <t>10..8.07
expect EPS growth to be negative</t>
        </r>
      </text>
    </comment>
    <comment ref="BD98" authorId="0">
      <text>
        <r>
          <rPr>
            <b/>
            <sz val="8"/>
            <color indexed="81"/>
            <rFont val="Tahoma"/>
            <family val="2"/>
          </rPr>
          <t>towerj:
10.8.07
13%
7.11.07 12% EPS growth (due to China and YRI)
5.1.07 at least 11%</t>
        </r>
        <r>
          <rPr>
            <sz val="8"/>
            <color indexed="81"/>
            <rFont val="Tahoma"/>
            <family val="2"/>
          </rPr>
          <t xml:space="preserve">
4.25.06 reit LT EPS Growth of 10%
</t>
        </r>
        <r>
          <rPr>
            <sz val="8"/>
            <color indexed="81"/>
            <rFont val="Tahoma"/>
            <family val="2"/>
          </rPr>
          <t>11.30.06 
at least 10%</t>
        </r>
      </text>
    </comment>
    <comment ref="BI98" authorId="0">
      <text>
        <r>
          <rPr>
            <b/>
            <sz val="8"/>
            <color indexed="81"/>
            <rFont val="Tahoma"/>
            <family val="2"/>
          </rPr>
          <t>towerj:
12.4.08
reaffirm 12% EPS ex special items
4.22.08
at least 11%
12.6.07
at least 10%</t>
        </r>
        <r>
          <rPr>
            <sz val="8"/>
            <color indexed="81"/>
            <rFont val="Tahoma"/>
            <family val="2"/>
          </rPr>
          <t xml:space="preserve">
4.25.06 reit LT EPS Growth of 10%</t>
        </r>
      </text>
    </comment>
    <comment ref="BJ98" authorId="1">
      <text>
        <r>
          <rPr>
            <b/>
            <sz val="8"/>
            <color indexed="81"/>
            <rFont val="Tahoma"/>
            <family val="2"/>
          </rPr>
          <t>Jon Tower:</t>
        </r>
        <r>
          <rPr>
            <sz val="8"/>
            <color indexed="81"/>
            <rFont val="Tahoma"/>
            <family val="2"/>
          </rPr>
          <t xml:space="preserve">
2.3.09
expect 1Q09 EPS to be down Y/Y ex-special items</t>
        </r>
      </text>
    </comment>
    <comment ref="BN98" authorId="0">
      <text>
        <r>
          <rPr>
            <b/>
            <sz val="8"/>
            <color indexed="81"/>
            <rFont val="Tahoma"/>
            <family val="2"/>
          </rPr>
          <t>towerj:
12.4.09
12%, ex-items
2.3.09
at least 10%, or $2.10 excluding special items
12.4.08</t>
        </r>
        <r>
          <rPr>
            <sz val="8"/>
            <color indexed="81"/>
            <rFont val="Tahoma"/>
            <family val="2"/>
          </rPr>
          <t xml:space="preserve">
at least 10% growth, excluding special items</t>
        </r>
        <r>
          <rPr>
            <sz val="8"/>
            <color indexed="81"/>
            <rFont val="Tahoma"/>
            <family val="2"/>
          </rPr>
          <t xml:space="preserve">
10.7.08
As a result, we remain confident in our business model and our ability to </t>
        </r>
        <r>
          <rPr>
            <b/>
            <sz val="8"/>
            <color indexed="81"/>
            <rFont val="Tahoma"/>
            <family val="2"/>
          </rPr>
          <t xml:space="preserve">consistently deliver at least 10% EPS growth in 2009 and beyond
</t>
        </r>
        <r>
          <rPr>
            <sz val="8"/>
            <color indexed="81"/>
            <rFont val="Tahoma"/>
            <family val="2"/>
          </rPr>
          <t xml:space="preserve">
4.25.06 reit LT EPS Growth of 10%</t>
        </r>
      </text>
    </comment>
    <comment ref="BS98" authorId="0">
      <text>
        <r>
          <rPr>
            <b/>
            <sz val="8"/>
            <color indexed="81"/>
            <rFont val="Tahoma"/>
            <family val="2"/>
          </rPr>
          <t>towerj:
12.3.10
reit 14% EPS growth ex-special items, (or $2.48)
7.13.10
I’m pleased to report we expect to deliver 12% EPS growth this year,</t>
        </r>
        <r>
          <rPr>
            <sz val="8"/>
            <color indexed="81"/>
            <rFont val="Tahoma"/>
            <family val="2"/>
          </rPr>
          <t xml:space="preserve"> making 2010 the 9th consecutive year we meet or exceed our annual target of at least 10%.</t>
        </r>
        <r>
          <rPr>
            <b/>
            <sz val="8"/>
            <color indexed="81"/>
            <rFont val="Tahoma"/>
            <family val="2"/>
          </rPr>
          <t xml:space="preserve"> 
or $2.43 --- prior to special items
4.14.10</t>
        </r>
        <r>
          <rPr>
            <sz val="8"/>
            <color indexed="81"/>
            <rFont val="Tahoma"/>
            <family val="2"/>
          </rPr>
          <t xml:space="preserve">
Although the global operating environment remains challenging, we are confident we are well on our way to another year of achieving our target of</t>
        </r>
        <r>
          <rPr>
            <b/>
            <sz val="8"/>
            <color indexed="81"/>
            <rFont val="Tahoma"/>
            <family val="2"/>
          </rPr>
          <t xml:space="preserve"> at least 10% EPS growth
Implies at least $2.39
2.3.10
reiterate “In 2010, we once again expect to achieve our annual target of at least 10% EPS growth.'
12.4.09
at least 10% 
10.6.09
Looking to 2010, we expect to deliver 10% EPS growth.
</t>
        </r>
        <r>
          <rPr>
            <sz val="8"/>
            <color indexed="81"/>
            <rFont val="Tahoma"/>
            <family val="2"/>
          </rPr>
          <t xml:space="preserve">
4.25.06 reit LT EPS Growth of 10%</t>
        </r>
      </text>
    </comment>
    <comment ref="BW98" authorId="1">
      <text>
        <r>
          <rPr>
            <b/>
            <sz val="8"/>
            <color indexed="81"/>
            <rFont val="Tahoma"/>
            <family val="2"/>
          </rPr>
          <t xml:space="preserve">Sushama Dasari:
10.10.12
</t>
        </r>
        <r>
          <rPr>
            <sz val="8"/>
            <color indexed="81"/>
            <rFont val="Tahoma"/>
            <family val="2"/>
          </rPr>
          <t>I would first like to remind everyone that we have an overlap headwind due to an additional week in our 2011 fiscal year. This additional week produced a $26 million operating profit benefit to YRI and the US combined or over 4 percentage points of EPS growth. This will obviously have a negative impact on this year's fourth-quarter growth.</t>
        </r>
        <r>
          <rPr>
            <b/>
            <sz val="8"/>
            <color indexed="81"/>
            <rFont val="Tahoma"/>
            <family val="2"/>
          </rPr>
          <t xml:space="preserve">
</t>
        </r>
        <r>
          <rPr>
            <sz val="8"/>
            <color indexed="81"/>
            <rFont val="Tahoma"/>
            <family val="2"/>
          </rPr>
          <t xml:space="preserve">
2.4.09
includes 53rd week</t>
        </r>
      </text>
    </comment>
    <comment ref="BX98" authorId="0">
      <text>
        <r>
          <rPr>
            <b/>
            <sz val="8"/>
            <color indexed="81"/>
            <rFont val="Tahoma"/>
            <family val="2"/>
          </rPr>
          <t xml:space="preserve">towerj:
10.4.11
</t>
        </r>
        <r>
          <rPr>
            <sz val="8"/>
            <color indexed="81"/>
            <rFont val="Tahoma"/>
            <family val="2"/>
          </rPr>
          <t xml:space="preserve">I’m pleased to report EPS growth of 13% in the third quarter, excluding special items. </t>
        </r>
        <r>
          <rPr>
            <b/>
            <sz val="8"/>
            <color indexed="81"/>
            <rFont val="Tahoma"/>
            <family val="2"/>
          </rPr>
          <t xml:space="preserve">As a result of strong performance in China and other emerging markets, we confidently reaffirm our full-year EPS growth forecast of at least 12%, </t>
        </r>
        <r>
          <rPr>
            <sz val="8"/>
            <color indexed="81"/>
            <rFont val="Tahoma"/>
            <family val="2"/>
          </rPr>
          <t>which will make 2011 the 10th consecutive year we exceed our annual target of at least 10% EPS growth</t>
        </r>
        <r>
          <rPr>
            <b/>
            <sz val="8"/>
            <color indexed="81"/>
            <rFont val="Tahoma"/>
            <family val="2"/>
          </rPr>
          <t xml:space="preserve">
7.13.11
“I’m pleased to report we are raising our full year EPS growth forecast to at least 12% based on the continued strength of our international businesses.
Full year EPS growth forecast raised to at least 12%, or at least $2.83 a share, excluding Special Items. 
12.3.10
reit at least 10% growth, ex-special items (off a $2.48 base, at least $2.73)
10.6.10
at least 10% EPS growth -- off of '10 guidance of $2.48, implies at least $2.73
</t>
        </r>
        <r>
          <rPr>
            <sz val="8"/>
            <color indexed="81"/>
            <rFont val="Tahoma"/>
            <family val="2"/>
          </rPr>
          <t xml:space="preserve">
4.25.06 reit LT EPS Growth of 10%
</t>
        </r>
      </text>
    </comment>
    <comment ref="BZ98" authorId="1">
      <text>
        <r>
          <rPr>
            <b/>
            <sz val="8"/>
            <color indexed="81"/>
            <rFont val="Tahoma"/>
            <family val="2"/>
          </rPr>
          <t>Jon Tower:</t>
        </r>
        <r>
          <rPr>
            <sz val="8"/>
            <color indexed="81"/>
            <rFont val="Tahoma"/>
            <family val="2"/>
          </rPr>
          <t xml:space="preserve">
4.19.12
expect EPS growth to be lower in 2Q12 due to tax rate in 2Q11</t>
        </r>
      </text>
    </comment>
    <comment ref="CB98" authorId="1">
      <text>
        <r>
          <rPr>
            <b/>
            <sz val="8"/>
            <color indexed="81"/>
            <rFont val="Tahoma"/>
            <family val="2"/>
          </rPr>
          <t xml:space="preserve">Sushama Dasari:
2.5.13
</t>
        </r>
        <r>
          <rPr>
            <sz val="8"/>
            <color indexed="81"/>
            <rFont val="Tahoma"/>
            <family val="2"/>
          </rPr>
          <t>Achieved 16% EPS growth in 4Q12 adjusting for extra week in 4Q11 which provided $26M operating profit benefit to YRI and US combined</t>
        </r>
        <r>
          <rPr>
            <b/>
            <sz val="8"/>
            <color indexed="81"/>
            <rFont val="Tahoma"/>
            <family val="2"/>
          </rPr>
          <t xml:space="preserve">
10.10.12
</t>
        </r>
        <r>
          <rPr>
            <sz val="8"/>
            <color indexed="81"/>
            <rFont val="Tahoma"/>
            <family val="2"/>
          </rPr>
          <t>I would first like to remind everyone that we have an overlap headwind due to an additional week in our 2011 fiscal year. This additional week produced a $26 million operating profit benefit to YRI and the US combined or over 4 percentage points of EPS growth. This will obviously have a negative impact on this year's fourth-quarter growth.</t>
        </r>
      </text>
    </comment>
    <comment ref="CC98" authorId="0">
      <text>
        <r>
          <rPr>
            <b/>
            <sz val="8"/>
            <color indexed="81"/>
            <rFont val="Tahoma"/>
            <family val="2"/>
          </rPr>
          <t xml:space="preserve">Sushama Dasari:
</t>
        </r>
        <r>
          <rPr>
            <b/>
            <sz val="8"/>
            <color indexed="81"/>
            <rFont val="Tahoma"/>
            <family val="2"/>
          </rPr>
          <t xml:space="preserve">
12.6.12
</t>
        </r>
        <r>
          <rPr>
            <sz val="8"/>
            <color indexed="81"/>
            <rFont val="Tahoma"/>
            <family val="2"/>
          </rPr>
          <t>Expect at least 13% EPS growth, driven by +6% from China, +4% from YRI, +4% from U.S., -1% from financial (-3% from increased taxes, +2% from decreased share count)</t>
        </r>
        <r>
          <rPr>
            <b/>
            <sz val="8"/>
            <color indexed="81"/>
            <rFont val="Tahoma"/>
            <family val="2"/>
          </rPr>
          <t xml:space="preserve">
</t>
        </r>
        <r>
          <rPr>
            <b/>
            <sz val="8"/>
            <color indexed="81"/>
            <rFont val="Tahoma"/>
            <family val="2"/>
          </rPr>
          <t xml:space="preserve">7.19.12
</t>
        </r>
        <r>
          <rPr>
            <sz val="8"/>
            <color indexed="81"/>
            <rFont val="Tahoma"/>
            <family val="2"/>
          </rPr>
          <t>Confirmed FY EPS growth of at least 12% ($3.21-3.22)</t>
        </r>
        <r>
          <rPr>
            <b/>
            <sz val="8"/>
            <color indexed="81"/>
            <rFont val="Tahoma"/>
            <family val="2"/>
          </rPr>
          <t xml:space="preserve">
4.18.12
</t>
        </r>
        <r>
          <rPr>
            <sz val="8"/>
            <color indexed="81"/>
            <rFont val="Tahoma"/>
            <family val="2"/>
          </rPr>
          <t>Given the strength of our first-quarter results, we
are raising our full-year EPS growth forecast to at least 12%, excluding Special Items</t>
        </r>
        <r>
          <rPr>
            <b/>
            <sz val="8"/>
            <color indexed="81"/>
            <rFont val="Tahoma"/>
            <family val="2"/>
          </rPr>
          <t xml:space="preserve">
2.6.12
</t>
        </r>
        <r>
          <rPr>
            <sz val="8"/>
            <color indexed="81"/>
            <rFont val="Tahoma"/>
            <family val="2"/>
          </rPr>
          <t xml:space="preserve">We are proud of our consistent track record of growth and are well-positioned to meet or exceed our annual target of at least 10% EPS growth in 2012.” </t>
        </r>
        <r>
          <rPr>
            <b/>
            <sz val="8"/>
            <color indexed="81"/>
            <rFont val="Tahoma"/>
            <family val="2"/>
          </rPr>
          <t xml:space="preserve">
12.5.11
Yum! expects to deliver at least 10% EPS growth in 2012, excluding special items. 
10.4.11
</t>
        </r>
        <r>
          <rPr>
            <sz val="8"/>
            <color indexed="81"/>
            <rFont val="Tahoma"/>
            <family val="2"/>
          </rPr>
          <t xml:space="preserve">Looking ahead, the strength of our international brands and outstanding new unit development, combined with aggressive U.S. initiatives, make us confident we will continue our track
record of double-digit earnings growth next year and beyond.
</t>
        </r>
        <r>
          <rPr>
            <sz val="8"/>
            <color indexed="81"/>
            <rFont val="Tahoma"/>
            <family val="2"/>
          </rPr>
          <t xml:space="preserve">
4.25.06 reit LT EPS Growth of 10%</t>
        </r>
      </text>
    </comment>
    <comment ref="CD98" authorId="8">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For the first quarter, we estimate that EPS
will decline approximately 25% before special items.</t>
        </r>
      </text>
    </comment>
    <comment ref="CH98" authorId="8">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We estimate a midsingle
digit EPS decline in 2013 versus prior year, excluding Special Items. This includes an expectation for a significant decline in EPS
performance in the first half of the year followed by EPS growth in the second half.</t>
        </r>
        <r>
          <rPr>
            <sz val="8"/>
            <color indexed="81"/>
            <rFont val="Tahoma"/>
            <family val="2"/>
          </rPr>
          <t xml:space="preserve">
</t>
        </r>
        <r>
          <rPr>
            <b/>
            <sz val="8"/>
            <color indexed="81"/>
            <rFont val="Tahoma"/>
            <family val="2"/>
          </rPr>
          <t xml:space="preserve">12.6.12
</t>
        </r>
        <r>
          <rPr>
            <sz val="8"/>
            <color indexed="81"/>
            <rFont val="Tahoma"/>
            <family val="2"/>
          </rPr>
          <t>Long term EPS growth target of at least 10% with contributions of:
+5-6% from China (15% profit growth)
+1-2% from India
+3-4% from YRI (10% profit growth)
+1% from U.S. (5% profit growth)
+1-2% from Financial (taxes, share repurchase)</t>
        </r>
      </text>
    </comment>
    <comment ref="CM98" authorId="8">
      <text>
        <r>
          <rPr>
            <b/>
            <sz val="8"/>
            <color indexed="81"/>
            <rFont val="Tahoma"/>
            <family val="2"/>
          </rPr>
          <t xml:space="preserve">12.13:
LT goal still at least 10%, with parts adding up to 13%
14 foasl is at elat 20%, with outsized China contributing 8% to growth on top of usual contribution, and pension (lower due to higher discount rate used)  contributing 2%.
</t>
        </r>
        <r>
          <rPr>
            <sz val="8"/>
            <color indexed="81"/>
            <rFont val="Tahoma"/>
            <family val="2"/>
          </rPr>
          <t xml:space="preserve">
</t>
        </r>
        <r>
          <rPr>
            <b/>
            <sz val="8"/>
            <color indexed="81"/>
            <rFont val="Tahoma"/>
            <family val="2"/>
          </rPr>
          <t xml:space="preserve">12.6.12
</t>
        </r>
        <r>
          <rPr>
            <sz val="8"/>
            <color indexed="81"/>
            <rFont val="Tahoma"/>
            <family val="2"/>
          </rPr>
          <t>Long term EPS growth target of at least 10% with contributions of:
+5-6% from China (15% profit growth)
+1-2% from India
+3-4% from YRI (10% profit growth)
+1% from U.S. (5% profit growth)
+1-2% from Financial (taxes, share repurchase)</t>
        </r>
      </text>
    </comment>
    <comment ref="CN98" authorId="6">
      <text>
        <r>
          <rPr>
            <b/>
            <sz val="9"/>
            <color indexed="81"/>
            <rFont val="Tahoma"/>
            <family val="2"/>
          </rPr>
          <t xml:space="preserve">O'Brien, Courtney (Research):
2.5.15
-20% in 1Q15
</t>
        </r>
        <r>
          <rPr>
            <sz val="9"/>
            <color indexed="81"/>
            <rFont val="Tahoma"/>
            <family val="2"/>
          </rPr>
          <t xml:space="preserve">
neg EPS growth in 1h, pos growth in 2H</t>
        </r>
      </text>
    </comment>
    <comment ref="CO98" authorId="6">
      <text>
        <r>
          <rPr>
            <b/>
            <sz val="9"/>
            <color indexed="81"/>
            <rFont val="Tahoma"/>
            <family val="2"/>
          </rPr>
          <t>O'Brien, Courtney (Research):
4.22.15
we're estimating EPS will lag prior year by about 20%
2.5.15</t>
        </r>
        <r>
          <rPr>
            <sz val="9"/>
            <color indexed="81"/>
            <rFont val="Tahoma"/>
            <family val="2"/>
          </rPr>
          <t xml:space="preserve">
neg EPS growth in 1h, pos growth in 2H</t>
        </r>
      </text>
    </comment>
    <comment ref="CP98" authorId="6">
      <text>
        <r>
          <rPr>
            <b/>
            <sz val="9"/>
            <color indexed="81"/>
            <rFont val="Tahoma"/>
            <family val="2"/>
          </rPr>
          <t xml:space="preserve">O'Brien, Courtney (Research):
10.15:
</t>
        </r>
        <r>
          <rPr>
            <sz val="9"/>
            <color indexed="81"/>
            <rFont val="Tahoma"/>
            <family val="2"/>
          </rPr>
          <t>f/x hurt EPS growth by 6% in the 3Q</t>
        </r>
        <r>
          <rPr>
            <b/>
            <sz val="9"/>
            <color indexed="81"/>
            <rFont val="Tahoma"/>
            <family val="2"/>
          </rPr>
          <t xml:space="preserve">
2.5.15
</t>
        </r>
        <r>
          <rPr>
            <sz val="9"/>
            <color indexed="81"/>
            <rFont val="Tahoma"/>
            <family val="2"/>
          </rPr>
          <t xml:space="preserve">
neg EPS growth in 1h, pos growth in 2H</t>
        </r>
      </text>
    </comment>
    <comment ref="CQ98" authorId="6">
      <text>
        <r>
          <rPr>
            <b/>
            <sz val="9"/>
            <color indexed="81"/>
            <rFont val="Tahoma"/>
            <family val="2"/>
          </rPr>
          <t>O'Brien, Courtney (Research):
2.5.15</t>
        </r>
        <r>
          <rPr>
            <sz val="9"/>
            <color indexed="81"/>
            <rFont val="Tahoma"/>
            <family val="2"/>
          </rPr>
          <t xml:space="preserve">
neg EPS growth in 1h, pos growth in 2H</t>
        </r>
      </text>
    </comment>
    <comment ref="CR98" authorId="0">
      <text>
        <r>
          <rPr>
            <b/>
            <sz val="8"/>
            <color indexed="81"/>
            <rFont val="Tahoma"/>
            <family val="2"/>
          </rPr>
          <t>2.5.15
reit +10% in FY15</t>
        </r>
        <r>
          <rPr>
            <sz val="8"/>
            <color indexed="81"/>
            <rFont val="Tahoma"/>
            <family val="2"/>
          </rPr>
          <t xml:space="preserve">
Long term model:
2.4.14:
Under this new model, we expect that KFC will grow operating profit by 10%, Pizza Hut by 8%, and Taco Bell by 6%. When we combine the growth of these three divisions with an expected 15% operating profit growth in China and 1 point of EPS growth
from financial strategies, we ladder up to at least 10% EPS growth for Yum! overall, with a fair amount of contingency.</t>
        </r>
      </text>
    </comment>
    <comment ref="CW98" authorId="0">
      <text>
        <r>
          <rPr>
            <b/>
            <sz val="8"/>
            <color indexed="81"/>
            <rFont val="Tahoma"/>
            <family val="2"/>
          </rPr>
          <t>12.9.14
includes extra week
towerj:</t>
        </r>
        <r>
          <rPr>
            <sz val="8"/>
            <color indexed="81"/>
            <rFont val="Tahoma"/>
            <family val="2"/>
          </rPr>
          <t xml:space="preserve">
4.25.06 reit LT EPS Growth of 10%</t>
        </r>
      </text>
    </comment>
    <comment ref="CY98" authorId="6">
      <text>
        <r>
          <rPr>
            <b/>
            <sz val="9"/>
            <color indexed="81"/>
            <rFont val="Tahoma"/>
            <family val="2"/>
          </rPr>
          <t>O'Brien, Courtney (Research):</t>
        </r>
        <r>
          <rPr>
            <sz val="9"/>
            <color indexed="81"/>
            <rFont val="Tahoma"/>
            <family val="2"/>
          </rPr>
          <t xml:space="preserve">
8.3.17
 21% EPS growth excluding special items, including a </t>
        </r>
      </text>
    </comment>
    <comment ref="DB98" authorId="0">
      <text>
        <r>
          <rPr>
            <b/>
            <sz val="8"/>
            <color indexed="81"/>
            <rFont val="Tahoma"/>
            <family val="2"/>
          </rPr>
          <t xml:space="preserve">2.10.16
~13% EPS growth LT; (LAPPING 53 wk yr = ~2%)
</t>
        </r>
      </text>
    </comment>
    <comment ref="DG98" authorId="0">
      <text>
        <r>
          <rPr>
            <b/>
            <sz val="8"/>
            <color indexed="81"/>
            <rFont val="Tahoma"/>
            <family val="2"/>
          </rPr>
          <t>2.10.16
~13% EPS growth LT</t>
        </r>
      </text>
    </comment>
    <comment ref="DL98" authorId="0">
      <text>
        <r>
          <rPr>
            <b/>
            <sz val="8"/>
            <color indexed="81"/>
            <rFont val="Tahoma"/>
            <family val="2"/>
          </rPr>
          <t>2.10.16
~13% EPS growth LT</t>
        </r>
      </text>
    </comment>
    <comment ref="DQ98" authorId="0">
      <text>
        <r>
          <rPr>
            <b/>
            <sz val="8"/>
            <color indexed="81"/>
            <rFont val="Tahoma"/>
            <family val="2"/>
          </rPr>
          <t>2.10.16
~13% EPS growth LT</t>
        </r>
      </text>
    </comment>
    <comment ref="DV98" authorId="0">
      <text>
        <r>
          <rPr>
            <b/>
            <sz val="8"/>
            <color indexed="81"/>
            <rFont val="Tahoma"/>
            <family val="2"/>
          </rPr>
          <t>2.10.16
~13% EPS growth LT</t>
        </r>
      </text>
    </comment>
    <comment ref="EA98" authorId="0">
      <text>
        <r>
          <rPr>
            <b/>
            <sz val="8"/>
            <color indexed="81"/>
            <rFont val="Tahoma"/>
            <family val="2"/>
          </rPr>
          <t>2.10.16
~13% EPS growth LT</t>
        </r>
      </text>
    </comment>
    <comment ref="AH103" authorId="7">
      <text>
        <r>
          <rPr>
            <sz val="8"/>
            <color indexed="81"/>
            <rFont val="Tahoma"/>
            <family val="2"/>
          </rPr>
          <t>7/15/03 3Q03 guidance of 3%</t>
        </r>
      </text>
    </comment>
    <comment ref="AJ103" authorId="7">
      <text>
        <r>
          <rPr>
            <sz val="8"/>
            <color indexed="81"/>
            <rFont val="Tahoma"/>
            <family val="2"/>
          </rPr>
          <t>4/24/03 guidance  - 2%</t>
        </r>
      </text>
    </comment>
    <comment ref="AY103" authorId="0">
      <text>
        <r>
          <rPr>
            <b/>
            <sz val="8"/>
            <color indexed="81"/>
            <rFont val="Tahoma"/>
            <family val="2"/>
          </rPr>
          <t>towerj:</t>
        </r>
        <r>
          <rPr>
            <sz val="8"/>
            <color indexed="81"/>
            <rFont val="Tahoma"/>
            <family val="2"/>
          </rPr>
          <t xml:space="preserve">
4.24.06 reit 2-3% 
7.19.06 +1%
10.11.06 flat</t>
        </r>
      </text>
    </comment>
    <comment ref="BA165" authorId="4">
      <text>
        <r>
          <rPr>
            <sz val="8"/>
            <color indexed="81"/>
            <rFont val="Tahoma"/>
            <family val="2"/>
          </rPr>
          <t>5.2.07 (conf call)
In terms of quarterly trends you should be aware of a few thoughts that we can provide. First, it is difficult to predict gains we
may incur from refranchising transactions in advance. However, I can tell you that in quarter two just ahead, based on the
number and the nature of the deals in the pipeline, we will not match last year's gain of $15 million in quarter two. In fact, it is
very likely we will only achieve a slight gain in quarter two. This will have a negative 5 to 6 percentage point impact to quarter
two EPS. This is purely a quarterly timing issue so let me be clear, don't get ahead of us on the second quarter.
Additionally in quarter two, there is an expense we incur at YRI every two years for our franchise convention. This will negatively
impact our growth rate at YRI for quarter two by about 4 points. Finally, in terms of the U.S., our expectation is that performance
will improve sometime in the second half with much more certainty during quarter four as Taco Bell lapps the produce supplier
issue late in the quarter, which includes a $20 million in lost profits and incremental costs related to that incident. We have solid
confidence that our plans in the U.S. will drive positive performance in quarter four. From a corporate perspective, at this time
we expect pretty steady share buy backs throughout the year. One final point, the tax rate could fluctuate fairly dramatically
quarter to quarter.</t>
        </r>
      </text>
    </comment>
    <comment ref="BI167" authorId="4">
      <text>
        <r>
          <rPr>
            <sz val="8"/>
            <color indexed="81"/>
            <rFont val="Tahoma"/>
            <family val="2"/>
          </rPr>
          <t>10.8.07
up to $4 bill in share repo through 2009</t>
        </r>
      </text>
    </comment>
    <comment ref="BN167" authorId="4">
      <text>
        <r>
          <rPr>
            <sz val="8"/>
            <color indexed="81"/>
            <rFont val="Tahoma"/>
            <family val="2"/>
          </rPr>
          <t>12.10.08
no share repo in '09
10.8.07
up to $4 bill in share repo through 2009</t>
        </r>
      </text>
    </comment>
    <comment ref="BT167" authorId="1">
      <text>
        <r>
          <rPr>
            <b/>
            <sz val="8"/>
            <color indexed="81"/>
            <rFont val="Tahoma"/>
            <family val="2"/>
          </rPr>
          <t xml:space="preserve">Jon Tower: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U167" authorId="1">
      <text>
        <r>
          <rPr>
            <b/>
            <sz val="8"/>
            <color indexed="81"/>
            <rFont val="Tahoma"/>
            <family val="2"/>
          </rPr>
          <t xml:space="preserve">Jon Tower: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V167" authorId="1">
      <text>
        <r>
          <rPr>
            <b/>
            <sz val="8"/>
            <color indexed="81"/>
            <rFont val="Tahoma"/>
            <family val="2"/>
          </rPr>
          <t xml:space="preserve">Jon Tower:
10.4.11
Share repurchases totaled $238 million for 4.6 million shares at an average price of $52 per share. Share repurchases totaled $545 million year-to-date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W167" authorId="1">
      <text>
        <r>
          <rPr>
            <b/>
            <sz val="8"/>
            <color indexed="81"/>
            <rFont val="Tahoma"/>
            <family val="2"/>
          </rPr>
          <t xml:space="preserve">Jon Tower: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BX167" authorId="1">
      <text>
        <r>
          <rPr>
            <b/>
            <sz val="8"/>
            <color indexed="81"/>
            <rFont val="Tahoma"/>
            <family val="2"/>
          </rPr>
          <t xml:space="preserve">Jon Tower:
10.5.11
at least $800 mn buybacks in both '11 &amp; '12 -- should add 2% to EPS growth in '12
1.27.11
</t>
        </r>
        <r>
          <rPr>
            <sz val="8"/>
            <color indexed="81"/>
            <rFont val="Tahoma"/>
            <family val="2"/>
          </rPr>
          <t xml:space="preserve">  Yum! Brands Inc. (NYSE: YUM) announced that its Board of Directors authorized the repurchase of up to an additional $750 million of the company's outstanding common stock over a period of up to 18 months. As of January 26, 2011, there was approximately $130 million remaining under the March 2010 share-repurchase authorization. 
  Repurchases of common stock may be made from time to time in the open market or privately negotiated transactions and will be subject to market conditions and other factors. 
  Yum! is committed to returning significant cash to shareholders through both share repurchases and dividends. In September 2010 Yum! increased its quarterly dividend 19% to an annual rate of $1.00 per share. This was the sixth consecutive annual increase since the quarterly dividend was initiated in 2004. </t>
        </r>
        <r>
          <rPr>
            <b/>
            <sz val="8"/>
            <color indexed="81"/>
            <rFont val="Tahoma"/>
            <family val="2"/>
          </rPr>
          <t xml:space="preserve">
</t>
        </r>
        <r>
          <rPr>
            <sz val="8"/>
            <color indexed="81"/>
            <rFont val="Tahoma"/>
            <family val="2"/>
          </rPr>
          <t xml:space="preserve">
12.3.10
Flat to slightly lower average diluted shares outstanding as a result of share repurchases 
</t>
        </r>
      </text>
    </comment>
    <comment ref="CA167" authorId="8">
      <text>
        <r>
          <rPr>
            <b/>
            <sz val="8"/>
            <color indexed="81"/>
            <rFont val="Tahoma"/>
            <family val="2"/>
          </rPr>
          <t>Sushama Dasari:</t>
        </r>
        <r>
          <rPr>
            <sz val="8"/>
            <color indexed="81"/>
            <rFont val="Tahoma"/>
            <family val="2"/>
          </rPr>
          <t xml:space="preserve">
In the third quarter, we repurchased 6.5 million shares for $414 million at an average price of $64. Year-to-date,
we repurchased 10.8 million shares for $702 million at an average price of $65.</t>
        </r>
      </text>
    </comment>
    <comment ref="CB167" authorId="8">
      <text>
        <r>
          <rPr>
            <b/>
            <sz val="8"/>
            <color indexed="81"/>
            <rFont val="Tahoma"/>
            <family val="2"/>
          </rPr>
          <t>Sushama Dasari:</t>
        </r>
        <r>
          <rPr>
            <sz val="8"/>
            <color indexed="81"/>
            <rFont val="Tahoma"/>
            <family val="2"/>
          </rPr>
          <t xml:space="preserve">
</t>
        </r>
        <r>
          <rPr>
            <b/>
            <sz val="8"/>
            <color indexed="81"/>
            <rFont val="Tahoma"/>
            <family val="2"/>
          </rPr>
          <t xml:space="preserve">11.16.12
</t>
        </r>
        <r>
          <rPr>
            <sz val="8"/>
            <color indexed="81"/>
            <rFont val="Tahoma"/>
            <family val="2"/>
          </rPr>
          <t>Year-to-date, the Company has repurchased $815 million of shares of common stock at an average price of $66.</t>
        </r>
      </text>
    </comment>
    <comment ref="CC167" authorId="1">
      <text>
        <r>
          <rPr>
            <b/>
            <sz val="8"/>
            <color indexed="81"/>
            <rFont val="Tahoma"/>
            <family val="2"/>
          </rPr>
          <t xml:space="preserve">Sushama Dasari:
10.10.12
</t>
        </r>
        <r>
          <rPr>
            <sz val="8"/>
            <color indexed="81"/>
            <rFont val="Tahoma"/>
            <family val="2"/>
          </rPr>
          <t>We continue to expect at least $800 million in repurchases for the
full year.</t>
        </r>
        <r>
          <rPr>
            <b/>
            <sz val="8"/>
            <color indexed="81"/>
            <rFont val="Tahoma"/>
            <family val="2"/>
          </rPr>
          <t xml:space="preserve">
2.7.12
expect to repo at least $800mn in '12</t>
        </r>
        <r>
          <rPr>
            <sz val="8"/>
            <color indexed="81"/>
            <rFont val="Tahoma"/>
            <family val="2"/>
          </rPr>
          <t xml:space="preserve">
10.5.11
at least $800 mn buybacks in both '11 &amp; '12 -- should add 2% to EPS growth in '12
</t>
        </r>
      </text>
    </comment>
    <comment ref="CD167" authorId="2">
      <text>
        <r>
          <rPr>
            <b/>
            <sz val="8"/>
            <color indexed="81"/>
            <rFont val="Tahoma"/>
            <family val="2"/>
          </rPr>
          <t>Jake Bartlett:</t>
        </r>
        <r>
          <rPr>
            <sz val="8"/>
            <color indexed="81"/>
            <rFont val="Tahoma"/>
            <family val="2"/>
          </rPr>
          <t xml:space="preserve">
10Q: Excludes $20mm from settlement of prior purchases.</t>
        </r>
      </text>
    </comment>
    <comment ref="CH167" authorId="8">
      <text>
        <r>
          <rPr>
            <b/>
            <sz val="8"/>
            <color indexed="81"/>
            <rFont val="Tahoma"/>
            <family val="2"/>
          </rPr>
          <t>Sushama Dasari:</t>
        </r>
        <r>
          <rPr>
            <sz val="8"/>
            <color indexed="81"/>
            <rFont val="Tahoma"/>
            <family val="2"/>
          </rPr>
          <t xml:space="preserve">
</t>
        </r>
        <r>
          <rPr>
            <b/>
            <sz val="8"/>
            <color indexed="81"/>
            <rFont val="Tahoma"/>
            <family val="2"/>
          </rPr>
          <t xml:space="preserve">11.16.12
</t>
        </r>
        <r>
          <rPr>
            <sz val="8"/>
            <color indexed="81"/>
            <rFont val="Tahoma"/>
            <family val="2"/>
          </rPr>
          <t>Yum! Brands Inc. Board of Directors authorized the Company to repurchase up to $1 billion in additional shares of common stock through May 31, 2014.</t>
        </r>
      </text>
    </comment>
    <comment ref="CB168" authorId="8">
      <text>
        <r>
          <rPr>
            <b/>
            <sz val="8"/>
            <color indexed="81"/>
            <rFont val="Tahoma"/>
            <family val="2"/>
          </rPr>
          <t>Sushama Dasari:</t>
        </r>
        <r>
          <rPr>
            <sz val="8"/>
            <color indexed="81"/>
            <rFont val="Tahoma"/>
            <family val="2"/>
          </rPr>
          <t xml:space="preserve">
</t>
        </r>
        <r>
          <rPr>
            <b/>
            <sz val="8"/>
            <color indexed="81"/>
            <rFont val="Tahoma"/>
            <family val="2"/>
          </rPr>
          <t xml:space="preserve">2.5.13
</t>
        </r>
        <r>
          <rPr>
            <sz val="8"/>
            <color indexed="81"/>
            <rFont val="Tahoma"/>
            <family val="2"/>
          </rPr>
          <t xml:space="preserve">In the quarter, we repurchased 4.1 million shares for $283 million at an average price of $69. </t>
        </r>
      </text>
    </comment>
    <comment ref="CC168" authorId="8">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For the year, we repurchased 14.9 million shares totaling $985 million at an average of $66.</t>
        </r>
      </text>
    </comment>
    <comment ref="CI168" authorId="2">
      <text>
        <r>
          <rPr>
            <b/>
            <sz val="8"/>
            <color indexed="81"/>
            <rFont val="Tahoma"/>
            <family val="2"/>
          </rPr>
          <t>1Q14 10Q:</t>
        </r>
        <r>
          <rPr>
            <sz val="8"/>
            <color indexed="81"/>
            <rFont val="Tahoma"/>
            <family val="2"/>
          </rPr>
          <t xml:space="preserve">
$829M currently authorized</t>
        </r>
        <r>
          <rPr>
            <b/>
            <sz val="8"/>
            <color indexed="81"/>
            <rFont val="Tahoma"/>
            <family val="2"/>
          </rPr>
          <t xml:space="preserve">
2013 10K:
</t>
        </r>
        <r>
          <rPr>
            <sz val="8"/>
            <color indexed="81"/>
            <rFont val="Tahoma"/>
            <family val="2"/>
          </rPr>
          <t>$953M currently authorized.</t>
        </r>
        <r>
          <rPr>
            <sz val="8"/>
            <color indexed="81"/>
            <rFont val="Tahoma"/>
            <family val="2"/>
          </rPr>
          <t xml:space="preserve">
</t>
        </r>
      </text>
    </comment>
    <comment ref="CB170" authorId="8">
      <text>
        <r>
          <rPr>
            <b/>
            <sz val="8"/>
            <color indexed="81"/>
            <rFont val="Tahoma"/>
            <family val="2"/>
          </rPr>
          <t>Sushama Dasari:</t>
        </r>
        <r>
          <rPr>
            <sz val="8"/>
            <color indexed="81"/>
            <rFont val="Tahoma"/>
            <family val="2"/>
          </rPr>
          <t xml:space="preserve">
</t>
        </r>
        <r>
          <rPr>
            <b/>
            <sz val="8"/>
            <color indexed="81"/>
            <rFont val="Tahoma"/>
            <family val="2"/>
          </rPr>
          <t xml:space="preserve">2.5.13
</t>
        </r>
        <r>
          <rPr>
            <sz val="8"/>
            <color indexed="81"/>
            <rFont val="Tahoma"/>
            <family val="2"/>
          </rPr>
          <t xml:space="preserve">In the quarter, we repurchased 4.1 million shares for $283 million at an average price of $69. </t>
        </r>
      </text>
    </comment>
    <comment ref="CC170" authorId="8">
      <text>
        <r>
          <rPr>
            <b/>
            <sz val="8"/>
            <color indexed="81"/>
            <rFont val="Tahoma"/>
            <family val="2"/>
          </rPr>
          <t>Sushama Dasari:</t>
        </r>
        <r>
          <rPr>
            <sz val="8"/>
            <color indexed="81"/>
            <rFont val="Tahoma"/>
            <family val="2"/>
          </rPr>
          <t xml:space="preserve">
</t>
        </r>
        <r>
          <rPr>
            <b/>
            <sz val="8"/>
            <color indexed="81"/>
            <rFont val="Tahoma"/>
            <family val="2"/>
          </rPr>
          <t xml:space="preserve">2.4.13
</t>
        </r>
        <r>
          <rPr>
            <sz val="8"/>
            <color indexed="81"/>
            <rFont val="Tahoma"/>
            <family val="2"/>
          </rPr>
          <t>For the year, we repurchased 14.9 million shares totaling $985 million at an average of $66.</t>
        </r>
      </text>
    </comment>
    <comment ref="CI174" authorId="2">
      <text>
        <r>
          <rPr>
            <b/>
            <sz val="8"/>
            <color indexed="81"/>
            <rFont val="Tahoma"/>
            <family val="2"/>
          </rPr>
          <t xml:space="preserve">10K:
</t>
        </r>
        <r>
          <rPr>
            <sz val="8"/>
            <color indexed="81"/>
            <rFont val="Tahoma"/>
            <family val="2"/>
          </rPr>
          <t>442,931,286 as of 2/11/14.</t>
        </r>
        <r>
          <rPr>
            <sz val="8"/>
            <color indexed="81"/>
            <rFont val="Tahoma"/>
            <family val="2"/>
          </rPr>
          <t xml:space="preserve">
</t>
        </r>
      </text>
    </comment>
    <comment ref="A182" authorId="17">
      <text>
        <r>
          <rPr>
            <sz val="8"/>
            <color indexed="81"/>
            <rFont val="Tahoma"/>
            <family val="2"/>
          </rPr>
          <t>Effective tax rate tagged  as statutory tax rate.  This rate is our ongoing assumption of the effective tax rate, not necessarily what is stated in 10-K.</t>
        </r>
      </text>
    </comment>
    <comment ref="CG186" authorId="2">
      <text>
        <r>
          <rPr>
            <b/>
            <sz val="8"/>
            <color indexed="81"/>
            <rFont val="Tahoma"/>
            <family val="2"/>
          </rPr>
          <t xml:space="preserve">2.3.14:
</t>
        </r>
        <r>
          <rPr>
            <sz val="8"/>
            <color indexed="81"/>
            <rFont val="Tahoma"/>
            <family val="2"/>
          </rPr>
          <t xml:space="preserve">Excludes $118M loss due to refinancing reported in interest expense line </t>
        </r>
        <r>
          <rPr>
            <sz val="8"/>
            <color indexed="81"/>
            <rFont val="Tahoma"/>
            <family val="2"/>
          </rPr>
          <t xml:space="preserve">
</t>
        </r>
      </text>
    </comment>
    <comment ref="BO192" authorId="1">
      <text>
        <r>
          <rPr>
            <b/>
            <sz val="8"/>
            <color indexed="81"/>
            <rFont val="Tahoma"/>
            <family val="2"/>
          </rPr>
          <t>Jon Tower:</t>
        </r>
        <r>
          <rPr>
            <sz val="8"/>
            <color indexed="81"/>
            <rFont val="Tahoma"/>
            <family val="2"/>
          </rPr>
          <t xml:space="preserve">
3.12.10
today declared a dividend of $0.21 per share of common stock</t>
        </r>
      </text>
    </comment>
    <comment ref="BP192" authorId="1">
      <text>
        <r>
          <rPr>
            <b/>
            <sz val="8"/>
            <color indexed="81"/>
            <rFont val="Tahoma"/>
            <family val="2"/>
          </rPr>
          <t>Jon Tower:</t>
        </r>
        <r>
          <rPr>
            <sz val="8"/>
            <color indexed="81"/>
            <rFont val="Tahoma"/>
            <family val="2"/>
          </rPr>
          <t xml:space="preserve">
5.20.10
Yum! Brands Inc. (NYSE: YUM) Board of Directors today declared a dividend of
$0.21 per share of common stock. The quarterly dividend will be distributed
August 6, 2010, to shareholders of record at the close of business on July 16.
Yum! is committed to returning significant cash to shareholders through
dividends and share repurchases. Since inception in 2004, Yum! has more than
quadrupled the quarterly dividend. 
</t>
        </r>
      </text>
    </comment>
    <comment ref="BS192" authorId="1">
      <text>
        <r>
          <rPr>
            <b/>
            <sz val="8"/>
            <color indexed="81"/>
            <rFont val="Tahoma"/>
            <family val="2"/>
          </rPr>
          <t>Jon Tower:</t>
        </r>
        <r>
          <rPr>
            <sz val="8"/>
            <color indexed="81"/>
            <rFont val="Tahoma"/>
            <family val="2"/>
          </rPr>
          <t xml:space="preserve">
</t>
        </r>
      </text>
    </comment>
    <comment ref="BQ194" authorId="1">
      <text>
        <r>
          <rPr>
            <b/>
            <sz val="8"/>
            <color indexed="81"/>
            <rFont val="Tahoma"/>
            <family val="2"/>
          </rPr>
          <t xml:space="preserve">Jon Tower:
10.5.10
</t>
        </r>
        <r>
          <rPr>
            <sz val="8"/>
            <color indexed="81"/>
            <rFont val="Tahoma"/>
            <family val="2"/>
          </rPr>
          <t xml:space="preserve">
Announced a 19% increase in the Company's quarterly dividend. The quarterly cash dividend will increase from $0.21 to $0.25 per share. </t>
        </r>
      </text>
    </comment>
    <comment ref="BR194" authorId="1">
      <text>
        <r>
          <rPr>
            <b/>
            <sz val="8"/>
            <color indexed="81"/>
            <rFont val="Tahoma"/>
            <family val="2"/>
          </rPr>
          <t xml:space="preserve">Jon Tower:
10.5.10
</t>
        </r>
        <r>
          <rPr>
            <sz val="8"/>
            <color indexed="81"/>
            <rFont val="Tahoma"/>
            <family val="2"/>
          </rPr>
          <t xml:space="preserve">
Announced a 19% increase in the Company's quarterly dividend. The quarterly cash dividend will increase from $0.21 to $0.25 per share. </t>
        </r>
      </text>
    </comment>
    <comment ref="BT194" authorId="1">
      <text>
        <r>
          <rPr>
            <b/>
            <sz val="8"/>
            <color indexed="81"/>
            <rFont val="Tahoma"/>
            <family val="2"/>
          </rPr>
          <t xml:space="preserve">Jon Tower:
10.5.10
</t>
        </r>
        <r>
          <rPr>
            <sz val="8"/>
            <color indexed="81"/>
            <rFont val="Tahoma"/>
            <family val="2"/>
          </rPr>
          <t xml:space="preserve">
Announced a 19% increase in the Company's quarterly dividend. The quarterly cash dividend will increase from $0.21 to $0.25 per share. </t>
        </r>
      </text>
    </comment>
    <comment ref="BU194" authorId="1">
      <text>
        <r>
          <rPr>
            <b/>
            <sz val="8"/>
            <color indexed="81"/>
            <rFont val="Tahoma"/>
            <family val="2"/>
          </rPr>
          <t xml:space="preserve">Jon Tower:
10.5.10
</t>
        </r>
        <r>
          <rPr>
            <sz val="8"/>
            <color indexed="81"/>
            <rFont val="Tahoma"/>
            <family val="2"/>
          </rPr>
          <t xml:space="preserve">
Announced a 19% increase in the Company's quarterly dividend. The quarterly cash dividend will increase from $0.21 to $0.25 per share. </t>
        </r>
      </text>
    </comment>
    <comment ref="CA194" authorId="8">
      <text>
        <r>
          <rPr>
            <b/>
            <sz val="8"/>
            <color indexed="81"/>
            <rFont val="Tahoma"/>
            <family val="2"/>
          </rPr>
          <t>Sushama Dasari:</t>
        </r>
        <r>
          <rPr>
            <sz val="8"/>
            <color indexed="81"/>
            <rFont val="Tahoma"/>
            <family val="2"/>
          </rPr>
          <t xml:space="preserve">
</t>
        </r>
        <r>
          <rPr>
            <b/>
            <sz val="8"/>
            <color indexed="81"/>
            <rFont val="Tahoma"/>
            <family val="2"/>
          </rPr>
          <t xml:space="preserve">10.9.12
</t>
        </r>
        <r>
          <rPr>
            <sz val="8"/>
            <color indexed="81"/>
            <rFont val="Tahoma"/>
            <family val="2"/>
          </rPr>
          <t>Announced an 18% increase in  quarterly dividend. The quarterly cash dividend will increase from $0.285 to $0.335 per share</t>
        </r>
      </text>
    </comment>
    <comment ref="CB194" authorId="8">
      <text>
        <r>
          <rPr>
            <b/>
            <sz val="8"/>
            <color indexed="81"/>
            <rFont val="Tahoma"/>
            <family val="2"/>
          </rPr>
          <t>Sushama Dasari:</t>
        </r>
        <r>
          <rPr>
            <sz val="8"/>
            <color indexed="81"/>
            <rFont val="Tahoma"/>
            <family val="2"/>
          </rPr>
          <t xml:space="preserve">
</t>
        </r>
        <r>
          <rPr>
            <b/>
            <sz val="8"/>
            <color indexed="81"/>
            <rFont val="Tahoma"/>
            <family val="2"/>
          </rPr>
          <t xml:space="preserve">11.16.12
</t>
        </r>
        <r>
          <rPr>
            <sz val="8"/>
            <color indexed="81"/>
            <rFont val="Tahoma"/>
            <family val="2"/>
          </rPr>
          <t>Yum! Brands Inc. Board of Directors  declared a dividend of $0.335 per share of common stock. The quarterly dividend will be distributed February 1, 2013, to shareholders of record at the close of business on January 11, 2013.</t>
        </r>
      </text>
    </comment>
    <comment ref="CD194" authorId="8">
      <text>
        <r>
          <rPr>
            <b/>
            <sz val="8"/>
            <color indexed="81"/>
            <rFont val="Tahoma"/>
            <family val="2"/>
          </rPr>
          <t>Sushama Dasari:</t>
        </r>
        <r>
          <rPr>
            <sz val="8"/>
            <color indexed="81"/>
            <rFont val="Tahoma"/>
            <family val="2"/>
          </rPr>
          <t xml:space="preserve">
</t>
        </r>
        <r>
          <rPr>
            <b/>
            <sz val="8"/>
            <color indexed="81"/>
            <rFont val="Tahoma"/>
            <family val="2"/>
          </rPr>
          <t xml:space="preserve">3.22.13
</t>
        </r>
        <r>
          <rPr>
            <sz val="8"/>
            <color indexed="81"/>
            <rFont val="Tahoma"/>
            <family val="2"/>
          </rPr>
          <t>Yum! Brands Inc. Board of Directors today declared a dividend of
$0.335 per share of common stock. The quarterly dividend will be distributed May
3, 2013, to shareholders of record at the close of business on April 12, 2013.</t>
        </r>
      </text>
    </comment>
    <comment ref="CL194" authorId="6">
      <text>
        <r>
          <rPr>
            <b/>
            <sz val="9"/>
            <color indexed="81"/>
            <rFont val="Tahoma"/>
            <family val="2"/>
          </rPr>
          <t>O'Brien, Courtney (Research):</t>
        </r>
        <r>
          <rPr>
            <sz val="9"/>
            <color indexed="81"/>
            <rFont val="Tahoma"/>
            <family val="2"/>
          </rPr>
          <t xml:space="preserve">
9.10.14
YUM raises div to 41c/ share</t>
        </r>
      </text>
    </comment>
    <comment ref="BS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BT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BU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BV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BW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BX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BY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BZ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A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B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C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D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E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F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G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H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I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J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K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L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M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N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O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P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Q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R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S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T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U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V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W197" authorId="1">
      <text>
        <r>
          <rPr>
            <b/>
            <sz val="8"/>
            <color indexed="81"/>
            <rFont val="Tahoma"/>
            <family val="2"/>
          </rPr>
          <t>12.15.16
payout ratio of 45-50% targeted at YP
Jon Tower:</t>
        </r>
        <r>
          <rPr>
            <sz val="8"/>
            <color indexed="81"/>
            <rFont val="Tahoma"/>
            <family val="2"/>
          </rPr>
          <t xml:space="preserve">
3.12.10
Over time, Yum! targets a payout ratio of 35% to 40% of annual net income</t>
        </r>
      </text>
    </comment>
    <comment ref="CX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Y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CZ197" authorId="1">
      <text>
        <r>
          <rPr>
            <b/>
            <sz val="8"/>
            <color indexed="81"/>
            <rFont val="Tahoma"/>
            <family val="2"/>
          </rPr>
          <t>Jon Tower:</t>
        </r>
        <r>
          <rPr>
            <sz val="8"/>
            <color indexed="81"/>
            <rFont val="Tahoma"/>
            <family val="2"/>
          </rPr>
          <t xml:space="preserve">
3.12.10
Over time, Yum! targets a payout ratio of 35% to 40% of annual net income</t>
        </r>
      </text>
    </comment>
    <comment ref="DA197" authorId="1">
      <text>
        <r>
          <rPr>
            <b/>
            <sz val="8"/>
            <color indexed="81"/>
            <rFont val="Tahoma"/>
            <family val="2"/>
          </rPr>
          <t>Jon Tower:</t>
        </r>
        <r>
          <rPr>
            <sz val="8"/>
            <color indexed="81"/>
            <rFont val="Tahoma"/>
            <family val="2"/>
          </rPr>
          <t xml:space="preserve">
3.12.10
Over time, Yum! targets a payout ratio of 35% to 40% of annual net income</t>
        </r>
      </text>
    </comment>
  </commentList>
</comments>
</file>

<file path=xl/comments3.xml><?xml version="1.0" encoding="utf-8"?>
<comments xmlns="http://schemas.openxmlformats.org/spreadsheetml/2006/main">
  <authors>
    <author>farmerje</author>
    <author>Justin Morel - CIBC World Markets</author>
    <author>Jon Tower</author>
    <author>towerj</author>
    <author>CIBC</author>
    <author>John Glass</author>
    <author>O'Brien, Courtney (Research)</author>
    <author>Glass, John (Research)</author>
    <author>Scott, Brian (Research)</author>
  </authors>
  <commentList>
    <comment ref="A22" authorId="0">
      <text>
        <r>
          <rPr>
            <sz val="8"/>
            <color indexed="81"/>
            <rFont val="Tahoma"/>
            <family val="2"/>
          </rPr>
          <t>goodwill broken out from intagible assets in 1Q02</t>
        </r>
      </text>
    </comment>
    <comment ref="A23" authorId="1">
      <text>
        <r>
          <rPr>
            <sz val="8"/>
            <color indexed="81"/>
            <rFont val="Tahoma"/>
            <family val="2"/>
          </rPr>
          <t>= intangible assets, net + Goodwill</t>
        </r>
      </text>
    </comment>
    <comment ref="BZ26" authorId="2">
      <text>
        <r>
          <rPr>
            <b/>
            <sz val="8"/>
            <color indexed="81"/>
            <rFont val="Tahoma"/>
            <family val="2"/>
          </rPr>
          <t>Jon Tower:</t>
        </r>
        <r>
          <rPr>
            <sz val="8"/>
            <color indexed="81"/>
            <rFont val="Tahoma"/>
            <family val="2"/>
          </rPr>
          <t xml:space="preserve">
2.6.12
</t>
        </r>
        <r>
          <rPr>
            <b/>
            <sz val="8"/>
            <color indexed="81"/>
            <rFont val="Tahoma"/>
            <family val="2"/>
          </rPr>
          <t>Subsequent to year end on February 1, 2012, we completed our acquisition of an additional 66% of Little Sheep Group Limited ("Little Sheep") for $584 million</t>
        </r>
        <r>
          <rPr>
            <sz val="8"/>
            <color indexed="81"/>
            <rFont val="Tahoma"/>
            <family val="2"/>
          </rPr>
          <t>. We owned 27% of the outstanding shares as of December 31, 2011, and had $300 million in an escrow account to demonstrate availability of funds to acquire additional shares in this business. The funds placed in escrow were restricted to the acquisition of Little Sheep and are included in Restricted cash in our Consolidated Balance Sheet as of December 31, 2011.</t>
        </r>
      </text>
    </comment>
    <comment ref="BE31" authorId="2">
      <text>
        <r>
          <rPr>
            <b/>
            <sz val="8"/>
            <color indexed="81"/>
            <rFont val="Tahoma"/>
            <family val="2"/>
          </rPr>
          <t>Jon Tower:</t>
        </r>
        <r>
          <rPr>
            <sz val="8"/>
            <color indexed="81"/>
            <rFont val="Tahoma"/>
            <family val="2"/>
          </rPr>
          <t xml:space="preserve">
2.4.08
In December 2007, we sold our interest in our unconsolidated affiliate in Japan for $128 million (includes the impact of related foreign
currency contracts that were settled in December 2007). The international subsidiary that owned this interest operates on a fiscal calendar
with a period end that is approximately one month earlier than our consolidated period close. Thus, the pre-tax gain on the sale of this
investment of approximately $87 will be recorded in the first quarter of 2008. However, the cash proceeds from this transaction were
transferred from our international subsidiary to the U.S. in December 2007 and are thus reported on our Consolidated Statement of Cash
Flows for the year ended December 29, 2007. The offset to this cash on our Consolidated Balance Sheet at December 29, 2007 is in
accounts payable and other current liabilities.</t>
        </r>
      </text>
    </comment>
    <comment ref="BA35" authorId="3">
      <text>
        <r>
          <rPr>
            <b/>
            <sz val="9"/>
            <color indexed="81"/>
            <rFont val="Tahoma"/>
            <family val="2"/>
          </rPr>
          <t>towerj:</t>
        </r>
        <r>
          <rPr>
            <sz val="9"/>
            <color indexed="81"/>
            <rFont val="Tahoma"/>
            <family val="2"/>
          </rPr>
          <t xml:space="preserve">
12.5.06  end year with about $2.3 billion in total debt</t>
        </r>
      </text>
    </comment>
    <comment ref="BF35" authorId="3">
      <text>
        <r>
          <rPr>
            <b/>
            <sz val="9"/>
            <color indexed="81"/>
            <rFont val="Tahoma"/>
            <family val="2"/>
          </rPr>
          <t>towerj:</t>
        </r>
        <r>
          <rPr>
            <sz val="9"/>
            <color indexed="81"/>
            <rFont val="Tahoma"/>
            <family val="2"/>
          </rPr>
          <t xml:space="preserve">
12.5.06 end year with about $2.1 billion in total debt</t>
        </r>
      </text>
    </comment>
    <comment ref="BA38" authorId="3">
      <text>
        <r>
          <rPr>
            <b/>
            <sz val="9"/>
            <color indexed="81"/>
            <rFont val="Tahoma"/>
            <family val="2"/>
          </rPr>
          <t>towerj:</t>
        </r>
        <r>
          <rPr>
            <sz val="9"/>
            <color indexed="81"/>
            <rFont val="Tahoma"/>
            <family val="2"/>
          </rPr>
          <t xml:space="preserve">
12.5.06 end year with about $2.3 billion in total debt</t>
        </r>
      </text>
    </comment>
    <comment ref="BE38" authorId="4">
      <text>
        <r>
          <rPr>
            <sz val="8"/>
            <color indexed="81"/>
            <rFont val="Tahoma"/>
            <family val="2"/>
          </rPr>
          <t xml:space="preserve">10.16.07
took on $1.2B of debt
$600 @ 6.25%
$600 @ 6.875%
</t>
        </r>
      </text>
    </comment>
    <comment ref="BF38" authorId="3">
      <text>
        <r>
          <rPr>
            <b/>
            <sz val="9"/>
            <color indexed="81"/>
            <rFont val="Tahoma"/>
            <family val="2"/>
          </rPr>
          <t>towerj:</t>
        </r>
        <r>
          <rPr>
            <sz val="9"/>
            <color indexed="81"/>
            <rFont val="Tahoma"/>
            <family val="2"/>
          </rPr>
          <t xml:space="preserve">
12.5.06 end year with about $2.1 billion in total debt</t>
        </r>
      </text>
    </comment>
    <comment ref="BP38" authorId="5">
      <text>
        <r>
          <rPr>
            <b/>
            <sz val="8"/>
            <color indexed="81"/>
            <rFont val="Tahoma"/>
            <family val="2"/>
          </rPr>
          <t>John Glass:</t>
        </r>
        <r>
          <rPr>
            <sz val="8"/>
            <color indexed="81"/>
            <rFont val="Tahoma"/>
            <family val="2"/>
          </rPr>
          <t xml:space="preserve">
12.07: $4 B by 09</t>
        </r>
      </text>
    </comment>
    <comment ref="CY68" authorId="6">
      <text>
        <r>
          <rPr>
            <b/>
            <sz val="9"/>
            <color indexed="81"/>
            <rFont val="Tahoma"/>
            <family val="2"/>
          </rPr>
          <t>O'Brien, Courtney (Research):</t>
        </r>
        <r>
          <rPr>
            <sz val="9"/>
            <color indexed="81"/>
            <rFont val="Tahoma"/>
            <family val="2"/>
          </rPr>
          <t xml:space="preserve">
12.15
targeting 5x
</t>
        </r>
      </text>
    </comment>
    <comment ref="CO69" authorId="7">
      <text>
        <r>
          <rPr>
            <b/>
            <sz val="9"/>
            <color indexed="81"/>
            <rFont val="Tahoma"/>
            <family val="2"/>
          </rPr>
          <t>Glass, John (Research):</t>
        </r>
        <r>
          <rPr>
            <sz val="9"/>
            <color indexed="81"/>
            <rFont val="Tahoma"/>
            <family val="2"/>
          </rPr>
          <t xml:space="preserve">
equates ot 3.4x adj debt/ebitdar (moody's def)</t>
        </r>
      </text>
    </comment>
    <comment ref="CT69" authorId="6">
      <text>
        <r>
          <rPr>
            <b/>
            <sz val="9"/>
            <color indexed="81"/>
            <rFont val="Tahoma"/>
            <family val="2"/>
          </rPr>
          <t>O'Brien, Courtney (Research):</t>
        </r>
        <r>
          <rPr>
            <sz val="9"/>
            <color indexed="81"/>
            <rFont val="Tahoma"/>
            <family val="2"/>
          </rPr>
          <t xml:space="preserve">
12.10.16
targeting 5X, interest coverage = 4.1x
</t>
        </r>
      </text>
    </comment>
    <comment ref="CY69" authorId="6">
      <text>
        <r>
          <rPr>
            <b/>
            <sz val="9"/>
            <color indexed="81"/>
            <rFont val="Tahoma"/>
            <family val="2"/>
          </rPr>
          <t>O'Brien, Courtney (Research):</t>
        </r>
        <r>
          <rPr>
            <sz val="9"/>
            <color indexed="81"/>
            <rFont val="Tahoma"/>
            <family val="2"/>
          </rPr>
          <t xml:space="preserve">
12.10.16
targeting 5X, interest coverage = 4.1x
</t>
        </r>
      </text>
    </comment>
    <comment ref="DD69" authorId="6">
      <text>
        <r>
          <rPr>
            <b/>
            <sz val="9"/>
            <color indexed="81"/>
            <rFont val="Tahoma"/>
            <family val="2"/>
          </rPr>
          <t>O'Brien, Courtney (Research):</t>
        </r>
        <r>
          <rPr>
            <sz val="9"/>
            <color indexed="81"/>
            <rFont val="Tahoma"/>
            <family val="2"/>
          </rPr>
          <t xml:space="preserve">
12.10.16
targeting 5X, interest coverage = 4.1x
</t>
        </r>
      </text>
    </comment>
    <comment ref="DI69" authorId="6">
      <text>
        <r>
          <rPr>
            <b/>
            <sz val="9"/>
            <color indexed="81"/>
            <rFont val="Tahoma"/>
            <family val="2"/>
          </rPr>
          <t>O'Brien, Courtney (Research):</t>
        </r>
        <r>
          <rPr>
            <sz val="9"/>
            <color indexed="81"/>
            <rFont val="Tahoma"/>
            <family val="2"/>
          </rPr>
          <t xml:space="preserve">
12.10.16
targeting 5X, interest coverage = 4.1x
</t>
        </r>
      </text>
    </comment>
    <comment ref="DN69" authorId="6">
      <text>
        <r>
          <rPr>
            <b/>
            <sz val="9"/>
            <color indexed="81"/>
            <rFont val="Tahoma"/>
            <family val="2"/>
          </rPr>
          <t>O'Brien, Courtney (Research):</t>
        </r>
        <r>
          <rPr>
            <sz val="9"/>
            <color indexed="81"/>
            <rFont val="Tahoma"/>
            <family val="2"/>
          </rPr>
          <t xml:space="preserve">
12.10.16
targeting 5X, interest coverage = 4.1x
</t>
        </r>
      </text>
    </comment>
    <comment ref="DS69" authorId="6">
      <text>
        <r>
          <rPr>
            <b/>
            <sz val="9"/>
            <color indexed="81"/>
            <rFont val="Tahoma"/>
            <family val="2"/>
          </rPr>
          <t>O'Brien, Courtney (Research):</t>
        </r>
        <r>
          <rPr>
            <sz val="9"/>
            <color indexed="81"/>
            <rFont val="Tahoma"/>
            <family val="2"/>
          </rPr>
          <t xml:space="preserve">
12.10.16
targeting 5X, interest coverage = 4.1x
</t>
        </r>
      </text>
    </comment>
    <comment ref="DX69" authorId="6">
      <text>
        <r>
          <rPr>
            <b/>
            <sz val="9"/>
            <color indexed="81"/>
            <rFont val="Tahoma"/>
            <family val="2"/>
          </rPr>
          <t>O'Brien, Courtney (Research):</t>
        </r>
        <r>
          <rPr>
            <sz val="9"/>
            <color indexed="81"/>
            <rFont val="Tahoma"/>
            <family val="2"/>
          </rPr>
          <t xml:space="preserve">
12.10.16
targeting 5X, interest coverage = 4.1x
</t>
        </r>
      </text>
    </comment>
    <comment ref="EC69" authorId="6">
      <text>
        <r>
          <rPr>
            <b/>
            <sz val="9"/>
            <color indexed="81"/>
            <rFont val="Tahoma"/>
            <family val="2"/>
          </rPr>
          <t>O'Brien, Courtney (Research):</t>
        </r>
        <r>
          <rPr>
            <sz val="9"/>
            <color indexed="81"/>
            <rFont val="Tahoma"/>
            <family val="2"/>
          </rPr>
          <t xml:space="preserve">
12.10.16
targeting 5X, interest coverage = 4.1x
</t>
        </r>
      </text>
    </comment>
    <comment ref="CY70" authorId="6">
      <text>
        <r>
          <rPr>
            <b/>
            <sz val="9"/>
            <color indexed="81"/>
            <rFont val="Tahoma"/>
            <family val="2"/>
          </rPr>
          <t>12.15</t>
        </r>
        <r>
          <rPr>
            <sz val="9"/>
            <color indexed="81"/>
            <rFont val="Tahoma"/>
            <family val="2"/>
          </rPr>
          <t xml:space="preserve">
targeting 4.1x covered; this is higher bc it is a TTM #
</t>
        </r>
      </text>
    </comment>
    <comment ref="DD70" authorId="6">
      <text>
        <r>
          <rPr>
            <b/>
            <sz val="9"/>
            <color indexed="81"/>
            <rFont val="Tahoma"/>
            <family val="2"/>
          </rPr>
          <t>12.15</t>
        </r>
        <r>
          <rPr>
            <sz val="9"/>
            <color indexed="81"/>
            <rFont val="Tahoma"/>
            <family val="2"/>
          </rPr>
          <t xml:space="preserve">
targeting 4.1x covered
</t>
        </r>
      </text>
    </comment>
    <comment ref="DI70" authorId="6">
      <text>
        <r>
          <rPr>
            <b/>
            <sz val="9"/>
            <color indexed="81"/>
            <rFont val="Tahoma"/>
            <family val="2"/>
          </rPr>
          <t>12.15</t>
        </r>
        <r>
          <rPr>
            <sz val="9"/>
            <color indexed="81"/>
            <rFont val="Tahoma"/>
            <family val="2"/>
          </rPr>
          <t xml:space="preserve">
targeting 4.1x covered
</t>
        </r>
      </text>
    </comment>
    <comment ref="A169"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72"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75"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78"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81"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84"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87"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90"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93"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96"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199"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202"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205" authorId="2">
      <text>
        <r>
          <rPr>
            <b/>
            <sz val="8"/>
            <color indexed="81"/>
            <rFont val="Tahoma"/>
            <family val="2"/>
          </rPr>
          <t>Jon Tower:</t>
        </r>
        <r>
          <rPr>
            <sz val="8"/>
            <color indexed="81"/>
            <rFont val="Tahoma"/>
            <family val="2"/>
          </rPr>
          <t xml:space="preserve">
includes the effects of the amortization of any premium or discount, debt issuance costs and gain/loss on settlement of related treasury locks &amp; forward starting interest rate swaps utilized to hedge the interest rate risk prior to debt issuance</t>
        </r>
      </text>
    </comment>
    <comment ref="A235" authorId="6">
      <text>
        <r>
          <rPr>
            <b/>
            <sz val="9"/>
            <color indexed="81"/>
            <rFont val="Tahoma"/>
            <family val="2"/>
          </rPr>
          <t>O'Brien, Courtney (Research):</t>
        </r>
        <r>
          <rPr>
            <sz val="9"/>
            <color indexed="81"/>
            <rFont val="Tahoma"/>
            <family val="2"/>
          </rPr>
          <t xml:space="preserve">
anticipated repayment in May 2020</t>
        </r>
      </text>
    </comment>
    <comment ref="A236" authorId="6">
      <text>
        <r>
          <rPr>
            <b/>
            <sz val="9"/>
            <color indexed="81"/>
            <rFont val="Tahoma"/>
            <family val="2"/>
          </rPr>
          <t>O'Brien, Courtney (Research):</t>
        </r>
        <r>
          <rPr>
            <sz val="9"/>
            <color indexed="81"/>
            <rFont val="Tahoma"/>
            <family val="2"/>
          </rPr>
          <t xml:space="preserve">
anticipated repayment may 2023
</t>
        </r>
      </text>
    </comment>
    <comment ref="A237" authorId="6">
      <text>
        <r>
          <rPr>
            <b/>
            <sz val="9"/>
            <color indexed="81"/>
            <rFont val="Tahoma"/>
            <family val="2"/>
          </rPr>
          <t>O'Brien, Courtney (Research):</t>
        </r>
        <r>
          <rPr>
            <sz val="9"/>
            <color indexed="81"/>
            <rFont val="Tahoma"/>
            <family val="2"/>
          </rPr>
          <t xml:space="preserve">
anticipated repayment may 2026
</t>
        </r>
      </text>
    </comment>
    <comment ref="DA237" authorId="8">
      <text>
        <r>
          <rPr>
            <b/>
            <sz val="9"/>
            <color indexed="81"/>
            <rFont val="Tahoma"/>
            <family val="2"/>
          </rPr>
          <t>Scott, Brian (Research):</t>
        </r>
        <r>
          <rPr>
            <sz val="9"/>
            <color indexed="81"/>
            <rFont val="Tahoma"/>
            <family val="2"/>
          </rPr>
          <t xml:space="preserve">
Assume 1,000 -&gt; 982 to get securitization notes down to 2282</t>
        </r>
      </text>
    </comment>
    <comment ref="A238" authorId="6">
      <text>
        <r>
          <rPr>
            <b/>
            <sz val="9"/>
            <color indexed="81"/>
            <rFont val="Tahoma"/>
            <family val="2"/>
          </rPr>
          <t>O'Brien, Courtney (Research):</t>
        </r>
        <r>
          <rPr>
            <sz val="9"/>
            <color indexed="81"/>
            <rFont val="Tahoma"/>
            <family val="2"/>
          </rPr>
          <t xml:space="preserve">
Redeemable prior to June 1st 2019 for 100% plus premiume; post June 1st: 
2019 - 103.75%
2020 - 102.5%
2021 - 101.25%
2022 - 100%</t>
        </r>
      </text>
    </comment>
    <comment ref="A239" authorId="6">
      <text>
        <r>
          <rPr>
            <b/>
            <sz val="9"/>
            <color indexed="81"/>
            <rFont val="Tahoma"/>
            <family val="2"/>
          </rPr>
          <t>O'Brien, Courtney (Research):</t>
        </r>
        <r>
          <rPr>
            <sz val="9"/>
            <color indexed="81"/>
            <rFont val="Tahoma"/>
            <family val="2"/>
          </rPr>
          <t xml:space="preserve">
reedeemable pre June 2021 
2021: 102.625%
2022: 101.75%
2023: 100.875%
2024: 100%</t>
        </r>
      </text>
    </comment>
    <comment ref="A240" authorId="6">
      <text>
        <r>
          <rPr>
            <b/>
            <sz val="9"/>
            <color indexed="81"/>
            <rFont val="Tahoma"/>
            <family val="2"/>
          </rPr>
          <t>O'Brien, Courtney (Research):</t>
        </r>
        <r>
          <rPr>
            <sz val="9"/>
            <color indexed="81"/>
            <rFont val="Tahoma"/>
            <family val="2"/>
          </rPr>
          <t xml:space="preserve">
6.16.16
quarterly amortization of 5% principal in yrs 2&amp;3, 7.5% in year 4, 15% in year 5; matures in year 5; require 5x leverage or less</t>
        </r>
      </text>
    </comment>
    <comment ref="A241" authorId="6">
      <text>
        <r>
          <rPr>
            <b/>
            <sz val="9"/>
            <color indexed="81"/>
            <rFont val="Tahoma"/>
            <family val="2"/>
          </rPr>
          <t>O'Brien, Courtney (Research):</t>
        </r>
        <r>
          <rPr>
            <sz val="9"/>
            <color indexed="81"/>
            <rFont val="Tahoma"/>
            <family val="2"/>
          </rPr>
          <t xml:space="preserve">
-amortizes at 1% quarterly, matures at 7 yrs from closing; rquire 5x leverage or less</t>
        </r>
      </text>
    </comment>
    <comment ref="A242" authorId="6">
      <text>
        <r>
          <rPr>
            <b/>
            <sz val="9"/>
            <color indexed="81"/>
            <rFont val="Tahoma"/>
            <family val="2"/>
          </rPr>
          <t>O'Brien, Courtney (Research):</t>
        </r>
        <r>
          <rPr>
            <sz val="9"/>
            <color indexed="81"/>
            <rFont val="Tahoma"/>
            <family val="2"/>
          </rPr>
          <t xml:space="preserve">
reedeemable pre June 2021 
2021: 102.625%
2022: 101.75%
2023: 100.875%
2024: 100%</t>
        </r>
      </text>
    </comment>
    <comment ref="A260" authorId="6">
      <text>
        <r>
          <rPr>
            <b/>
            <sz val="9"/>
            <color indexed="81"/>
            <rFont val="Tahoma"/>
            <family val="2"/>
          </rPr>
          <t>O'Brien, Courtney (Research):</t>
        </r>
        <r>
          <rPr>
            <sz val="9"/>
            <color indexed="81"/>
            <rFont val="Tahoma"/>
            <family val="2"/>
          </rPr>
          <t xml:space="preserve">
anticipated repayment in May 2020</t>
        </r>
      </text>
    </comment>
    <comment ref="A261" authorId="6">
      <text>
        <r>
          <rPr>
            <b/>
            <sz val="9"/>
            <color indexed="81"/>
            <rFont val="Tahoma"/>
            <family val="2"/>
          </rPr>
          <t>O'Brien, Courtney (Research):</t>
        </r>
        <r>
          <rPr>
            <sz val="9"/>
            <color indexed="81"/>
            <rFont val="Tahoma"/>
            <family val="2"/>
          </rPr>
          <t xml:space="preserve">
anticipated repayment may 2023
</t>
        </r>
      </text>
    </comment>
    <comment ref="A262" authorId="6">
      <text>
        <r>
          <rPr>
            <b/>
            <sz val="9"/>
            <color indexed="81"/>
            <rFont val="Tahoma"/>
            <family val="2"/>
          </rPr>
          <t>O'Brien, Courtney (Research):</t>
        </r>
        <r>
          <rPr>
            <sz val="9"/>
            <color indexed="81"/>
            <rFont val="Tahoma"/>
            <family val="2"/>
          </rPr>
          <t xml:space="preserve">
anticipated repayment may 2026
</t>
        </r>
      </text>
    </comment>
    <comment ref="A263" authorId="6">
      <text>
        <r>
          <rPr>
            <b/>
            <sz val="9"/>
            <color indexed="81"/>
            <rFont val="Tahoma"/>
            <family val="2"/>
          </rPr>
          <t>O'Brien, Courtney (Research):</t>
        </r>
        <r>
          <rPr>
            <sz val="9"/>
            <color indexed="81"/>
            <rFont val="Tahoma"/>
            <family val="2"/>
          </rPr>
          <t xml:space="preserve">
Redeemable prior to June 1st 2019 for 100% plus premiume; post June 1st: 
2019 - 103.75%
2020 - 102.5%
2021 - 101.25%
2022 - 100%</t>
        </r>
      </text>
    </comment>
    <comment ref="A264" authorId="6">
      <text>
        <r>
          <rPr>
            <b/>
            <sz val="9"/>
            <color indexed="81"/>
            <rFont val="Tahoma"/>
            <family val="2"/>
          </rPr>
          <t>O'Brien, Courtney (Research):</t>
        </r>
        <r>
          <rPr>
            <sz val="9"/>
            <color indexed="81"/>
            <rFont val="Tahoma"/>
            <family val="2"/>
          </rPr>
          <t xml:space="preserve">
reedeemable pre June 2021 
2021: 102.625%
2022: 101.75%
2023: 100.875%
2024: 100%</t>
        </r>
      </text>
    </comment>
    <comment ref="A266" authorId="6">
      <text>
        <r>
          <rPr>
            <b/>
            <sz val="9"/>
            <color indexed="81"/>
            <rFont val="Tahoma"/>
            <family val="2"/>
          </rPr>
          <t>O'Brien, Courtney (Research):</t>
        </r>
        <r>
          <rPr>
            <sz val="9"/>
            <color indexed="81"/>
            <rFont val="Tahoma"/>
            <family val="2"/>
          </rPr>
          <t xml:space="preserve">
refinanced in march 2017 75bps lower (2%); $1.55B swapped out fixed
</t>
        </r>
      </text>
    </comment>
    <comment ref="A267" authorId="6">
      <text>
        <r>
          <rPr>
            <b/>
            <sz val="9"/>
            <color indexed="81"/>
            <rFont val="Tahoma"/>
            <family val="2"/>
          </rPr>
          <t>O'Brien, Courtney (Research):</t>
        </r>
        <r>
          <rPr>
            <sz val="9"/>
            <color indexed="81"/>
            <rFont val="Tahoma"/>
            <family val="2"/>
          </rPr>
          <t xml:space="preserve">
reedeemable pre June 2021 
2021: 102.625%
2022: 101.75%
2023: 100.875%
2024: 100%</t>
        </r>
      </text>
    </comment>
    <comment ref="A268" authorId="6">
      <text>
        <r>
          <rPr>
            <b/>
            <sz val="9"/>
            <color indexed="81"/>
            <rFont val="Tahoma"/>
            <family val="2"/>
          </rPr>
          <t>O'Brien, Courtney (Research):</t>
        </r>
        <r>
          <rPr>
            <sz val="9"/>
            <color indexed="81"/>
            <rFont val="Tahoma"/>
            <family val="2"/>
          </rPr>
          <t xml:space="preserve">
Interest on the Variable Funding Notes will be based on (i) the prime rate, (ii) the overnight federal funds rates, (iii) the London interbank offered rate (“LIBOR”) for U.S. Dollars or (iv) with respect to advances made by conduit investors, the weighted average cost of, or related to, the issuance of commercial paper allocated to fund or maintain such advances, plus any applicable margin, in each case as more fully set forth in the Variable Funding Note Purchase Agreement. It is anticipated that outstanding principal of and interest on the Variable Funding Notes, if any, will be repaid in full on or prior to May 2021,  subject to two additional one-year extensions at the option of the Issuer and further extensions as agreed between the Issuer and the Administrative Agent  .</t>
        </r>
      </text>
    </comment>
  </commentList>
</comments>
</file>

<file path=xl/comments4.xml><?xml version="1.0" encoding="utf-8"?>
<comments xmlns="http://schemas.openxmlformats.org/spreadsheetml/2006/main">
  <authors>
    <author>Jon Tower</author>
    <author>Sushama Dasari</author>
    <author>O'Brien, Courtney (Research)</author>
    <author>farmerje</author>
    <author>towerj</author>
    <author>John Glass</author>
    <author>jon tower</author>
    <author>Jake Bartlett</author>
    <author>glassj</author>
    <author>CIBC</author>
    <author>Scott, Brian (Research)</author>
    <author>Glass, John (Research)</author>
  </authors>
  <commentList>
    <comment ref="BK20" authorId="0">
      <text>
        <r>
          <rPr>
            <b/>
            <sz val="8"/>
            <color indexed="81"/>
            <rFont val="Tahoma"/>
            <family val="2"/>
          </rPr>
          <t>Jon Tower:</t>
        </r>
        <r>
          <rPr>
            <sz val="8"/>
            <color indexed="81"/>
            <rFont val="Tahoma"/>
            <family val="2"/>
          </rPr>
          <t xml:space="preserve">
7.14.09
convo w/Bruce Bishop -- payment to reach 80% funded status for 2008 measurement year</t>
        </r>
      </text>
    </comment>
    <comment ref="BY21" authorId="1">
      <text>
        <r>
          <rPr>
            <b/>
            <sz val="8"/>
            <color indexed="81"/>
            <rFont val="Tahoma"/>
            <family val="2"/>
          </rPr>
          <t>Sushama Dasari:</t>
        </r>
        <r>
          <rPr>
            <sz val="8"/>
            <color indexed="81"/>
            <rFont val="Tahoma"/>
            <family val="2"/>
          </rPr>
          <t xml:space="preserve">
Gain on acquisition of Little Sheep</t>
        </r>
      </text>
    </comment>
    <comment ref="DB21" authorId="2">
      <text>
        <r>
          <rPr>
            <b/>
            <sz val="9"/>
            <color indexed="81"/>
            <rFont val="Tahoma"/>
            <family val="2"/>
          </rPr>
          <t>O'Brien, Courtney (Research):</t>
        </r>
        <r>
          <rPr>
            <sz val="9"/>
            <color indexed="81"/>
            <rFont val="Tahoma"/>
            <family val="2"/>
          </rPr>
          <t xml:space="preserve">
</t>
        </r>
      </text>
    </comment>
    <comment ref="AI22" authorId="3">
      <text>
        <r>
          <rPr>
            <sz val="8"/>
            <color indexed="81"/>
            <rFont val="Tahoma"/>
            <family val="2"/>
          </rPr>
          <t>$130 million dollar contribution to pension fund</t>
        </r>
      </text>
    </comment>
    <comment ref="CK35" authorId="2">
      <text>
        <r>
          <rPr>
            <b/>
            <sz val="9"/>
            <color indexed="81"/>
            <rFont val="Tahoma"/>
            <family val="2"/>
          </rPr>
          <t>O'Brien, Courtney (Research):</t>
        </r>
        <r>
          <rPr>
            <sz val="9"/>
            <color indexed="81"/>
            <rFont val="Tahoma"/>
            <family val="2"/>
          </rPr>
          <t xml:space="preserve">
10.7.14
dispute with the IRS regarding the valuatiion; made an initial cash payment to the IRS of $120 million which was effectively fully reserved; Remaining cash payments due under the terms of our agreement are also fully reserved (and will be less than 120M)</t>
        </r>
      </text>
    </comment>
    <comment ref="AJ37" authorId="3">
      <text>
        <r>
          <rPr>
            <sz val="8"/>
            <color indexed="81"/>
            <rFont val="Tahoma"/>
            <family val="2"/>
          </rPr>
          <t>10/8/03 guidance $1,000</t>
        </r>
      </text>
    </comment>
    <comment ref="AO37" authorId="3">
      <text>
        <r>
          <rPr>
            <sz val="8"/>
            <color indexed="81"/>
            <rFont val="Tahoma"/>
            <family val="2"/>
          </rPr>
          <t>12.03  1170
7/14/04 about 1.2 billion
10/06/04 1.2</t>
        </r>
      </text>
    </comment>
    <comment ref="AT37" authorId="3">
      <text>
        <r>
          <rPr>
            <sz val="8"/>
            <color indexed="81"/>
            <rFont val="Tahoma"/>
            <family val="2"/>
          </rPr>
          <t>12.2.04 1270</t>
        </r>
      </text>
    </comment>
    <comment ref="AY37" authorId="4">
      <text>
        <r>
          <rPr>
            <b/>
            <sz val="9"/>
            <color indexed="81"/>
            <rFont val="Tahoma"/>
            <family val="2"/>
          </rPr>
          <t>towerj:</t>
        </r>
        <r>
          <rPr>
            <sz val="9"/>
            <color indexed="81"/>
            <rFont val="Tahoma"/>
            <family val="2"/>
          </rPr>
          <t xml:space="preserve">
7.19.06 $1.3 bilion</t>
        </r>
      </text>
    </comment>
    <comment ref="BD37" authorId="4">
      <text>
        <r>
          <rPr>
            <b/>
            <sz val="9"/>
            <color indexed="81"/>
            <rFont val="Tahoma"/>
            <family val="2"/>
          </rPr>
          <t>towerj:</t>
        </r>
        <r>
          <rPr>
            <sz val="9"/>
            <color indexed="81"/>
            <rFont val="Tahoma"/>
            <family val="2"/>
          </rPr>
          <t xml:space="preserve">
12.5.06 $1.430 billion </t>
        </r>
      </text>
    </comment>
    <comment ref="AE40" authorId="3">
      <text>
        <r>
          <rPr>
            <sz val="8"/>
            <color indexed="81"/>
            <rFont val="Tahoma"/>
            <family val="2"/>
          </rPr>
          <t>guidance of $800 million
New restaurants: 
$200 international
$110 US
Remodels: $190
Acquisitions (TB): $120
Projects: $70
Maintainance: $85
Total: $775</t>
        </r>
      </text>
    </comment>
    <comment ref="AJ40" authorId="5">
      <text>
        <r>
          <rPr>
            <b/>
            <sz val="8"/>
            <color indexed="81"/>
            <rFont val="Tahoma"/>
            <family val="2"/>
          </rPr>
          <t>John Glass:Orignal plan $825 million</t>
        </r>
        <r>
          <rPr>
            <sz val="8"/>
            <color indexed="81"/>
            <rFont val="Tahoma"/>
            <family val="2"/>
          </rPr>
          <t xml:space="preserve">
Int new growth $25-300, US multibrand $250-300, new products, productivity $75 - 100 and maintenance $100 - 150.; now comingni at $750 million</t>
        </r>
      </text>
    </comment>
    <comment ref="AO40" authorId="3">
      <text>
        <r>
          <rPr>
            <sz val="8"/>
            <color indexed="81"/>
            <rFont val="Tahoma"/>
            <family val="2"/>
          </rPr>
          <t>12/4/03 770 million
10/6/04 770 million
12/2/04 780 million</t>
        </r>
      </text>
    </comment>
    <comment ref="AT40" authorId="3">
      <text>
        <r>
          <rPr>
            <b/>
            <sz val="8"/>
            <color indexed="81"/>
            <rFont val="Tahoma"/>
            <family val="2"/>
          </rPr>
          <t xml:space="preserve">by region
US $333
YRI = 96
China= $159
</t>
        </r>
        <r>
          <rPr>
            <sz val="8"/>
            <color indexed="81"/>
            <rFont val="Tahoma"/>
            <family val="2"/>
          </rPr>
          <t xml:space="preserve">
12/2/04 780 million
4.20.04 720 million
7.13.05 720 mill  - Pretax refranchising and surplus PP&amp;E proceeds are expected to total $180 million resulting in net capital spending of $540 million being invested in the business.
10.5.05 CapEx of $650 mill </t>
        </r>
      </text>
    </comment>
    <comment ref="AY40" authorId="4">
      <text>
        <r>
          <rPr>
            <b/>
            <sz val="8"/>
            <color indexed="81"/>
            <rFont val="Tahoma"/>
            <family val="2"/>
          </rPr>
          <t xml:space="preserve">towerj:
By regions
US=$329
YRI =$118
China=$$165
</t>
        </r>
        <r>
          <rPr>
            <sz val="8"/>
            <color indexed="81"/>
            <rFont val="Tahoma"/>
            <family val="2"/>
          </rPr>
          <t xml:space="preserve">
12.1.05 $675, with refranchising &amp; surplus PP&amp;E proceeds leading to net $475 CAPEX.
7.19.06 $625, The reduction in full-year capital spending reflects a midyear
fine tuning of our global forecast, no major development changes.
10.11.06 reit $625</t>
        </r>
      </text>
    </comment>
    <comment ref="BD40" authorId="4">
      <text>
        <r>
          <rPr>
            <b/>
            <sz val="9"/>
            <color indexed="81"/>
            <rFont val="Tahoma"/>
            <family val="2"/>
          </rPr>
          <t xml:space="preserve">towerj:
BREAKDOWN
2007 = $700 M
New units: $325
Upgrade: $160
Brand projects: $100
Maint: $110
Corp: $5
by regions:
China = $225
YRI = $180
US = $295
10.8.07
reit $650M
</t>
        </r>
        <r>
          <rPr>
            <sz val="9"/>
            <color indexed="81"/>
            <rFont val="Tahoma"/>
            <family val="2"/>
          </rPr>
          <t>Pretax refranchising and surplus PP&amp;E proceeds of
about $250 (from $300) million are expected, this may range as low as $200 million due to the
uncertainty of the timing of transactions and the type of stores to be sold.</t>
        </r>
        <r>
          <rPr>
            <b/>
            <sz val="9"/>
            <color indexed="81"/>
            <rFont val="Tahoma"/>
            <family val="2"/>
          </rPr>
          <t xml:space="preserve">
7.11.07
</t>
        </r>
        <r>
          <rPr>
            <sz val="9"/>
            <color indexed="81"/>
            <rFont val="Tahoma"/>
            <family val="2"/>
          </rPr>
          <t xml:space="preserve">Capital expenditures to be about $650 million. Pretax refranchising and surplus PP&amp;E proceeds of about $250 (from $300) million are expected, this may range as low as $200 million due to the uncertainty of the timing of transactions and the type of stores to be sold.
</t>
        </r>
        <r>
          <rPr>
            <sz val="9"/>
            <color indexed="81"/>
            <rFont val="Tahoma"/>
            <family val="2"/>
          </rPr>
          <t xml:space="preserve">
11.30.06
$650 million Pretax refranchising and surplus PP&amp;E proceeds of about $300 million are expected, this may range as low as $200 million due to the uncertainty of the timing of transactions and the type of stores to be sold.</t>
        </r>
      </text>
    </comment>
    <comment ref="BI40" authorId="6">
      <text>
        <r>
          <rPr>
            <b/>
            <sz val="8"/>
            <color indexed="81"/>
            <rFont val="Tahoma"/>
            <family val="2"/>
          </rPr>
          <t>jon tower:
7.16.08
@ least $800M</t>
        </r>
        <r>
          <rPr>
            <sz val="8"/>
            <color indexed="81"/>
            <rFont val="Tahoma"/>
            <family val="2"/>
          </rPr>
          <t xml:space="preserve">
12.6.07
Capital expenditures of $700 to $750 million
</t>
        </r>
        <r>
          <rPr>
            <b/>
            <sz val="8"/>
            <color indexed="81"/>
            <rFont val="Tahoma"/>
            <family val="2"/>
          </rPr>
          <t>BREAKDOWN:
New restaurants: $365
Upgrade: $180 M
Brand projects: $120
Maint: $85
Corp: $0
By region
China: $245
YRI: $200
US: $305</t>
        </r>
      </text>
    </comment>
    <comment ref="BN40" authorId="0">
      <text>
        <r>
          <rPr>
            <b/>
            <sz val="8"/>
            <color indexed="81"/>
            <rFont val="Tahoma"/>
            <family val="2"/>
          </rPr>
          <t xml:space="preserve">Jon Tower:
12.10.08
$900M
China $360M
  New units $240
  Upgrades $70
  Brand project $35
  Maintenance $15
  Corp/Other $0
YRI $265M
  New units $140
  Upgrades $55
  Brand project $40
  Maintenance $30
  Corp/Other $0
US $275M
  New units $75
  Upgrades $85
  Brand project $65
  Maintenance $50
  Corp/Other $0
OVERALL $900M
  New units $455
  Upgrades $210
  Brand project $140
  Maintenance $95
  Corp/Other $0
</t>
        </r>
        <r>
          <rPr>
            <sz val="8"/>
            <color indexed="81"/>
            <rFont val="Tahoma"/>
            <family val="2"/>
          </rPr>
          <t xml:space="preserve">
7.17.08
likely in line w/'08 --- at least $800M</t>
        </r>
      </text>
    </comment>
    <comment ref="BS40" authorId="0">
      <text>
        <r>
          <rPr>
            <b/>
            <sz val="8"/>
            <color indexed="81"/>
            <rFont val="Tahoma"/>
            <family val="2"/>
          </rPr>
          <t>Jon Tower:</t>
        </r>
        <r>
          <rPr>
            <sz val="8"/>
            <color indexed="81"/>
            <rFont val="Tahoma"/>
            <family val="2"/>
          </rPr>
          <t xml:space="preserve">
12.9.09
global capex $1B
China = $380M
  New units $260M
  Growth/productivity $25M
   Upgrades $70M
   Maintenance $25M
YRI = $310M
  New units $195M
  Growth/productivity $30M
   Upgrades $50M
   Maintenance $30M
TB US = $205M
  New units $75M
  Growth/productivity $45M
   Upgrades $65M
   Maintenance $20M
Other US = $85M
  New units $40M
  Growth/productivity $10M
   Upgrades $15M
   Maintenance $20M
</t>
        </r>
      </text>
    </comment>
    <comment ref="BX40" authorId="0">
      <text>
        <r>
          <rPr>
            <b/>
            <sz val="8"/>
            <color indexed="81"/>
            <rFont val="Tahoma"/>
            <family val="2"/>
          </rPr>
          <t>Jon Tower:</t>
        </r>
        <r>
          <rPr>
            <sz val="8"/>
            <color indexed="81"/>
            <rFont val="Tahoma"/>
            <family val="2"/>
          </rPr>
          <t xml:space="preserve">
12.3.10
Global capital expenditures of approximately $900 million 
</t>
        </r>
      </text>
    </comment>
    <comment ref="CC40" authorId="0">
      <text>
        <r>
          <rPr>
            <b/>
            <sz val="8"/>
            <color indexed="81"/>
            <rFont val="Tahoma"/>
            <family val="2"/>
          </rPr>
          <t xml:space="preserve">Sushama Dasari:
</t>
        </r>
        <r>
          <rPr>
            <b/>
            <sz val="8"/>
            <color indexed="81"/>
            <rFont val="Tahoma"/>
            <family val="2"/>
          </rPr>
          <t>12.6.12</t>
        </r>
        <r>
          <rPr>
            <sz val="8"/>
            <color indexed="81"/>
            <rFont val="Tahoma"/>
            <family val="2"/>
          </rPr>
          <t xml:space="preserve">
Expect $1.1B global capex:
U.S. 19% / Int'l 81%</t>
        </r>
        <r>
          <rPr>
            <b/>
            <sz val="8"/>
            <color indexed="81"/>
            <rFont val="Tahoma"/>
            <family val="2"/>
          </rPr>
          <t xml:space="preserve">
</t>
        </r>
        <r>
          <rPr>
            <sz val="8"/>
            <color indexed="81"/>
            <rFont val="Tahoma"/>
            <family val="2"/>
          </rPr>
          <t xml:space="preserve">
12.5.11
2012 --- Global capital expenditures of approximately $1 billion 
</t>
        </r>
        <r>
          <rPr>
            <b/>
            <sz val="8"/>
            <color indexed="81"/>
            <rFont val="Tahoma"/>
            <family val="2"/>
          </rPr>
          <t>China $450mn</t>
        </r>
        <r>
          <rPr>
            <sz val="8"/>
            <color indexed="81"/>
            <rFont val="Tahoma"/>
            <family val="2"/>
          </rPr>
          <t xml:space="preserve">
New stores 64% = 288mn
Remodels/maintenance 29% = 131mn
Other 7% =31.5mn
</t>
        </r>
        <r>
          <rPr>
            <b/>
            <sz val="8"/>
            <color indexed="81"/>
            <rFont val="Tahoma"/>
            <family val="2"/>
          </rPr>
          <t>YRI $350mn</t>
        </r>
        <r>
          <rPr>
            <sz val="8"/>
            <color indexed="81"/>
            <rFont val="Tahoma"/>
            <family val="2"/>
          </rPr>
          <t xml:space="preserve">
New stores 58% = 203mn
Remodels/maintenance 25% = 87.5mn
Other 17% = 59.5mn
</t>
        </r>
        <r>
          <rPr>
            <b/>
            <sz val="8"/>
            <color indexed="81"/>
            <rFont val="Tahoma"/>
            <family val="2"/>
          </rPr>
          <t>US $200mn</t>
        </r>
        <r>
          <rPr>
            <sz val="8"/>
            <color indexed="81"/>
            <rFont val="Tahoma"/>
            <family val="2"/>
          </rPr>
          <t xml:space="preserve">
New stores 34% = 68mn
Remodels/maintenance 47% = 94mn
Other 19% = 38mn</t>
        </r>
      </text>
    </comment>
    <comment ref="CH40" authorId="1">
      <text>
        <r>
          <rPr>
            <b/>
            <sz val="8"/>
            <color indexed="81"/>
            <rFont val="Tahoma"/>
            <family val="2"/>
          </rPr>
          <t>12.04.13
$1.2B</t>
        </r>
        <r>
          <rPr>
            <sz val="8"/>
            <color indexed="81"/>
            <rFont val="Tahoma"/>
            <family val="2"/>
          </rPr>
          <t xml:space="preserve">
</t>
        </r>
        <r>
          <rPr>
            <b/>
            <sz val="8"/>
            <color indexed="81"/>
            <rFont val="Tahoma"/>
            <family val="2"/>
          </rPr>
          <t xml:space="preserve">2012 10-K:
</t>
        </r>
        <r>
          <rPr>
            <sz val="8"/>
            <color indexed="81"/>
            <rFont val="Tahoma"/>
            <family val="2"/>
          </rPr>
          <t>For 2013, we estimate capital spending will be approximately $1.1 billion.</t>
        </r>
      </text>
    </comment>
    <comment ref="CL40" authorId="2">
      <text>
        <r>
          <rPr>
            <b/>
            <sz val="9"/>
            <color indexed="81"/>
            <rFont val="Tahoma"/>
            <family val="2"/>
          </rPr>
          <t>O'Brien, Courtney (Research):
11.20.14
declares an additional share repurchase of $1bn through May 31, 2016 (prior authorization of 953, 691M YTD)</t>
        </r>
      </text>
    </comment>
    <comment ref="CM40" authorId="7">
      <text>
        <r>
          <rPr>
            <b/>
            <sz val="8"/>
            <color indexed="81"/>
            <rFont val="Tahoma"/>
            <family val="2"/>
          </rPr>
          <t xml:space="preserve">12.02.13:
</t>
        </r>
        <r>
          <rPr>
            <sz val="8"/>
            <color indexed="81"/>
            <rFont val="Tahoma"/>
            <family val="2"/>
          </rPr>
          <t>$1.2M guidance</t>
        </r>
        <r>
          <rPr>
            <sz val="8"/>
            <color indexed="81"/>
            <rFont val="Tahoma"/>
            <family val="2"/>
          </rPr>
          <t xml:space="preserve">
</t>
        </r>
      </text>
    </comment>
    <comment ref="CW40" authorId="2">
      <text>
        <r>
          <rPr>
            <b/>
            <sz val="9"/>
            <color indexed="81"/>
            <rFont val="Tahoma"/>
            <family val="2"/>
          </rPr>
          <t>O'Brien, Courtney (Research):</t>
        </r>
        <r>
          <rPr>
            <sz val="9"/>
            <color indexed="81"/>
            <rFont val="Tahoma"/>
            <family val="2"/>
          </rPr>
          <t xml:space="preserve">
12.10.15
$1B; $500 new units, $300 remodels, $200 projects/other</t>
        </r>
      </text>
    </comment>
    <comment ref="DB40" authorId="2">
      <text>
        <r>
          <rPr>
            <b/>
            <sz val="9"/>
            <color indexed="81"/>
            <rFont val="Tahoma"/>
            <family val="2"/>
          </rPr>
          <t xml:space="preserve">11.02.2017
</t>
        </r>
        <r>
          <rPr>
            <sz val="9"/>
            <color indexed="81"/>
            <rFont val="Tahoma"/>
            <family val="2"/>
          </rPr>
          <t>$300-350M</t>
        </r>
        <r>
          <rPr>
            <b/>
            <sz val="9"/>
            <color indexed="81"/>
            <rFont val="Tahoma"/>
            <family val="2"/>
          </rPr>
          <t xml:space="preserve">
2.7.17
</t>
        </r>
        <r>
          <rPr>
            <sz val="9"/>
            <color indexed="81"/>
            <rFont val="Tahoma"/>
            <family val="2"/>
          </rPr>
          <t xml:space="preserve">$350 million and $400 million
</t>
        </r>
        <r>
          <rPr>
            <b/>
            <sz val="9"/>
            <color indexed="81"/>
            <rFont val="Tahoma"/>
            <family val="2"/>
          </rPr>
          <t xml:space="preserve">12.10.16
</t>
        </r>
        <r>
          <rPr>
            <sz val="9"/>
            <color indexed="81"/>
            <rFont val="Tahoma"/>
            <family val="2"/>
          </rPr>
          <t>-300M</t>
        </r>
      </text>
    </comment>
    <comment ref="DG40" authorId="2">
      <text>
        <r>
          <rPr>
            <b/>
            <sz val="9"/>
            <color indexed="81"/>
            <rFont val="Tahoma"/>
            <family val="2"/>
          </rPr>
          <t>O'Brien, Courtney (Research):</t>
        </r>
        <r>
          <rPr>
            <sz val="9"/>
            <color indexed="81"/>
            <rFont val="Tahoma"/>
            <family val="2"/>
          </rPr>
          <t xml:space="preserve">
2.8.2018
$200-$250MM
12.10.16
-300M</t>
        </r>
      </text>
    </comment>
    <comment ref="DL40" authorId="2">
      <text>
        <r>
          <rPr>
            <b/>
            <sz val="9"/>
            <color indexed="81"/>
            <rFont val="Tahoma"/>
            <family val="2"/>
          </rPr>
          <t>O'Brien, Courtney (Research):</t>
        </r>
        <r>
          <rPr>
            <sz val="9"/>
            <color indexed="81"/>
            <rFont val="Tahoma"/>
            <family val="2"/>
          </rPr>
          <t xml:space="preserve">
2.8.2018
We anticipate CapEx will be between $200 million and $250 million. Note, this is a step down from our 2017 CapEx of $318 million and it's tracking towards our run rate CapEx of $100 million beginning in 2019.
10.11.16
100M; represents maintenance capex,
replacements, corporate &amp; other;Consider investments for attractive growth
discretely: each must pass ROIC hurdles</t>
        </r>
      </text>
    </comment>
    <comment ref="AJ41" authorId="8">
      <text>
        <r>
          <rPr>
            <b/>
            <sz val="8"/>
            <color indexed="81"/>
            <rFont val="Tahoma"/>
            <family val="2"/>
          </rPr>
          <t>glassj:</t>
        </r>
        <r>
          <rPr>
            <sz val="8"/>
            <color indexed="81"/>
            <rFont val="Tahoma"/>
            <family val="2"/>
          </rPr>
          <t xml:space="preserve">
target: $50 million</t>
        </r>
      </text>
    </comment>
    <comment ref="AO41" authorId="3">
      <text>
        <r>
          <rPr>
            <sz val="8"/>
            <color indexed="81"/>
            <rFont val="Tahoma"/>
            <family val="2"/>
          </rPr>
          <t>12.03   100</t>
        </r>
      </text>
    </comment>
    <comment ref="AT41" authorId="3">
      <text>
        <r>
          <rPr>
            <sz val="8"/>
            <color indexed="81"/>
            <rFont val="Tahoma"/>
            <family val="2"/>
          </rPr>
          <t xml:space="preserve">12.2.04 100
7.13.05 - </t>
        </r>
      </text>
    </comment>
    <comment ref="AY41" authorId="4">
      <text>
        <r>
          <rPr>
            <b/>
            <sz val="8"/>
            <color indexed="81"/>
            <rFont val="Tahoma"/>
            <family val="2"/>
          </rPr>
          <t>towerj:</t>
        </r>
        <r>
          <rPr>
            <sz val="8"/>
            <color indexed="81"/>
            <rFont val="Tahoma"/>
            <family val="2"/>
          </rPr>
          <t xml:space="preserve">
4.25.06 $150 million
7.19.06 $250 million  - YTD, 107 units have been sold to franchisees</t>
        </r>
      </text>
    </comment>
    <comment ref="BD41" authorId="4">
      <text>
        <r>
          <rPr>
            <b/>
            <sz val="9"/>
            <color indexed="81"/>
            <rFont val="Tahoma"/>
            <family val="2"/>
          </rPr>
          <t>towerj:</t>
        </r>
        <r>
          <rPr>
            <sz val="9"/>
            <color indexed="81"/>
            <rFont val="Tahoma"/>
            <family val="2"/>
          </rPr>
          <t xml:space="preserve">
2.12.07
Our latest estimate for 2007 is cash proceeds from U.S. refranchising of $200 million</t>
        </r>
      </text>
    </comment>
    <comment ref="BI41" authorId="9">
      <text>
        <r>
          <rPr>
            <sz val="8"/>
            <color indexed="81"/>
            <rFont val="Tahoma"/>
            <family val="2"/>
          </rPr>
          <t>refranchising proceeds = $400 M</t>
        </r>
      </text>
    </comment>
    <comment ref="BN41" authorId="0">
      <text>
        <r>
          <rPr>
            <b/>
            <sz val="8"/>
            <color indexed="81"/>
            <rFont val="Tahoma"/>
            <family val="2"/>
          </rPr>
          <t>Jon Tower:</t>
        </r>
        <r>
          <rPr>
            <sz val="8"/>
            <color indexed="81"/>
            <rFont val="Tahoma"/>
            <family val="2"/>
          </rPr>
          <t xml:space="preserve">
7.14.09
Full year proceeds from U.S. refranchising are expected to be about $175 million, down from about
$225 million</t>
        </r>
      </text>
    </comment>
    <comment ref="DB41" authorId="2">
      <text>
        <r>
          <rPr>
            <b/>
            <sz val="9"/>
            <color indexed="81"/>
            <rFont val="Tahoma"/>
            <family val="2"/>
          </rPr>
          <t>10.11.16
total refranchising proceeds net of tax = 2b (not broken down by yr):</t>
        </r>
        <r>
          <rPr>
            <sz val="9"/>
            <color indexed="81"/>
            <rFont val="Tahoma"/>
            <family val="2"/>
          </rPr>
          <t xml:space="preserve">
12.15
We estimate $1 billion to $1.5 billion in proceeds
from re-franchising over 2016 and 2017 combined (more weighted to '17)</t>
        </r>
      </text>
    </comment>
    <comment ref="DG41" authorId="2">
      <text>
        <r>
          <rPr>
            <b/>
            <sz val="9"/>
            <color indexed="81"/>
            <rFont val="Tahoma"/>
            <family val="2"/>
          </rPr>
          <t>O'Brien, Courtney (Research):</t>
        </r>
        <r>
          <rPr>
            <sz val="9"/>
            <color indexed="81"/>
            <rFont val="Tahoma"/>
            <family val="2"/>
          </rPr>
          <t xml:space="preserve">
12.15
We estimate $1 billion to $1.5 billion in proceeds
from re-franchising over 2016 and 2017 combined (more weighted to '17)</t>
        </r>
      </text>
    </comment>
    <comment ref="CE43" authorId="7">
      <text>
        <r>
          <rPr>
            <b/>
            <sz val="8"/>
            <color indexed="81"/>
            <rFont val="Tahoma"/>
            <family val="2"/>
          </rPr>
          <t>Jake Bartlett:</t>
        </r>
        <r>
          <rPr>
            <sz val="8"/>
            <color indexed="81"/>
            <rFont val="Tahoma"/>
            <family val="2"/>
          </rPr>
          <t xml:space="preserve">
In April, 2013, acquired 65 KFC's and 41 PH from franchisee in Turkey fo $86mm. And potential $19mm payout in 2016 based on results through 2015. </t>
        </r>
      </text>
    </comment>
    <comment ref="AO45" authorId="3">
      <text>
        <r>
          <rPr>
            <sz val="8"/>
            <color indexed="81"/>
            <rFont val="Tahoma"/>
            <family val="2"/>
          </rPr>
          <t>12.03  50</t>
        </r>
      </text>
    </comment>
    <comment ref="AT45" authorId="3">
      <text>
        <r>
          <rPr>
            <sz val="8"/>
            <color indexed="81"/>
            <rFont val="Tahoma"/>
            <family val="2"/>
          </rPr>
          <t>12.2.04 80</t>
        </r>
      </text>
    </comment>
    <comment ref="AY45" authorId="4">
      <text>
        <r>
          <rPr>
            <b/>
            <sz val="8"/>
            <color indexed="81"/>
            <rFont val="Tahoma"/>
            <family val="2"/>
          </rPr>
          <t>towerj:</t>
        </r>
        <r>
          <rPr>
            <sz val="8"/>
            <color indexed="81"/>
            <rFont val="Tahoma"/>
            <family val="2"/>
          </rPr>
          <t xml:space="preserve">
4.25.06 $40 mill</t>
        </r>
      </text>
    </comment>
    <comment ref="BC47" authorId="0">
      <text>
        <r>
          <rPr>
            <b/>
            <sz val="8"/>
            <color indexed="81"/>
            <rFont val="Tahoma"/>
            <family val="2"/>
          </rPr>
          <t>Jon Tower:</t>
        </r>
        <r>
          <rPr>
            <sz val="8"/>
            <color indexed="81"/>
            <rFont val="Tahoma"/>
            <family val="2"/>
          </rPr>
          <t xml:space="preserve">
2.4.08
In December 2007, we sold our interest in our unconsolidated affiliate in Japan for $128 million (includes the impact of related foreign
currency contracts that were settled in December 2007). The international subsidiary that owned this interest operates on a fiscal calendar
with a period end that is approximately one month earlier than our consolidated period close. Thus, the pre-tax gain on the sale of this
investment of approximately $87 will be recorded in the first quarter of 2008. However, the cash proceeds from this transaction were
transferred from our international subsidiary to the U.S. in December 2007 and are thus reported on our Consolidated Statement of Cash
Flows for the year ended December 29, 2007. The offset to this cash on our Consolidated Balance Sheet at December 29, 2007 is in
accounts payable and other current liabilities.</t>
        </r>
      </text>
    </comment>
    <comment ref="CY54" authorId="10">
      <text>
        <r>
          <rPr>
            <b/>
            <sz val="9"/>
            <color indexed="81"/>
            <rFont val="Tahoma"/>
            <family val="2"/>
          </rPr>
          <t>6.13.17
The net proceeds from the sale of the Securities under this Agreement will be used to pay the fees and expenses of the offering and to repay approximately $260 million outstanding under the Issuers revolving credit facility (only out in 2Q, so net 0). The remainder will be used to make a cash distribution to the Parent to fund share repurchases, dividends to shareholders and/or repayment of indebtedness.</t>
        </r>
        <r>
          <rPr>
            <sz val="9"/>
            <color indexed="81"/>
            <rFont val="Tahoma"/>
            <family val="2"/>
          </rPr>
          <t xml:space="preserve">
</t>
        </r>
      </text>
    </comment>
    <comment ref="BC56" authorId="9">
      <text>
        <r>
          <rPr>
            <sz val="8"/>
            <color indexed="81"/>
            <rFont val="Tahoma"/>
            <family val="2"/>
          </rPr>
          <t xml:space="preserve">10.16.07
took on $1.2B of debt
$600 @ 6.25%
$600 @ 6.875%
</t>
        </r>
      </text>
    </comment>
    <comment ref="DD56" authorId="2">
      <text>
        <r>
          <rPr>
            <b/>
            <sz val="9"/>
            <color indexed="81"/>
            <rFont val="Tahoma"/>
            <family val="2"/>
          </rPr>
          <t>O'Brien, Courtney (Research):</t>
        </r>
        <r>
          <rPr>
            <sz val="9"/>
            <color indexed="81"/>
            <rFont val="Tahoma"/>
            <family val="2"/>
          </rPr>
          <t xml:space="preserve">
march 18 debt expires</t>
        </r>
      </text>
    </comment>
    <comment ref="BU57" authorId="0">
      <text>
        <r>
          <rPr>
            <b/>
            <sz val="8"/>
            <color indexed="81"/>
            <rFont val="Tahoma"/>
            <family val="2"/>
          </rPr>
          <t>Jon Tower:</t>
        </r>
        <r>
          <rPr>
            <sz val="8"/>
            <color indexed="81"/>
            <rFont val="Tahoma"/>
            <family val="2"/>
          </rPr>
          <t xml:space="preserve">
2.2.11
assume pay down 8.875% debt due in '11 -- $650M Notional</t>
        </r>
      </text>
    </comment>
    <comment ref="BZ57" authorId="0">
      <text>
        <r>
          <rPr>
            <b/>
            <sz val="8"/>
            <color indexed="81"/>
            <rFont val="Tahoma"/>
            <family val="2"/>
          </rPr>
          <t>Jon Tower:</t>
        </r>
        <r>
          <rPr>
            <sz val="8"/>
            <color indexed="81"/>
            <rFont val="Tahoma"/>
            <family val="2"/>
          </rPr>
          <t xml:space="preserve">
2.2.11
assume paydown 263M in 7.7% debt due in 2012</t>
        </r>
      </text>
    </comment>
    <comment ref="AO59" authorId="8">
      <text>
        <r>
          <rPr>
            <b/>
            <sz val="8"/>
            <color indexed="81"/>
            <rFont val="Tahoma"/>
            <family val="2"/>
          </rPr>
          <t>glassj:</t>
        </r>
        <r>
          <rPr>
            <sz val="8"/>
            <color indexed="81"/>
            <rFont val="Tahoma"/>
            <family val="2"/>
          </rPr>
          <t xml:space="preserve">
May '04: new $300 million share repurchase program</t>
        </r>
      </text>
    </comment>
    <comment ref="AT59" authorId="3">
      <text>
        <r>
          <rPr>
            <sz val="8"/>
            <color indexed="81"/>
            <rFont val="Tahoma"/>
            <family val="2"/>
          </rPr>
          <t>5.19.05 Carucci said "at least $600M in share repurchase in '05"
7.14.05 - reit at least $600 mill
10.5.05 - at least $800 million</t>
        </r>
      </text>
    </comment>
    <comment ref="AY59" authorId="4">
      <text>
        <r>
          <rPr>
            <b/>
            <sz val="9"/>
            <color indexed="81"/>
            <rFont val="Tahoma"/>
            <family val="2"/>
          </rPr>
          <t>towerj:</t>
        </r>
        <r>
          <rPr>
            <sz val="9"/>
            <color indexed="81"/>
            <rFont val="Tahoma"/>
            <family val="2"/>
          </rPr>
          <t xml:space="preserve">
9.14.06 authorized an additional $500 mill in share repurchase over next 12 months</t>
        </r>
      </text>
    </comment>
    <comment ref="BD59" authorId="4">
      <text>
        <r>
          <rPr>
            <b/>
            <sz val="9"/>
            <color indexed="81"/>
            <rFont val="Tahoma"/>
            <family val="2"/>
          </rPr>
          <t>towerj:</t>
        </r>
        <r>
          <rPr>
            <sz val="9"/>
            <color indexed="81"/>
            <rFont val="Tahoma"/>
            <family val="2"/>
          </rPr>
          <t xml:space="preserve">
12.5.06 $1.0 billion in share repo</t>
        </r>
      </text>
    </comment>
    <comment ref="BI59" authorId="9">
      <text>
        <r>
          <rPr>
            <sz val="8"/>
            <color indexed="81"/>
            <rFont val="Tahoma"/>
            <family val="2"/>
          </rPr>
          <t>10.8.07
up to $4 bill in share repo through 2009</t>
        </r>
      </text>
    </comment>
    <comment ref="BN59" authorId="9">
      <text>
        <r>
          <rPr>
            <sz val="8"/>
            <color indexed="81"/>
            <rFont val="Tahoma"/>
            <family val="2"/>
          </rPr>
          <t>10.8.07
up to $4 bill in share repo through 2009</t>
        </r>
      </text>
    </comment>
    <comment ref="CC59" authorId="0">
      <text>
        <r>
          <rPr>
            <b/>
            <sz val="8"/>
            <color indexed="81"/>
            <rFont val="Tahoma"/>
            <family val="2"/>
          </rPr>
          <t xml:space="preserve">Sushama Dasari:
10.10.12
</t>
        </r>
        <r>
          <rPr>
            <sz val="8"/>
            <color indexed="81"/>
            <rFont val="Tahoma"/>
            <family val="2"/>
          </rPr>
          <t>We continue to expect at least $800 million in repurchases for the
full year.</t>
        </r>
        <r>
          <rPr>
            <b/>
            <sz val="8"/>
            <color indexed="81"/>
            <rFont val="Tahoma"/>
            <family val="2"/>
          </rPr>
          <t xml:space="preserve">
2.7.12
expect to repo at least $800mn in '12</t>
        </r>
        <r>
          <rPr>
            <sz val="8"/>
            <color indexed="81"/>
            <rFont val="Tahoma"/>
            <family val="2"/>
          </rPr>
          <t xml:space="preserve">
10.5.11
at least $800 mn buybacks in both '11 &amp; '12 -- should add 2% to EPS growth in '12
</t>
        </r>
      </text>
    </comment>
    <comment ref="CH59" authorId="7">
      <text>
        <r>
          <rPr>
            <b/>
            <sz val="8"/>
            <color indexed="81"/>
            <rFont val="Tahoma"/>
            <family val="2"/>
          </rPr>
          <t xml:space="preserve">10.09.13:
</t>
        </r>
        <r>
          <rPr>
            <sz val="8"/>
            <color indexed="81"/>
            <rFont val="Tahoma"/>
            <family val="2"/>
          </rPr>
          <t>~$700M expected</t>
        </r>
        <r>
          <rPr>
            <sz val="8"/>
            <color indexed="81"/>
            <rFont val="Tahoma"/>
            <family val="2"/>
          </rPr>
          <t xml:space="preserve">
</t>
        </r>
      </text>
    </comment>
    <comment ref="CM59" authorId="7">
      <text>
        <r>
          <rPr>
            <b/>
            <sz val="8"/>
            <color indexed="81"/>
            <rFont val="Tahoma"/>
            <family val="2"/>
          </rPr>
          <t>2013 10K:
$953M currently authorized.</t>
        </r>
        <r>
          <rPr>
            <sz val="8"/>
            <color indexed="81"/>
            <rFont val="Tahoma"/>
            <family val="2"/>
          </rPr>
          <t xml:space="preserve">
</t>
        </r>
      </text>
    </comment>
    <comment ref="DB59" authorId="2">
      <text>
        <r>
          <rPr>
            <b/>
            <sz val="9"/>
            <color indexed="81"/>
            <rFont val="Tahoma"/>
            <family val="2"/>
          </rPr>
          <t>O'Brien, Courtney (Research):</t>
        </r>
        <r>
          <rPr>
            <sz val="9"/>
            <color indexed="81"/>
            <rFont val="Tahoma"/>
            <family val="2"/>
          </rPr>
          <t xml:space="preserve">
10.11.16
$6.5-7B returned from '17-'19; mid-teens growth post '19</t>
        </r>
      </text>
    </comment>
    <comment ref="DG59" authorId="2">
      <text>
        <r>
          <rPr>
            <b/>
            <sz val="9"/>
            <color indexed="81"/>
            <rFont val="Tahoma"/>
            <family val="2"/>
          </rPr>
          <t>O'Brien, Courtney (Research):</t>
        </r>
        <r>
          <rPr>
            <sz val="9"/>
            <color indexed="81"/>
            <rFont val="Tahoma"/>
            <family val="2"/>
          </rPr>
          <t xml:space="preserve">
10.11.16
$6.5-7B returned from '17-'19; mid-teens growth post '19</t>
        </r>
      </text>
    </comment>
    <comment ref="DL59" authorId="2">
      <text>
        <r>
          <rPr>
            <b/>
            <sz val="9"/>
            <color indexed="81"/>
            <rFont val="Tahoma"/>
            <family val="2"/>
          </rPr>
          <t>2.7.18
all iin 13.5B capital return since 4Q15 THRU END OF 2019</t>
        </r>
        <r>
          <rPr>
            <sz val="9"/>
            <color indexed="81"/>
            <rFont val="Tahoma"/>
            <family val="2"/>
          </rPr>
          <t xml:space="preserve">
10.11.16
$6.5-7B returned from '17-'19; mid-teens growth post '19</t>
        </r>
      </text>
    </comment>
    <comment ref="A61" authorId="8">
      <text>
        <r>
          <rPr>
            <b/>
            <sz val="8"/>
            <color indexed="81"/>
            <rFont val="Tahoma"/>
            <family val="2"/>
          </rPr>
          <t>glassj:</t>
        </r>
        <r>
          <rPr>
            <sz val="8"/>
            <color indexed="81"/>
            <rFont val="Tahoma"/>
            <family val="2"/>
          </rPr>
          <t xml:space="preserve">
'05: target payout = 15-20%</t>
        </r>
      </text>
    </comment>
    <comment ref="AR61" authorId="4">
      <text>
        <r>
          <rPr>
            <b/>
            <sz val="8"/>
            <color indexed="81"/>
            <rFont val="Tahoma"/>
            <family val="2"/>
          </rPr>
          <t>towerj:</t>
        </r>
        <r>
          <rPr>
            <sz val="8"/>
            <color indexed="81"/>
            <rFont val="Tahoma"/>
            <family val="2"/>
          </rPr>
          <t xml:space="preserve">
9.15.05 div declared of $0.115 per share</t>
        </r>
      </text>
    </comment>
    <comment ref="AT61" authorId="8">
      <text>
        <r>
          <rPr>
            <b/>
            <sz val="8"/>
            <color indexed="81"/>
            <rFont val="Tahoma"/>
            <family val="2"/>
          </rPr>
          <t>glassj:</t>
        </r>
        <r>
          <rPr>
            <sz val="8"/>
            <color indexed="81"/>
            <rFont val="Tahoma"/>
            <family val="2"/>
          </rPr>
          <t xml:space="preserve">
Target payout is 15-20%
5.19.05 - reit 15-20% target</t>
        </r>
      </text>
    </comment>
    <comment ref="AV61" authorId="4">
      <text>
        <r>
          <rPr>
            <b/>
            <sz val="8"/>
            <color indexed="81"/>
            <rFont val="Tahoma"/>
            <family val="2"/>
          </rPr>
          <t>towerj:</t>
        </r>
        <r>
          <rPr>
            <sz val="8"/>
            <color indexed="81"/>
            <rFont val="Tahoma"/>
            <family val="2"/>
          </rPr>
          <t xml:space="preserve">
3.15.06 declared $0.115/share div distributed May 5th, '06</t>
        </r>
      </text>
    </comment>
    <comment ref="AW61" authorId="4">
      <text>
        <r>
          <rPr>
            <b/>
            <sz val="8"/>
            <color indexed="81"/>
            <rFont val="Tahoma"/>
            <family val="2"/>
          </rPr>
          <t>towerj:</t>
        </r>
        <r>
          <rPr>
            <sz val="8"/>
            <color indexed="81"/>
            <rFont val="Tahoma"/>
            <family val="2"/>
          </rPr>
          <t xml:space="preserve">
5.18.06 declared $0.15/share dividend distributed on Aug 4th</t>
        </r>
      </text>
    </comment>
    <comment ref="AX61" authorId="4">
      <text>
        <r>
          <rPr>
            <b/>
            <sz val="9"/>
            <color indexed="81"/>
            <rFont val="Tahoma"/>
            <family val="2"/>
          </rPr>
          <t>towerj:</t>
        </r>
        <r>
          <rPr>
            <sz val="9"/>
            <color indexed="81"/>
            <rFont val="Tahoma"/>
            <family val="2"/>
          </rPr>
          <t xml:space="preserve">
9.14.06 declared $0.15 dividend to be dist Nov 4, 2006.</t>
        </r>
      </text>
    </comment>
    <comment ref="AY61" authorId="4">
      <text>
        <r>
          <rPr>
            <b/>
            <sz val="8"/>
            <color indexed="81"/>
            <rFont val="Tahoma"/>
            <family val="2"/>
          </rPr>
          <t>towerj:</t>
        </r>
        <r>
          <rPr>
            <sz val="8"/>
            <color indexed="81"/>
            <rFont val="Tahoma"/>
            <family val="2"/>
          </rPr>
          <t xml:space="preserve">
3.15.06 target payout ratio of 15-20%</t>
        </r>
      </text>
    </comment>
    <comment ref="AZ61" authorId="4">
      <text>
        <r>
          <rPr>
            <b/>
            <sz val="9"/>
            <color indexed="81"/>
            <rFont val="Tahoma"/>
            <family val="2"/>
          </rPr>
          <t>towerj:</t>
        </r>
        <r>
          <rPr>
            <sz val="9"/>
            <color indexed="81"/>
            <rFont val="Tahoma"/>
            <family val="2"/>
          </rPr>
          <t xml:space="preserve">
12.5.06
The company’s board of directors approved a 100% increase in the quarterly cash dividend from $0.15 per share to $0.30 per share 
This higher cash dividend payment will be distributed March 30, 2007, in the company’s fiscal second quarter, to shareholders of record at the close of business March 9, 2007. 
</t>
        </r>
      </text>
    </comment>
    <comment ref="BD61" authorId="4">
      <text>
        <r>
          <rPr>
            <b/>
            <sz val="9"/>
            <color indexed="81"/>
            <rFont val="Tahoma"/>
            <family val="2"/>
          </rPr>
          <t>towerj:</t>
        </r>
        <r>
          <rPr>
            <sz val="9"/>
            <color indexed="81"/>
            <rFont val="Tahoma"/>
            <family val="2"/>
          </rPr>
          <t xml:space="preserve">
12.5.06 $275 million
The company’s board of directors approved a 100% increase in the quarterly cash dividend from $0.15 per share to $0.30 per share 
This higher cash dividend payment will be distributed March 30, 2007, in the company’s fiscal second quarter, to shareholders of record at the close of business March 9, 2007. 
</t>
        </r>
      </text>
    </comment>
    <comment ref="DB61" authorId="2">
      <text>
        <r>
          <rPr>
            <b/>
            <sz val="9"/>
            <color indexed="81"/>
            <rFont val="Tahoma"/>
            <family val="2"/>
          </rPr>
          <t>10.11.16
45-50% payout ratio</t>
        </r>
        <r>
          <rPr>
            <sz val="9"/>
            <color indexed="81"/>
            <rFont val="Tahoma"/>
            <family val="2"/>
          </rPr>
          <t xml:space="preserve">
10.11.16
$6.5-7B returned from '17-'19; mid-teens growth post '19</t>
        </r>
      </text>
    </comment>
    <comment ref="DG61" authorId="2">
      <text>
        <r>
          <rPr>
            <b/>
            <sz val="9"/>
            <color indexed="81"/>
            <rFont val="Tahoma"/>
            <family val="2"/>
          </rPr>
          <t>O'Brien, Courtney (Research):</t>
        </r>
        <r>
          <rPr>
            <sz val="9"/>
            <color indexed="81"/>
            <rFont val="Tahoma"/>
            <family val="2"/>
          </rPr>
          <t xml:space="preserve">
10.11.16
$6.5-7B returned from '17-'19; mid-teens growth post '19</t>
        </r>
      </text>
    </comment>
    <comment ref="DL61" authorId="2">
      <text>
        <r>
          <rPr>
            <b/>
            <sz val="9"/>
            <color indexed="81"/>
            <rFont val="Tahoma"/>
            <family val="2"/>
          </rPr>
          <t>O'Brien, Courtney (Research):</t>
        </r>
        <r>
          <rPr>
            <sz val="9"/>
            <color indexed="81"/>
            <rFont val="Tahoma"/>
            <family val="2"/>
          </rPr>
          <t xml:space="preserve">
10.11.16
$6.5-7B returned from '17-'19; mid-teens growth post '19</t>
        </r>
      </text>
    </comment>
    <comment ref="AO62" authorId="3">
      <text>
        <r>
          <rPr>
            <sz val="8"/>
            <color indexed="81"/>
            <rFont val="Tahoma"/>
            <family val="2"/>
          </rPr>
          <t>12.03   130</t>
        </r>
      </text>
    </comment>
    <comment ref="AT62" authorId="3">
      <text>
        <r>
          <rPr>
            <sz val="8"/>
            <color indexed="81"/>
            <rFont val="Tahoma"/>
            <family val="2"/>
          </rPr>
          <t>12.2.04 150</t>
        </r>
      </text>
    </comment>
    <comment ref="AY62" authorId="4">
      <text>
        <r>
          <rPr>
            <b/>
            <sz val="8"/>
            <color indexed="81"/>
            <rFont val="Tahoma"/>
            <family val="2"/>
          </rPr>
          <t>towerj:</t>
        </r>
        <r>
          <rPr>
            <sz val="8"/>
            <color indexed="81"/>
            <rFont val="Tahoma"/>
            <family val="2"/>
          </rPr>
          <t xml:space="preserve">
4.25.06 $150 million</t>
        </r>
      </text>
    </comment>
    <comment ref="BB62" authorId="4">
      <text>
        <r>
          <rPr>
            <b/>
            <sz val="9"/>
            <color indexed="81"/>
            <rFont val="Tahoma"/>
            <family val="2"/>
          </rPr>
          <t>towerj:</t>
        </r>
        <r>
          <rPr>
            <sz val="9"/>
            <color indexed="81"/>
            <rFont val="Tahoma"/>
            <family val="2"/>
          </rPr>
          <t xml:space="preserve">
5.17.07
The Company also announced the Board approved a dividend of $0.30 per share of Common Stock, prior to the two−for−one stock
split, which will be distributed August 3, 2007 to shareholders of record at the close of business July 13, 2007.</t>
        </r>
      </text>
    </comment>
    <comment ref="CC73" authorId="2">
      <text>
        <r>
          <rPr>
            <b/>
            <sz val="9"/>
            <color indexed="81"/>
            <rFont val="Tahoma"/>
            <family val="2"/>
          </rPr>
          <t>O'Brien, Courtney (Research):
updated post YUMC spin based on 2016 10k</t>
        </r>
        <r>
          <rPr>
            <sz val="9"/>
            <color indexed="81"/>
            <rFont val="Tahoma"/>
            <family val="2"/>
          </rPr>
          <t xml:space="preserve">
</t>
        </r>
      </text>
    </comment>
    <comment ref="CH73" authorId="2">
      <text>
        <r>
          <rPr>
            <b/>
            <sz val="9"/>
            <color indexed="81"/>
            <rFont val="Tahoma"/>
            <family val="2"/>
          </rPr>
          <t>O'Brien, Courtney (Research):
updated post YUMC spin based on 2016 10k</t>
        </r>
        <r>
          <rPr>
            <sz val="9"/>
            <color indexed="81"/>
            <rFont val="Tahoma"/>
            <family val="2"/>
          </rPr>
          <t xml:space="preserve">
</t>
        </r>
      </text>
    </comment>
    <comment ref="CM73" authorId="2">
      <text>
        <r>
          <rPr>
            <b/>
            <sz val="9"/>
            <color indexed="81"/>
            <rFont val="Tahoma"/>
            <family val="2"/>
          </rPr>
          <t>O'Brien, Courtney (Research):
updated post YUMC spin based on 2016 10k</t>
        </r>
        <r>
          <rPr>
            <sz val="9"/>
            <color indexed="81"/>
            <rFont val="Tahoma"/>
            <family val="2"/>
          </rPr>
          <t xml:space="preserve">
</t>
        </r>
      </text>
    </comment>
    <comment ref="CR73" authorId="2">
      <text>
        <r>
          <rPr>
            <b/>
            <sz val="9"/>
            <color indexed="81"/>
            <rFont val="Tahoma"/>
            <family val="2"/>
          </rPr>
          <t>O'Brien, Courtney (Research):
updated post YUMC spin based on 2016 10k</t>
        </r>
        <r>
          <rPr>
            <sz val="9"/>
            <color indexed="81"/>
            <rFont val="Tahoma"/>
            <family val="2"/>
          </rPr>
          <t xml:space="preserve">
</t>
        </r>
      </text>
    </comment>
    <comment ref="CW73" authorId="2">
      <text>
        <r>
          <rPr>
            <b/>
            <sz val="9"/>
            <color indexed="81"/>
            <rFont val="Tahoma"/>
            <family val="2"/>
          </rPr>
          <t>O'Brien, Courtney (Research):
updated post YUMC spin based on 2016 10k</t>
        </r>
        <r>
          <rPr>
            <sz val="9"/>
            <color indexed="81"/>
            <rFont val="Tahoma"/>
            <family val="2"/>
          </rPr>
          <t xml:space="preserve">
</t>
        </r>
      </text>
    </comment>
    <comment ref="CC74" authorId="2">
      <text>
        <r>
          <rPr>
            <b/>
            <sz val="9"/>
            <color indexed="81"/>
            <rFont val="Tahoma"/>
            <family val="2"/>
          </rPr>
          <t>O'Brien, Courtney (Research):
updated post YUMC spin based on 2016 10k</t>
        </r>
        <r>
          <rPr>
            <sz val="9"/>
            <color indexed="81"/>
            <rFont val="Tahoma"/>
            <family val="2"/>
          </rPr>
          <t xml:space="preserve">
</t>
        </r>
      </text>
    </comment>
    <comment ref="CH74" authorId="2">
      <text>
        <r>
          <rPr>
            <b/>
            <sz val="9"/>
            <color indexed="81"/>
            <rFont val="Tahoma"/>
            <family val="2"/>
          </rPr>
          <t>O'Brien, Courtney (Research):
updated post YUMC spin based on 2016 10k</t>
        </r>
        <r>
          <rPr>
            <sz val="9"/>
            <color indexed="81"/>
            <rFont val="Tahoma"/>
            <family val="2"/>
          </rPr>
          <t xml:space="preserve">
</t>
        </r>
      </text>
    </comment>
    <comment ref="CM74" authorId="2">
      <text>
        <r>
          <rPr>
            <b/>
            <sz val="9"/>
            <color indexed="81"/>
            <rFont val="Tahoma"/>
            <family val="2"/>
          </rPr>
          <t>O'Brien, Courtney (Research):
updated post YUMC spin based on 2016 10k</t>
        </r>
        <r>
          <rPr>
            <sz val="9"/>
            <color indexed="81"/>
            <rFont val="Tahoma"/>
            <family val="2"/>
          </rPr>
          <t xml:space="preserve">
</t>
        </r>
      </text>
    </comment>
    <comment ref="CR74" authorId="2">
      <text>
        <r>
          <rPr>
            <b/>
            <sz val="9"/>
            <color indexed="81"/>
            <rFont val="Tahoma"/>
            <family val="2"/>
          </rPr>
          <t>O'Brien, Courtney (Research):
updated post YUMC spin based on 2016 10k</t>
        </r>
        <r>
          <rPr>
            <sz val="9"/>
            <color indexed="81"/>
            <rFont val="Tahoma"/>
            <family val="2"/>
          </rPr>
          <t xml:space="preserve">
</t>
        </r>
      </text>
    </comment>
    <comment ref="CW74" authorId="2">
      <text>
        <r>
          <rPr>
            <b/>
            <sz val="9"/>
            <color indexed="81"/>
            <rFont val="Tahoma"/>
            <family val="2"/>
          </rPr>
          <t>O'Brien, Courtney (Research):
updated post YUMC spin based on 2016 10k</t>
        </r>
        <r>
          <rPr>
            <sz val="9"/>
            <color indexed="81"/>
            <rFont val="Tahoma"/>
            <family val="2"/>
          </rPr>
          <t xml:space="preserve">
</t>
        </r>
      </text>
    </comment>
    <comment ref="AY75" authorId="4">
      <text>
        <r>
          <rPr>
            <b/>
            <sz val="8"/>
            <color indexed="81"/>
            <rFont val="Tahoma"/>
            <family val="2"/>
          </rPr>
          <t>towerj:</t>
        </r>
        <r>
          <rPr>
            <sz val="8"/>
            <color indexed="81"/>
            <rFont val="Tahoma"/>
            <family val="2"/>
          </rPr>
          <t xml:space="preserve">
4.25.06 at least $600 mill in traditional FCF 
7.19.06 due to lower capex and higher refranchising proceeds, we expect our free cash available for the full year 2006 to increase by approximately $100 to $150 million ---</t>
        </r>
        <r>
          <rPr>
            <b/>
            <sz val="8"/>
            <color indexed="81"/>
            <rFont val="Tahoma"/>
            <family val="2"/>
          </rPr>
          <t xml:space="preserve"> leading to $700 traditional CF</t>
        </r>
        <r>
          <rPr>
            <sz val="8"/>
            <color indexed="81"/>
            <rFont val="Tahoma"/>
            <family val="2"/>
          </rPr>
          <t xml:space="preserve">
</t>
        </r>
      </text>
    </comment>
    <comment ref="CC75" authorId="2">
      <text>
        <r>
          <rPr>
            <b/>
            <sz val="9"/>
            <color indexed="81"/>
            <rFont val="Tahoma"/>
            <family val="2"/>
          </rPr>
          <t>O'Brien, Courtney (Research):
updated post YUMC spin based on 2016 10k</t>
        </r>
        <r>
          <rPr>
            <sz val="9"/>
            <color indexed="81"/>
            <rFont val="Tahoma"/>
            <family val="2"/>
          </rPr>
          <t xml:space="preserve">
</t>
        </r>
      </text>
    </comment>
    <comment ref="CH75" authorId="2">
      <text>
        <r>
          <rPr>
            <b/>
            <sz val="9"/>
            <color indexed="81"/>
            <rFont val="Tahoma"/>
            <family val="2"/>
          </rPr>
          <t>O'Brien, Courtney (Research):
updated post YUMC spin based on 2016 10k</t>
        </r>
        <r>
          <rPr>
            <sz val="9"/>
            <color indexed="81"/>
            <rFont val="Tahoma"/>
            <family val="2"/>
          </rPr>
          <t xml:space="preserve">
</t>
        </r>
      </text>
    </comment>
    <comment ref="CM75" authorId="2">
      <text>
        <r>
          <rPr>
            <b/>
            <sz val="9"/>
            <color indexed="81"/>
            <rFont val="Tahoma"/>
            <family val="2"/>
          </rPr>
          <t>O'Brien, Courtney (Research):
updated post YUMC spin based on 2016 10k</t>
        </r>
        <r>
          <rPr>
            <sz val="9"/>
            <color indexed="81"/>
            <rFont val="Tahoma"/>
            <family val="2"/>
          </rPr>
          <t xml:space="preserve">
</t>
        </r>
      </text>
    </comment>
    <comment ref="CR75" authorId="2">
      <text>
        <r>
          <rPr>
            <b/>
            <sz val="9"/>
            <color indexed="81"/>
            <rFont val="Tahoma"/>
            <family val="2"/>
          </rPr>
          <t>O'Brien, Courtney (Research):
updated post YUMC spin based on 2016 10k</t>
        </r>
        <r>
          <rPr>
            <sz val="9"/>
            <color indexed="81"/>
            <rFont val="Tahoma"/>
            <family val="2"/>
          </rPr>
          <t xml:space="preserve">
</t>
        </r>
      </text>
    </comment>
    <comment ref="CW75" authorId="2">
      <text>
        <r>
          <rPr>
            <b/>
            <sz val="9"/>
            <color indexed="81"/>
            <rFont val="Tahoma"/>
            <family val="2"/>
          </rPr>
          <t>O'Brien, Courtney (Research):
updated post YUMC spin based on 2016 10k</t>
        </r>
        <r>
          <rPr>
            <sz val="9"/>
            <color indexed="81"/>
            <rFont val="Tahoma"/>
            <family val="2"/>
          </rPr>
          <t xml:space="preserve">
</t>
        </r>
      </text>
    </comment>
    <comment ref="DL75" authorId="2">
      <text>
        <r>
          <rPr>
            <b/>
            <sz val="9"/>
            <color indexed="81"/>
            <rFont val="Tahoma"/>
            <family val="2"/>
          </rPr>
          <t>O'Brien, Courtney (Research):</t>
        </r>
        <r>
          <rPr>
            <sz val="9"/>
            <color indexed="81"/>
            <rFont val="Tahoma"/>
            <family val="2"/>
          </rPr>
          <t xml:space="preserve">
10.11.16
100% FCF conversion</t>
        </r>
      </text>
    </comment>
    <comment ref="CW76" authorId="2">
      <text>
        <r>
          <rPr>
            <b/>
            <sz val="9"/>
            <color indexed="81"/>
            <rFont val="Tahoma"/>
            <family val="2"/>
          </rPr>
          <t>O'Brien, Courtney (Research):
updated post YUMC spin based on 2016 10k</t>
        </r>
        <r>
          <rPr>
            <sz val="9"/>
            <color indexed="81"/>
            <rFont val="Tahoma"/>
            <family val="2"/>
          </rPr>
          <t xml:space="preserve">
</t>
        </r>
      </text>
    </comment>
    <comment ref="AY79" authorId="4">
      <text>
        <r>
          <rPr>
            <b/>
            <sz val="8"/>
            <color indexed="81"/>
            <rFont val="Tahoma"/>
            <family val="2"/>
          </rPr>
          <t>towerj:</t>
        </r>
        <r>
          <rPr>
            <sz val="8"/>
            <color indexed="81"/>
            <rFont val="Tahoma"/>
            <family val="2"/>
          </rPr>
          <t xml:space="preserve">
4.25.06 $150 million</t>
        </r>
      </text>
    </comment>
    <comment ref="BI79" authorId="5">
      <text>
        <r>
          <rPr>
            <b/>
            <sz val="8"/>
            <color indexed="81"/>
            <rFont val="Tahoma"/>
            <family val="2"/>
          </rPr>
          <t>John Glass:</t>
        </r>
        <r>
          <rPr>
            <sz val="8"/>
            <color indexed="81"/>
            <rFont val="Tahoma"/>
            <family val="2"/>
          </rPr>
          <t xml:space="preserve">
implies selling 600 units</t>
        </r>
      </text>
    </comment>
    <comment ref="AY80" authorId="4">
      <text>
        <r>
          <rPr>
            <b/>
            <sz val="8"/>
            <color indexed="81"/>
            <rFont val="Tahoma"/>
            <family val="2"/>
          </rPr>
          <t>towerj:</t>
        </r>
        <r>
          <rPr>
            <sz val="8"/>
            <color indexed="81"/>
            <rFont val="Tahoma"/>
            <family val="2"/>
          </rPr>
          <t xml:space="preserve">
4.25.06 $150 million</t>
        </r>
      </text>
    </comment>
    <comment ref="AY81" authorId="4">
      <text>
        <r>
          <rPr>
            <b/>
            <sz val="8"/>
            <color indexed="81"/>
            <rFont val="Tahoma"/>
            <family val="2"/>
          </rPr>
          <t>towerj:</t>
        </r>
        <r>
          <rPr>
            <sz val="8"/>
            <color indexed="81"/>
            <rFont val="Tahoma"/>
            <family val="2"/>
          </rPr>
          <t xml:space="preserve">
4.25.06 $40 mill</t>
        </r>
      </text>
    </comment>
    <comment ref="DB82" authorId="2">
      <text>
        <r>
          <rPr>
            <b/>
            <sz val="9"/>
            <color indexed="81"/>
            <rFont val="Tahoma"/>
            <family val="2"/>
          </rPr>
          <t>O'Brien, Courtney (Research):</t>
        </r>
        <r>
          <rPr>
            <sz val="9"/>
            <color indexed="81"/>
            <rFont val="Tahoma"/>
            <family val="2"/>
          </rPr>
          <t xml:space="preserve">
12.15
$2.0-2.5B</t>
        </r>
      </text>
    </comment>
    <comment ref="DG82" authorId="2">
      <text>
        <r>
          <rPr>
            <b/>
            <sz val="9"/>
            <color indexed="81"/>
            <rFont val="Tahoma"/>
            <family val="2"/>
          </rPr>
          <t>O'Brien, Courtney (Research):</t>
        </r>
        <r>
          <rPr>
            <sz val="9"/>
            <color indexed="81"/>
            <rFont val="Tahoma"/>
            <family val="2"/>
          </rPr>
          <t xml:space="preserve">
12.15
$2.0-2.5B</t>
        </r>
      </text>
    </comment>
    <comment ref="CC85" authorId="1">
      <text>
        <r>
          <rPr>
            <b/>
            <sz val="8"/>
            <color indexed="81"/>
            <rFont val="Tahoma"/>
            <family val="2"/>
          </rPr>
          <t>Sushama Dasari:</t>
        </r>
        <r>
          <rPr>
            <sz val="8"/>
            <color indexed="81"/>
            <rFont val="Tahoma"/>
            <family val="2"/>
          </rPr>
          <t xml:space="preserve">
</t>
        </r>
        <r>
          <rPr>
            <b/>
            <sz val="8"/>
            <color indexed="81"/>
            <rFont val="Tahoma"/>
            <family val="2"/>
          </rPr>
          <t xml:space="preserve">10.10.12
</t>
        </r>
        <r>
          <rPr>
            <sz val="8"/>
            <color indexed="81"/>
            <rFont val="Tahoma"/>
            <family val="2"/>
          </rPr>
          <t>we will return over $1.3 billion to shareholders in the form of dividends and share repurchase this year</t>
        </r>
      </text>
    </comment>
    <comment ref="CC86" authorId="1">
      <text>
        <r>
          <rPr>
            <b/>
            <sz val="8"/>
            <color indexed="81"/>
            <rFont val="Tahoma"/>
            <family val="2"/>
          </rPr>
          <t>Sushama Dasari:</t>
        </r>
        <r>
          <rPr>
            <sz val="8"/>
            <color indexed="81"/>
            <rFont val="Tahoma"/>
            <family val="2"/>
          </rPr>
          <t xml:space="preserve">
</t>
        </r>
        <r>
          <rPr>
            <b/>
            <sz val="8"/>
            <color indexed="81"/>
            <rFont val="Tahoma"/>
            <family val="2"/>
          </rPr>
          <t xml:space="preserve">10.10.12
</t>
        </r>
        <r>
          <rPr>
            <sz val="8"/>
            <color indexed="81"/>
            <rFont val="Tahoma"/>
            <family val="2"/>
          </rPr>
          <t>we will return over $1.3 billion to shareholders in the form of dividends and share repurchase this year</t>
        </r>
      </text>
    </comment>
    <comment ref="CC88" authorId="1">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Expect $3.1B cash deployment from:
$1.7B capex &amp; Little Sheep acquisition
$1.4B share repurchase &amp; dividend</t>
        </r>
      </text>
    </comment>
    <comment ref="DB89" authorId="2">
      <text>
        <r>
          <rPr>
            <b/>
            <sz val="9"/>
            <color indexed="81"/>
            <rFont val="Tahoma"/>
            <family val="2"/>
          </rPr>
          <t>O'Brien, Courtney (Research):</t>
        </r>
        <r>
          <rPr>
            <sz val="9"/>
            <color indexed="81"/>
            <rFont val="Tahoma"/>
            <family val="2"/>
          </rPr>
          <t xml:space="preserve">
10.11.16
$6.5-7B returned from '17-'19; mid-teens growth post '19</t>
        </r>
      </text>
    </comment>
    <comment ref="DC89" authorId="2">
      <text>
        <r>
          <rPr>
            <b/>
            <sz val="9"/>
            <color indexed="81"/>
            <rFont val="Tahoma"/>
            <family val="2"/>
          </rPr>
          <t>O'Brien, Courtney (Research):</t>
        </r>
        <r>
          <rPr>
            <sz val="9"/>
            <color indexed="81"/>
            <rFont val="Tahoma"/>
            <family val="2"/>
          </rPr>
          <t xml:space="preserve">
10.11.16
$6.5-7B returned from '17-'19; mid-teens growth post '19</t>
        </r>
      </text>
    </comment>
    <comment ref="DD89" authorId="2">
      <text>
        <r>
          <rPr>
            <b/>
            <sz val="9"/>
            <color indexed="81"/>
            <rFont val="Tahoma"/>
            <family val="2"/>
          </rPr>
          <t>O'Brien, Courtney (Research):</t>
        </r>
        <r>
          <rPr>
            <sz val="9"/>
            <color indexed="81"/>
            <rFont val="Tahoma"/>
            <family val="2"/>
          </rPr>
          <t xml:space="preserve">
10.11.16
$6.5-7B returned from '17-'19; mid-teens growth post '19</t>
        </r>
      </text>
    </comment>
    <comment ref="DE89" authorId="2">
      <text>
        <r>
          <rPr>
            <b/>
            <sz val="9"/>
            <color indexed="81"/>
            <rFont val="Tahoma"/>
            <family val="2"/>
          </rPr>
          <t>O'Brien, Courtney (Research):</t>
        </r>
        <r>
          <rPr>
            <sz val="9"/>
            <color indexed="81"/>
            <rFont val="Tahoma"/>
            <family val="2"/>
          </rPr>
          <t xml:space="preserve">
10.11.16
$6.5-7B returned from '17-'19; mid-teens growth post '19</t>
        </r>
      </text>
    </comment>
    <comment ref="DF89" authorId="2">
      <text>
        <r>
          <rPr>
            <b/>
            <sz val="9"/>
            <color indexed="81"/>
            <rFont val="Tahoma"/>
            <family val="2"/>
          </rPr>
          <t>O'Brien, Courtney (Research):</t>
        </r>
        <r>
          <rPr>
            <sz val="9"/>
            <color indexed="81"/>
            <rFont val="Tahoma"/>
            <family val="2"/>
          </rPr>
          <t xml:space="preserve">
10.11.16
$6.5-7B returned from '17-'19; mid-teens growth post '19</t>
        </r>
      </text>
    </comment>
    <comment ref="DG89" authorId="2">
      <text>
        <r>
          <rPr>
            <b/>
            <sz val="9"/>
            <color indexed="81"/>
            <rFont val="Tahoma"/>
            <family val="2"/>
          </rPr>
          <t>O'Brien, Courtney (Research):</t>
        </r>
        <r>
          <rPr>
            <sz val="9"/>
            <color indexed="81"/>
            <rFont val="Tahoma"/>
            <family val="2"/>
          </rPr>
          <t xml:space="preserve">
10.11.16
$6.5-7B returned from '17-'19; mid-teens growth post '19</t>
        </r>
      </text>
    </comment>
    <comment ref="DH89" authorId="2">
      <text>
        <r>
          <rPr>
            <b/>
            <sz val="9"/>
            <color indexed="81"/>
            <rFont val="Tahoma"/>
            <family val="2"/>
          </rPr>
          <t>O'Brien, Courtney (Research):</t>
        </r>
        <r>
          <rPr>
            <sz val="9"/>
            <color indexed="81"/>
            <rFont val="Tahoma"/>
            <family val="2"/>
          </rPr>
          <t xml:space="preserve">
10.11.16
$6.5-7B returned from '17-'19; mid-teens growth post '19</t>
        </r>
      </text>
    </comment>
    <comment ref="DI89" authorId="2">
      <text>
        <r>
          <rPr>
            <b/>
            <sz val="9"/>
            <color indexed="81"/>
            <rFont val="Tahoma"/>
            <family val="2"/>
          </rPr>
          <t>O'Brien, Courtney (Research):</t>
        </r>
        <r>
          <rPr>
            <sz val="9"/>
            <color indexed="81"/>
            <rFont val="Tahoma"/>
            <family val="2"/>
          </rPr>
          <t xml:space="preserve">
10.11.16
$6.5-7B returned from '17-'19; mid-teens growth post '19</t>
        </r>
      </text>
    </comment>
    <comment ref="DJ89" authorId="2">
      <text>
        <r>
          <rPr>
            <b/>
            <sz val="9"/>
            <color indexed="81"/>
            <rFont val="Tahoma"/>
            <family val="2"/>
          </rPr>
          <t>O'Brien, Courtney (Research):</t>
        </r>
        <r>
          <rPr>
            <sz val="9"/>
            <color indexed="81"/>
            <rFont val="Tahoma"/>
            <family val="2"/>
          </rPr>
          <t xml:space="preserve">
10.11.16
$6.5-7B returned from '17-'19; mid-teens growth post '19</t>
        </r>
      </text>
    </comment>
    <comment ref="DK89" authorId="2">
      <text>
        <r>
          <rPr>
            <b/>
            <sz val="9"/>
            <color indexed="81"/>
            <rFont val="Tahoma"/>
            <family val="2"/>
          </rPr>
          <t>O'Brien, Courtney (Research):</t>
        </r>
        <r>
          <rPr>
            <sz val="9"/>
            <color indexed="81"/>
            <rFont val="Tahoma"/>
            <family val="2"/>
          </rPr>
          <t xml:space="preserve">
10.11.16
$6.5-7B returned from '17-'19; mid-teens growth post '19</t>
        </r>
      </text>
    </comment>
    <comment ref="DL89" authorId="2">
      <text>
        <r>
          <rPr>
            <b/>
            <sz val="9"/>
            <color indexed="81"/>
            <rFont val="Tahoma"/>
            <family val="2"/>
          </rPr>
          <t>O'Brien, Courtney (Research):</t>
        </r>
        <r>
          <rPr>
            <sz val="9"/>
            <color indexed="81"/>
            <rFont val="Tahoma"/>
            <family val="2"/>
          </rPr>
          <t xml:space="preserve">
10.11.16
$6.5-7B returned from '17-'19; mid-teens growth post '19</t>
        </r>
      </text>
    </comment>
    <comment ref="AY98" authorId="4">
      <text>
        <r>
          <rPr>
            <b/>
            <sz val="8"/>
            <color indexed="81"/>
            <rFont val="Tahoma"/>
            <family val="2"/>
          </rPr>
          <t>towerj:</t>
        </r>
        <r>
          <rPr>
            <sz val="8"/>
            <color indexed="81"/>
            <rFont val="Tahoma"/>
            <family val="2"/>
          </rPr>
          <t xml:space="preserve">
4.24.06 $850 million
CFO less net cash used in investing activities</t>
        </r>
      </text>
    </comment>
    <comment ref="CW102" authorId="2">
      <text>
        <r>
          <rPr>
            <b/>
            <sz val="9"/>
            <color indexed="81"/>
            <rFont val="Tahoma"/>
            <family val="2"/>
          </rPr>
          <t>O'Brien, Courtney (Research):</t>
        </r>
        <r>
          <rPr>
            <sz val="9"/>
            <color indexed="81"/>
            <rFont val="Tahoma"/>
            <family val="2"/>
          </rPr>
          <t xml:space="preserve">
12.10.15
$250</t>
        </r>
      </text>
    </comment>
    <comment ref="CW106" authorId="2">
      <text>
        <r>
          <rPr>
            <b/>
            <sz val="9"/>
            <color indexed="81"/>
            <rFont val="Tahoma"/>
            <family val="2"/>
          </rPr>
          <t>O'Brien, Courtney (Research):</t>
        </r>
        <r>
          <rPr>
            <sz val="9"/>
            <color indexed="81"/>
            <rFont val="Tahoma"/>
            <family val="2"/>
          </rPr>
          <t xml:space="preserve">
12.10.15
$100M</t>
        </r>
      </text>
    </comment>
    <comment ref="CW110" authorId="2">
      <text>
        <r>
          <rPr>
            <b/>
            <sz val="9"/>
            <color indexed="81"/>
            <rFont val="Tahoma"/>
            <family val="2"/>
          </rPr>
          <t>O'Brien, Courtney (Research):</t>
        </r>
        <r>
          <rPr>
            <sz val="9"/>
            <color indexed="81"/>
            <rFont val="Tahoma"/>
            <family val="2"/>
          </rPr>
          <t xml:space="preserve">
12.10.15
$150M</t>
        </r>
      </text>
    </comment>
    <comment ref="CH115" authorId="1">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 xml:space="preserve">Expect $200M capex in US in FY13:
$60M new company restaurants +
$60M remodels +
$50M growth /productivity +
$30M maintenance </t>
        </r>
      </text>
    </comment>
    <comment ref="CH118" authorId="1">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 xml:space="preserve">Expect $300M capex in YRI in FY13:
$160M new company restaurants +
$55M remodels +
$55M growth /productivity +
$30M maintenance </t>
        </r>
      </text>
    </comment>
    <comment ref="CH121" authorId="1">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 xml:space="preserve">Expect $600M capex in China in FY13:
$390M new company restaurants +
$120M remodels +
$60M growth /productivity +
$30M maintenance </t>
        </r>
      </text>
    </comment>
    <comment ref="CM121" authorId="7">
      <text>
        <r>
          <rPr>
            <b/>
            <sz val="8"/>
            <color indexed="81"/>
            <rFont val="Tahoma"/>
            <family val="2"/>
          </rPr>
          <t>12.04.13</t>
        </r>
        <r>
          <rPr>
            <sz val="8"/>
            <color indexed="81"/>
            <rFont val="Tahoma"/>
            <family val="2"/>
          </rPr>
          <t xml:space="preserve">
$650M (61% on new units, 29% on remodels/maint. And 10% other</t>
        </r>
        <r>
          <rPr>
            <sz val="8"/>
            <color indexed="81"/>
            <rFont val="Tahoma"/>
            <family val="2"/>
          </rPr>
          <t xml:space="preserve">
</t>
        </r>
      </text>
    </comment>
    <comment ref="CW121" authorId="2">
      <text>
        <r>
          <rPr>
            <b/>
            <sz val="9"/>
            <color indexed="81"/>
            <rFont val="Tahoma"/>
            <family val="2"/>
          </rPr>
          <t>O'Brien, Courtney (Research):</t>
        </r>
        <r>
          <rPr>
            <sz val="9"/>
            <color indexed="81"/>
            <rFont val="Tahoma"/>
            <family val="2"/>
          </rPr>
          <t xml:space="preserve">
12.10.15
$500</t>
        </r>
      </text>
    </comment>
    <comment ref="CA125" authorId="1">
      <text>
        <r>
          <rPr>
            <b/>
            <sz val="8"/>
            <color indexed="81"/>
            <rFont val="Tahoma"/>
            <family val="2"/>
          </rPr>
          <t>Sushama Dasari:</t>
        </r>
        <r>
          <rPr>
            <sz val="8"/>
            <color indexed="81"/>
            <rFont val="Tahoma"/>
            <family val="2"/>
          </rPr>
          <t xml:space="preserve">
Included in YRI capex for modeling purposes</t>
        </r>
      </text>
    </comment>
    <comment ref="CH125" authorId="1">
      <text>
        <r>
          <rPr>
            <b/>
            <sz val="8"/>
            <color indexed="81"/>
            <rFont val="Tahoma"/>
            <family val="2"/>
          </rPr>
          <t>Sushama Dasari:</t>
        </r>
        <r>
          <rPr>
            <sz val="8"/>
            <color indexed="81"/>
            <rFont val="Tahoma"/>
            <family val="2"/>
          </rPr>
          <t xml:space="preserve">
</t>
        </r>
        <r>
          <rPr>
            <b/>
            <sz val="8"/>
            <color indexed="81"/>
            <rFont val="Tahoma"/>
            <family val="2"/>
          </rPr>
          <t xml:space="preserve">12.6.12
</t>
        </r>
        <r>
          <rPr>
            <sz val="8"/>
            <color indexed="81"/>
            <rFont val="Tahoma"/>
            <family val="2"/>
          </rPr>
          <t xml:space="preserve">Expect $30M capex in India in FY13:
$25M new company restaurants +
$5M growth /productivity </t>
        </r>
      </text>
    </comment>
    <comment ref="CM125" authorId="7">
      <text>
        <r>
          <rPr>
            <b/>
            <sz val="8"/>
            <color indexed="81"/>
            <rFont val="Tahoma"/>
            <family val="2"/>
          </rPr>
          <t xml:space="preserve">12.04.13
</t>
        </r>
        <r>
          <rPr>
            <sz val="8"/>
            <color indexed="81"/>
            <rFont val="Tahoma"/>
            <family val="2"/>
          </rPr>
          <t>$30M (90% new units, 7% remodels and 3% other)</t>
        </r>
        <r>
          <rPr>
            <sz val="8"/>
            <color indexed="81"/>
            <rFont val="Tahoma"/>
            <family val="2"/>
          </rPr>
          <t xml:space="preserve">
</t>
        </r>
      </text>
    </comment>
    <comment ref="BX129" authorId="1">
      <text>
        <r>
          <rPr>
            <b/>
            <sz val="8"/>
            <color indexed="81"/>
            <rFont val="Tahoma"/>
            <family val="2"/>
          </rPr>
          <t>Sushama Dasari:</t>
        </r>
        <r>
          <rPr>
            <sz val="8"/>
            <color indexed="81"/>
            <rFont val="Tahoma"/>
            <family val="2"/>
          </rPr>
          <t xml:space="preserve">
</t>
        </r>
        <r>
          <rPr>
            <b/>
            <sz val="8"/>
            <color indexed="81"/>
            <rFont val="Tahoma"/>
            <family val="2"/>
          </rPr>
          <t xml:space="preserve">2011 10-K:
</t>
        </r>
        <r>
          <rPr>
            <sz val="8"/>
            <color indexed="81"/>
            <rFont val="Tahoma"/>
            <family val="2"/>
          </rPr>
          <t>During 2011, we invested $940 million in capital spending, including approximately $405 million in China, $256 million in YRI and $279 million in the U.S.  For 2012, we estimate capital spending will be approximately $1 billion.</t>
        </r>
      </text>
    </comment>
    <comment ref="CA129" authorId="1">
      <text>
        <r>
          <rPr>
            <b/>
            <sz val="8"/>
            <color indexed="81"/>
            <rFont val="Tahoma"/>
            <family val="2"/>
          </rPr>
          <t>Sushama Dasari:</t>
        </r>
        <r>
          <rPr>
            <sz val="8"/>
            <color indexed="81"/>
            <rFont val="Tahoma"/>
            <family val="2"/>
          </rPr>
          <t xml:space="preserve">
In the year to date ended September 8, 2012, we invested $678 million in capital spending, including approximately $409 million in China, $158 million in
YRI, $101 million in the U.S., and $10 million in India.</t>
        </r>
      </text>
    </comment>
    <comment ref="CC129" authorId="0">
      <text>
        <r>
          <rPr>
            <b/>
            <sz val="8"/>
            <color indexed="81"/>
            <rFont val="Tahoma"/>
            <family val="2"/>
          </rPr>
          <t xml:space="preserve">Sushama Dasari:
2012 10-K:
</t>
        </r>
        <r>
          <rPr>
            <sz val="8"/>
            <color indexed="81"/>
            <rFont val="Tahoma"/>
            <family val="2"/>
          </rPr>
          <t>During 2012, we invested $1,099 million in capital spending, including $655 million in China, $251 million in YRI, $175 million in the U.S. and $18 million in India.  For 2013, we estimate capital spending will be approximately $1.1 billion.</t>
        </r>
        <r>
          <rPr>
            <b/>
            <sz val="8"/>
            <color indexed="81"/>
            <rFont val="Tahoma"/>
            <family val="2"/>
          </rPr>
          <t xml:space="preserve">
</t>
        </r>
        <r>
          <rPr>
            <b/>
            <sz val="8"/>
            <color indexed="81"/>
            <rFont val="Tahoma"/>
            <family val="2"/>
          </rPr>
          <t>12.6.12</t>
        </r>
        <r>
          <rPr>
            <sz val="8"/>
            <color indexed="81"/>
            <rFont val="Tahoma"/>
            <family val="2"/>
          </rPr>
          <t xml:space="preserve">
Expect $1.1B global capex:
U.S. 19% / Int'l 81%</t>
        </r>
        <r>
          <rPr>
            <b/>
            <sz val="8"/>
            <color indexed="81"/>
            <rFont val="Tahoma"/>
            <family val="2"/>
          </rPr>
          <t xml:space="preserve">
</t>
        </r>
        <r>
          <rPr>
            <sz val="8"/>
            <color indexed="81"/>
            <rFont val="Tahoma"/>
            <family val="2"/>
          </rPr>
          <t xml:space="preserve">
12.5.11
2012 --- Global capital expenditures of approximately $1 billion 
</t>
        </r>
        <r>
          <rPr>
            <b/>
            <sz val="8"/>
            <color indexed="81"/>
            <rFont val="Tahoma"/>
            <family val="2"/>
          </rPr>
          <t>China $450mn</t>
        </r>
        <r>
          <rPr>
            <sz val="8"/>
            <color indexed="81"/>
            <rFont val="Tahoma"/>
            <family val="2"/>
          </rPr>
          <t xml:space="preserve">
New stores 64% = 288mn
Remodels/maintenance 29% = 131mn
Other 7% =31.5mn
</t>
        </r>
        <r>
          <rPr>
            <b/>
            <sz val="8"/>
            <color indexed="81"/>
            <rFont val="Tahoma"/>
            <family val="2"/>
          </rPr>
          <t>YRI $350mn</t>
        </r>
        <r>
          <rPr>
            <sz val="8"/>
            <color indexed="81"/>
            <rFont val="Tahoma"/>
            <family val="2"/>
          </rPr>
          <t xml:space="preserve">
New stores 58% = 203mn
Remodels/maintenance 25% = 87.5mn
Other 17% = 59.5mn
</t>
        </r>
        <r>
          <rPr>
            <b/>
            <sz val="8"/>
            <color indexed="81"/>
            <rFont val="Tahoma"/>
            <family val="2"/>
          </rPr>
          <t>US $200mn</t>
        </r>
        <r>
          <rPr>
            <sz val="8"/>
            <color indexed="81"/>
            <rFont val="Tahoma"/>
            <family val="2"/>
          </rPr>
          <t xml:space="preserve">
New stores 34% = 68mn
Remodels/maintenance 47% = 94mn
Other 19% = 38mn</t>
        </r>
      </text>
    </comment>
    <comment ref="CH129" authorId="1">
      <text>
        <r>
          <rPr>
            <b/>
            <sz val="8"/>
            <color indexed="81"/>
            <rFont val="Tahoma"/>
            <family val="2"/>
          </rPr>
          <t>Sushama Dasari:</t>
        </r>
        <r>
          <rPr>
            <sz val="8"/>
            <color indexed="81"/>
            <rFont val="Tahoma"/>
            <family val="2"/>
          </rPr>
          <t xml:space="preserve">
</t>
        </r>
        <r>
          <rPr>
            <b/>
            <sz val="8"/>
            <color indexed="81"/>
            <rFont val="Tahoma"/>
            <family val="2"/>
          </rPr>
          <t xml:space="preserve">2012 10-K:
</t>
        </r>
        <r>
          <rPr>
            <sz val="8"/>
            <color indexed="81"/>
            <rFont val="Tahoma"/>
            <family val="2"/>
          </rPr>
          <t>For 2013, we estimate capital spending will be approximately $1.1 billion.</t>
        </r>
      </text>
    </comment>
    <comment ref="CU154" authorId="11">
      <text>
        <r>
          <rPr>
            <b/>
            <sz val="9"/>
            <color indexed="81"/>
            <rFont val="Tahoma"/>
            <family val="2"/>
          </rPr>
          <t>Glass, John (Research):</t>
        </r>
        <r>
          <rPr>
            <sz val="9"/>
            <color indexed="81"/>
            <rFont val="Tahoma"/>
            <family val="2"/>
          </rPr>
          <t xml:space="preserve">
Assumes T4Q average of refranchaising proceeds/store 2H15 and 1H16</t>
        </r>
      </text>
    </comment>
  </commentList>
</comments>
</file>

<file path=xl/sharedStrings.xml><?xml version="1.0" encoding="utf-8"?>
<sst xmlns="http://schemas.openxmlformats.org/spreadsheetml/2006/main" count="2222" uniqueCount="1100">
  <si>
    <t>China</t>
  </si>
  <si>
    <t>2Q09A</t>
  </si>
  <si>
    <t>John S. Glass</t>
  </si>
  <si>
    <t>(617) 856-8752</t>
  </si>
  <si>
    <t>John.glass@morganstanley.com</t>
  </si>
  <si>
    <t>Operating EPS</t>
  </si>
  <si>
    <t>2Q14A</t>
  </si>
  <si>
    <t>FX Impact (included in op EPS)</t>
  </si>
  <si>
    <t>3Q05A</t>
  </si>
  <si>
    <t>FCF (CFO less Capex)</t>
  </si>
  <si>
    <t>Rent-Adjusted EV/EBITDAR</t>
  </si>
  <si>
    <t>P/S</t>
  </si>
  <si>
    <t>Rent-Adjusted Debt/EBITDAR</t>
  </si>
  <si>
    <t>FCF Yield</t>
  </si>
  <si>
    <t>Div Yield</t>
  </si>
  <si>
    <t xml:space="preserve">    Equity income from investment in unconsolidated affiliates</t>
  </si>
  <si>
    <t>Actual</t>
  </si>
  <si>
    <t>4Q10A</t>
  </si>
  <si>
    <t>G&amp;A per average systemwide store ($ millions)</t>
  </si>
  <si>
    <t>G&amp;A per average systemwide store ($)</t>
  </si>
  <si>
    <t>Inventory Days</t>
  </si>
  <si>
    <t>A/P Days</t>
  </si>
  <si>
    <t>16wks</t>
  </si>
  <si>
    <t>COGS Y/Y Growth</t>
  </si>
  <si>
    <t>AP Days Y/Y Growth</t>
  </si>
  <si>
    <t>1Q14A</t>
  </si>
  <si>
    <t xml:space="preserve">    Prepaid expenses and other current assets</t>
  </si>
  <si>
    <t xml:space="preserve">    Accounts payable and other current liabilities</t>
  </si>
  <si>
    <t xml:space="preserve">    Income taxes payable</t>
  </si>
  <si>
    <t xml:space="preserve">    Net change in operating working capital</t>
  </si>
  <si>
    <t>Net Cash Provided by Operating Activities</t>
  </si>
  <si>
    <t>Avg. Price - MS estimate ($)</t>
  </si>
  <si>
    <t>Shares Purchased (million shares)</t>
  </si>
  <si>
    <t>Share Count &amp; Repurchase Activity</t>
  </si>
  <si>
    <t>Net Issuance (Repurchase) of common stock</t>
  </si>
  <si>
    <t>Common Dividends</t>
  </si>
  <si>
    <t>Y/Y Growth</t>
  </si>
  <si>
    <t>This sheet contains Factset binary data for use with this workbook's =FDS codes.  Modifying the worksheet's contents may damage the workbook's =FDS functionality.</t>
  </si>
  <si>
    <t>Proceeds from refranchising of restaurants</t>
  </si>
  <si>
    <t>Acquisition of restaurants from franchisees</t>
  </si>
  <si>
    <t>Proceeds from long-term debt</t>
  </si>
  <si>
    <t>Repayments of long-term debt</t>
  </si>
  <si>
    <t>Short-term investments, at cost</t>
  </si>
  <si>
    <t>Accounts and notes receivable</t>
  </si>
  <si>
    <t>Inventories</t>
  </si>
  <si>
    <t>Assets classified as held for sale</t>
  </si>
  <si>
    <t>Prepaid expenses and other current assets</t>
  </si>
  <si>
    <t>Deferred income tax assets</t>
  </si>
  <si>
    <t>Total Current Assets</t>
  </si>
  <si>
    <t xml:space="preserve">      Per New China Company Unit</t>
  </si>
  <si>
    <t xml:space="preserve">      Per New India Company Unit</t>
  </si>
  <si>
    <t>SegmentID</t>
  </si>
  <si>
    <t>ND</t>
  </si>
  <si>
    <t>Cost of Sales (with Depreciation)</t>
  </si>
  <si>
    <t>SG&amp;A + Franchise expense</t>
  </si>
  <si>
    <t>Proceeds from Senior Unsecured Notes</t>
  </si>
  <si>
    <t xml:space="preserve">  Three months or less, net</t>
  </si>
  <si>
    <t>Short-term Debt</t>
  </si>
  <si>
    <t>Unsecured Term Loans, expire Jan '07</t>
  </si>
  <si>
    <t>Current maturities of LT debt</t>
  </si>
  <si>
    <t>2Q13A</t>
  </si>
  <si>
    <t>YUM.N,mscalc:sedolCodeCalc</t>
  </si>
  <si>
    <t>YUM.N,mscalc:closePriceCurrencyCalc</t>
  </si>
  <si>
    <t>YUM.N,mscalc:targetPrice,,,,USD</t>
  </si>
  <si>
    <t>Current shares outstanding</t>
  </si>
  <si>
    <t>Market Cap</t>
  </si>
  <si>
    <t>Current net debt</t>
  </si>
  <si>
    <t>Enterprise Value</t>
  </si>
  <si>
    <t>EV/EBITDA</t>
  </si>
  <si>
    <t>Total COGS</t>
  </si>
  <si>
    <t>Capital Spending Breakdown</t>
  </si>
  <si>
    <t xml:space="preserve">      % U.S. Company Sales</t>
  </si>
  <si>
    <t xml:space="preserve">   Y/Y Change</t>
  </si>
  <si>
    <t>G&amp;A analysis</t>
  </si>
  <si>
    <t>Misc for tagging</t>
  </si>
  <si>
    <t>Reconciliation of special items</t>
  </si>
  <si>
    <t>US. Refranchising gains</t>
  </si>
  <si>
    <t>Pension settlement charges</t>
  </si>
  <si>
    <t>Losses and other costs from LJS and A&amp;W divestiture</t>
  </si>
  <si>
    <t>Other special items</t>
  </si>
  <si>
    <t>Total special items in Operating income</t>
  </si>
  <si>
    <t xml:space="preserve">   Loses related to the extinguishment of debt - Int. ex. Net</t>
  </si>
  <si>
    <t>Total specila items before taxes</t>
  </si>
  <si>
    <t xml:space="preserve">   Tax benefit (expense), net of tax</t>
  </si>
  <si>
    <t>Net special items</t>
  </si>
  <si>
    <t xml:space="preserve">   Special items in noncontrolling interests</t>
  </si>
  <si>
    <t>Net special items = YUM Brands</t>
  </si>
  <si>
    <t>Average diluted shares</t>
  </si>
  <si>
    <t>EPS impact</t>
  </si>
  <si>
    <t>Operating profit before special items</t>
  </si>
  <si>
    <t>Adjusted tax rate</t>
  </si>
  <si>
    <t>Reported tax rate</t>
  </si>
  <si>
    <t>Other B/S data (for tagging)</t>
  </si>
  <si>
    <t>Balance sheet drivers</t>
  </si>
  <si>
    <t>4Q13A</t>
  </si>
  <si>
    <t>2013A</t>
  </si>
  <si>
    <t>Tax rate before special items</t>
  </si>
  <si>
    <t>3Q13A</t>
  </si>
  <si>
    <t>EBITDA (ex-special items)</t>
  </si>
  <si>
    <t xml:space="preserve">Shares Issued (options proceeds) (# millions) </t>
  </si>
  <si>
    <t xml:space="preserve">Shares Issued (options proceeds) ($ millions) </t>
  </si>
  <si>
    <t>Beginning Shares - basic, ending (# millions)</t>
  </si>
  <si>
    <t>Dilution</t>
  </si>
  <si>
    <t>Average basic shares outstanding</t>
  </si>
  <si>
    <t>Average diluted shares outstanding</t>
  </si>
  <si>
    <t xml:space="preserve">   Difference</t>
  </si>
  <si>
    <t>4Q12A</t>
  </si>
  <si>
    <t>2012A</t>
  </si>
  <si>
    <t>Net Debt to TTM EBITDA</t>
  </si>
  <si>
    <t>LTM EBITDA</t>
  </si>
  <si>
    <t>LTM Revenues</t>
  </si>
  <si>
    <t>LTM EBIT</t>
  </si>
  <si>
    <t>LTM AdjustedEBITDA</t>
  </si>
  <si>
    <t>LTM Operating EPS</t>
  </si>
  <si>
    <t>LTM G&amp;A</t>
  </si>
  <si>
    <t>LTM Interest Expense</t>
  </si>
  <si>
    <t>Rent expense (prorated on quarterly revenue)</t>
  </si>
  <si>
    <t>Capitalized Rent (=8x Rent)</t>
  </si>
  <si>
    <t>EBITDAR</t>
  </si>
  <si>
    <t>2005A</t>
  </si>
  <si>
    <t>4Q05A</t>
  </si>
  <si>
    <t>53 wks</t>
  </si>
  <si>
    <t>Company</t>
  </si>
  <si>
    <t xml:space="preserve">    SBC Expense</t>
  </si>
  <si>
    <t>Current Share Count</t>
  </si>
  <si>
    <t>2Q12A</t>
  </si>
  <si>
    <t>2010A</t>
  </si>
  <si>
    <t>LEVERAGE</t>
  </si>
  <si>
    <t>Debt to Capital</t>
  </si>
  <si>
    <t>Interest Coverage (TTM)</t>
  </si>
  <si>
    <t>LT Debt excluding SFAS 133 adjustment</t>
  </si>
  <si>
    <t>Shares outstanding (diluted)</t>
  </si>
  <si>
    <t>Margin Analysis</t>
  </si>
  <si>
    <t>Food and paper as a % of comp. restaurant sales</t>
  </si>
  <si>
    <t>Payroll and benefits as a % of comp. restaurant sales</t>
  </si>
  <si>
    <t>Occupancy as a % of comp. restaurant sales</t>
  </si>
  <si>
    <t>Implied Interest Rate</t>
  </si>
  <si>
    <t>Interest Income</t>
  </si>
  <si>
    <t>Interest Expense, Net</t>
  </si>
  <si>
    <t>Rent expense as % of revenue</t>
  </si>
  <si>
    <t>Short-term borrowings-three months or less, net</t>
  </si>
  <si>
    <t>Repurchase shares of common stock</t>
  </si>
  <si>
    <t>Employee stock option proceeds</t>
  </si>
  <si>
    <t>Net Cash Used in Financing Activities</t>
  </si>
  <si>
    <t>Effect of Exchange Rate on Cash and Cash Equivalents</t>
  </si>
  <si>
    <t>Net Increase in Cash and Cash Equivalents</t>
  </si>
  <si>
    <t>Cash and Cash Equivalents - Beginning of Period</t>
  </si>
  <si>
    <t>Cash and Cash Equivalents - End of Period</t>
  </si>
  <si>
    <t>Cash Flow Analysis</t>
  </si>
  <si>
    <t>Capital expenditures</t>
  </si>
  <si>
    <t xml:space="preserve">  Refranchising proceeds</t>
  </si>
  <si>
    <t xml:space="preserve">  Employee stock options proceeds</t>
  </si>
  <si>
    <t xml:space="preserve">  Sale of PP&amp;E</t>
  </si>
  <si>
    <t>D&amp;A/Sales</t>
  </si>
  <si>
    <t>Yum! Brands (NYSE: YUM)  BALANCE SHEET</t>
  </si>
  <si>
    <t>ASSETS</t>
  </si>
  <si>
    <t/>
  </si>
  <si>
    <t>Statutory tax rate</t>
  </si>
  <si>
    <t>Elmer's Stat tax calculation</t>
  </si>
  <si>
    <t>1Q13A</t>
  </si>
  <si>
    <t>NI/Sales</t>
  </si>
  <si>
    <t>Impairment</t>
  </si>
  <si>
    <t>Capex</t>
  </si>
  <si>
    <t>4Q06A</t>
  </si>
  <si>
    <t>Current Stock Price</t>
  </si>
  <si>
    <t>Current Liabilities</t>
  </si>
  <si>
    <t>Accounts payable and other current liabilities</t>
  </si>
  <si>
    <t>Income taxes payable</t>
  </si>
  <si>
    <t>Investments in Unconsolidated Affiliates</t>
  </si>
  <si>
    <t>Other Assets</t>
  </si>
  <si>
    <t>Total Assets</t>
  </si>
  <si>
    <t>Period end diluted shares outstanding</t>
  </si>
  <si>
    <t>Period end basic shares outstanding</t>
  </si>
  <si>
    <t>61</t>
  </si>
  <si>
    <t xml:space="preserve">    Unusual items (income) expense</t>
  </si>
  <si>
    <t xml:space="preserve">    Other liabilities and deferred credits</t>
  </si>
  <si>
    <t xml:space="preserve">  Payroll and employee benefits</t>
  </si>
  <si>
    <t>Current Assets</t>
  </si>
  <si>
    <t xml:space="preserve">Adjustments to reconcile net income to net cash </t>
  </si>
  <si>
    <t xml:space="preserve">   provided by operating activities:</t>
  </si>
  <si>
    <t xml:space="preserve">    Depreciation and amortization</t>
  </si>
  <si>
    <t>Snapshot</t>
  </si>
  <si>
    <t>Go To:</t>
  </si>
  <si>
    <t>(data in $ millions except EPS &amp; Units)</t>
  </si>
  <si>
    <t>Income Statement</t>
  </si>
  <si>
    <t xml:space="preserve">Revenue </t>
  </si>
  <si>
    <t>Statement of Cash Flows</t>
  </si>
  <si>
    <t>Operating Income</t>
  </si>
  <si>
    <t>Unit Detail</t>
  </si>
  <si>
    <t>Operating Income Growth</t>
  </si>
  <si>
    <t>Same-store Sales</t>
  </si>
  <si>
    <t>Revenue Drivers</t>
  </si>
  <si>
    <t>Operating EPS Growth</t>
  </si>
  <si>
    <t>Segment Details</t>
  </si>
  <si>
    <t>Domestic SSS Growth</t>
  </si>
  <si>
    <t>Total Units</t>
  </si>
  <si>
    <t>Total Unit Growth</t>
  </si>
  <si>
    <t>Yum! Brands, Inc.</t>
  </si>
  <si>
    <t>3Q06A</t>
  </si>
  <si>
    <t>Y/Y Change</t>
  </si>
  <si>
    <t xml:space="preserve">US system sales </t>
  </si>
  <si>
    <t>YRI system sales</t>
  </si>
  <si>
    <t>China Division system sales</t>
  </si>
  <si>
    <t>US</t>
  </si>
  <si>
    <t>Use of FCF:</t>
  </si>
  <si>
    <t>- Dividends</t>
  </si>
  <si>
    <t>- Share repurchase</t>
  </si>
  <si>
    <t>- Debt repayment</t>
  </si>
  <si>
    <t>1Q07A</t>
  </si>
  <si>
    <r>
      <t xml:space="preserve">EPS - operating </t>
    </r>
    <r>
      <rPr>
        <i/>
        <sz val="7"/>
        <rFont val="Arial"/>
        <family val="2"/>
      </rPr>
      <t>(includes option expense in 2005 &amp; beyond)</t>
    </r>
  </si>
  <si>
    <t>1Q06A</t>
  </si>
  <si>
    <t>Closure &amp; impairment expenses</t>
  </si>
  <si>
    <t>2098876</t>
  </si>
  <si>
    <t>Treasury Stock Repurchased ($ millions)</t>
  </si>
  <si>
    <t>Statement of Stockholder's Equity</t>
  </si>
  <si>
    <t>Common Equity Beginning of Period</t>
  </si>
  <si>
    <t>Net Issuance (Repurchase of common stock)</t>
  </si>
  <si>
    <t>AOCI changes</t>
  </si>
  <si>
    <t>Other Changes</t>
  </si>
  <si>
    <t>Common Equity End of Period</t>
  </si>
  <si>
    <t>2008A</t>
  </si>
  <si>
    <t>Operating Income (ex-special items)</t>
  </si>
  <si>
    <t>Operating margin (ex-special items)</t>
  </si>
  <si>
    <t>2005-Q1</t>
  </si>
  <si>
    <t>2005-Q2</t>
  </si>
  <si>
    <t>2005-Q3</t>
  </si>
  <si>
    <t>Effective Interest Expense on Senior Unsecured Notes</t>
  </si>
  <si>
    <t>Interest Expense on CLO</t>
  </si>
  <si>
    <t xml:space="preserve">Interest Rate on Capital Lease Obligations </t>
  </si>
  <si>
    <t>Total Interest Expense</t>
  </si>
  <si>
    <t>G&amp;A as a % of total revenue</t>
  </si>
  <si>
    <t>Operating income</t>
  </si>
  <si>
    <t>2015-FY</t>
  </si>
  <si>
    <t>Net income</t>
  </si>
  <si>
    <t>YEAR/YEAR CHANGE</t>
  </si>
  <si>
    <t>--</t>
  </si>
  <si>
    <t>Company restaurant sales</t>
  </si>
  <si>
    <t>Franchise and license fees</t>
  </si>
  <si>
    <t>Revenue (total)</t>
  </si>
  <si>
    <t>Operating Expenses</t>
  </si>
  <si>
    <t>G&amp;A</t>
  </si>
  <si>
    <t>Pizza Hut same store sales</t>
  </si>
  <si>
    <t>Taco Bell same stores sales</t>
  </si>
  <si>
    <t>KFC same store sales</t>
  </si>
  <si>
    <t>CAPITALIZATION OF OPERATING LEASES</t>
  </si>
  <si>
    <t>Miminum lease payments for restaurants</t>
  </si>
  <si>
    <t xml:space="preserve">Present value of operating leases </t>
  </si>
  <si>
    <t>KFC</t>
  </si>
  <si>
    <t>NA</t>
  </si>
  <si>
    <t>4Q09A</t>
  </si>
  <si>
    <t>2009A</t>
  </si>
  <si>
    <t>1Q11A</t>
  </si>
  <si>
    <t>Excess tax benefit from SBC</t>
  </si>
  <si>
    <t>Actual Interest Expense</t>
  </si>
  <si>
    <t>Pretax income</t>
  </si>
  <si>
    <t>Tax rate</t>
  </si>
  <si>
    <t>Unrecorded Goodwill from Poolings, Write offs and Cumulative Amortization</t>
  </si>
  <si>
    <t>1Q09A</t>
  </si>
  <si>
    <t>Ticker (NYSE): YUM</t>
  </si>
  <si>
    <t>Restricted Cash</t>
  </si>
  <si>
    <t>Increase in restricted cash</t>
  </si>
  <si>
    <t>1Q08A</t>
  </si>
  <si>
    <t>Guidance History</t>
  </si>
  <si>
    <t xml:space="preserve">  </t>
  </si>
  <si>
    <t xml:space="preserve"> </t>
  </si>
  <si>
    <t>Yum! Brands (NYSE: YUM)  INCOME STATEMENT</t>
  </si>
  <si>
    <t>Valuation Information</t>
  </si>
  <si>
    <t>Current stock price</t>
  </si>
  <si>
    <t>Long-term Assets</t>
  </si>
  <si>
    <t>Liabilities</t>
  </si>
  <si>
    <t>Q/Q Change</t>
  </si>
  <si>
    <t>EBITDA Growth</t>
  </si>
  <si>
    <t>LIABILITIES AND SHAREHOLDERS' EQUITY</t>
  </si>
  <si>
    <t>(b) Primarily includes equity income from investments in unconsolidated affiliates.</t>
  </si>
  <si>
    <t xml:space="preserve">    Excess tax benefits from sbc</t>
  </si>
  <si>
    <t>4Q07</t>
  </si>
  <si>
    <t>1999A</t>
  </si>
  <si>
    <t>1Q00A</t>
  </si>
  <si>
    <t xml:space="preserve">      Per New TB Company Unit</t>
  </si>
  <si>
    <t>Advertising cooperative assets, restricted</t>
  </si>
  <si>
    <t>Dividends payable</t>
  </si>
  <si>
    <t>Advertising cooperative liabilities</t>
  </si>
  <si>
    <t>3Q04A</t>
  </si>
  <si>
    <t>Change in AOCI</t>
  </si>
  <si>
    <t>2Q00A</t>
  </si>
  <si>
    <t>3Q00A</t>
  </si>
  <si>
    <t>4Q00A</t>
  </si>
  <si>
    <t>2000A</t>
  </si>
  <si>
    <t>1Q01A</t>
  </si>
  <si>
    <t>2Q01A</t>
  </si>
  <si>
    <t>3Q08A</t>
  </si>
  <si>
    <t>3Q01A</t>
  </si>
  <si>
    <t>4Q01A</t>
  </si>
  <si>
    <t>2001A</t>
  </si>
  <si>
    <t>1Q02A</t>
  </si>
  <si>
    <t>2Q02A</t>
  </si>
  <si>
    <t>3Q02A</t>
  </si>
  <si>
    <t>4Q02A</t>
  </si>
  <si>
    <t>2002A</t>
  </si>
  <si>
    <t>1Q03A</t>
  </si>
  <si>
    <t>2Q03A</t>
  </si>
  <si>
    <t>3Q03A</t>
  </si>
  <si>
    <t>4Q03A</t>
  </si>
  <si>
    <t>2003A</t>
  </si>
  <si>
    <t>4Q04E</t>
  </si>
  <si>
    <t>2004E</t>
  </si>
  <si>
    <t>Change</t>
  </si>
  <si>
    <t>3Q12A</t>
  </si>
  <si>
    <t>SYSTEMWIDE SALES</t>
  </si>
  <si>
    <t>REVENUE</t>
  </si>
  <si>
    <t xml:space="preserve">  Company restaurants</t>
  </si>
  <si>
    <t xml:space="preserve">  Franchise and license fees</t>
  </si>
  <si>
    <t>TOTAL REVENUE</t>
  </si>
  <si>
    <t xml:space="preserve">  Food and paper</t>
  </si>
  <si>
    <t>EBITDA</t>
  </si>
  <si>
    <t>Company restaurant margins</t>
  </si>
  <si>
    <t>3Q11A</t>
  </si>
  <si>
    <t>2017E</t>
  </si>
  <si>
    <t>2018E</t>
  </si>
  <si>
    <t>2005-Q4</t>
  </si>
  <si>
    <t>Payout ratio</t>
  </si>
  <si>
    <t>LTM Income Statement</t>
  </si>
  <si>
    <t>4Q11A</t>
  </si>
  <si>
    <t>2011A</t>
  </si>
  <si>
    <t>YUM.N,mscalc:targetPrice</t>
  </si>
  <si>
    <t>,mscalc:targetPrice,,,,USD</t>
  </si>
  <si>
    <t>,mscalc:closePriceCurrencyCalc</t>
  </si>
  <si>
    <t>,mscalc:sedolCodeCalc</t>
  </si>
  <si>
    <t>$N$2</t>
  </si>
  <si>
    <t>A/R Days</t>
  </si>
  <si>
    <t>Retained Earnings</t>
  </si>
  <si>
    <t>Accumulated other comprehensive income (loss)</t>
  </si>
  <si>
    <t>check</t>
  </si>
  <si>
    <t>Annual Maturities of ST borrowings, LT Debt ex-CLOs</t>
  </si>
  <si>
    <t>as of 12/29/2007</t>
  </si>
  <si>
    <t>Thereafter</t>
  </si>
  <si>
    <t>as of 12/27/2008</t>
  </si>
  <si>
    <t>Senior Unsecured Notes - Maturity Date</t>
  </si>
  <si>
    <t xml:space="preserve">Stated </t>
  </si>
  <si>
    <t>Effective</t>
  </si>
  <si>
    <t>John Glass (617) 856-8752</t>
  </si>
  <si>
    <t>FCF/EV Yield</t>
  </si>
  <si>
    <t>EV/FCF</t>
  </si>
  <si>
    <t>2016-FY</t>
  </si>
  <si>
    <t>2Q10A</t>
  </si>
  <si>
    <t>Sales of property, plant and equipment</t>
  </si>
  <si>
    <t>Other, net</t>
  </si>
  <si>
    <t>Net Cash Used in Investing Activities</t>
  </si>
  <si>
    <t>Cash Flows - Financing Activities</t>
  </si>
  <si>
    <t>Preferred stock, no shares issued</t>
  </si>
  <si>
    <t>Common stock, no par</t>
  </si>
  <si>
    <t xml:space="preserve">    Dist of income received from uncons affiliates</t>
  </si>
  <si>
    <t>Act vs.</t>
  </si>
  <si>
    <t>Est</t>
  </si>
  <si>
    <t>Net Income before NCI</t>
  </si>
  <si>
    <t>UNIT GROWTH</t>
  </si>
  <si>
    <t xml:space="preserve">General and administrative </t>
  </si>
  <si>
    <t>Y/Y %</t>
  </si>
  <si>
    <t>2Q05A</t>
  </si>
  <si>
    <t>Net Increase in Cash and Cash Equivalents of Mainland China for December 2004</t>
  </si>
  <si>
    <t>Total Net Sales</t>
  </si>
  <si>
    <t>4Q04A</t>
  </si>
  <si>
    <t>2004A</t>
  </si>
  <si>
    <t>Currency</t>
  </si>
  <si>
    <t>Facility actions (a)</t>
  </si>
  <si>
    <t>P/E</t>
  </si>
  <si>
    <t>Other (income) expense (b)</t>
  </si>
  <si>
    <t>Total Systemide Sales Growth</t>
  </si>
  <si>
    <t>(a) Facility actions includes store closure costs and asset impairment charges, offset by refranchising gains (losses).</t>
  </si>
  <si>
    <t>Stock-based compensation expense</t>
  </si>
  <si>
    <t>Rent-adjusted Debt/EBITDAR</t>
  </si>
  <si>
    <t>LTM EBITDAR</t>
  </si>
  <si>
    <t>LTM Rent expense</t>
  </si>
  <si>
    <t xml:space="preserve">Food and paper </t>
  </si>
  <si>
    <t xml:space="preserve">Payroll and benefits </t>
  </si>
  <si>
    <t>Income/(Loss) before taxes</t>
  </si>
  <si>
    <t xml:space="preserve">    Facility actions net loss (gain)</t>
  </si>
  <si>
    <t xml:space="preserve">    Wrench litigation</t>
  </si>
  <si>
    <t xml:space="preserve">    Ameriserve</t>
  </si>
  <si>
    <t xml:space="preserve">    Contribution to defined benefit pension plans</t>
  </si>
  <si>
    <t>Rental expense</t>
  </si>
  <si>
    <t>Rent expense, y/y % increase</t>
  </si>
  <si>
    <t>Gross Debt to TTM EBITDA</t>
  </si>
  <si>
    <t>Total SE ex-Non-controlling interests</t>
  </si>
  <si>
    <t>Net Income before non-controlling interest</t>
  </si>
  <si>
    <t>Non-controlling interest</t>
  </si>
  <si>
    <t>Senior, Unsecured Term Loan, due July 2011</t>
  </si>
  <si>
    <t>India Division system sales</t>
  </si>
  <si>
    <t>1Q12A</t>
  </si>
  <si>
    <t xml:space="preserve">    Deferred income taxes</t>
  </si>
  <si>
    <t>3Q10A</t>
  </si>
  <si>
    <t>Total SG&amp;A</t>
  </si>
  <si>
    <t>Total Expenses</t>
  </si>
  <si>
    <t>KFC system sales</t>
  </si>
  <si>
    <t>PH system sales</t>
  </si>
  <si>
    <t>TB system sales</t>
  </si>
  <si>
    <t xml:space="preserve">      % YRI Company Sales</t>
  </si>
  <si>
    <t xml:space="preserve">      % China Company Sales</t>
  </si>
  <si>
    <t>India</t>
  </si>
  <si>
    <t xml:space="preserve">      % India Company Sales</t>
  </si>
  <si>
    <t>LTM CFO</t>
  </si>
  <si>
    <t>LTM Capex</t>
  </si>
  <si>
    <t xml:space="preserve">      Per U.S. Company Unit</t>
  </si>
  <si>
    <t xml:space="preserve">      Per YRI Company Unit</t>
  </si>
  <si>
    <t xml:space="preserve">      Per China Company Unit</t>
  </si>
  <si>
    <t xml:space="preserve">      Per India Company Unit</t>
  </si>
  <si>
    <t>4Q07A</t>
  </si>
  <si>
    <t>2007A</t>
  </si>
  <si>
    <t>Operating margin</t>
  </si>
  <si>
    <t>U.S.</t>
  </si>
  <si>
    <t>FCF Margin</t>
  </si>
  <si>
    <t>Yum! Brands (NYSE: YUM)  CASH FLOW MODEL</t>
  </si>
  <si>
    <t>$ In millions</t>
  </si>
  <si>
    <t>Cash Flows - Operating Activities</t>
  </si>
  <si>
    <t>Net Income</t>
  </si>
  <si>
    <t>Acquisition of Yorkshire Global Restaurants, Inc./OTHER</t>
  </si>
  <si>
    <t>3Q09A</t>
  </si>
  <si>
    <t>Senior, Unsecured Notes, due April 2016</t>
  </si>
  <si>
    <t>Senior, Unsecured Notes, due March 2018</t>
  </si>
  <si>
    <t>Senior, Unsecured Notes, due Nov 2037</t>
  </si>
  <si>
    <t>Capital lease obligations</t>
  </si>
  <si>
    <t>Other, due through 2019 (11%)</t>
  </si>
  <si>
    <t>Less current maturities of LT Debt</t>
  </si>
  <si>
    <t>Derivative instrument adjustment under SFAS 133</t>
  </si>
  <si>
    <t>LT Debt including SFAS 133 adjustment</t>
  </si>
  <si>
    <t>Senior, Unsecured Notes, due July 2012</t>
  </si>
  <si>
    <t>WORLDWIDE SYSTEMWIDE SALES</t>
  </si>
  <si>
    <t>Dupont Return Analysis</t>
  </si>
  <si>
    <t>Plus/minus:</t>
  </si>
  <si>
    <t>Intangible Assets, net</t>
  </si>
  <si>
    <t>2006A</t>
  </si>
  <si>
    <t>Deferred Income taxes</t>
  </si>
  <si>
    <t>Interest Expense</t>
  </si>
  <si>
    <t>Dividend/Share</t>
  </si>
  <si>
    <t>Effective tax rate</t>
  </si>
  <si>
    <t>2Q08A</t>
  </si>
  <si>
    <t>SAME-STORE SALES (System)</t>
  </si>
  <si>
    <t>Cash &amp; equivalents</t>
  </si>
  <si>
    <t>Cash from Operations</t>
  </si>
  <si>
    <t>Free-cash Flow (CFO less capex)</t>
  </si>
  <si>
    <t>BALANCE SHEET DATA</t>
  </si>
  <si>
    <t>CASH FLOW DATA</t>
  </si>
  <si>
    <t>Total Systemwide Sales Growth</t>
  </si>
  <si>
    <t>YRI</t>
  </si>
  <si>
    <t>Unit Growth</t>
  </si>
  <si>
    <t>EPS - nonrecurring (charges)/income</t>
  </si>
  <si>
    <t xml:space="preserve">  Occupancy and other operating expenses</t>
  </si>
  <si>
    <t xml:space="preserve">General and  administrative </t>
  </si>
  <si>
    <t>Franchise and license expenses</t>
  </si>
  <si>
    <t>Facility actions</t>
  </si>
  <si>
    <t>Other (income) expense</t>
  </si>
  <si>
    <t>Refranchisinig net loss (gain)</t>
  </si>
  <si>
    <t>OPERATING INCOME</t>
  </si>
  <si>
    <t>Interest expense, net</t>
  </si>
  <si>
    <t>(Loss)/Income before taxes</t>
  </si>
  <si>
    <t>Income tax provision</t>
  </si>
  <si>
    <t>NET INCOME</t>
  </si>
  <si>
    <t>Facility actions net loss/(gain) - pretax</t>
  </si>
  <si>
    <t>Facility actions net loss/(gain) - net</t>
  </si>
  <si>
    <t>Unallocated</t>
  </si>
  <si>
    <t xml:space="preserve">    Closures &amp; impairment expenses</t>
  </si>
  <si>
    <t xml:space="preserve">    Refranchising (gain) loss</t>
  </si>
  <si>
    <t>Revolving Credit Facility activity, by original maturity:</t>
  </si>
  <si>
    <t>FCF/share (TTM)</t>
  </si>
  <si>
    <t>2Q06A</t>
  </si>
  <si>
    <t>Nonrecurring - pretax (income)</t>
  </si>
  <si>
    <t xml:space="preserve">KFC </t>
  </si>
  <si>
    <t xml:space="preserve">PH </t>
  </si>
  <si>
    <t xml:space="preserve">TB </t>
  </si>
  <si>
    <t>1Q05A</t>
  </si>
  <si>
    <t xml:space="preserve">Count </t>
  </si>
  <si>
    <t>FCF/Share</t>
  </si>
  <si>
    <t>Adjusted EBITDA</t>
  </si>
  <si>
    <t>Net Debt/Adjusted EBITDA</t>
  </si>
  <si>
    <t>Nonrecurring - net</t>
  </si>
  <si>
    <t>EPS - operating</t>
  </si>
  <si>
    <t>EPS - facility actions</t>
  </si>
  <si>
    <t>EPS - nonrecurring</t>
  </si>
  <si>
    <t>EPS - reported</t>
  </si>
  <si>
    <t>Total ST Debt</t>
  </si>
  <si>
    <t>Unsecured International Revolving Credit Facility, expires Nov 2012</t>
  </si>
  <si>
    <t>Payout Ratio</t>
  </si>
  <si>
    <t>John S. Glass, (617) 856-8752</t>
  </si>
  <si>
    <t>EBIT/Sales</t>
  </si>
  <si>
    <t>2Q07A</t>
  </si>
  <si>
    <t>Other Cash Flow (From Operations)</t>
  </si>
  <si>
    <t>Net Disposibles (Acquisitions)</t>
  </si>
  <si>
    <t>Other Cash Flow (From Investing)</t>
  </si>
  <si>
    <t>Changes In LT Debt</t>
  </si>
  <si>
    <t>Net short-term borrowings (payments)</t>
  </si>
  <si>
    <t>Net increase in other liabilities</t>
  </si>
  <si>
    <t>Funds Used to Repurchase Common Stock</t>
  </si>
  <si>
    <t>Cash Dividends Paid</t>
  </si>
  <si>
    <t>Other cash flow</t>
  </si>
  <si>
    <t>1Q16E</t>
  </si>
  <si>
    <t>2Q16E</t>
  </si>
  <si>
    <t>3Q16E</t>
  </si>
  <si>
    <t>4Q16E</t>
  </si>
  <si>
    <t>4Q17E</t>
  </si>
  <si>
    <t>1Q18E</t>
  </si>
  <si>
    <t>2Q18E</t>
  </si>
  <si>
    <t>3Q18E</t>
  </si>
  <si>
    <t>4Q18E</t>
  </si>
  <si>
    <t>1Q19E</t>
  </si>
  <si>
    <t>2Q19E</t>
  </si>
  <si>
    <t>3Q19E</t>
  </si>
  <si>
    <t>4Q19E</t>
  </si>
  <si>
    <t>2019E</t>
  </si>
  <si>
    <t>1Q20E</t>
  </si>
  <si>
    <t>2Q20E</t>
  </si>
  <si>
    <t>3Q20E</t>
  </si>
  <si>
    <t>4Q20E</t>
  </si>
  <si>
    <t>2020E</t>
  </si>
  <si>
    <t>17wks</t>
  </si>
  <si>
    <t>Unsecured Revolving Credit Facility, expires Nov 2012</t>
  </si>
  <si>
    <t>Senior, Unsecured Notes, due May '08</t>
  </si>
  <si>
    <t>Senior, Unsecured Notes, due April 2011</t>
  </si>
  <si>
    <t>Balance Sheet</t>
  </si>
  <si>
    <t>Revenue Growth</t>
  </si>
  <si>
    <t>($MM, EXCEPT PER SHARE AMOUNTS)</t>
  </si>
  <si>
    <t>12 wks</t>
  </si>
  <si>
    <t>16 wks</t>
  </si>
  <si>
    <t>17 wks</t>
  </si>
  <si>
    <t>Fiscal Year Ends: December</t>
  </si>
  <si>
    <t>TB</t>
  </si>
  <si>
    <t>PH</t>
  </si>
  <si>
    <t>Total</t>
  </si>
  <si>
    <t>Other</t>
  </si>
  <si>
    <t>4Q08A</t>
  </si>
  <si>
    <t>Change in Minimum pension liabil</t>
  </si>
  <si>
    <t>Change in For Curr Translation</t>
  </si>
  <si>
    <t>Non-controlling Interest</t>
  </si>
  <si>
    <t xml:space="preserve">    Other non-cash charges and credits, net</t>
  </si>
  <si>
    <t xml:space="preserve">Changes in operating working capital, excluding </t>
  </si>
  <si>
    <t>Short-term investments</t>
  </si>
  <si>
    <t>2Q11A</t>
  </si>
  <si>
    <t>2Q04A</t>
  </si>
  <si>
    <t>Cash Flow from Operations</t>
  </si>
  <si>
    <t>Free Cash Flow</t>
  </si>
  <si>
    <t>Adjusted Free Cash Flow</t>
  </si>
  <si>
    <t>Count</t>
  </si>
  <si>
    <t>USD</t>
  </si>
  <si>
    <t>YUM.N</t>
  </si>
  <si>
    <t>Source:  Company financials and Morgan Stanley Research</t>
  </si>
  <si>
    <t>Long-term Debt</t>
  </si>
  <si>
    <t>Other Liabilities and Deferred Credits</t>
  </si>
  <si>
    <t>Capital spending</t>
  </si>
  <si>
    <t>Short-term borrowings</t>
  </si>
  <si>
    <t>Total Current Liabilities</t>
  </si>
  <si>
    <t>PT/Base Case</t>
  </si>
  <si>
    <t>Deferred Income Taxes</t>
  </si>
  <si>
    <t>Total Liabilities</t>
  </si>
  <si>
    <t>Dividends per share</t>
  </si>
  <si>
    <t>Dividend Yield</t>
  </si>
  <si>
    <t>Assumed appreciation</t>
  </si>
  <si>
    <t>Total Shareholders' Equity</t>
  </si>
  <si>
    <t>Sales/Average Assets</t>
  </si>
  <si>
    <t>Average Assets/Average Equity</t>
  </si>
  <si>
    <t>ROAA</t>
  </si>
  <si>
    <t>ROAE</t>
  </si>
  <si>
    <t>Working capital</t>
  </si>
  <si>
    <t>1Q10A</t>
  </si>
  <si>
    <t>effects of acquisitions and dispositions:</t>
  </si>
  <si>
    <t xml:space="preserve">    Accounts and notes receivable</t>
  </si>
  <si>
    <t xml:space="preserve">    Inventories</t>
  </si>
  <si>
    <t>3Q07A</t>
  </si>
  <si>
    <t>G&amp;A as % of Revs</t>
  </si>
  <si>
    <t>1Q04A</t>
  </si>
  <si>
    <t>Dividend</t>
  </si>
  <si>
    <t>1Q97A</t>
  </si>
  <si>
    <t>2Q97A</t>
  </si>
  <si>
    <t>3Q97A</t>
  </si>
  <si>
    <t>4Q97A</t>
  </si>
  <si>
    <t>1997A</t>
  </si>
  <si>
    <t>1Q98A</t>
  </si>
  <si>
    <t>2Q98A</t>
  </si>
  <si>
    <t>3Q98A</t>
  </si>
  <si>
    <t>4Q98A</t>
  </si>
  <si>
    <t>1998A</t>
  </si>
  <si>
    <t>1Q99A</t>
  </si>
  <si>
    <t>2Q99A</t>
  </si>
  <si>
    <t>3Q99A</t>
  </si>
  <si>
    <t>4Q99A</t>
  </si>
  <si>
    <t>Operating income (ex-special items)</t>
  </si>
  <si>
    <t>Cash Flows - Investing Activities</t>
  </si>
  <si>
    <t>restated</t>
  </si>
  <si>
    <t>Property, Plant and Equipment, net</t>
  </si>
  <si>
    <t xml:space="preserve">Goodwill </t>
  </si>
  <si>
    <t>Working capital ex cash</t>
  </si>
  <si>
    <t>average systemwide stores</t>
  </si>
  <si>
    <t>Dividends</t>
  </si>
  <si>
    <t>3Q14A</t>
  </si>
  <si>
    <t>D&amp;A Growth Y/Y</t>
  </si>
  <si>
    <t>4Q14A</t>
  </si>
  <si>
    <t>Little Sheep Impairment</t>
  </si>
  <si>
    <t>2014A</t>
  </si>
  <si>
    <t>2017-Q1</t>
  </si>
  <si>
    <t>2017-Q2</t>
  </si>
  <si>
    <t>2017-Q3</t>
  </si>
  <si>
    <t>2017-Q4</t>
  </si>
  <si>
    <t>2017-FY</t>
  </si>
  <si>
    <t>Redeemable noncontrolling interst</t>
  </si>
  <si>
    <t>Total Liabilities, Noncontrolling Interest and Shareholders' Equity</t>
  </si>
  <si>
    <t>1Q15A</t>
  </si>
  <si>
    <t>KFC franchise remodels</t>
  </si>
  <si>
    <t>2Q15A</t>
  </si>
  <si>
    <t>3Q15A</t>
  </si>
  <si>
    <t>NET INCOME ADJ FOR CONSENSUS</t>
  </si>
  <si>
    <t>Stores</t>
  </si>
  <si>
    <t>EBITDA Adjustments</t>
  </si>
  <si>
    <t>4Q15A</t>
  </si>
  <si>
    <t>2015A</t>
  </si>
  <si>
    <t xml:space="preserve">Occupancy and Other </t>
  </si>
  <si>
    <t>Company restaurant margin</t>
  </si>
  <si>
    <t>2018-Q1</t>
  </si>
  <si>
    <t>2018-Q2</t>
  </si>
  <si>
    <t>2018-Q3</t>
  </si>
  <si>
    <t>2018-Q4</t>
  </si>
  <si>
    <t>2018-FY</t>
  </si>
  <si>
    <t>1Q16A</t>
  </si>
  <si>
    <t>2Q16A</t>
  </si>
  <si>
    <t>Long Term Debt</t>
  </si>
  <si>
    <t xml:space="preserve">Securitization Notes </t>
  </si>
  <si>
    <t xml:space="preserve">    March 2018 Notes</t>
  </si>
  <si>
    <t xml:space="preserve">    November 2047 Notes</t>
  </si>
  <si>
    <t xml:space="preserve">    September 2019 Notes</t>
  </si>
  <si>
    <t xml:space="preserve">     November 2020 Notes</t>
  </si>
  <si>
    <t xml:space="preserve">    November 2021 Notes</t>
  </si>
  <si>
    <t xml:space="preserve">    November 2023 Notes</t>
  </si>
  <si>
    <t xml:space="preserve">    November 2043 Notes</t>
  </si>
  <si>
    <t xml:space="preserve">    Class A-2-I Notes (May 2046)</t>
  </si>
  <si>
    <t xml:space="preserve">    Class A-2-II Notes (May 2046)</t>
  </si>
  <si>
    <t xml:space="preserve">    Class A-2-III Notes (May 2046)</t>
  </si>
  <si>
    <t xml:space="preserve">     June 2024 Notes</t>
  </si>
  <si>
    <t xml:space="preserve">    June 2026 Notes</t>
  </si>
  <si>
    <t>Term Loan A</t>
  </si>
  <si>
    <t>Term Loan B</t>
  </si>
  <si>
    <t>Revolving</t>
  </si>
  <si>
    <t>Total New Debt (@3.5%)</t>
  </si>
  <si>
    <t xml:space="preserve"> Less debt issuance costs and discounts</t>
  </si>
  <si>
    <t>Less current maturities of long-term debt</t>
  </si>
  <si>
    <t xml:space="preserve">Long-term debt </t>
  </si>
  <si>
    <t>Interest Rate</t>
  </si>
  <si>
    <t>Payment of capital lease obligations</t>
  </si>
  <si>
    <t>Net Transfers from YUM China (NEEDS TO BE TAGGED)</t>
  </si>
  <si>
    <t>Proceeds from Refranchising Restaurants</t>
  </si>
  <si>
    <t># of refranchised restuarants</t>
  </si>
  <si>
    <t>Proceeds from Refranchising Restaurants (ex gain/loss)</t>
  </si>
  <si>
    <t>Refranchsing - YUM Parent</t>
  </si>
  <si>
    <t>Proceeds/store</t>
  </si>
  <si>
    <t xml:space="preserve">      % Total Sales</t>
  </si>
  <si>
    <t xml:space="preserve">      % Company Sales</t>
  </si>
  <si>
    <t>Capital Returned</t>
  </si>
  <si>
    <t>3Q16A</t>
  </si>
  <si>
    <t>Revolving ($1,000 facility)</t>
  </si>
  <si>
    <t>Core Op Profit Growth</t>
  </si>
  <si>
    <t>Total interest (floating debt)</t>
  </si>
  <si>
    <t>G&amp;A as a % of systemwide sales</t>
  </si>
  <si>
    <t>Adj FCF Growth</t>
  </si>
  <si>
    <t>EBITDA (ex-special items) Growth</t>
  </si>
  <si>
    <t>Const Ccy Systemwide Sales Growth (MS ests)</t>
  </si>
  <si>
    <t>Core Op Profit (ex item, ex F/X)</t>
  </si>
  <si>
    <t>Actual Const Ccy Systemwide Sales Growth</t>
  </si>
  <si>
    <t>2019-Q1</t>
  </si>
  <si>
    <t>2019-Q2</t>
  </si>
  <si>
    <t>2019-Q3</t>
  </si>
  <si>
    <t>2019-Q4</t>
  </si>
  <si>
    <t>2019-FY</t>
  </si>
  <si>
    <t>1Q15PF</t>
  </si>
  <si>
    <t>2Q15PF</t>
  </si>
  <si>
    <t>3Q15PF</t>
  </si>
  <si>
    <t>1Q16PF</t>
  </si>
  <si>
    <t>2Q16PF</t>
  </si>
  <si>
    <t>3Q16PF</t>
  </si>
  <si>
    <t xml:space="preserve">Parent Company Investment </t>
  </si>
  <si>
    <t>Capital Lease Obligations</t>
  </si>
  <si>
    <t>SHADED = OLD YUM HISTORICAL  (includes China, not comaprable with '13 and beyond)</t>
  </si>
  <si>
    <t>United States</t>
  </si>
  <si>
    <t>NET INCOME FROM CONTINUING OPS</t>
  </si>
  <si>
    <t>Income from Discontinued Operations</t>
  </si>
  <si>
    <t>EPS - Discontinued Operations</t>
  </si>
  <si>
    <t>Noncash charges associated with SBC</t>
  </si>
  <si>
    <t>4Q16A</t>
  </si>
  <si>
    <t>Core Operating Profit</t>
  </si>
  <si>
    <t>Refranchising Initiatives</t>
  </si>
  <si>
    <t>FX Impact on Reported Operating Profit</t>
  </si>
  <si>
    <t xml:space="preserve">  G&amp;A ex items</t>
  </si>
  <si>
    <t>2016A</t>
  </si>
  <si>
    <t>GREEN =MS PF ESTIMATES  (POST-SPIN, not comparable with '12 and earlier); NOT PROVIDED BY COMPANY</t>
  </si>
  <si>
    <t>Other pension (income) expense</t>
  </si>
  <si>
    <t>Costs Associated with KFC US Acceleration Agreement</t>
  </si>
  <si>
    <r>
      <t>(</t>
    </r>
    <r>
      <rPr>
        <i/>
        <sz val="8"/>
        <rFont val="Arial"/>
        <family val="2"/>
      </rPr>
      <t>$ in millions, except per share amounts</t>
    </r>
    <r>
      <rPr>
        <b/>
        <i/>
        <sz val="8"/>
        <rFont val="Arial"/>
        <family val="2"/>
      </rPr>
      <t>)</t>
    </r>
  </si>
  <si>
    <t>Deferred vested pension liability adjustment</t>
  </si>
  <si>
    <t>1Q17A</t>
  </si>
  <si>
    <t>Cash and cash equivalents + Restricted cash (for modelware)</t>
  </si>
  <si>
    <t>2021E</t>
  </si>
  <si>
    <t>2022E</t>
  </si>
  <si>
    <t>QUARTERLIES IN 2016 RESTATED BY COMPANY INCLUDING CALENDAR CHANGE + CHINA RESTATEMENT</t>
  </si>
  <si>
    <t>1Q21E</t>
  </si>
  <si>
    <t>2Q21E</t>
  </si>
  <si>
    <t>3Q21E</t>
  </si>
  <si>
    <t>4Q21E</t>
  </si>
  <si>
    <t>1Q22E</t>
  </si>
  <si>
    <t>2Q22E</t>
  </si>
  <si>
    <t>3Q22E</t>
  </si>
  <si>
    <t>4Q22E</t>
  </si>
  <si>
    <t>D&amp;A per company sales</t>
  </si>
  <si>
    <t>D&amp;A Per company unit</t>
  </si>
  <si>
    <t xml:space="preserve">    June 2027 Notes</t>
  </si>
  <si>
    <t xml:space="preserve">    Class A-2-I Notes (May 2046) - TB Fixed Securitization</t>
  </si>
  <si>
    <t xml:space="preserve">    Class A-2-II Notes (May 2046) - TB Fixed Securitization</t>
  </si>
  <si>
    <t xml:space="preserve">    Class A-2-III Notes (May 2046) - TB Fixed Securitization</t>
  </si>
  <si>
    <t>Total New Debt (@4%)</t>
  </si>
  <si>
    <t>New Debt</t>
  </si>
  <si>
    <t>2Q17A</t>
  </si>
  <si>
    <t>Op Income in constant currency (MS est)</t>
  </si>
  <si>
    <t>Costs Associated with PH US Acceleration Agreement</t>
  </si>
  <si>
    <t>Current</t>
  </si>
  <si>
    <t>Prior</t>
  </si>
  <si>
    <t>Diff.</t>
  </si>
  <si>
    <t>3Q17A</t>
  </si>
  <si>
    <t>YUM's Strategic Transformation Initiatives</t>
  </si>
  <si>
    <t>(617) 856-8750</t>
  </si>
  <si>
    <t>Chris Carril</t>
  </si>
  <si>
    <t>christopher.carril@morganstanley.com</t>
  </si>
  <si>
    <t xml:space="preserve">FCF </t>
  </si>
  <si>
    <t>FCF per share</t>
  </si>
  <si>
    <t>Per store</t>
  </si>
  <si>
    <t>% systemwide sales (ex items)</t>
  </si>
  <si>
    <t>4Q17A</t>
  </si>
  <si>
    <t>2017A</t>
  </si>
  <si>
    <t>92</t>
  </si>
  <si>
    <t>MSA12568</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</si>
  <si>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</si>
  <si>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</si>
  <si>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</si>
  <si>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</si>
  <si>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</si>
  <si>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</si>
  <si>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</si>
  <si>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John Glass</t>
  </si>
  <si>
    <t>Date: 16 Apr 2018</t>
  </si>
  <si>
    <t>Ticker: YUM.N</t>
  </si>
  <si>
    <t>Stock Rating: Equal-Weight</t>
  </si>
  <si>
    <t>Industry: Restaurants</t>
  </si>
  <si>
    <t>Industry View: In-Line</t>
  </si>
  <si>
    <t>Price as of 16 Apr 2018: 86.43</t>
  </si>
  <si>
    <t>Target Price: 92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</si>
  <si>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</si>
  <si>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</si>
  <si>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</si>
  <si>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</si>
  <si>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Yum! Brands,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</si>
  <si>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</si>
  <si>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</si>
  <si>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</si>
  <si>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</si>
  <si>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</si>
  <si>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</si>
  <si>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</si>
  <si>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</si>
  <si>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</si>
  <si>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</si>
  <si>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</si>
  <si>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</si>
  <si>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</si>
  <si>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</si>
  <si>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</si>
  <si>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</si>
  <si>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</si>
  <si>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</si>
  <si>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</si>
  <si>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</si>
  <si>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</si>
  <si>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</si>
  <si>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</si>
  <si>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</si>
  <si>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</si>
  <si>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</si>
  <si>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</si>
  <si>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</si>
  <si>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</si>
  <si>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</si>
  <si>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</si>
  <si>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</si>
  <si>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</si>
  <si>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</si>
  <si>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</si>
  <si>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</si>
  <si>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</si>
  <si>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</si>
  <si>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</si>
  <si>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</si>
  <si>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</si>
  <si>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</si>
  <si>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</si>
  <si>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</si>
  <si>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</si>
  <si>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</si>
  <si>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</si>
  <si>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</si>
  <si>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</si>
  <si>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</si>
  <si>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</si>
  <si>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</si>
  <si>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</si>
  <si>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</si>
  <si>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</si>
  <si>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</si>
  <si>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</si>
  <si>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</si>
  <si>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</si>
  <si>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</si>
  <si>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</si>
  <si>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</si>
  <si>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</si>
  <si>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</si>
  <si>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</si>
  <si>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</si>
  <si>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</si>
  <si>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</si>
  <si>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</si>
  <si>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</si>
  <si>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</si>
  <si>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</si>
  <si>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</si>
  <si>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</si>
  <si>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</si>
  <si>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</si>
  <si>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</si>
  <si>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</si>
  <si>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</si>
  <si>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</si>
  <si>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</si>
  <si>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</si>
  <si>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</si>
  <si>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</si>
  <si>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</si>
  <si>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</si>
  <si>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</si>
  <si>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</si>
  <si>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</si>
  <si>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</si>
  <si>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</si>
  <si>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</si>
  <si>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</si>
  <si>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</si>
  <si>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</si>
  <si>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</si>
  <si>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</si>
  <si>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</si>
  <si>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</si>
  <si>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</si>
  <si>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</si>
  <si>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</si>
  <si>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</si>
  <si>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</si>
  <si>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</si>
  <si>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</si>
  <si>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</si>
  <si>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</si>
  <si>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</si>
  <si>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</si>
  <si>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</si>
  <si>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</si>
  <si>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</si>
  <si>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</si>
  <si>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</si>
  <si>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</si>
  <si>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</si>
  <si>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</si>
  <si>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</si>
  <si>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</si>
  <si>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</si>
  <si>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</si>
  <si>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</si>
  <si>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</si>
  <si>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</si>
  <si>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</si>
  <si>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</si>
  <si>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</si>
  <si>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</si>
  <si>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</si>
  <si>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</si>
  <si>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</si>
  <si>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</si>
  <si>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</si>
  <si>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</si>
  <si>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</si>
  <si>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</si>
  <si>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</si>
  <si>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</si>
  <si>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</si>
  <si>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</si>
  <si>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</si>
  <si>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</si>
  <si>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</si>
  <si>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</si>
  <si>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</si>
  <si>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</si>
  <si>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</si>
  <si>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</si>
  <si>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</si>
  <si>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</si>
  <si>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</si>
  <si>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</si>
  <si>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</si>
  <si>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</si>
  <si>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</si>
  <si>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</si>
  <si>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</si>
  <si>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</si>
  <si>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</si>
  <si>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</si>
  <si>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</si>
  <si>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</si>
  <si>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</si>
  <si>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</si>
  <si>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</si>
  <si>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</si>
  <si>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</si>
  <si>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</si>
  <si>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</si>
  <si>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</si>
  <si>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</si>
  <si>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</si>
  <si>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</si>
  <si>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</si>
  <si>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</si>
  <si>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Yum! Brands,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</si>
  <si>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</si>
  <si>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</si>
  <si>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</si>
  <si>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</si>
  <si>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</si>
  <si>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</si>
  <si>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</si>
  <si>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</si>
  <si>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</si>
  <si>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</si>
  <si>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</si>
  <si>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</si>
  <si>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</si>
  <si>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</si>
  <si>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</si>
  <si>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</si>
  <si>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</si>
  <si>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</si>
  <si>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</si>
  <si>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</si>
  <si>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</si>
  <si>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</si>
  <si>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</si>
  <si>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</si>
  <si>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</si>
  <si>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</si>
  <si>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</si>
  <si>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</si>
  <si>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</si>
  <si>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</si>
  <si>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</si>
  <si>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</si>
  <si>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</si>
  <si>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</si>
  <si>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</si>
  <si>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</si>
  <si>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</si>
  <si>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</si>
  <si>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</si>
  <si>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</si>
  <si>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</si>
  <si>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</si>
  <si>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</si>
  <si>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</si>
  <si>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</si>
  <si>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</si>
  <si>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</si>
  <si>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</si>
  <si>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</si>
  <si>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</si>
  <si>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</si>
  <si>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</si>
  <si>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</si>
  <si>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</si>
  <si>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</si>
  <si>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</si>
  <si>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</si>
  <si>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</si>
  <si>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</si>
  <si>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</si>
  <si>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</si>
  <si>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</si>
  <si>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</si>
  <si>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</si>
  <si>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</si>
  <si>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</si>
  <si>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</si>
  <si>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</si>
  <si>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Yum! Brands, Inc..</t>
  </si>
  <si>
    <t>Within the last 12 months, Morgan Stanley has provided or is providing investment banking services to,</t>
  </si>
  <si>
    <t>or has an investment banking client relationship with, the following company: Yum! Brands, Inc..</t>
  </si>
  <si>
    <t>Within the last 12 months, Morgan Stanley has received compensation for products and services other than</t>
  </si>
  <si>
    <t>investment banking services from Yum! Brands, Inc..</t>
  </si>
  <si>
    <t>In the next 3 months, Morgan Stanley expects to receive or intends to seek compensation for investment</t>
  </si>
  <si>
    <t>banking services from Yum! Brands, Inc..</t>
  </si>
  <si>
    <t>Within the last 12 months, Morgan Stanley has received compensation for investment banking services from</t>
  </si>
  <si>
    <t>Yum! Brands, Inc..</t>
  </si>
  <si>
    <t>Within the last 12 months, Morgan Stanley managed or co-managed a public offering (or 144A offering) of</t>
  </si>
  <si>
    <t>securities of Yum! Brands,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</si>
  <si>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</si>
  <si>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</si>
  <si>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</si>
  <si>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</si>
  <si>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</si>
  <si>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John Glass.</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</si>
  <si>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</si>
  <si>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</si>
  <si>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</si>
  <si>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</si>
  <si>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</si>
  <si>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</si>
  <si>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</si>
  <si>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</si>
  <si>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</si>
  <si>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</si>
  <si>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</si>
  <si>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</si>
  <si>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</si>
  <si>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</si>
  <si>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</si>
  <si>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</si>
  <si>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</si>
  <si>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</si>
  <si>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</si>
  <si>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</si>
  <si>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</si>
  <si>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</si>
  <si>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</si>
  <si>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</si>
  <si>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</si>
  <si>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</si>
  <si>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</si>
  <si>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</si>
  <si>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</si>
  <si>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</si>
  <si>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</si>
  <si>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</si>
  <si>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</si>
  <si>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</si>
  <si>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</si>
  <si>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</si>
  <si>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</si>
  <si>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</si>
  <si>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</si>
  <si>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</si>
  <si>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</si>
  <si>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</si>
  <si>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</si>
  <si>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</si>
  <si>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</si>
  <si>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</si>
  <si>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</si>
  <si>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</si>
  <si>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</si>
  <si>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</si>
  <si>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</si>
  <si>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</si>
  <si>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</si>
  <si>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</si>
  <si>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</si>
  <si>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</si>
  <si>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</si>
  <si>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</si>
  <si>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</si>
  <si>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</si>
  <si>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</si>
  <si>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</si>
  <si>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</si>
  <si>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</si>
  <si>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</si>
  <si>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</si>
  <si>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</si>
  <si>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</si>
  <si>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</si>
  <si>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</si>
  <si>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carrichr</t>
  </si>
  <si>
    <t>L:\RESTAURANTS\Restaurant\MODELS\YUM - MS.xlsm</t>
  </si>
  <si>
    <t>[BRO MSA]</t>
  </si>
  <si>
    <t>[PRODUCT MODEL]</t>
  </si>
  <si>
    <t>[EMAIL_ALERT YES]</t>
  </si>
  <si>
    <t>[DISCIPLINE Company]</t>
  </si>
  <si>
    <t>[SUPPRESSED NO]</t>
  </si>
  <si>
    <t>[DOCDAT 2018-04-16]</t>
  </si>
  <si>
    <t>[DOCTIME 10:28]</t>
  </si>
  <si>
    <t>[PSYM YUM.N(S&amp;P) (None)]</t>
  </si>
  <si>
    <t>[COU 1]</t>
  </si>
  <si>
    <t>[ANA ]</t>
  </si>
  <si>
    <t>[HL YUM.N Model]</t>
  </si>
  <si>
    <t>[IND RESTLG]</t>
  </si>
  <si>
    <t>[PANA MSA12568]</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</si>
</sst>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5" formatCode="&quot;$&quot;#,##0_);\(&quot;$&quot;#,##0\)"/>
    <numFmt numFmtId="6" formatCode="&quot;$&quot;#,##0_);[Red]\(&quot;$&quot;#,##0\)"/>
    <numFmt numFmtId="7" formatCode="&quot;$&quot;#,##0.00_);\(&quot;$&quot;#,##0.00\)"/>
    <numFmt numFmtId="41" formatCode="_(* #,##0_);_(* \(#,##0\);_(* &quot;-&quot;_);_(@_)"/>
    <numFmt numFmtId="44" formatCode="_(&quot;$&quot;* #,##0.00_);_(&quot;$&quot;* \(#,##0.00\);_(&quot;$&quot;* &quot;-&quot;??_);_(@_)"/>
    <numFmt numFmtId="43" formatCode="_(* #,##0.00_);_(* \(#,##0.00\);_(* &quot;-&quot;??_);_(@_)"/>
    <numFmt numFmtId="164" formatCode="_(* #,##0.0_);_(* \(#,##0.0\);_(* &quot;-&quot;??_);_(@_)"/>
    <numFmt numFmtId="165" formatCode="_(* #,##0_);_(* \(#,##0\);_(* &quot;-&quot;??_);_(@_)"/>
    <numFmt numFmtId="166" formatCode="0.0%"/>
    <numFmt numFmtId="167" formatCode="#,##0.0_);\(#,##0.0\)"/>
    <numFmt numFmtId="169" formatCode="0.0000"/>
    <numFmt numFmtId="170" formatCode="&quot;$&quot;#,##0"/>
    <numFmt numFmtId="171" formatCode="0.0"/>
    <numFmt numFmtId="172" formatCode="&quot;$&quot;#,##0.00"/>
    <numFmt numFmtId="174" formatCode="0_);\(0\)"/>
    <numFmt numFmtId="175" formatCode="0.0\X"/>
    <numFmt numFmtId="176" formatCode="_(* #,##0.0_);_(* \(#,##0.0\);_(* &quot;-&quot;?_);_(@_)"/>
    <numFmt numFmtId="177" formatCode="_(* #,##0.000_);_(* \(#,##0.000\);_(* &quot;-&quot;??_);_(@_)"/>
    <numFmt numFmtId="179" formatCode="&quot;$&quot;#,##0.000"/>
    <numFmt numFmtId="180" formatCode="_(&quot;$&quot;* #,##0.0_);_(&quot;$&quot;* \(#,##0.0\);_(&quot;$&quot;* &quot;-&quot;?_);_(@_)"/>
    <numFmt numFmtId="181" formatCode="&quot;$&quot;#,##0.0"/>
    <numFmt numFmtId="182" formatCode="_(&quot;$&quot;* #,##0.0000_);_(&quot;$&quot;* \(#,##0.0000\);_(&quot;$&quot;* &quot;-&quot;??_);_(@_)"/>
    <numFmt numFmtId="183" formatCode="0.00\X"/>
    <numFmt numFmtId="192" formatCode="[$-409]mmm\-yy;@"/>
    <numFmt numFmtId="202" formatCode="0.0\x"/>
    <numFmt numFmtId="203" formatCode="&quot;$&quot;#,##0.000_);\(&quot;$&quot;#,##0.000\)"/>
    <numFmt numFmtId="205" formatCode="0.00\x"/>
    <numFmt numFmtId="206" formatCode="[&lt;0]\(0.0%\);0.0%"/>
    <numFmt numFmtId="208" formatCode="0&quot;bps&quot;"/>
    <numFmt numFmtId="210" formatCode="#,##0\ &quot;DM&quot;;[Red]\-#,##0\ &quot;DM&quot;"/>
    <numFmt numFmtId="211" formatCode="#,##0.00\ &quot;DM&quot;;[Red]\-#,##0.00\ &quot;DM&quot;"/>
    <numFmt numFmtId="212" formatCode="_(* #,##0_);_(* \(#,##0\);_(* &quot;-&quot;?_);_(@_)"/>
    <numFmt numFmtId="220" formatCode="mm/dd/yy\ hh:mm"/>
  </numFmts>
  <fonts count="93" x14ac:knownFonts="1">
    <font>
      <sz val="10"/>
      <name val="Arial"/>
    </font>
    <font>
      <sz val="9"/>
      <name val="Times New Roman"/>
      <family val="1"/>
    </font>
    <font>
      <sz val="8"/>
      <name val="Arial"/>
      <family val="2"/>
    </font>
    <font>
      <sz val="10"/>
      <name val="Arial"/>
      <family val="2"/>
    </font>
    <font>
      <sz val="8"/>
      <color indexed="12"/>
      <name val="Arial"/>
      <family val="2"/>
    </font>
    <font>
      <sz val="10"/>
      <name val="Arial"/>
      <family val="2"/>
    </font>
    <font>
      <u/>
      <sz val="10"/>
      <color indexed="12"/>
      <name val="Arial Narrow"/>
      <family val="2"/>
    </font>
    <font>
      <sz val="12"/>
      <color indexed="8"/>
      <name val="Tms Rmn"/>
    </font>
    <font>
      <sz val="12"/>
      <color indexed="8"/>
      <name val="Times New Roman"/>
      <family val="1"/>
    </font>
    <font>
      <sz val="8"/>
      <name val="Arial"/>
      <family val="2"/>
    </font>
    <font>
      <b/>
      <sz val="8"/>
      <name val="Arial"/>
      <family val="2"/>
    </font>
    <font>
      <sz val="8"/>
      <color indexed="8"/>
      <name val="Arial"/>
      <family val="2"/>
    </font>
    <font>
      <sz val="6"/>
      <name val="Arial"/>
      <family val="2"/>
    </font>
    <font>
      <sz val="8"/>
      <color indexed="9"/>
      <name val="Arial"/>
      <family val="2"/>
    </font>
    <font>
      <b/>
      <sz val="8"/>
      <color indexed="9"/>
      <name val="Arial"/>
      <family val="2"/>
    </font>
    <font>
      <b/>
      <sz val="8"/>
      <color indexed="8"/>
      <name val="Arial"/>
      <family val="2"/>
    </font>
    <font>
      <b/>
      <sz val="8"/>
      <color indexed="12"/>
      <name val="Arial"/>
      <family val="2"/>
    </font>
    <font>
      <u val="singleAccounting"/>
      <sz val="8"/>
      <name val="Arial"/>
      <family val="2"/>
    </font>
    <font>
      <u/>
      <sz val="8"/>
      <name val="Arial"/>
      <family val="2"/>
    </font>
    <font>
      <u/>
      <sz val="8"/>
      <color indexed="12"/>
      <name val="Arial"/>
      <family val="2"/>
    </font>
    <font>
      <u val="singleAccounting"/>
      <sz val="8"/>
      <color indexed="8"/>
      <name val="Arial"/>
      <family val="2"/>
    </font>
    <font>
      <sz val="8"/>
      <color indexed="48"/>
      <name val="Arial"/>
      <family val="2"/>
    </font>
    <font>
      <i/>
      <sz val="8"/>
      <name val="Arial"/>
      <family val="2"/>
    </font>
    <font>
      <sz val="8"/>
      <color indexed="81"/>
      <name val="Tahoma"/>
      <family val="2"/>
    </font>
    <font>
      <b/>
      <sz val="8"/>
      <color indexed="81"/>
      <name val="Tahoma"/>
      <family val="2"/>
    </font>
    <font>
      <i/>
      <sz val="8"/>
      <color indexed="12"/>
      <name val="Arial"/>
      <family val="2"/>
    </font>
    <font>
      <sz val="8"/>
      <color indexed="10"/>
      <name val="Arial"/>
      <family val="2"/>
    </font>
    <font>
      <i/>
      <sz val="8"/>
      <color indexed="8"/>
      <name val="Arial"/>
      <family val="2"/>
    </font>
    <font>
      <b/>
      <i/>
      <sz val="8"/>
      <name val="Arial"/>
      <family val="2"/>
    </font>
    <font>
      <b/>
      <i/>
      <sz val="8"/>
      <color indexed="8"/>
      <name val="Arial"/>
      <family val="2"/>
    </font>
    <font>
      <b/>
      <sz val="10"/>
      <name val="Arial"/>
      <family val="2"/>
    </font>
    <font>
      <i/>
      <sz val="7"/>
      <name val="Arial"/>
      <family val="2"/>
    </font>
    <font>
      <sz val="9"/>
      <color indexed="81"/>
      <name val="Tahoma"/>
      <family val="2"/>
    </font>
    <font>
      <b/>
      <sz val="9"/>
      <color indexed="81"/>
      <name val="Tahoma"/>
      <family val="2"/>
    </font>
    <font>
      <b/>
      <sz val="14"/>
      <name val="Arial"/>
      <family val="2"/>
    </font>
    <font>
      <u/>
      <sz val="8"/>
      <color indexed="12"/>
      <name val="Arial Narrow"/>
      <family val="2"/>
    </font>
    <font>
      <b/>
      <u/>
      <sz val="10"/>
      <color indexed="12"/>
      <name val="Arial Narrow"/>
      <family val="2"/>
    </font>
    <font>
      <b/>
      <sz val="12"/>
      <name val="Arial"/>
      <family val="2"/>
    </font>
    <font>
      <sz val="10"/>
      <name val="MS Sans Serif"/>
      <family val="2"/>
    </font>
    <font>
      <sz val="11"/>
      <name val="Arial"/>
      <family val="2"/>
    </font>
    <font>
      <sz val="9"/>
      <name val="Times New Roman"/>
      <family val="1"/>
    </font>
    <font>
      <b/>
      <sz val="8"/>
      <name val="Arial"/>
      <family val="2"/>
    </font>
    <font>
      <b/>
      <sz val="10"/>
      <color indexed="8"/>
      <name val="Times New Roman"/>
      <family val="1"/>
    </font>
    <font>
      <sz val="10"/>
      <color indexed="8"/>
      <name val="Times New Roman"/>
      <family val="1"/>
    </font>
    <font>
      <i/>
      <sz val="8"/>
      <name val="Times New Roman"/>
      <family val="1"/>
    </font>
    <font>
      <sz val="12"/>
      <name val="Arial"/>
      <family val="2"/>
    </font>
    <font>
      <sz val="12"/>
      <color indexed="9"/>
      <name val="Arial"/>
      <family val="2"/>
    </font>
    <font>
      <sz val="10"/>
      <name val="Tahoma"/>
      <family val="2"/>
    </font>
    <font>
      <sz val="10"/>
      <color indexed="8"/>
      <name val="Arial"/>
      <family val="2"/>
    </font>
    <font>
      <i/>
      <sz val="10"/>
      <name val="Arial"/>
      <family val="2"/>
    </font>
    <font>
      <u/>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i/>
      <u val="singleAccounting"/>
      <sz val="8"/>
      <name val="Arial"/>
      <family val="2"/>
    </font>
    <font>
      <sz val="10"/>
      <color indexed="8"/>
      <name val="Arial"/>
      <family val="2"/>
    </font>
    <font>
      <sz val="8"/>
      <color indexed="8"/>
      <name val="Arial"/>
      <family val="2"/>
    </font>
    <font>
      <b/>
      <sz val="8"/>
      <color indexed="8"/>
      <name val="Arial"/>
      <family val="2"/>
    </font>
    <font>
      <i/>
      <sz val="8"/>
      <color indexed="8"/>
      <name val="Arial"/>
      <family val="2"/>
    </font>
    <font>
      <u/>
      <sz val="8"/>
      <color indexed="8"/>
      <name val="Arial"/>
      <family val="2"/>
    </font>
    <font>
      <sz val="12"/>
      <color indexed="8"/>
      <name val="Arial"/>
      <family val="2"/>
    </font>
    <font>
      <sz val="10"/>
      <color theme="1"/>
      <name val="Arial"/>
      <family val="2"/>
    </font>
    <font>
      <b/>
      <i/>
      <sz val="8"/>
      <color theme="1"/>
      <name val="Arial"/>
      <family val="2"/>
    </font>
    <font>
      <b/>
      <sz val="8"/>
      <color theme="1"/>
      <name val="Arial"/>
      <family val="2"/>
    </font>
    <font>
      <sz val="8"/>
      <color theme="1"/>
      <name val="Arial"/>
      <family val="2"/>
    </font>
    <font>
      <sz val="12"/>
      <color theme="1"/>
      <name val="Arial"/>
      <family val="2"/>
    </font>
    <font>
      <u/>
      <sz val="8"/>
      <color theme="1"/>
      <name val="Arial"/>
      <family val="2"/>
    </font>
    <font>
      <i/>
      <sz val="8"/>
      <color theme="1"/>
      <name val="Arial"/>
      <family val="2"/>
    </font>
    <font>
      <i/>
      <sz val="8"/>
      <color rgb="FF0000FF"/>
      <name val="Arial"/>
      <family val="2"/>
    </font>
    <font>
      <sz val="8"/>
      <color rgb="FF0000FF"/>
      <name val="Arial"/>
      <family val="2"/>
    </font>
    <font>
      <u val="singleAccounting"/>
      <sz val="8"/>
      <color theme="1"/>
      <name val="Arial"/>
      <family val="2"/>
    </font>
    <font>
      <b/>
      <sz val="8"/>
      <color rgb="FF0000FF"/>
      <name val="Arial"/>
      <family val="2"/>
    </font>
    <font>
      <i/>
      <u val="singleAccounting"/>
      <sz val="8"/>
      <color indexed="8"/>
      <name val="Arial"/>
      <family val="2"/>
    </font>
    <font>
      <b/>
      <sz val="8"/>
      <color indexed="48"/>
      <name val="Arial"/>
      <family val="2"/>
    </font>
    <font>
      <u/>
      <sz val="10"/>
      <color theme="10"/>
      <name val="Arial"/>
      <family val="2"/>
    </font>
    <font>
      <u/>
      <sz val="8"/>
      <color theme="10"/>
      <name val="Arial Narrow"/>
      <family val="2"/>
    </font>
    <font>
      <sz val="10"/>
      <name val="Courier"/>
      <family val="3"/>
    </font>
    <font>
      <sz val="10"/>
      <color rgb="FF000000"/>
      <name val="Arial"/>
      <family val="2"/>
    </font>
    <font>
      <b/>
      <sz val="12"/>
      <color rgb="FF000080"/>
      <name val="Arial"/>
      <family val="2"/>
    </font>
  </fonts>
  <fills count="24">
    <fill>
      <patternFill patternType="none"/>
    </fill>
    <fill>
      <patternFill patternType="gray125"/>
    </fill>
    <fill>
      <patternFill patternType="solid">
        <fgColor indexed="27"/>
      </patternFill>
    </fill>
    <fill>
      <patternFill patternType="solid">
        <fgColor indexed="47"/>
      </patternFill>
    </fill>
    <fill>
      <patternFill patternType="solid">
        <fgColor indexed="29"/>
      </patternFill>
    </fill>
    <fill>
      <patternFill patternType="solid">
        <fgColor indexed="9"/>
      </patternFill>
    </fill>
    <fill>
      <patternFill patternType="solid">
        <fgColor indexed="28"/>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49"/>
      </patternFill>
    </fill>
    <fill>
      <patternFill patternType="solid">
        <fgColor indexed="26"/>
      </patternFill>
    </fill>
    <fill>
      <patternFill patternType="solid">
        <fgColor indexed="54"/>
      </patternFill>
    </fill>
    <fill>
      <patternFill patternType="solid">
        <fgColor indexed="30"/>
      </patternFill>
    </fill>
    <fill>
      <patternFill patternType="solid">
        <fgColor indexed="55"/>
      </patternFill>
    </fill>
    <fill>
      <patternFill patternType="solid">
        <fgColor indexed="43"/>
      </patternFill>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rgb="FFD3D3D3"/>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indexed="65"/>
        <bgColor indexed="64"/>
      </patternFill>
    </fill>
  </fills>
  <borders count="142">
    <border>
      <left/>
      <right/>
      <top/>
      <bottom/>
      <diagonal/>
    </border>
    <border>
      <left style="medium">
        <color indexed="64"/>
      </left>
      <right style="medium">
        <color indexed="64"/>
      </right>
      <top/>
      <bottom/>
      <diagonal/>
    </border>
    <border>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right/>
      <top style="thin">
        <color indexed="8"/>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ck">
        <color indexed="49"/>
      </bottom>
      <diagonal/>
    </border>
    <border>
      <left/>
      <right/>
      <top/>
      <bottom style="thick">
        <color indexed="27"/>
      </bottom>
      <diagonal/>
    </border>
    <border>
      <left/>
      <right/>
      <top/>
      <bottom style="medium">
        <color indexed="27"/>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thin">
        <color indexed="8"/>
      </left>
      <right style="thin">
        <color indexed="64"/>
      </right>
      <top/>
      <bottom/>
      <diagonal/>
    </border>
    <border>
      <left style="thin">
        <color indexed="64"/>
      </left>
      <right style="thin">
        <color indexed="8"/>
      </right>
      <top/>
      <bottom style="thin">
        <color indexed="64"/>
      </bottom>
      <diagonal/>
    </border>
    <border>
      <left style="thin">
        <color indexed="64"/>
      </left>
      <right style="thin">
        <color indexed="8"/>
      </right>
      <top/>
      <bottom/>
      <diagonal/>
    </border>
    <border>
      <left style="thin">
        <color indexed="64"/>
      </left>
      <right style="thin">
        <color indexed="8"/>
      </right>
      <top style="thin">
        <color indexed="64"/>
      </top>
      <bottom style="thin">
        <color indexed="64"/>
      </bottom>
      <diagonal/>
    </border>
    <border>
      <left style="thin">
        <color indexed="64"/>
      </left>
      <right style="thin">
        <color indexed="8"/>
      </right>
      <top style="thin">
        <color indexed="64"/>
      </top>
      <bottom/>
      <diagonal/>
    </border>
    <border>
      <left/>
      <right/>
      <top style="thin">
        <color indexed="64"/>
      </top>
      <bottom style="thin">
        <color indexed="8"/>
      </bottom>
      <diagonal/>
    </border>
    <border>
      <left style="thin">
        <color indexed="64"/>
      </left>
      <right/>
      <top style="thin">
        <color indexed="64"/>
      </top>
      <bottom style="thin">
        <color indexed="8"/>
      </bottom>
      <diagonal/>
    </border>
    <border>
      <left style="thin">
        <color indexed="8"/>
      </left>
      <right/>
      <top/>
      <bottom/>
      <diagonal/>
    </border>
    <border>
      <left style="thin">
        <color indexed="8"/>
      </left>
      <right/>
      <top style="thin">
        <color indexed="64"/>
      </top>
      <bottom style="thin">
        <color indexed="64"/>
      </bottom>
      <diagonal/>
    </border>
    <border>
      <left style="thin">
        <color indexed="8"/>
      </left>
      <right style="thin">
        <color indexed="64"/>
      </right>
      <top/>
      <bottom style="thin">
        <color indexed="64"/>
      </bottom>
      <diagonal/>
    </border>
    <border>
      <left style="thin">
        <color indexed="8"/>
      </left>
      <right/>
      <top/>
      <bottom style="thin">
        <color indexed="64"/>
      </bottom>
      <diagonal/>
    </border>
    <border>
      <left/>
      <right style="thin">
        <color indexed="8"/>
      </right>
      <top/>
      <bottom style="thin">
        <color indexed="64"/>
      </bottom>
      <diagonal/>
    </border>
    <border>
      <left/>
      <right style="thin">
        <color indexed="8"/>
      </right>
      <top style="thin">
        <color indexed="64"/>
      </top>
      <bottom style="thin">
        <color indexed="64"/>
      </bottom>
      <diagonal/>
    </border>
    <border>
      <left style="thin">
        <color indexed="64"/>
      </left>
      <right style="thin">
        <color indexed="8"/>
      </right>
      <top style="thin">
        <color indexed="8"/>
      </top>
      <bottom/>
      <diagonal/>
    </border>
    <border>
      <left/>
      <right style="medium">
        <color indexed="64"/>
      </right>
      <top/>
      <bottom style="medium">
        <color indexed="64"/>
      </bottom>
      <diagonal/>
    </border>
    <border>
      <left style="thin">
        <color indexed="64"/>
      </left>
      <right/>
      <top style="thin">
        <color indexed="8"/>
      </top>
      <bottom style="thin">
        <color indexed="64"/>
      </bottom>
      <diagonal/>
    </border>
    <border>
      <left/>
      <right/>
      <top style="thin">
        <color indexed="8"/>
      </top>
      <bottom style="thin">
        <color indexed="64"/>
      </bottom>
      <diagonal/>
    </border>
    <border>
      <left/>
      <right style="medium">
        <color indexed="64"/>
      </right>
      <top style="thin">
        <color indexed="64"/>
      </top>
      <bottom/>
      <diagonal/>
    </border>
    <border>
      <left/>
      <right style="thin">
        <color indexed="8"/>
      </right>
      <top/>
      <bottom/>
      <diagonal/>
    </border>
    <border>
      <left/>
      <right style="thin">
        <color indexed="64"/>
      </right>
      <top style="thin">
        <color indexed="8"/>
      </top>
      <bottom/>
      <diagonal/>
    </border>
    <border>
      <left style="thin">
        <color indexed="64"/>
      </left>
      <right/>
      <top style="thin">
        <color indexed="8"/>
      </top>
      <bottom/>
      <diagonal/>
    </border>
    <border>
      <left style="thin">
        <color indexed="64"/>
      </left>
      <right style="thin">
        <color indexed="64"/>
      </right>
      <top style="thin">
        <color indexed="8"/>
      </top>
      <bottom/>
      <diagonal/>
    </border>
    <border>
      <left style="thin">
        <color indexed="8"/>
      </left>
      <right style="thin">
        <color indexed="8"/>
      </right>
      <top/>
      <bottom/>
      <diagonal/>
    </border>
    <border>
      <left style="thin">
        <color indexed="8"/>
      </left>
      <right style="thin">
        <color indexed="8"/>
      </right>
      <top style="thin">
        <color indexed="64"/>
      </top>
      <bottom style="thin">
        <color indexed="64"/>
      </bottom>
      <diagonal/>
    </border>
    <border>
      <left style="thin">
        <color indexed="8"/>
      </left>
      <right style="thin">
        <color indexed="8"/>
      </right>
      <top/>
      <bottom style="thin">
        <color indexed="64"/>
      </bottom>
      <diagonal/>
    </border>
    <border>
      <left style="thin">
        <color indexed="8"/>
      </left>
      <right style="thin">
        <color indexed="64"/>
      </right>
      <top style="thin">
        <color indexed="8"/>
      </top>
      <bottom style="thin">
        <color indexed="64"/>
      </bottom>
      <diagonal/>
    </border>
    <border>
      <left/>
      <right style="thin">
        <color indexed="64"/>
      </right>
      <top style="thin">
        <color indexed="8"/>
      </top>
      <bottom style="thin">
        <color indexed="64"/>
      </bottom>
      <diagonal/>
    </border>
    <border>
      <left style="thin">
        <color indexed="64"/>
      </left>
      <right style="thin">
        <color indexed="64"/>
      </right>
      <top style="thin">
        <color indexed="8"/>
      </top>
      <bottom style="thin">
        <color indexed="64"/>
      </bottom>
      <diagonal/>
    </border>
    <border>
      <left style="thin">
        <color indexed="64"/>
      </left>
      <right style="thin">
        <color indexed="8"/>
      </right>
      <top style="thin">
        <color indexed="8"/>
      </top>
      <bottom style="thin">
        <color indexed="64"/>
      </bottom>
      <diagonal/>
    </border>
    <border>
      <left style="thin">
        <color indexed="8"/>
      </left>
      <right style="thin">
        <color indexed="64"/>
      </right>
      <top/>
      <bottom style="thin">
        <color indexed="8"/>
      </bottom>
      <diagonal/>
    </border>
    <border>
      <left style="thin">
        <color indexed="64"/>
      </left>
      <right/>
      <top/>
      <bottom style="thin">
        <color indexed="8"/>
      </bottom>
      <diagonal/>
    </border>
    <border>
      <left/>
      <right style="thin">
        <color indexed="64"/>
      </right>
      <top/>
      <bottom style="thin">
        <color indexed="8"/>
      </bottom>
      <diagonal/>
    </border>
    <border>
      <left style="thin">
        <color indexed="64"/>
      </left>
      <right style="thin">
        <color indexed="64"/>
      </right>
      <top/>
      <bottom style="thin">
        <color indexed="8"/>
      </bottom>
      <diagonal/>
    </border>
    <border>
      <left style="thin">
        <color indexed="64"/>
      </left>
      <right style="thin">
        <color indexed="8"/>
      </right>
      <top/>
      <bottom style="thin">
        <color indexed="8"/>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style="thin">
        <color indexed="8"/>
      </bottom>
      <diagonal/>
    </border>
    <border>
      <left/>
      <right style="thin">
        <color indexed="64"/>
      </right>
      <top/>
      <bottom style="medium">
        <color indexed="64"/>
      </bottom>
      <diagonal/>
    </border>
    <border>
      <left style="thin">
        <color indexed="8"/>
      </left>
      <right style="thin">
        <color indexed="8"/>
      </right>
      <top style="thin">
        <color indexed="8"/>
      </top>
      <bottom style="thin">
        <color indexed="64"/>
      </bottom>
      <diagonal/>
    </border>
    <border>
      <left style="thin">
        <color indexed="8"/>
      </left>
      <right/>
      <top/>
      <bottom style="thin">
        <color indexed="8"/>
      </bottom>
      <diagonal/>
    </border>
    <border>
      <left style="thin">
        <color indexed="8"/>
      </left>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indexed="64"/>
      </bottom>
      <diagonal/>
    </border>
    <border>
      <left/>
      <right/>
      <top/>
      <bottom style="thin">
        <color indexed="64"/>
      </bottom>
      <diagonal/>
    </border>
    <border>
      <left style="thin">
        <color auto="1"/>
      </left>
      <right/>
      <top style="thin">
        <color indexed="64"/>
      </top>
      <bottom style="thin">
        <color auto="1"/>
      </bottom>
      <diagonal/>
    </border>
    <border>
      <left style="thin">
        <color auto="1"/>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bottom style="thin">
        <color indexed="64"/>
      </bottom>
      <diagonal/>
    </border>
    <border>
      <left style="thin">
        <color auto="1"/>
      </left>
      <right style="thin">
        <color auto="1"/>
      </right>
      <top/>
      <bottom/>
      <diagonal/>
    </border>
    <border>
      <left/>
      <right style="thin">
        <color auto="1"/>
      </right>
      <top style="thin">
        <color auto="1"/>
      </top>
      <bottom/>
      <diagonal/>
    </border>
    <border>
      <left style="thin">
        <color indexed="64"/>
      </left>
      <right/>
      <top style="thin">
        <color indexed="64"/>
      </top>
      <bottom style="thin">
        <color indexed="8"/>
      </bottom>
      <diagonal/>
    </border>
    <border>
      <left/>
      <right style="thin">
        <color indexed="64"/>
      </right>
      <top style="thin">
        <color indexed="64"/>
      </top>
      <bottom style="thin">
        <color indexed="8"/>
      </bottom>
      <diagonal/>
    </border>
    <border>
      <left style="thin">
        <color indexed="8"/>
      </left>
      <right style="thin">
        <color indexed="8"/>
      </right>
      <top style="thin">
        <color indexed="8"/>
      </top>
      <bottom style="thin">
        <color indexed="64"/>
      </bottom>
      <diagonal/>
    </border>
    <border>
      <left style="thin">
        <color auto="1"/>
      </left>
      <right style="thin">
        <color indexed="64"/>
      </right>
      <top style="thin">
        <color indexed="64"/>
      </top>
      <bottom/>
      <diagonal/>
    </border>
    <border>
      <left style="thin">
        <color auto="1"/>
      </left>
      <right/>
      <top/>
      <bottom style="thin">
        <color indexed="64"/>
      </bottom>
      <diagonal/>
    </border>
    <border>
      <left/>
      <right/>
      <top style="thin">
        <color indexed="64"/>
      </top>
      <bottom style="thin">
        <color indexed="64"/>
      </bottom>
      <diagonal/>
    </border>
    <border>
      <left style="thin">
        <color indexed="64"/>
      </left>
      <right style="thin">
        <color indexed="8"/>
      </right>
      <top style="thin">
        <color indexed="64"/>
      </top>
      <bottom/>
      <diagonal/>
    </border>
    <border>
      <left/>
      <right/>
      <top style="thin">
        <color indexed="64"/>
      </top>
      <bottom style="thin">
        <color indexed="8"/>
      </bottom>
      <diagonal/>
    </border>
    <border>
      <left style="thin">
        <color indexed="64"/>
      </left>
      <right style="thin">
        <color indexed="64"/>
      </right>
      <top style="thin">
        <color indexed="64"/>
      </top>
      <bottom style="thin">
        <color indexed="8"/>
      </bottom>
      <diagonal/>
    </border>
    <border>
      <left style="thin">
        <color indexed="64"/>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8"/>
      </right>
      <top style="thin">
        <color indexed="64"/>
      </top>
      <bottom style="thin">
        <color indexed="8"/>
      </bottom>
      <diagonal/>
    </border>
    <border>
      <left/>
      <right style="thin">
        <color indexed="8"/>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bottom/>
      <diagonal/>
    </border>
    <border>
      <left style="thin">
        <color indexed="64"/>
      </left>
      <right/>
      <top/>
      <bottom/>
      <diagonal/>
    </border>
    <border>
      <left/>
      <right/>
      <top style="thin">
        <color indexed="8"/>
      </top>
      <bottom/>
      <diagonal/>
    </border>
    <border>
      <left style="thin">
        <color auto="1"/>
      </left>
      <right style="thin">
        <color auto="1"/>
      </right>
      <top/>
      <bottom/>
      <diagonal/>
    </border>
    <border>
      <left style="thin">
        <color indexed="8"/>
      </left>
      <right style="thin">
        <color indexed="8"/>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8"/>
      </left>
      <right style="thin">
        <color indexed="8"/>
      </right>
      <top style="thin">
        <color indexed="64"/>
      </top>
      <bottom/>
      <diagonal/>
    </border>
    <border>
      <left style="thin">
        <color auto="1"/>
      </left>
      <right style="thin">
        <color auto="1"/>
      </right>
      <top style="thin">
        <color auto="1"/>
      </top>
      <bottom/>
      <diagonal/>
    </border>
    <border>
      <left style="thin">
        <color indexed="8"/>
      </left>
      <right style="thin">
        <color indexed="64"/>
      </right>
      <top/>
      <bottom/>
      <diagonal/>
    </border>
    <border>
      <left style="thin">
        <color auto="1"/>
      </left>
      <right/>
      <top style="thin">
        <color auto="1"/>
      </top>
      <bottom/>
      <diagonal/>
    </border>
    <border>
      <left style="thin">
        <color auto="1"/>
      </left>
      <right/>
      <top style="thin">
        <color indexed="64"/>
      </top>
      <bottom style="thin">
        <color indexed="64"/>
      </bottom>
      <diagonal/>
    </border>
    <border>
      <left/>
      <right style="thin">
        <color indexed="8"/>
      </right>
      <top style="thin">
        <color indexed="8"/>
      </top>
      <bottom/>
      <diagonal/>
    </border>
    <border>
      <left/>
      <right/>
      <top style="thin">
        <color indexed="64"/>
      </top>
      <bottom/>
      <diagonal/>
    </border>
    <border>
      <left/>
      <right style="thin">
        <color indexed="64"/>
      </right>
      <top style="thin">
        <color indexed="64"/>
      </top>
      <bottom/>
      <diagonal/>
    </border>
    <border>
      <left style="thin">
        <color auto="1"/>
      </left>
      <right/>
      <top style="thin">
        <color auto="1"/>
      </top>
      <bottom/>
      <diagonal/>
    </border>
    <border>
      <left/>
      <right style="thin">
        <color auto="1"/>
      </right>
      <top/>
      <bottom/>
      <diagonal/>
    </border>
    <border>
      <left/>
      <right/>
      <top/>
      <bottom style="thin">
        <color indexed="8"/>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8"/>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9">
    <xf numFmtId="0" fontId="0" fillId="0" borderId="0"/>
    <xf numFmtId="0" fontId="3" fillId="0" borderId="0"/>
    <xf numFmtId="0" fontId="3" fillId="0" borderId="0"/>
    <xf numFmtId="0" fontId="5" fillId="0" borderId="0"/>
    <xf numFmtId="0" fontId="3" fillId="0" borderId="0"/>
    <xf numFmtId="0" fontId="3" fillId="9" borderId="0" applyNumberFormat="0" applyFont="0" applyBorder="0" applyAlignment="0" applyProtection="0"/>
    <xf numFmtId="0" fontId="5" fillId="0" borderId="0"/>
    <xf numFmtId="0" fontId="38" fillId="0" borderId="0"/>
    <xf numFmtId="0" fontId="38" fillId="0" borderId="0"/>
    <xf numFmtId="0" fontId="51" fillId="2" borderId="0" applyNumberFormat="0" applyBorder="0" applyAlignment="0" applyProtection="0"/>
    <xf numFmtId="0" fontId="51" fillId="3" borderId="0" applyNumberFormat="0" applyBorder="0" applyAlignment="0" applyProtection="0"/>
    <xf numFmtId="0" fontId="51" fillId="4" borderId="0" applyNumberFormat="0" applyBorder="0" applyAlignment="0" applyProtection="0"/>
    <xf numFmtId="0" fontId="51" fillId="5" borderId="0" applyNumberFormat="0" applyBorder="0" applyAlignment="0" applyProtection="0"/>
    <xf numFmtId="0" fontId="51" fillId="2" borderId="0" applyNumberFormat="0" applyBorder="0" applyAlignment="0" applyProtection="0"/>
    <xf numFmtId="0" fontId="51" fillId="3" borderId="0" applyNumberFormat="0" applyBorder="0" applyAlignment="0" applyProtection="0"/>
    <xf numFmtId="0" fontId="51" fillId="2" borderId="0" applyNumberFormat="0" applyBorder="0" applyAlignment="0" applyProtection="0"/>
    <xf numFmtId="0" fontId="51" fillId="6" borderId="0" applyNumberFormat="0" applyBorder="0" applyAlignment="0" applyProtection="0"/>
    <xf numFmtId="0" fontId="51" fillId="4" borderId="0" applyNumberFormat="0" applyBorder="0" applyAlignment="0" applyProtection="0"/>
    <xf numFmtId="0" fontId="51" fillId="7" borderId="0" applyNumberFormat="0" applyBorder="0" applyAlignment="0" applyProtection="0"/>
    <xf numFmtId="0" fontId="51" fillId="2" borderId="0" applyNumberFormat="0" applyBorder="0" applyAlignment="0" applyProtection="0"/>
    <xf numFmtId="0" fontId="51" fillId="3" borderId="0" applyNumberFormat="0" applyBorder="0" applyAlignment="0" applyProtection="0"/>
    <xf numFmtId="0" fontId="52" fillId="2" borderId="0" applyNumberFormat="0" applyBorder="0" applyAlignment="0" applyProtection="0"/>
    <xf numFmtId="0" fontId="52" fillId="6" borderId="0" applyNumberFormat="0" applyBorder="0" applyAlignment="0" applyProtection="0"/>
    <xf numFmtId="0" fontId="52" fillId="4" borderId="0" applyNumberFormat="0" applyBorder="0" applyAlignment="0" applyProtection="0"/>
    <xf numFmtId="0" fontId="52" fillId="7" borderId="0" applyNumberFormat="0" applyBorder="0" applyAlignment="0" applyProtection="0"/>
    <xf numFmtId="0" fontId="52" fillId="2" borderId="0" applyNumberFormat="0" applyBorder="0" applyAlignment="0" applyProtection="0"/>
    <xf numFmtId="0" fontId="52" fillId="3" borderId="0" applyNumberFormat="0" applyBorder="0" applyAlignment="0" applyProtection="0"/>
    <xf numFmtId="0" fontId="52" fillId="10" borderId="0" applyNumberFormat="0" applyBorder="0" applyAlignment="0" applyProtection="0"/>
    <xf numFmtId="0" fontId="52" fillId="6" borderId="0" applyNumberFormat="0" applyBorder="0" applyAlignment="0" applyProtection="0"/>
    <xf numFmtId="0" fontId="52" fillId="11" borderId="0" applyNumberFormat="0" applyBorder="0" applyAlignment="0" applyProtection="0"/>
    <xf numFmtId="0" fontId="52" fillId="12" borderId="0" applyNumberFormat="0" applyBorder="0" applyAlignment="0" applyProtection="0"/>
    <xf numFmtId="0" fontId="52" fillId="10" borderId="0" applyNumberFormat="0" applyBorder="0" applyAlignment="0" applyProtection="0"/>
    <xf numFmtId="0" fontId="52" fillId="6" borderId="0" applyNumberFormat="0" applyBorder="0" applyAlignment="0" applyProtection="0"/>
    <xf numFmtId="0" fontId="53" fillId="13" borderId="0" applyNumberFormat="0" applyBorder="0" applyAlignment="0" applyProtection="0"/>
    <xf numFmtId="0" fontId="42" fillId="0" borderId="0"/>
    <xf numFmtId="0" fontId="54" fillId="5" borderId="7" applyNumberFormat="0" applyAlignment="0" applyProtection="0"/>
    <xf numFmtId="0" fontId="55" fillId="14" borderId="8" applyNumberFormat="0" applyAlignment="0" applyProtection="0"/>
    <xf numFmtId="43" fontId="5" fillId="0" borderId="0" applyFont="0" applyFill="0" applyBorder="0" applyAlignment="0" applyProtection="0"/>
    <xf numFmtId="43" fontId="3" fillId="0" borderId="0" applyFont="0" applyFill="0" applyBorder="0" applyAlignment="0" applyProtection="0"/>
    <xf numFmtId="44" fontId="5" fillId="0" borderId="0" applyFont="0" applyFill="0" applyBorder="0" applyAlignment="0" applyProtection="0"/>
    <xf numFmtId="44" fontId="3" fillId="0" borderId="0" applyFont="0" applyFill="0" applyBorder="0" applyAlignment="0" applyProtection="0"/>
    <xf numFmtId="38" fontId="38" fillId="0" borderId="0" applyFont="0" applyFill="0" applyBorder="0" applyAlignment="0" applyProtection="0"/>
    <xf numFmtId="40" fontId="38" fillId="0" borderId="0" applyFont="0" applyFill="0" applyBorder="0" applyAlignment="0" applyProtection="0"/>
    <xf numFmtId="0" fontId="56" fillId="0" borderId="0" applyNumberFormat="0" applyFill="0" applyBorder="0" applyAlignment="0" applyProtection="0"/>
    <xf numFmtId="0" fontId="57" fillId="4" borderId="0" applyNumberFormat="0" applyBorder="0" applyAlignment="0" applyProtection="0"/>
    <xf numFmtId="0" fontId="58" fillId="0" borderId="13" applyNumberFormat="0" applyFill="0" applyAlignment="0" applyProtection="0"/>
    <xf numFmtId="0" fontId="59" fillId="0" borderId="14" applyNumberFormat="0" applyFill="0" applyAlignment="0" applyProtection="0"/>
    <xf numFmtId="0" fontId="60" fillId="0" borderId="15" applyNumberFormat="0" applyFill="0" applyAlignment="0" applyProtection="0"/>
    <xf numFmtId="0" fontId="60" fillId="0" borderId="0" applyNumberFormat="0" applyFill="0" applyBorder="0" applyAlignment="0" applyProtection="0"/>
    <xf numFmtId="0" fontId="6" fillId="0" borderId="0" applyNumberFormat="0" applyFill="0" applyBorder="0" applyAlignment="0" applyProtection="0">
      <alignment vertical="top"/>
      <protection locked="0"/>
    </xf>
    <xf numFmtId="0" fontId="61" fillId="3" borderId="7" applyNumberFormat="0" applyAlignment="0" applyProtection="0"/>
    <xf numFmtId="0" fontId="62" fillId="0" borderId="16" applyNumberFormat="0" applyFill="0" applyAlignment="0" applyProtection="0"/>
    <xf numFmtId="0" fontId="63" fillId="15" borderId="0" applyNumberFormat="0" applyBorder="0" applyAlignment="0" applyProtection="0"/>
    <xf numFmtId="0" fontId="5" fillId="0" borderId="0"/>
    <xf numFmtId="0" fontId="47" fillId="0" borderId="0"/>
    <xf numFmtId="0" fontId="5" fillId="0" borderId="0"/>
    <xf numFmtId="0" fontId="8" fillId="0" borderId="0"/>
    <xf numFmtId="0" fontId="5" fillId="0" borderId="0">
      <alignment wrapText="1"/>
    </xf>
    <xf numFmtId="0" fontId="3" fillId="15" borderId="17" applyNumberFormat="0" applyFont="0" applyAlignment="0" applyProtection="0"/>
    <xf numFmtId="0" fontId="64" fillId="5" borderId="18" applyNumberFormat="0" applyAlignment="0" applyProtection="0"/>
    <xf numFmtId="0" fontId="1" fillId="0" borderId="0">
      <alignment vertical="center"/>
    </xf>
    <xf numFmtId="9" fontId="5" fillId="0" borderId="0" applyFont="0" applyFill="0" applyBorder="0" applyAlignment="0" applyProtection="0"/>
    <xf numFmtId="9" fontId="3" fillId="0" borderId="0" applyFont="0" applyFill="0" applyBorder="0" applyAlignment="0" applyProtection="0"/>
    <xf numFmtId="0" fontId="43" fillId="0" borderId="0"/>
    <xf numFmtId="0" fontId="43" fillId="0" borderId="19">
      <alignment horizontal="centerContinuous"/>
    </xf>
    <xf numFmtId="0" fontId="44" fillId="0" borderId="19"/>
    <xf numFmtId="0" fontId="65" fillId="0" borderId="0" applyNumberFormat="0" applyFill="0" applyBorder="0" applyAlignment="0" applyProtection="0"/>
    <xf numFmtId="0" fontId="66" fillId="0" borderId="20" applyNumberFormat="0" applyFill="0" applyAlignment="0" applyProtection="0"/>
    <xf numFmtId="210" fontId="38" fillId="0" borderId="0" applyFont="0" applyFill="0" applyBorder="0" applyAlignment="0" applyProtection="0"/>
    <xf numFmtId="211" fontId="38" fillId="0" borderId="0" applyFont="0" applyFill="0" applyBorder="0" applyAlignment="0" applyProtection="0"/>
    <xf numFmtId="0" fontId="67" fillId="0" borderId="0" applyNumberFormat="0" applyFill="0" applyBorder="0" applyAlignment="0" applyProtection="0"/>
    <xf numFmtId="0" fontId="3" fillId="0" borderId="0">
      <alignment wrapText="1"/>
    </xf>
    <xf numFmtId="43"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43" fontId="75" fillId="0" borderId="0" applyFont="0" applyFill="0" applyBorder="0" applyAlignment="0" applyProtection="0"/>
    <xf numFmtId="0" fontId="88" fillId="0" borderId="0" applyNumberFormat="0" applyFill="0" applyBorder="0" applyAlignment="0" applyProtection="0"/>
    <xf numFmtId="0" fontId="90" fillId="0" borderId="0"/>
  </cellStyleXfs>
  <cellXfs count="2466">
    <xf numFmtId="0" fontId="0" fillId="0" borderId="0" xfId="0"/>
    <xf numFmtId="0" fontId="3" fillId="0" borderId="0" xfId="1"/>
    <xf numFmtId="0" fontId="13" fillId="8" borderId="12" xfId="3" applyFont="1" applyFill="1" applyBorder="1"/>
    <xf numFmtId="0" fontId="2" fillId="8" borderId="12" xfId="3" applyFont="1" applyFill="1" applyBorder="1"/>
    <xf numFmtId="0" fontId="13" fillId="8" borderId="22" xfId="3" applyFont="1" applyFill="1" applyBorder="1"/>
    <xf numFmtId="0" fontId="10" fillId="8" borderId="11" xfId="3" applyFont="1" applyFill="1" applyBorder="1"/>
    <xf numFmtId="166" fontId="2" fillId="8" borderId="12" xfId="3" applyNumberFormat="1" applyFont="1" applyFill="1" applyBorder="1"/>
    <xf numFmtId="0" fontId="10" fillId="8" borderId="12" xfId="3" applyFont="1" applyFill="1" applyBorder="1"/>
    <xf numFmtId="0" fontId="10" fillId="8" borderId="12" xfId="3" applyFont="1" applyFill="1" applyBorder="1" applyAlignment="1">
      <alignment horizontal="center"/>
    </xf>
    <xf numFmtId="0" fontId="10" fillId="8" borderId="11" xfId="3" applyFont="1" applyFill="1" applyBorder="1" applyAlignment="1">
      <alignment horizontal="center"/>
    </xf>
    <xf numFmtId="0" fontId="4" fillId="8" borderId="12" xfId="3" applyFont="1" applyFill="1" applyBorder="1"/>
    <xf numFmtId="0" fontId="2" fillId="16" borderId="0" xfId="3" applyFont="1" applyFill="1"/>
    <xf numFmtId="0" fontId="30" fillId="16" borderId="0" xfId="3" applyFont="1" applyFill="1"/>
    <xf numFmtId="0" fontId="2" fillId="16" borderId="10" xfId="3" applyFont="1" applyFill="1" applyBorder="1"/>
    <xf numFmtId="0" fontId="2" fillId="16" borderId="3" xfId="3" applyFont="1" applyFill="1" applyBorder="1"/>
    <xf numFmtId="0" fontId="2" fillId="16" borderId="0" xfId="3" applyFont="1" applyFill="1" applyBorder="1"/>
    <xf numFmtId="166" fontId="2" fillId="16" borderId="0" xfId="61" applyNumberFormat="1" applyFont="1" applyFill="1" applyBorder="1"/>
    <xf numFmtId="0" fontId="2" fillId="16" borderId="5" xfId="3" applyFont="1" applyFill="1" applyBorder="1"/>
    <xf numFmtId="0" fontId="10" fillId="16" borderId="0" xfId="3" applyFont="1" applyFill="1"/>
    <xf numFmtId="2" fontId="2" fillId="16" borderId="0" xfId="3" applyNumberFormat="1" applyFont="1" applyFill="1" applyBorder="1"/>
    <xf numFmtId="0" fontId="10" fillId="16" borderId="21" xfId="3" applyFont="1" applyFill="1" applyBorder="1"/>
    <xf numFmtId="0" fontId="10" fillId="16" borderId="12" xfId="3" applyFont="1" applyFill="1" applyBorder="1"/>
    <xf numFmtId="0" fontId="2" fillId="16" borderId="23" xfId="3" applyFont="1" applyFill="1" applyBorder="1"/>
    <xf numFmtId="0" fontId="2" fillId="16" borderId="4" xfId="3" applyFont="1" applyFill="1" applyBorder="1"/>
    <xf numFmtId="0" fontId="13" fillId="16" borderId="0" xfId="3" applyFont="1" applyFill="1"/>
    <xf numFmtId="0" fontId="2" fillId="16" borderId="12" xfId="3" applyFont="1" applyFill="1" applyBorder="1"/>
    <xf numFmtId="0" fontId="10" fillId="16" borderId="3" xfId="3" applyFont="1" applyFill="1" applyBorder="1"/>
    <xf numFmtId="0" fontId="10" fillId="16" borderId="23" xfId="3" applyFont="1" applyFill="1" applyBorder="1"/>
    <xf numFmtId="0" fontId="10" fillId="16" borderId="4" xfId="3" applyFont="1" applyFill="1" applyBorder="1"/>
    <xf numFmtId="166" fontId="2" fillId="16" borderId="0" xfId="61" applyNumberFormat="1" applyFont="1" applyFill="1"/>
    <xf numFmtId="44" fontId="2" fillId="16" borderId="0" xfId="3" applyNumberFormat="1" applyFont="1" applyFill="1" applyBorder="1"/>
    <xf numFmtId="166" fontId="10" fillId="16" borderId="0" xfId="61" applyNumberFormat="1" applyFont="1" applyFill="1" applyBorder="1" applyAlignment="1">
      <alignment horizontal="right"/>
    </xf>
    <xf numFmtId="0" fontId="16" fillId="8" borderId="11" xfId="3" applyFont="1" applyFill="1" applyBorder="1" applyAlignment="1">
      <alignment horizontal="center"/>
    </xf>
    <xf numFmtId="0" fontId="0" fillId="16" borderId="0" xfId="3" applyFont="1" applyFill="1"/>
    <xf numFmtId="0" fontId="16" fillId="8" borderId="12" xfId="3" applyFont="1" applyFill="1" applyBorder="1" applyAlignment="1">
      <alignment horizontal="center"/>
    </xf>
    <xf numFmtId="0" fontId="10" fillId="8" borderId="21" xfId="3" applyFont="1" applyFill="1" applyBorder="1" applyAlignment="1">
      <alignment horizontal="center"/>
    </xf>
    <xf numFmtId="0" fontId="10" fillId="8" borderId="22" xfId="3" applyFont="1" applyFill="1" applyBorder="1" applyAlignment="1">
      <alignment horizontal="center"/>
    </xf>
    <xf numFmtId="0" fontId="0" fillId="16" borderId="0" xfId="3" applyFont="1" applyFill="1" applyBorder="1"/>
    <xf numFmtId="0" fontId="9" fillId="16" borderId="0" xfId="3" applyFont="1" applyFill="1" applyBorder="1"/>
    <xf numFmtId="0" fontId="11" fillId="16" borderId="0" xfId="3" applyFont="1" applyFill="1"/>
    <xf numFmtId="164" fontId="2" fillId="16" borderId="0" xfId="3" applyNumberFormat="1" applyFont="1" applyFill="1"/>
    <xf numFmtId="165" fontId="2" fillId="16" borderId="0" xfId="3" applyNumberFormat="1" applyFont="1" applyFill="1"/>
    <xf numFmtId="166" fontId="2" fillId="16" borderId="0" xfId="3" applyNumberFormat="1" applyFont="1" applyFill="1"/>
    <xf numFmtId="43" fontId="2" fillId="16" borderId="0" xfId="37" applyFont="1" applyFill="1"/>
    <xf numFmtId="43" fontId="2" fillId="16" borderId="0" xfId="3" applyNumberFormat="1" applyFont="1" applyFill="1"/>
    <xf numFmtId="43" fontId="12" fillId="16" borderId="0" xfId="3" applyNumberFormat="1" applyFont="1" applyFill="1"/>
    <xf numFmtId="177" fontId="2" fillId="16" borderId="0" xfId="3" applyNumberFormat="1" applyFont="1" applyFill="1"/>
    <xf numFmtId="165" fontId="2" fillId="16" borderId="0" xfId="37" applyNumberFormat="1" applyFont="1" applyFill="1" applyBorder="1" applyAlignment="1">
      <alignment horizontal="center"/>
    </xf>
    <xf numFmtId="44" fontId="2" fillId="16" borderId="0" xfId="3" applyNumberFormat="1" applyFont="1" applyFill="1"/>
    <xf numFmtId="7" fontId="2" fillId="16" borderId="0" xfId="3" applyNumberFormat="1" applyFont="1" applyFill="1"/>
    <xf numFmtId="10" fontId="2" fillId="16" borderId="0" xfId="61" applyNumberFormat="1" applyFont="1" applyFill="1"/>
    <xf numFmtId="176" fontId="2" fillId="16" borderId="0" xfId="3" applyNumberFormat="1" applyFont="1" applyFill="1"/>
    <xf numFmtId="9" fontId="2" fillId="16" borderId="0" xfId="61" applyFont="1" applyFill="1"/>
    <xf numFmtId="169" fontId="2" fillId="16" borderId="0" xfId="3" applyNumberFormat="1" applyFont="1" applyFill="1"/>
    <xf numFmtId="0" fontId="13" fillId="16" borderId="0" xfId="3" applyFont="1" applyFill="1" applyBorder="1"/>
    <xf numFmtId="0" fontId="10" fillId="16" borderId="0" xfId="3" applyFont="1" applyFill="1" applyBorder="1"/>
    <xf numFmtId="0" fontId="10" fillId="16" borderId="27" xfId="3" applyFont="1" applyFill="1" applyBorder="1"/>
    <xf numFmtId="0" fontId="10" fillId="16" borderId="0" xfId="3" applyFont="1" applyFill="1" applyBorder="1" applyAlignment="1">
      <alignment horizontal="center"/>
    </xf>
    <xf numFmtId="0" fontId="10" fillId="16" borderId="27" xfId="3" applyFont="1" applyFill="1" applyBorder="1" applyAlignment="1">
      <alignment horizontal="center"/>
    </xf>
    <xf numFmtId="0" fontId="2" fillId="16" borderId="27" xfId="3" applyFont="1" applyFill="1" applyBorder="1"/>
    <xf numFmtId="165" fontId="2" fillId="16" borderId="27" xfId="3" applyNumberFormat="1" applyFont="1" applyFill="1" applyBorder="1"/>
    <xf numFmtId="165" fontId="4" fillId="16" borderId="0" xfId="37" applyNumberFormat="1" applyFont="1" applyFill="1" applyBorder="1" applyAlignment="1">
      <alignment horizontal="center"/>
    </xf>
    <xf numFmtId="165" fontId="2" fillId="16" borderId="0" xfId="3" applyNumberFormat="1" applyFont="1" applyFill="1" applyBorder="1"/>
    <xf numFmtId="166" fontId="2" fillId="16" borderId="5" xfId="61" applyNumberFormat="1" applyFont="1" applyFill="1" applyBorder="1"/>
    <xf numFmtId="165" fontId="10" fillId="16" borderId="0" xfId="3" applyNumberFormat="1" applyFont="1" applyFill="1" applyBorder="1"/>
    <xf numFmtId="165" fontId="10" fillId="16" borderId="0" xfId="37" applyNumberFormat="1" applyFont="1" applyFill="1" applyBorder="1"/>
    <xf numFmtId="165" fontId="10" fillId="16" borderId="27" xfId="3" applyNumberFormat="1" applyFont="1" applyFill="1" applyBorder="1"/>
    <xf numFmtId="165" fontId="10" fillId="16" borderId="3" xfId="37" applyNumberFormat="1" applyFont="1" applyFill="1" applyBorder="1"/>
    <xf numFmtId="165" fontId="10" fillId="16" borderId="5" xfId="37" applyNumberFormat="1" applyFont="1" applyFill="1" applyBorder="1"/>
    <xf numFmtId="165" fontId="10" fillId="16" borderId="5" xfId="3" applyNumberFormat="1" applyFont="1" applyFill="1" applyBorder="1"/>
    <xf numFmtId="165" fontId="10" fillId="16" borderId="3" xfId="3" applyNumberFormat="1" applyFont="1" applyFill="1" applyBorder="1"/>
    <xf numFmtId="165" fontId="2" fillId="16" borderId="0" xfId="37" applyNumberFormat="1" applyFont="1" applyFill="1" applyBorder="1"/>
    <xf numFmtId="165" fontId="2" fillId="16" borderId="5" xfId="37" applyNumberFormat="1" applyFont="1" applyFill="1" applyBorder="1"/>
    <xf numFmtId="0" fontId="10" fillId="16" borderId="5" xfId="3" applyFont="1" applyFill="1" applyBorder="1"/>
    <xf numFmtId="165" fontId="19" fillId="16" borderId="0" xfId="37" applyNumberFormat="1" applyFont="1" applyFill="1" applyBorder="1" applyAlignment="1">
      <alignment horizontal="center"/>
    </xf>
    <xf numFmtId="0" fontId="18" fillId="16" borderId="0" xfId="3" applyFont="1" applyFill="1"/>
    <xf numFmtId="165" fontId="2" fillId="16" borderId="5" xfId="3" applyNumberFormat="1" applyFont="1" applyFill="1" applyBorder="1"/>
    <xf numFmtId="165" fontId="2" fillId="16" borderId="3" xfId="3" applyNumberFormat="1" applyFont="1" applyFill="1" applyBorder="1"/>
    <xf numFmtId="165" fontId="2" fillId="16" borderId="3" xfId="37" applyNumberFormat="1" applyFont="1" applyFill="1" applyBorder="1"/>
    <xf numFmtId="165" fontId="4" fillId="16" borderId="0" xfId="37" applyNumberFormat="1" applyFont="1" applyFill="1" applyBorder="1"/>
    <xf numFmtId="165" fontId="17" fillId="16" borderId="0" xfId="37" applyNumberFormat="1" applyFont="1" applyFill="1" applyBorder="1"/>
    <xf numFmtId="165" fontId="10" fillId="16" borderId="27" xfId="37" applyNumberFormat="1" applyFont="1" applyFill="1" applyBorder="1"/>
    <xf numFmtId="165" fontId="2" fillId="16" borderId="27" xfId="37" applyNumberFormat="1" applyFont="1" applyFill="1" applyBorder="1"/>
    <xf numFmtId="44" fontId="4" fillId="16" borderId="0" xfId="3" applyNumberFormat="1" applyFont="1" applyFill="1" applyBorder="1"/>
    <xf numFmtId="165" fontId="21" fillId="16" borderId="0" xfId="37" applyNumberFormat="1" applyFont="1" applyFill="1" applyBorder="1"/>
    <xf numFmtId="165" fontId="2" fillId="16" borderId="0" xfId="37" applyNumberFormat="1" applyFont="1" applyFill="1" applyBorder="1" applyAlignment="1">
      <alignment horizontal="right"/>
    </xf>
    <xf numFmtId="0" fontId="10" fillId="16" borderId="11" xfId="3" applyFont="1" applyFill="1" applyBorder="1"/>
    <xf numFmtId="44" fontId="10" fillId="16" borderId="12" xfId="39" applyNumberFormat="1" applyFont="1" applyFill="1" applyBorder="1"/>
    <xf numFmtId="44" fontId="10" fillId="16" borderId="11" xfId="39" applyNumberFormat="1" applyFont="1" applyFill="1" applyBorder="1"/>
    <xf numFmtId="7" fontId="10" fillId="16" borderId="11" xfId="39" applyNumberFormat="1" applyFont="1" applyFill="1" applyBorder="1"/>
    <xf numFmtId="7" fontId="10" fillId="16" borderId="12" xfId="39" applyNumberFormat="1" applyFont="1" applyFill="1" applyBorder="1"/>
    <xf numFmtId="7" fontId="10" fillId="16" borderId="22" xfId="39" applyNumberFormat="1" applyFont="1" applyFill="1" applyBorder="1"/>
    <xf numFmtId="7" fontId="10" fillId="16" borderId="0" xfId="39" applyNumberFormat="1" applyFont="1" applyFill="1" applyBorder="1"/>
    <xf numFmtId="44" fontId="10" fillId="16" borderId="0" xfId="39" applyNumberFormat="1" applyFont="1" applyFill="1" applyBorder="1"/>
    <xf numFmtId="7" fontId="10" fillId="16" borderId="27" xfId="39" applyNumberFormat="1" applyFont="1" applyFill="1" applyBorder="1"/>
    <xf numFmtId="7" fontId="10" fillId="16" borderId="5" xfId="39" applyNumberFormat="1" applyFont="1" applyFill="1" applyBorder="1"/>
    <xf numFmtId="172" fontId="25" fillId="16" borderId="2" xfId="3" applyNumberFormat="1" applyFont="1" applyFill="1" applyBorder="1"/>
    <xf numFmtId="172" fontId="25" fillId="16" borderId="28" xfId="3" applyNumberFormat="1" applyFont="1" applyFill="1" applyBorder="1"/>
    <xf numFmtId="0" fontId="2" fillId="16" borderId="11" xfId="3" applyFont="1" applyFill="1" applyBorder="1"/>
    <xf numFmtId="0" fontId="2" fillId="16" borderId="21" xfId="3" applyFont="1" applyFill="1" applyBorder="1"/>
    <xf numFmtId="166" fontId="2" fillId="16" borderId="27" xfId="61" applyNumberFormat="1" applyFont="1" applyFill="1" applyBorder="1"/>
    <xf numFmtId="166" fontId="2" fillId="16" borderId="3" xfId="61" applyNumberFormat="1" applyFont="1" applyFill="1" applyBorder="1"/>
    <xf numFmtId="166" fontId="2" fillId="16" borderId="0" xfId="3" applyNumberFormat="1" applyFont="1" applyFill="1" applyBorder="1"/>
    <xf numFmtId="166" fontId="10" fillId="16" borderId="0" xfId="61" applyNumberFormat="1" applyFont="1" applyFill="1" applyBorder="1"/>
    <xf numFmtId="166" fontId="10" fillId="16" borderId="27" xfId="61" applyNumberFormat="1" applyFont="1" applyFill="1" applyBorder="1"/>
    <xf numFmtId="166" fontId="10" fillId="16" borderId="5" xfId="61" applyNumberFormat="1" applyFont="1" applyFill="1" applyBorder="1"/>
    <xf numFmtId="166" fontId="4" fillId="16" borderId="0" xfId="61" applyNumberFormat="1" applyFont="1" applyFill="1" applyBorder="1"/>
    <xf numFmtId="166" fontId="10" fillId="16" borderId="25" xfId="61" applyNumberFormat="1" applyFont="1" applyFill="1" applyBorder="1"/>
    <xf numFmtId="9" fontId="2" fillId="16" borderId="0" xfId="61" applyNumberFormat="1" applyFont="1" applyFill="1" applyBorder="1"/>
    <xf numFmtId="9" fontId="2" fillId="16" borderId="0" xfId="61" applyNumberFormat="1" applyFont="1" applyFill="1" applyBorder="1" applyAlignment="1">
      <alignment horizontal="right"/>
    </xf>
    <xf numFmtId="0" fontId="22" fillId="16" borderId="0" xfId="3" applyFont="1" applyFill="1" applyBorder="1"/>
    <xf numFmtId="0" fontId="2" fillId="16" borderId="0" xfId="3" applyFont="1" applyFill="1" applyAlignment="1">
      <alignment wrapText="1"/>
    </xf>
    <xf numFmtId="2" fontId="2" fillId="16" borderId="0" xfId="3" applyNumberFormat="1" applyFont="1" applyFill="1"/>
    <xf numFmtId="0" fontId="2" fillId="16" borderId="26" xfId="3" applyFont="1" applyFill="1" applyBorder="1"/>
    <xf numFmtId="0" fontId="2" fillId="16" borderId="2" xfId="3" applyFont="1" applyFill="1" applyBorder="1"/>
    <xf numFmtId="1" fontId="2" fillId="16" borderId="2" xfId="3" applyNumberFormat="1" applyFont="1" applyFill="1" applyBorder="1"/>
    <xf numFmtId="0" fontId="11" fillId="16" borderId="0" xfId="3" applyFont="1" applyFill="1" applyBorder="1"/>
    <xf numFmtId="0" fontId="4" fillId="16" borderId="0" xfId="3" applyFont="1" applyFill="1"/>
    <xf numFmtId="0" fontId="2" fillId="16" borderId="0" xfId="3" applyFont="1" applyFill="1" applyBorder="1" applyAlignment="1"/>
    <xf numFmtId="0" fontId="4" fillId="16" borderId="0" xfId="3" applyFont="1" applyFill="1" applyBorder="1"/>
    <xf numFmtId="0" fontId="10" fillId="16" borderId="12" xfId="3" applyFont="1" applyFill="1" applyBorder="1" applyAlignment="1">
      <alignment horizontal="center"/>
    </xf>
    <xf numFmtId="0" fontId="10" fillId="16" borderId="11" xfId="3" applyFont="1" applyFill="1" applyBorder="1" applyAlignment="1">
      <alignment horizontal="center"/>
    </xf>
    <xf numFmtId="0" fontId="16" fillId="16" borderId="12" xfId="3" applyFont="1" applyFill="1" applyBorder="1" applyAlignment="1">
      <alignment horizontal="center"/>
    </xf>
    <xf numFmtId="165" fontId="2" fillId="16" borderId="27" xfId="3" applyNumberFormat="1" applyFont="1" applyFill="1" applyBorder="1" applyAlignment="1">
      <alignment horizontal="center"/>
    </xf>
    <xf numFmtId="165" fontId="4" fillId="16" borderId="27" xfId="3" applyNumberFormat="1" applyFont="1" applyFill="1" applyBorder="1" applyAlignment="1">
      <alignment horizontal="center"/>
    </xf>
    <xf numFmtId="165" fontId="10" fillId="16" borderId="0" xfId="37" applyNumberFormat="1" applyFont="1" applyFill="1" applyBorder="1" applyAlignment="1">
      <alignment horizontal="center"/>
    </xf>
    <xf numFmtId="165" fontId="10" fillId="16" borderId="27" xfId="37" applyNumberFormat="1" applyFont="1" applyFill="1" applyBorder="1" applyAlignment="1">
      <alignment horizontal="center"/>
    </xf>
    <xf numFmtId="165" fontId="16" fillId="16" borderId="27" xfId="37" applyNumberFormat="1" applyFont="1" applyFill="1" applyBorder="1" applyAlignment="1">
      <alignment horizontal="center"/>
    </xf>
    <xf numFmtId="166" fontId="2" fillId="16" borderId="0" xfId="61" applyNumberFormat="1" applyFont="1" applyFill="1" applyBorder="1" applyAlignment="1">
      <alignment horizontal="right"/>
    </xf>
    <xf numFmtId="165" fontId="10" fillId="16" borderId="27" xfId="3" applyNumberFormat="1" applyFont="1" applyFill="1" applyBorder="1" applyAlignment="1">
      <alignment horizontal="center"/>
    </xf>
    <xf numFmtId="165" fontId="16" fillId="16" borderId="27" xfId="3" applyNumberFormat="1" applyFont="1" applyFill="1" applyBorder="1" applyAlignment="1">
      <alignment horizontal="center"/>
    </xf>
    <xf numFmtId="165" fontId="15" fillId="16" borderId="0" xfId="37" applyNumberFormat="1" applyFont="1" applyFill="1" applyBorder="1" applyAlignment="1">
      <alignment horizontal="center"/>
    </xf>
    <xf numFmtId="0" fontId="2" fillId="16" borderId="0" xfId="3" applyFont="1" applyFill="1" applyBorder="1" applyAlignment="1">
      <alignment horizontal="center"/>
    </xf>
    <xf numFmtId="165" fontId="2" fillId="16" borderId="27" xfId="37" applyNumberFormat="1" applyFont="1" applyFill="1" applyBorder="1" applyAlignment="1">
      <alignment horizontal="center"/>
    </xf>
    <xf numFmtId="0" fontId="22" fillId="16" borderId="3" xfId="3" applyFont="1" applyFill="1" applyBorder="1"/>
    <xf numFmtId="166" fontId="22" fillId="16" borderId="0" xfId="61" applyNumberFormat="1" applyFont="1" applyFill="1" applyBorder="1" applyAlignment="1">
      <alignment horizontal="center"/>
    </xf>
    <xf numFmtId="166" fontId="22" fillId="16" borderId="27" xfId="61" applyNumberFormat="1" applyFont="1" applyFill="1" applyBorder="1" applyAlignment="1">
      <alignment horizontal="center"/>
    </xf>
    <xf numFmtId="0" fontId="22" fillId="16" borderId="0" xfId="3" applyFont="1" applyFill="1"/>
    <xf numFmtId="166" fontId="2" fillId="16" borderId="0" xfId="61" applyNumberFormat="1" applyFont="1" applyFill="1" applyBorder="1" applyAlignment="1">
      <alignment horizontal="center"/>
    </xf>
    <xf numFmtId="165" fontId="4" fillId="16" borderId="27" xfId="37" applyNumberFormat="1" applyFont="1" applyFill="1" applyBorder="1" applyAlignment="1">
      <alignment horizontal="center"/>
    </xf>
    <xf numFmtId="166" fontId="2" fillId="16" borderId="27" xfId="61" applyNumberFormat="1" applyFont="1" applyFill="1" applyBorder="1" applyAlignment="1">
      <alignment horizontal="center"/>
    </xf>
    <xf numFmtId="165" fontId="10" fillId="16" borderId="11" xfId="3" applyNumberFormat="1" applyFont="1" applyFill="1" applyBorder="1"/>
    <xf numFmtId="0" fontId="10" fillId="16" borderId="10" xfId="3" applyFont="1" applyFill="1" applyBorder="1"/>
    <xf numFmtId="165" fontId="4" fillId="16" borderId="0" xfId="37" applyNumberFormat="1" applyFont="1" applyFill="1" applyBorder="1" applyAlignment="1">
      <alignment horizontal="right"/>
    </xf>
    <xf numFmtId="165" fontId="10" fillId="16" borderId="23" xfId="3" applyNumberFormat="1" applyFont="1" applyFill="1" applyBorder="1"/>
    <xf numFmtId="165" fontId="10" fillId="16" borderId="4" xfId="3" applyNumberFormat="1" applyFont="1" applyFill="1" applyBorder="1"/>
    <xf numFmtId="0" fontId="16" fillId="8" borderId="22" xfId="3" applyFont="1" applyFill="1" applyBorder="1" applyAlignment="1">
      <alignment horizontal="center"/>
    </xf>
    <xf numFmtId="165" fontId="10" fillId="16" borderId="12" xfId="3" applyNumberFormat="1" applyFont="1" applyFill="1" applyBorder="1"/>
    <xf numFmtId="0" fontId="2" fillId="16" borderId="0" xfId="3" applyFont="1" applyFill="1" applyAlignment="1">
      <alignment horizontal="center"/>
    </xf>
    <xf numFmtId="9" fontId="2" fillId="16" borderId="0" xfId="61" applyFont="1" applyFill="1" applyBorder="1"/>
    <xf numFmtId="3" fontId="2" fillId="16" borderId="0" xfId="3" applyNumberFormat="1" applyFont="1" applyFill="1"/>
    <xf numFmtId="3" fontId="2" fillId="16" borderId="0" xfId="3" applyNumberFormat="1" applyFont="1" applyFill="1" applyBorder="1" applyAlignment="1">
      <alignment horizontal="center"/>
    </xf>
    <xf numFmtId="166" fontId="22" fillId="16" borderId="27" xfId="61" applyNumberFormat="1" applyFont="1" applyFill="1" applyBorder="1"/>
    <xf numFmtId="166" fontId="22" fillId="16" borderId="0" xfId="61" applyNumberFormat="1" applyFont="1" applyFill="1" applyBorder="1"/>
    <xf numFmtId="166" fontId="25" fillId="16" borderId="0" xfId="61" applyNumberFormat="1" applyFont="1" applyFill="1" applyBorder="1"/>
    <xf numFmtId="165" fontId="11" fillId="16" borderId="0" xfId="37" applyNumberFormat="1" applyFont="1" applyFill="1" applyBorder="1"/>
    <xf numFmtId="165" fontId="2" fillId="16" borderId="0" xfId="37" applyNumberFormat="1" applyFont="1" applyFill="1"/>
    <xf numFmtId="166" fontId="22" fillId="16" borderId="25" xfId="61" applyNumberFormat="1" applyFont="1" applyFill="1" applyBorder="1"/>
    <xf numFmtId="166" fontId="22" fillId="16" borderId="4" xfId="61" applyNumberFormat="1" applyFont="1" applyFill="1" applyBorder="1"/>
    <xf numFmtId="165" fontId="2" fillId="16" borderId="25" xfId="37" applyNumberFormat="1" applyFont="1" applyFill="1" applyBorder="1"/>
    <xf numFmtId="165" fontId="2" fillId="16" borderId="12" xfId="3" applyNumberFormat="1" applyFont="1" applyFill="1" applyBorder="1"/>
    <xf numFmtId="165" fontId="4" fillId="16" borderId="0" xfId="3" applyNumberFormat="1" applyFont="1" applyFill="1" applyBorder="1"/>
    <xf numFmtId="0" fontId="15" fillId="8" borderId="12" xfId="3" applyFont="1" applyFill="1" applyBorder="1" applyAlignment="1">
      <alignment horizontal="center"/>
    </xf>
    <xf numFmtId="0" fontId="10" fillId="16" borderId="2" xfId="3" applyFont="1" applyFill="1" applyBorder="1"/>
    <xf numFmtId="0" fontId="2" fillId="16" borderId="2" xfId="3" applyFont="1" applyFill="1" applyBorder="1" applyAlignment="1"/>
    <xf numFmtId="0" fontId="11" fillId="16" borderId="2" xfId="3" applyFont="1" applyFill="1" applyBorder="1"/>
    <xf numFmtId="0" fontId="4" fillId="16" borderId="2" xfId="3" applyFont="1" applyFill="1" applyBorder="1"/>
    <xf numFmtId="0" fontId="14" fillId="16" borderId="0" xfId="3" applyFont="1" applyFill="1" applyBorder="1"/>
    <xf numFmtId="0" fontId="13" fillId="16" borderId="0" xfId="3" applyFont="1" applyFill="1" applyBorder="1" applyAlignment="1"/>
    <xf numFmtId="0" fontId="4" fillId="16" borderId="2" xfId="3" applyFont="1" applyFill="1" applyBorder="1" applyAlignment="1">
      <alignment horizontal="center"/>
    </xf>
    <xf numFmtId="0" fontId="4" fillId="16" borderId="26" xfId="3" applyFont="1" applyFill="1" applyBorder="1"/>
    <xf numFmtId="0" fontId="28" fillId="16" borderId="27" xfId="57" applyFont="1" applyFill="1" applyBorder="1">
      <alignment wrapText="1"/>
    </xf>
    <xf numFmtId="0" fontId="2" fillId="16" borderId="0" xfId="57" applyFont="1" applyFill="1" applyBorder="1">
      <alignment wrapText="1"/>
    </xf>
    <xf numFmtId="0" fontId="11" fillId="16" borderId="0" xfId="57" applyFont="1" applyFill="1" applyBorder="1">
      <alignment wrapText="1"/>
    </xf>
    <xf numFmtId="0" fontId="2" fillId="16" borderId="3" xfId="57" applyFont="1" applyFill="1" applyBorder="1">
      <alignment wrapText="1"/>
    </xf>
    <xf numFmtId="0" fontId="4" fillId="16" borderId="0" xfId="57" applyFont="1" applyFill="1" applyBorder="1">
      <alignment wrapText="1"/>
    </xf>
    <xf numFmtId="0" fontId="4" fillId="16" borderId="3" xfId="57" applyFont="1" applyFill="1" applyBorder="1">
      <alignment wrapText="1"/>
    </xf>
    <xf numFmtId="0" fontId="4" fillId="16" borderId="27" xfId="57" applyFont="1" applyFill="1" applyBorder="1">
      <alignment wrapText="1"/>
    </xf>
    <xf numFmtId="0" fontId="10" fillId="16" borderId="27" xfId="57" applyFont="1" applyFill="1" applyBorder="1">
      <alignment wrapText="1"/>
    </xf>
    <xf numFmtId="0" fontId="10" fillId="16" borderId="0" xfId="57" applyFont="1" applyFill="1" applyBorder="1">
      <alignment wrapText="1"/>
    </xf>
    <xf numFmtId="0" fontId="10" fillId="16" borderId="5" xfId="57" applyFont="1" applyFill="1" applyBorder="1">
      <alignment wrapText="1"/>
    </xf>
    <xf numFmtId="0" fontId="2" fillId="16" borderId="27" xfId="57" applyFont="1" applyFill="1" applyBorder="1">
      <alignment wrapText="1"/>
    </xf>
    <xf numFmtId="0" fontId="2" fillId="16" borderId="5" xfId="57" applyFont="1" applyFill="1" applyBorder="1">
      <alignment wrapText="1"/>
    </xf>
    <xf numFmtId="5" fontId="2" fillId="16" borderId="27" xfId="57" applyNumberFormat="1" applyFont="1" applyFill="1" applyBorder="1" applyAlignment="1">
      <alignment horizontal="right" wrapText="1"/>
    </xf>
    <xf numFmtId="5" fontId="2" fillId="16" borderId="0" xfId="57" applyNumberFormat="1" applyFont="1" applyFill="1" applyBorder="1" applyAlignment="1">
      <alignment horizontal="right" wrapText="1"/>
    </xf>
    <xf numFmtId="5" fontId="2" fillId="16" borderId="27" xfId="57" applyNumberFormat="1" applyFont="1" applyFill="1" applyBorder="1">
      <alignment wrapText="1"/>
    </xf>
    <xf numFmtId="5" fontId="2" fillId="16" borderId="3" xfId="57" applyNumberFormat="1" applyFont="1" applyFill="1" applyBorder="1" applyAlignment="1">
      <alignment horizontal="right" wrapText="1"/>
    </xf>
    <xf numFmtId="5" fontId="11" fillId="16" borderId="5" xfId="57" applyNumberFormat="1" applyFont="1" applyFill="1" applyBorder="1" applyAlignment="1">
      <alignment horizontal="right" wrapText="1"/>
    </xf>
    <xf numFmtId="5" fontId="2" fillId="16" borderId="5" xfId="57" applyNumberFormat="1" applyFont="1" applyFill="1" applyBorder="1" applyAlignment="1">
      <alignment horizontal="right" wrapText="1"/>
    </xf>
    <xf numFmtId="5" fontId="2" fillId="16" borderId="3" xfId="57" applyNumberFormat="1" applyFont="1" applyFill="1" applyBorder="1">
      <alignment wrapText="1"/>
    </xf>
    <xf numFmtId="5" fontId="4" fillId="16" borderId="0" xfId="57" applyNumberFormat="1" applyFont="1" applyFill="1" applyBorder="1" applyAlignment="1">
      <alignment horizontal="right" wrapText="1"/>
    </xf>
    <xf numFmtId="5" fontId="4" fillId="16" borderId="27" xfId="57" applyNumberFormat="1" applyFont="1" applyFill="1" applyBorder="1" applyAlignment="1">
      <alignment horizontal="right" wrapText="1"/>
    </xf>
    <xf numFmtId="174" fontId="2" fillId="16" borderId="27" xfId="57" applyNumberFormat="1" applyFont="1" applyFill="1" applyBorder="1" applyAlignment="1">
      <alignment horizontal="right" wrapText="1"/>
    </xf>
    <xf numFmtId="174" fontId="2" fillId="16" borderId="0" xfId="57" applyNumberFormat="1" applyFont="1" applyFill="1" applyBorder="1" applyAlignment="1">
      <alignment horizontal="right" wrapText="1"/>
    </xf>
    <xf numFmtId="165" fontId="2" fillId="16" borderId="27" xfId="37" applyNumberFormat="1" applyFont="1" applyFill="1" applyBorder="1" applyAlignment="1">
      <alignment wrapText="1"/>
    </xf>
    <xf numFmtId="165" fontId="2" fillId="16" borderId="3" xfId="37" applyNumberFormat="1" applyFont="1" applyFill="1" applyBorder="1" applyAlignment="1">
      <alignment wrapText="1"/>
    </xf>
    <xf numFmtId="165" fontId="2" fillId="16" borderId="0" xfId="37" applyNumberFormat="1" applyFont="1" applyFill="1" applyBorder="1" applyAlignment="1">
      <alignment wrapText="1"/>
    </xf>
    <xf numFmtId="165" fontId="2" fillId="16" borderId="5" xfId="37" applyNumberFormat="1" applyFont="1" applyFill="1" applyBorder="1" applyAlignment="1">
      <alignment wrapText="1"/>
    </xf>
    <xf numFmtId="165" fontId="4" fillId="16" borderId="3" xfId="37" applyNumberFormat="1" applyFont="1" applyFill="1" applyBorder="1" applyAlignment="1">
      <alignment wrapText="1"/>
    </xf>
    <xf numFmtId="165" fontId="4" fillId="16" borderId="0" xfId="37" applyNumberFormat="1" applyFont="1" applyFill="1" applyBorder="1" applyAlignment="1">
      <alignment wrapText="1"/>
    </xf>
    <xf numFmtId="165" fontId="4" fillId="16" borderId="27" xfId="37" applyNumberFormat="1" applyFont="1" applyFill="1" applyBorder="1" applyAlignment="1">
      <alignment wrapText="1"/>
    </xf>
    <xf numFmtId="165" fontId="4" fillId="16" borderId="0" xfId="57" applyNumberFormat="1" applyFont="1" applyFill="1" applyBorder="1">
      <alignment wrapText="1"/>
    </xf>
    <xf numFmtId="165" fontId="4" fillId="16" borderId="27" xfId="57" applyNumberFormat="1" applyFont="1" applyFill="1" applyBorder="1">
      <alignment wrapText="1"/>
    </xf>
    <xf numFmtId="165" fontId="18" fillId="16" borderId="27" xfId="37" applyNumberFormat="1" applyFont="1" applyFill="1" applyBorder="1" applyAlignment="1">
      <alignment wrapText="1"/>
    </xf>
    <xf numFmtId="0" fontId="18" fillId="16" borderId="0" xfId="57" applyFont="1" applyFill="1" applyBorder="1">
      <alignment wrapText="1"/>
    </xf>
    <xf numFmtId="0" fontId="18" fillId="16" borderId="5" xfId="57" applyFont="1" applyFill="1" applyBorder="1">
      <alignment wrapText="1"/>
    </xf>
    <xf numFmtId="174" fontId="18" fillId="16" borderId="0" xfId="57" applyNumberFormat="1" applyFont="1" applyFill="1" applyBorder="1" applyAlignment="1">
      <alignment horizontal="right" wrapText="1"/>
    </xf>
    <xf numFmtId="165" fontId="18" fillId="16" borderId="3" xfId="37" applyNumberFormat="1" applyFont="1" applyFill="1" applyBorder="1" applyAlignment="1">
      <alignment wrapText="1"/>
    </xf>
    <xf numFmtId="165" fontId="18" fillId="16" borderId="0" xfId="37" applyNumberFormat="1" applyFont="1" applyFill="1" applyBorder="1" applyAlignment="1">
      <alignment wrapText="1"/>
    </xf>
    <xf numFmtId="165" fontId="18" fillId="16" borderId="5" xfId="37" applyNumberFormat="1" applyFont="1" applyFill="1" applyBorder="1" applyAlignment="1">
      <alignment wrapText="1"/>
    </xf>
    <xf numFmtId="165" fontId="19" fillId="16" borderId="0" xfId="57" applyNumberFormat="1" applyFont="1" applyFill="1" applyBorder="1">
      <alignment wrapText="1"/>
    </xf>
    <xf numFmtId="165" fontId="19" fillId="16" borderId="27" xfId="57" applyNumberFormat="1" applyFont="1" applyFill="1" applyBorder="1">
      <alignment wrapText="1"/>
    </xf>
    <xf numFmtId="174" fontId="10" fillId="16" borderId="27" xfId="57" applyNumberFormat="1" applyFont="1" applyFill="1" applyBorder="1" applyAlignment="1">
      <alignment horizontal="right" wrapText="1"/>
    </xf>
    <xf numFmtId="174" fontId="10" fillId="16" borderId="0" xfId="57" applyNumberFormat="1" applyFont="1" applyFill="1" applyBorder="1" applyAlignment="1">
      <alignment horizontal="right" wrapText="1"/>
    </xf>
    <xf numFmtId="174" fontId="10" fillId="16" borderId="5" xfId="57" applyNumberFormat="1" applyFont="1" applyFill="1" applyBorder="1" applyAlignment="1">
      <alignment horizontal="right" wrapText="1"/>
    </xf>
    <xf numFmtId="165" fontId="10" fillId="16" borderId="3" xfId="37" applyNumberFormat="1" applyFont="1" applyFill="1" applyBorder="1" applyAlignment="1">
      <alignment wrapText="1"/>
    </xf>
    <xf numFmtId="165" fontId="10" fillId="16" borderId="0" xfId="37" applyNumberFormat="1" applyFont="1" applyFill="1" applyBorder="1" applyAlignment="1">
      <alignment wrapText="1"/>
    </xf>
    <xf numFmtId="165" fontId="10" fillId="16" borderId="5" xfId="37" applyNumberFormat="1" applyFont="1" applyFill="1" applyBorder="1" applyAlignment="1">
      <alignment wrapText="1"/>
    </xf>
    <xf numFmtId="165" fontId="10" fillId="16" borderId="27" xfId="37" applyNumberFormat="1" applyFont="1" applyFill="1" applyBorder="1" applyAlignment="1">
      <alignment wrapText="1"/>
    </xf>
    <xf numFmtId="165" fontId="16" fillId="16" borderId="0" xfId="37" applyNumberFormat="1" applyFont="1" applyFill="1" applyBorder="1" applyAlignment="1">
      <alignment wrapText="1"/>
    </xf>
    <xf numFmtId="165" fontId="16" fillId="16" borderId="27" xfId="57" applyNumberFormat="1" applyFont="1" applyFill="1" applyBorder="1">
      <alignment wrapText="1"/>
    </xf>
    <xf numFmtId="37" fontId="2" fillId="16" borderId="27" xfId="57" applyNumberFormat="1" applyFont="1" applyFill="1" applyBorder="1" applyAlignment="1">
      <alignment horizontal="right" wrapText="1"/>
    </xf>
    <xf numFmtId="37" fontId="2" fillId="16" borderId="0" xfId="57" applyNumberFormat="1" applyFont="1" applyFill="1" applyBorder="1" applyAlignment="1">
      <alignment horizontal="right" wrapText="1"/>
    </xf>
    <xf numFmtId="0" fontId="10" fillId="16" borderId="23" xfId="57" applyFont="1" applyFill="1" applyBorder="1">
      <alignment wrapText="1"/>
    </xf>
    <xf numFmtId="0" fontId="10" fillId="16" borderId="4" xfId="57" applyFont="1" applyFill="1" applyBorder="1">
      <alignment wrapText="1"/>
    </xf>
    <xf numFmtId="0" fontId="10" fillId="16" borderId="24" xfId="57" applyFont="1" applyFill="1" applyBorder="1">
      <alignment wrapText="1"/>
    </xf>
    <xf numFmtId="5" fontId="10" fillId="16" borderId="25" xfId="57" applyNumberFormat="1" applyFont="1" applyFill="1" applyBorder="1" applyAlignment="1">
      <alignment horizontal="right" wrapText="1"/>
    </xf>
    <xf numFmtId="5" fontId="10" fillId="16" borderId="4" xfId="57" applyNumberFormat="1" applyFont="1" applyFill="1" applyBorder="1" applyAlignment="1">
      <alignment horizontal="right" wrapText="1"/>
    </xf>
    <xf numFmtId="5" fontId="10" fillId="16" borderId="24" xfId="57" applyNumberFormat="1" applyFont="1" applyFill="1" applyBorder="1" applyAlignment="1">
      <alignment horizontal="right" wrapText="1"/>
    </xf>
    <xf numFmtId="5" fontId="10" fillId="16" borderId="23" xfId="57" applyNumberFormat="1" applyFont="1" applyFill="1" applyBorder="1">
      <alignment wrapText="1"/>
    </xf>
    <xf numFmtId="5" fontId="10" fillId="16" borderId="4" xfId="57" applyNumberFormat="1" applyFont="1" applyFill="1" applyBorder="1">
      <alignment wrapText="1"/>
    </xf>
    <xf numFmtId="5" fontId="10" fillId="16" borderId="24" xfId="57" applyNumberFormat="1" applyFont="1" applyFill="1" applyBorder="1">
      <alignment wrapText="1"/>
    </xf>
    <xf numFmtId="5" fontId="10" fillId="16" borderId="25" xfId="57" applyNumberFormat="1" applyFont="1" applyFill="1" applyBorder="1">
      <alignment wrapText="1"/>
    </xf>
    <xf numFmtId="5" fontId="16" fillId="16" borderId="4" xfId="57" applyNumberFormat="1" applyFont="1" applyFill="1" applyBorder="1">
      <alignment wrapText="1"/>
    </xf>
    <xf numFmtId="0" fontId="28" fillId="16" borderId="0" xfId="57" applyFont="1" applyFill="1" applyBorder="1">
      <alignment wrapText="1"/>
    </xf>
    <xf numFmtId="0" fontId="28" fillId="16" borderId="5" xfId="57" applyFont="1" applyFill="1" applyBorder="1">
      <alignment wrapText="1"/>
    </xf>
    <xf numFmtId="5" fontId="11" fillId="16" borderId="0" xfId="57" applyNumberFormat="1" applyFont="1" applyFill="1" applyBorder="1" applyAlignment="1">
      <alignment horizontal="right" wrapText="1"/>
    </xf>
    <xf numFmtId="5" fontId="4" fillId="16" borderId="27" xfId="57" applyNumberFormat="1" applyFont="1" applyFill="1" applyBorder="1">
      <alignment wrapText="1"/>
    </xf>
    <xf numFmtId="37" fontId="10" fillId="16" borderId="27" xfId="57" applyNumberFormat="1" applyFont="1" applyFill="1" applyBorder="1" applyAlignment="1">
      <alignment horizontal="right" wrapText="1"/>
    </xf>
    <xf numFmtId="37" fontId="10" fillId="16" borderId="0" xfId="57" applyNumberFormat="1" applyFont="1" applyFill="1" applyBorder="1" applyAlignment="1">
      <alignment horizontal="right" wrapText="1"/>
    </xf>
    <xf numFmtId="37" fontId="10" fillId="16" borderId="5" xfId="57" applyNumberFormat="1" applyFont="1" applyFill="1" applyBorder="1" applyAlignment="1">
      <alignment horizontal="right" wrapText="1"/>
    </xf>
    <xf numFmtId="165" fontId="16" fillId="16" borderId="27" xfId="37" applyNumberFormat="1" applyFont="1" applyFill="1" applyBorder="1" applyAlignment="1">
      <alignment wrapText="1"/>
    </xf>
    <xf numFmtId="0" fontId="2" fillId="16" borderId="23" xfId="57" applyFont="1" applyFill="1" applyBorder="1">
      <alignment wrapText="1"/>
    </xf>
    <xf numFmtId="0" fontId="2" fillId="16" borderId="4" xfId="57" applyFont="1" applyFill="1" applyBorder="1">
      <alignment wrapText="1"/>
    </xf>
    <xf numFmtId="166" fontId="2" fillId="16" borderId="27" xfId="57" applyNumberFormat="1" applyFont="1" applyFill="1" applyBorder="1">
      <alignment wrapText="1"/>
    </xf>
    <xf numFmtId="166" fontId="2" fillId="16" borderId="0" xfId="57" applyNumberFormat="1" applyFont="1" applyFill="1" applyBorder="1">
      <alignment wrapText="1"/>
    </xf>
    <xf numFmtId="166" fontId="2" fillId="16" borderId="3" xfId="57" applyNumberFormat="1" applyFont="1" applyFill="1" applyBorder="1">
      <alignment wrapText="1"/>
    </xf>
    <xf numFmtId="166" fontId="4" fillId="16" borderId="3" xfId="57" applyNumberFormat="1" applyFont="1" applyFill="1" applyBorder="1">
      <alignment wrapText="1"/>
    </xf>
    <xf numFmtId="166" fontId="4" fillId="16" borderId="0" xfId="57" applyNumberFormat="1" applyFont="1" applyFill="1" applyBorder="1">
      <alignment wrapText="1"/>
    </xf>
    <xf numFmtId="166" fontId="4" fillId="16" borderId="27" xfId="57" applyNumberFormat="1" applyFont="1" applyFill="1" applyBorder="1">
      <alignment wrapText="1"/>
    </xf>
    <xf numFmtId="2" fontId="2" fillId="16" borderId="27" xfId="57" applyNumberFormat="1" applyFont="1" applyFill="1" applyBorder="1">
      <alignment wrapText="1"/>
    </xf>
    <xf numFmtId="2" fontId="2" fillId="16" borderId="0" xfId="57" applyNumberFormat="1" applyFont="1" applyFill="1" applyBorder="1">
      <alignment wrapText="1"/>
    </xf>
    <xf numFmtId="2" fontId="11" fillId="16" borderId="0" xfId="57" applyNumberFormat="1" applyFont="1" applyFill="1" applyBorder="1">
      <alignment wrapText="1"/>
    </xf>
    <xf numFmtId="2" fontId="11" fillId="16" borderId="27" xfId="57" applyNumberFormat="1" applyFont="1" applyFill="1" applyBorder="1">
      <alignment wrapText="1"/>
    </xf>
    <xf numFmtId="2" fontId="2" fillId="16" borderId="3" xfId="57" applyNumberFormat="1" applyFont="1" applyFill="1" applyBorder="1">
      <alignment wrapText="1"/>
    </xf>
    <xf numFmtId="2" fontId="4" fillId="16" borderId="3" xfId="57" applyNumberFormat="1" applyFont="1" applyFill="1" applyBorder="1">
      <alignment wrapText="1"/>
    </xf>
    <xf numFmtId="2" fontId="4" fillId="16" borderId="0" xfId="57" applyNumberFormat="1" applyFont="1" applyFill="1" applyBorder="1">
      <alignment wrapText="1"/>
    </xf>
    <xf numFmtId="2" fontId="4" fillId="16" borderId="27" xfId="57" applyNumberFormat="1" applyFont="1" applyFill="1" applyBorder="1">
      <alignment wrapText="1"/>
    </xf>
    <xf numFmtId="0" fontId="2" fillId="16" borderId="25" xfId="57" applyFont="1" applyFill="1" applyBorder="1">
      <alignment wrapText="1"/>
    </xf>
    <xf numFmtId="37" fontId="2" fillId="16" borderId="27" xfId="57" applyNumberFormat="1" applyFont="1" applyFill="1" applyBorder="1">
      <alignment wrapText="1"/>
    </xf>
    <xf numFmtId="37" fontId="2" fillId="16" borderId="3" xfId="57" applyNumberFormat="1" applyFont="1" applyFill="1" applyBorder="1">
      <alignment wrapText="1"/>
    </xf>
    <xf numFmtId="37" fontId="2" fillId="16" borderId="0" xfId="57" applyNumberFormat="1" applyFont="1" applyFill="1" applyBorder="1">
      <alignment wrapText="1"/>
    </xf>
    <xf numFmtId="37" fontId="2" fillId="16" borderId="5" xfId="57" applyNumberFormat="1" applyFont="1" applyFill="1" applyBorder="1">
      <alignment wrapText="1"/>
    </xf>
    <xf numFmtId="37" fontId="4" fillId="16" borderId="3" xfId="57" applyNumberFormat="1" applyFont="1" applyFill="1" applyBorder="1">
      <alignment wrapText="1"/>
    </xf>
    <xf numFmtId="37" fontId="4" fillId="16" borderId="0" xfId="57" applyNumberFormat="1" applyFont="1" applyFill="1" applyBorder="1">
      <alignment wrapText="1"/>
    </xf>
    <xf numFmtId="37" fontId="4" fillId="16" borderId="27" xfId="57" applyNumberFormat="1" applyFont="1" applyFill="1" applyBorder="1">
      <alignment wrapText="1"/>
    </xf>
    <xf numFmtId="0" fontId="4" fillId="16" borderId="4" xfId="57" applyFont="1" applyFill="1" applyBorder="1">
      <alignment wrapText="1"/>
    </xf>
    <xf numFmtId="180" fontId="2" fillId="16" borderId="3" xfId="56" applyNumberFormat="1" applyFont="1" applyFill="1" applyBorder="1"/>
    <xf numFmtId="176" fontId="2" fillId="16" borderId="0" xfId="57" applyNumberFormat="1" applyFont="1" applyFill="1" applyBorder="1">
      <alignment wrapText="1"/>
    </xf>
    <xf numFmtId="176" fontId="4" fillId="16" borderId="0" xfId="57" applyNumberFormat="1" applyFont="1" applyFill="1" applyBorder="1">
      <alignment wrapText="1"/>
    </xf>
    <xf numFmtId="0" fontId="2" fillId="16" borderId="3" xfId="56" applyFont="1" applyFill="1" applyBorder="1"/>
    <xf numFmtId="176" fontId="2" fillId="16" borderId="3" xfId="56" applyNumberFormat="1" applyFont="1" applyFill="1" applyBorder="1"/>
    <xf numFmtId="166" fontId="2" fillId="16" borderId="0" xfId="61" applyNumberFormat="1" applyFont="1" applyFill="1" applyBorder="1" applyAlignment="1">
      <alignment wrapText="1"/>
    </xf>
    <xf numFmtId="0" fontId="2" fillId="16" borderId="26" xfId="3" applyFont="1" applyFill="1" applyBorder="1" applyAlignment="1">
      <alignment horizontal="right"/>
    </xf>
    <xf numFmtId="0" fontId="2" fillId="16" borderId="0" xfId="3" applyFont="1" applyFill="1" applyBorder="1" applyAlignment="1">
      <alignment horizontal="right"/>
    </xf>
    <xf numFmtId="165" fontId="11" fillId="16" borderId="0" xfId="37" applyNumberFormat="1" applyFont="1" applyFill="1" applyBorder="1" applyAlignment="1">
      <alignment horizontal="right"/>
    </xf>
    <xf numFmtId="165" fontId="2" fillId="16" borderId="26" xfId="3" applyNumberFormat="1" applyFont="1" applyFill="1" applyBorder="1" applyAlignment="1">
      <alignment horizontal="right"/>
    </xf>
    <xf numFmtId="165" fontId="2" fillId="16" borderId="26" xfId="37" applyNumberFormat="1" applyFont="1" applyFill="1" applyBorder="1" applyAlignment="1">
      <alignment horizontal="right"/>
    </xf>
    <xf numFmtId="165" fontId="2" fillId="16" borderId="3" xfId="37" applyNumberFormat="1" applyFont="1" applyFill="1" applyBorder="1" applyAlignment="1">
      <alignment horizontal="right"/>
    </xf>
    <xf numFmtId="165" fontId="4" fillId="16" borderId="26" xfId="37" applyNumberFormat="1" applyFont="1" applyFill="1" applyBorder="1" applyAlignment="1">
      <alignment horizontal="right"/>
    </xf>
    <xf numFmtId="165" fontId="2" fillId="16" borderId="10" xfId="37" applyNumberFormat="1" applyFont="1" applyFill="1" applyBorder="1" applyAlignment="1">
      <alignment horizontal="right"/>
    </xf>
    <xf numFmtId="170" fontId="2" fillId="16" borderId="0" xfId="37" applyNumberFormat="1" applyFont="1" applyFill="1" applyBorder="1" applyAlignment="1">
      <alignment horizontal="center"/>
    </xf>
    <xf numFmtId="170" fontId="2" fillId="16" borderId="27" xfId="37" applyNumberFormat="1" applyFont="1" applyFill="1" applyBorder="1" applyAlignment="1">
      <alignment horizontal="center"/>
    </xf>
    <xf numFmtId="170" fontId="2" fillId="16" borderId="3" xfId="37" applyNumberFormat="1" applyFont="1" applyFill="1" applyBorder="1" applyAlignment="1">
      <alignment horizontal="center"/>
    </xf>
    <xf numFmtId="170" fontId="4" fillId="16" borderId="27" xfId="37" applyNumberFormat="1" applyFont="1" applyFill="1" applyBorder="1" applyAlignment="1">
      <alignment horizontal="center"/>
    </xf>
    <xf numFmtId="9" fontId="2" fillId="16" borderId="27" xfId="61" applyFont="1" applyFill="1" applyBorder="1"/>
    <xf numFmtId="165" fontId="26" fillId="16" borderId="0" xfId="37" applyNumberFormat="1" applyFont="1" applyFill="1" applyBorder="1"/>
    <xf numFmtId="165" fontId="15" fillId="16" borderId="0" xfId="37" applyNumberFormat="1" applyFont="1" applyFill="1" applyBorder="1"/>
    <xf numFmtId="165" fontId="16" fillId="16" borderId="0" xfId="37" applyNumberFormat="1" applyFont="1" applyFill="1" applyBorder="1"/>
    <xf numFmtId="0" fontId="4" fillId="16" borderId="27" xfId="3" applyFont="1" applyFill="1" applyBorder="1" applyAlignment="1">
      <alignment horizontal="center"/>
    </xf>
    <xf numFmtId="5" fontId="2" fillId="16" borderId="0" xfId="3" applyNumberFormat="1" applyFont="1" applyFill="1" applyBorder="1"/>
    <xf numFmtId="1" fontId="2" fillId="16" borderId="0" xfId="3" applyNumberFormat="1" applyFont="1" applyFill="1" applyBorder="1"/>
    <xf numFmtId="1" fontId="2" fillId="16" borderId="27" xfId="3" applyNumberFormat="1" applyFont="1" applyFill="1" applyBorder="1"/>
    <xf numFmtId="1" fontId="2" fillId="16" borderId="3" xfId="3" applyNumberFormat="1" applyFont="1" applyFill="1" applyBorder="1"/>
    <xf numFmtId="0" fontId="2" fillId="16" borderId="25" xfId="3" applyFont="1" applyFill="1" applyBorder="1"/>
    <xf numFmtId="5" fontId="10" fillId="16" borderId="25" xfId="3" applyNumberFormat="1" applyFont="1" applyFill="1" applyBorder="1"/>
    <xf numFmtId="5" fontId="10" fillId="16" borderId="4" xfId="3" applyNumberFormat="1" applyFont="1" applyFill="1" applyBorder="1"/>
    <xf numFmtId="5" fontId="10" fillId="16" borderId="23" xfId="3" applyNumberFormat="1" applyFont="1" applyFill="1" applyBorder="1"/>
    <xf numFmtId="170" fontId="10" fillId="16" borderId="3" xfId="3" applyNumberFormat="1" applyFont="1" applyFill="1" applyBorder="1"/>
    <xf numFmtId="170" fontId="10" fillId="16" borderId="0" xfId="3" applyNumberFormat="1" applyFont="1" applyFill="1" applyBorder="1"/>
    <xf numFmtId="170" fontId="10" fillId="16" borderId="27" xfId="3" applyNumberFormat="1" applyFont="1" applyFill="1" applyBorder="1"/>
    <xf numFmtId="170" fontId="10" fillId="16" borderId="5" xfId="3" applyNumberFormat="1" applyFont="1" applyFill="1" applyBorder="1"/>
    <xf numFmtId="5" fontId="10" fillId="16" borderId="24" xfId="3" applyNumberFormat="1" applyFont="1" applyFill="1" applyBorder="1"/>
    <xf numFmtId="5" fontId="10" fillId="16" borderId="0" xfId="3" applyNumberFormat="1" applyFont="1" applyFill="1" applyBorder="1"/>
    <xf numFmtId="5" fontId="10" fillId="16" borderId="26" xfId="3" applyNumberFormat="1" applyFont="1" applyFill="1" applyBorder="1"/>
    <xf numFmtId="0" fontId="4" fillId="16" borderId="10" xfId="3" applyFont="1" applyFill="1" applyBorder="1"/>
    <xf numFmtId="5" fontId="16" fillId="16" borderId="26" xfId="3" applyNumberFormat="1" applyFont="1" applyFill="1" applyBorder="1" applyAlignment="1">
      <alignment horizontal="center"/>
    </xf>
    <xf numFmtId="165" fontId="4" fillId="16" borderId="3" xfId="3" applyNumberFormat="1" applyFont="1" applyFill="1" applyBorder="1"/>
    <xf numFmtId="165" fontId="4" fillId="16" borderId="23" xfId="3" applyNumberFormat="1" applyFont="1" applyFill="1" applyBorder="1"/>
    <xf numFmtId="165" fontId="4" fillId="16" borderId="4" xfId="3" applyNumberFormat="1" applyFont="1" applyFill="1" applyBorder="1"/>
    <xf numFmtId="165" fontId="4" fillId="16" borderId="25" xfId="3" applyNumberFormat="1" applyFont="1" applyFill="1" applyBorder="1" applyAlignment="1">
      <alignment horizontal="center"/>
    </xf>
    <xf numFmtId="5" fontId="10" fillId="16" borderId="12" xfId="3" applyNumberFormat="1" applyFont="1" applyFill="1" applyBorder="1"/>
    <xf numFmtId="165" fontId="16" fillId="16" borderId="23" xfId="3" applyNumberFormat="1" applyFont="1" applyFill="1" applyBorder="1"/>
    <xf numFmtId="165" fontId="16" fillId="16" borderId="4" xfId="3" applyNumberFormat="1" applyFont="1" applyFill="1" applyBorder="1"/>
    <xf numFmtId="165" fontId="16" fillId="16" borderId="11" xfId="3" applyNumberFormat="1" applyFont="1" applyFill="1" applyBorder="1" applyAlignment="1">
      <alignment horizontal="center"/>
    </xf>
    <xf numFmtId="0" fontId="28" fillId="16" borderId="0" xfId="3" applyFont="1" applyFill="1" applyBorder="1"/>
    <xf numFmtId="166" fontId="4" fillId="16" borderId="0" xfId="3" applyNumberFormat="1" applyFont="1" applyFill="1"/>
    <xf numFmtId="166" fontId="2" fillId="16" borderId="4" xfId="61" applyNumberFormat="1" applyFont="1" applyFill="1" applyBorder="1"/>
    <xf numFmtId="0" fontId="2" fillId="16" borderId="0" xfId="3" applyFont="1" applyFill="1" applyAlignment="1">
      <alignment horizontal="left" indent="1"/>
    </xf>
    <xf numFmtId="171" fontId="2" fillId="16" borderId="0" xfId="3" applyNumberFormat="1" applyFont="1" applyFill="1" applyBorder="1"/>
    <xf numFmtId="165" fontId="2" fillId="16" borderId="4" xfId="37" applyNumberFormat="1" applyFont="1" applyFill="1" applyBorder="1"/>
    <xf numFmtId="0" fontId="0" fillId="16" borderId="0" xfId="3" applyFont="1" applyFill="1" applyAlignment="1">
      <alignment horizontal="center"/>
    </xf>
    <xf numFmtId="165" fontId="2" fillId="16" borderId="2" xfId="3" applyNumberFormat="1" applyFont="1" applyFill="1" applyBorder="1"/>
    <xf numFmtId="165" fontId="2" fillId="16" borderId="26" xfId="3" applyNumberFormat="1" applyFont="1" applyFill="1" applyBorder="1"/>
    <xf numFmtId="2" fontId="2" fillId="16" borderId="0" xfId="61" applyNumberFormat="1" applyFont="1" applyFill="1"/>
    <xf numFmtId="165" fontId="2" fillId="16" borderId="23" xfId="3" applyNumberFormat="1" applyFont="1" applyFill="1" applyBorder="1"/>
    <xf numFmtId="165" fontId="4" fillId="16" borderId="12" xfId="3" applyNumberFormat="1" applyFont="1" applyFill="1" applyBorder="1"/>
    <xf numFmtId="165" fontId="4" fillId="16" borderId="11" xfId="3" applyNumberFormat="1" applyFont="1" applyFill="1" applyBorder="1"/>
    <xf numFmtId="165" fontId="2" fillId="16" borderId="3" xfId="57" applyNumberFormat="1" applyFont="1" applyFill="1" applyBorder="1">
      <alignment wrapText="1"/>
    </xf>
    <xf numFmtId="165" fontId="18" fillId="16" borderId="3" xfId="57" applyNumberFormat="1" applyFont="1" applyFill="1" applyBorder="1">
      <alignment wrapText="1"/>
    </xf>
    <xf numFmtId="44" fontId="2" fillId="16" borderId="0" xfId="39" applyFont="1" applyFill="1"/>
    <xf numFmtId="44" fontId="4" fillId="16" borderId="0" xfId="39" applyFont="1" applyFill="1"/>
    <xf numFmtId="182" fontId="2" fillId="16" borderId="0" xfId="39" applyNumberFormat="1" applyFont="1" applyFill="1"/>
    <xf numFmtId="165" fontId="2" fillId="16" borderId="4" xfId="3" applyNumberFormat="1" applyFont="1" applyFill="1" applyBorder="1"/>
    <xf numFmtId="165" fontId="2" fillId="16" borderId="0" xfId="57" applyNumberFormat="1" applyFont="1" applyFill="1" applyBorder="1">
      <alignment wrapText="1"/>
    </xf>
    <xf numFmtId="165" fontId="18" fillId="16" borderId="0" xfId="57" applyNumberFormat="1" applyFont="1" applyFill="1" applyBorder="1">
      <alignment wrapText="1"/>
    </xf>
    <xf numFmtId="0" fontId="2" fillId="0" borderId="0" xfId="3" applyFont="1" applyFill="1"/>
    <xf numFmtId="0" fontId="2" fillId="0" borderId="0" xfId="3" applyFont="1" applyFill="1" applyBorder="1"/>
    <xf numFmtId="0" fontId="13" fillId="0" borderId="0" xfId="3" applyFont="1" applyFill="1" applyBorder="1"/>
    <xf numFmtId="0" fontId="18" fillId="0" borderId="0" xfId="3" applyFont="1" applyFill="1" applyBorder="1"/>
    <xf numFmtId="0" fontId="10" fillId="0" borderId="0" xfId="3" applyFont="1" applyFill="1" applyBorder="1"/>
    <xf numFmtId="0" fontId="34" fillId="16" borderId="0" xfId="3" applyFont="1" applyFill="1"/>
    <xf numFmtId="0" fontId="30" fillId="16" borderId="0" xfId="3" applyFont="1" applyFill="1" applyAlignment="1">
      <alignment horizontal="center"/>
    </xf>
    <xf numFmtId="0" fontId="35" fillId="16" borderId="0" xfId="49" applyFont="1" applyFill="1" applyAlignment="1" applyProtection="1"/>
    <xf numFmtId="0" fontId="10" fillId="16" borderId="29" xfId="3" applyFont="1" applyFill="1" applyBorder="1" applyAlignment="1">
      <alignment horizontal="center"/>
    </xf>
    <xf numFmtId="0" fontId="36" fillId="16" borderId="1" xfId="49" applyFont="1" applyFill="1" applyBorder="1" applyAlignment="1" applyProtection="1">
      <alignment horizontal="center"/>
    </xf>
    <xf numFmtId="0" fontId="6" fillId="16" borderId="0" xfId="49" applyFont="1" applyFill="1" applyBorder="1" applyAlignment="1" applyProtection="1">
      <alignment horizontal="center"/>
    </xf>
    <xf numFmtId="0" fontId="22" fillId="16" borderId="32" xfId="3" applyFont="1" applyFill="1" applyBorder="1" applyAlignment="1">
      <alignment horizontal="left" indent="1"/>
    </xf>
    <xf numFmtId="166" fontId="22" fillId="16" borderId="33" xfId="61" applyNumberFormat="1" applyFont="1" applyFill="1" applyBorder="1" applyAlignment="1">
      <alignment horizontal="center"/>
    </xf>
    <xf numFmtId="0" fontId="6" fillId="16" borderId="0" xfId="49" applyFill="1" applyBorder="1" applyAlignment="1" applyProtection="1">
      <alignment horizontal="center"/>
    </xf>
    <xf numFmtId="0" fontId="9" fillId="16" borderId="32" xfId="3" applyFont="1" applyFill="1" applyBorder="1"/>
    <xf numFmtId="7" fontId="2" fillId="16" borderId="0" xfId="3" applyNumberFormat="1" applyFont="1" applyFill="1" applyBorder="1" applyAlignment="1">
      <alignment horizontal="center"/>
    </xf>
    <xf numFmtId="7" fontId="2" fillId="16" borderId="33" xfId="3" applyNumberFormat="1" applyFont="1" applyFill="1" applyBorder="1" applyAlignment="1">
      <alignment horizontal="center"/>
    </xf>
    <xf numFmtId="166" fontId="2" fillId="16" borderId="33" xfId="61" applyNumberFormat="1" applyFont="1" applyFill="1" applyBorder="1" applyAlignment="1">
      <alignment horizontal="center"/>
    </xf>
    <xf numFmtId="37" fontId="2" fillId="16" borderId="0" xfId="3" applyNumberFormat="1" applyFont="1" applyFill="1" applyBorder="1" applyAlignment="1">
      <alignment horizontal="center"/>
    </xf>
    <xf numFmtId="37" fontId="2" fillId="16" borderId="33" xfId="3" applyNumberFormat="1" applyFont="1" applyFill="1" applyBorder="1" applyAlignment="1">
      <alignment horizontal="center"/>
    </xf>
    <xf numFmtId="0" fontId="9" fillId="16" borderId="0" xfId="3" applyFont="1" applyFill="1"/>
    <xf numFmtId="171" fontId="2" fillId="16" borderId="0" xfId="3" applyNumberFormat="1" applyFont="1" applyFill="1" applyBorder="1" applyAlignment="1">
      <alignment horizontal="center"/>
    </xf>
    <xf numFmtId="0" fontId="10" fillId="16" borderId="0" xfId="3" applyFont="1" applyFill="1" applyBorder="1" applyAlignment="1">
      <alignment horizontal="left"/>
    </xf>
    <xf numFmtId="166" fontId="2" fillId="16" borderId="33" xfId="61" applyNumberFormat="1" applyFont="1" applyFill="1" applyBorder="1"/>
    <xf numFmtId="1" fontId="10" fillId="16" borderId="0" xfId="3" applyNumberFormat="1" applyFont="1" applyFill="1" applyBorder="1"/>
    <xf numFmtId="165" fontId="10" fillId="16" borderId="21" xfId="3" applyNumberFormat="1" applyFont="1" applyFill="1" applyBorder="1"/>
    <xf numFmtId="165" fontId="10" fillId="16" borderId="26" xfId="3" applyNumberFormat="1" applyFont="1" applyFill="1" applyBorder="1"/>
    <xf numFmtId="165" fontId="22" fillId="16" borderId="0" xfId="3" applyNumberFormat="1" applyFont="1" applyFill="1" applyBorder="1"/>
    <xf numFmtId="165" fontId="22" fillId="16" borderId="27" xfId="3" applyNumberFormat="1" applyFont="1" applyFill="1" applyBorder="1"/>
    <xf numFmtId="165" fontId="16" fillId="16" borderId="0" xfId="3" applyNumberFormat="1" applyFont="1" applyFill="1" applyBorder="1"/>
    <xf numFmtId="166" fontId="10" fillId="16" borderId="33" xfId="61" applyNumberFormat="1" applyFont="1" applyFill="1" applyBorder="1"/>
    <xf numFmtId="7" fontId="2" fillId="16" borderId="0" xfId="39" applyNumberFormat="1" applyFont="1" applyFill="1" applyBorder="1" applyAlignment="1">
      <alignment horizontal="center"/>
    </xf>
    <xf numFmtId="164" fontId="2" fillId="16" borderId="0" xfId="3" applyNumberFormat="1" applyFont="1" applyFill="1" applyBorder="1"/>
    <xf numFmtId="165" fontId="2" fillId="16" borderId="25" xfId="3" applyNumberFormat="1" applyFont="1" applyFill="1" applyBorder="1"/>
    <xf numFmtId="165" fontId="2" fillId="16" borderId="27" xfId="57" applyNumberFormat="1" applyFont="1" applyFill="1" applyBorder="1">
      <alignment wrapText="1"/>
    </xf>
    <xf numFmtId="165" fontId="18" fillId="16" borderId="27" xfId="57" applyNumberFormat="1" applyFont="1" applyFill="1" applyBorder="1">
      <alignment wrapText="1"/>
    </xf>
    <xf numFmtId="165" fontId="10" fillId="16" borderId="27" xfId="57" applyNumberFormat="1" applyFont="1" applyFill="1" applyBorder="1">
      <alignment wrapText="1"/>
    </xf>
    <xf numFmtId="0" fontId="2" fillId="16" borderId="27" xfId="3" applyFont="1" applyFill="1" applyBorder="1" applyAlignment="1">
      <alignment horizontal="center"/>
    </xf>
    <xf numFmtId="1" fontId="2" fillId="16" borderId="27" xfId="3" applyNumberFormat="1" applyFont="1" applyFill="1" applyBorder="1" applyAlignment="1">
      <alignment horizontal="center"/>
    </xf>
    <xf numFmtId="170" fontId="10" fillId="16" borderId="27" xfId="3" applyNumberFormat="1" applyFont="1" applyFill="1" applyBorder="1" applyAlignment="1">
      <alignment horizontal="center"/>
    </xf>
    <xf numFmtId="5" fontId="10" fillId="16" borderId="25" xfId="3" applyNumberFormat="1" applyFont="1" applyFill="1" applyBorder="1" applyAlignment="1">
      <alignment horizontal="center"/>
    </xf>
    <xf numFmtId="5" fontId="10" fillId="16" borderId="26" xfId="3" applyNumberFormat="1" applyFont="1" applyFill="1" applyBorder="1" applyAlignment="1">
      <alignment horizontal="center"/>
    </xf>
    <xf numFmtId="165" fontId="2" fillId="16" borderId="25" xfId="3" applyNumberFormat="1" applyFont="1" applyFill="1" applyBorder="1" applyAlignment="1">
      <alignment horizontal="center"/>
    </xf>
    <xf numFmtId="165" fontId="10" fillId="16" borderId="11" xfId="3" applyNumberFormat="1" applyFont="1" applyFill="1" applyBorder="1" applyAlignment="1">
      <alignment horizontal="center"/>
    </xf>
    <xf numFmtId="165" fontId="2" fillId="16" borderId="11" xfId="3" applyNumberFormat="1" applyFont="1" applyFill="1" applyBorder="1"/>
    <xf numFmtId="183" fontId="2" fillId="16" borderId="0" xfId="3" applyNumberFormat="1" applyFont="1" applyFill="1" applyBorder="1"/>
    <xf numFmtId="0" fontId="2" fillId="16" borderId="3" xfId="3" quotePrefix="1" applyFont="1" applyFill="1" applyBorder="1"/>
    <xf numFmtId="0" fontId="2" fillId="16" borderId="23" xfId="3" quotePrefix="1" applyFont="1" applyFill="1" applyBorder="1"/>
    <xf numFmtId="165" fontId="10" fillId="16" borderId="26" xfId="3" applyNumberFormat="1" applyFont="1" applyFill="1" applyBorder="1" applyAlignment="1">
      <alignment horizontal="center"/>
    </xf>
    <xf numFmtId="165" fontId="16" fillId="16" borderId="26" xfId="3" applyNumberFormat="1" applyFont="1" applyFill="1" applyBorder="1" applyAlignment="1">
      <alignment horizontal="center"/>
    </xf>
    <xf numFmtId="174" fontId="2" fillId="16" borderId="0" xfId="3" applyNumberFormat="1" applyFont="1" applyFill="1" applyBorder="1"/>
    <xf numFmtId="165" fontId="2" fillId="16" borderId="12" xfId="37" applyNumberFormat="1" applyFont="1" applyFill="1" applyBorder="1"/>
    <xf numFmtId="165" fontId="11" fillId="16" borderId="12" xfId="37" applyNumberFormat="1" applyFont="1" applyFill="1" applyBorder="1"/>
    <xf numFmtId="165" fontId="10" fillId="16" borderId="12" xfId="37" applyNumberFormat="1" applyFont="1" applyFill="1" applyBorder="1"/>
    <xf numFmtId="165" fontId="10" fillId="16" borderId="11" xfId="37" applyNumberFormat="1" applyFont="1" applyFill="1" applyBorder="1"/>
    <xf numFmtId="165" fontId="10" fillId="16" borderId="21" xfId="37" applyNumberFormat="1" applyFont="1" applyFill="1" applyBorder="1"/>
    <xf numFmtId="165" fontId="16" fillId="16" borderId="12" xfId="37" applyNumberFormat="1" applyFont="1" applyFill="1" applyBorder="1"/>
    <xf numFmtId="165" fontId="16" fillId="16" borderId="11" xfId="37" applyNumberFormat="1" applyFont="1" applyFill="1" applyBorder="1"/>
    <xf numFmtId="165" fontId="2" fillId="16" borderId="21" xfId="37" applyNumberFormat="1" applyFont="1" applyFill="1" applyBorder="1"/>
    <xf numFmtId="165" fontId="10" fillId="16" borderId="11" xfId="37" applyNumberFormat="1" applyFont="1" applyFill="1" applyBorder="1" applyAlignment="1">
      <alignment horizontal="center"/>
    </xf>
    <xf numFmtId="165" fontId="4" fillId="16" borderId="12" xfId="37" applyNumberFormat="1" applyFont="1" applyFill="1" applyBorder="1"/>
    <xf numFmtId="165" fontId="16" fillId="16" borderId="11" xfId="37" applyNumberFormat="1" applyFont="1" applyFill="1" applyBorder="1" applyAlignment="1">
      <alignment horizontal="center"/>
    </xf>
    <xf numFmtId="5" fontId="16" fillId="16" borderId="25" xfId="57" applyNumberFormat="1" applyFont="1" applyFill="1" applyBorder="1">
      <alignment wrapText="1"/>
    </xf>
    <xf numFmtId="166" fontId="2" fillId="16" borderId="5" xfId="61" applyNumberFormat="1" applyFont="1" applyFill="1" applyBorder="1" applyAlignment="1">
      <alignment horizontal="center"/>
    </xf>
    <xf numFmtId="0" fontId="2" fillId="8" borderId="12" xfId="57" applyFont="1" applyFill="1" applyBorder="1">
      <alignment wrapText="1"/>
    </xf>
    <xf numFmtId="0" fontId="11" fillId="8" borderId="12" xfId="57" applyFont="1" applyFill="1" applyBorder="1">
      <alignment wrapText="1"/>
    </xf>
    <xf numFmtId="0" fontId="4" fillId="8" borderId="12" xfId="57" applyFont="1" applyFill="1" applyBorder="1">
      <alignment wrapText="1"/>
    </xf>
    <xf numFmtId="0" fontId="2" fillId="8" borderId="22" xfId="57" applyFont="1" applyFill="1" applyBorder="1">
      <alignment wrapText="1"/>
    </xf>
    <xf numFmtId="175" fontId="2" fillId="16" borderId="27" xfId="57" applyNumberFormat="1" applyFont="1" applyFill="1" applyBorder="1">
      <alignment wrapText="1"/>
    </xf>
    <xf numFmtId="175" fontId="2" fillId="16" borderId="0" xfId="57" applyNumberFormat="1" applyFont="1" applyFill="1" applyBorder="1">
      <alignment wrapText="1"/>
    </xf>
    <xf numFmtId="175" fontId="2" fillId="16" borderId="3" xfId="57" applyNumberFormat="1" applyFont="1" applyFill="1" applyBorder="1">
      <alignment wrapText="1"/>
    </xf>
    <xf numFmtId="0" fontId="36" fillId="16" borderId="41" xfId="49" applyFont="1" applyFill="1" applyBorder="1" applyAlignment="1" applyProtection="1">
      <alignment horizontal="center"/>
    </xf>
    <xf numFmtId="37" fontId="2" fillId="16" borderId="5" xfId="57" applyNumberFormat="1" applyFont="1" applyFill="1" applyBorder="1" applyAlignment="1">
      <alignment horizontal="right" wrapText="1"/>
    </xf>
    <xf numFmtId="3" fontId="2" fillId="16" borderId="0" xfId="57" applyNumberFormat="1" applyFont="1" applyFill="1" applyBorder="1">
      <alignment wrapText="1"/>
    </xf>
    <xf numFmtId="43" fontId="22" fillId="16" borderId="0" xfId="37" applyNumberFormat="1" applyFont="1" applyFill="1" applyBorder="1"/>
    <xf numFmtId="44" fontId="2" fillId="16" borderId="27" xfId="3" applyNumberFormat="1" applyFont="1" applyFill="1" applyBorder="1"/>
    <xf numFmtId="7" fontId="2" fillId="16" borderId="27" xfId="39" applyNumberFormat="1" applyFont="1" applyFill="1" applyBorder="1"/>
    <xf numFmtId="7" fontId="2" fillId="16" borderId="0" xfId="39" applyNumberFormat="1" applyFont="1" applyFill="1" applyBorder="1"/>
    <xf numFmtId="7" fontId="2" fillId="16" borderId="5" xfId="39" applyNumberFormat="1" applyFont="1" applyFill="1" applyBorder="1"/>
    <xf numFmtId="0" fontId="5" fillId="0" borderId="0" xfId="55"/>
    <xf numFmtId="166" fontId="2" fillId="16" borderId="11" xfId="61" applyNumberFormat="1" applyFont="1" applyFill="1" applyBorder="1"/>
    <xf numFmtId="166" fontId="2" fillId="16" borderId="12" xfId="61" applyNumberFormat="1" applyFont="1" applyFill="1" applyBorder="1"/>
    <xf numFmtId="0" fontId="22" fillId="16" borderId="23" xfId="3" applyFont="1" applyFill="1" applyBorder="1"/>
    <xf numFmtId="165" fontId="26" fillId="16" borderId="3" xfId="37" applyNumberFormat="1" applyFont="1" applyFill="1" applyBorder="1"/>
    <xf numFmtId="0" fontId="30" fillId="0" borderId="0" xfId="3" applyFont="1"/>
    <xf numFmtId="0" fontId="2" fillId="8" borderId="0" xfId="3" applyFont="1" applyFill="1"/>
    <xf numFmtId="0" fontId="11" fillId="8" borderId="0" xfId="3" applyFont="1" applyFill="1"/>
    <xf numFmtId="0" fontId="2" fillId="8" borderId="0" xfId="55" applyFont="1" applyFill="1"/>
    <xf numFmtId="0" fontId="10" fillId="16" borderId="0" xfId="3" applyFont="1" applyFill="1" applyAlignment="1">
      <alignment horizontal="center"/>
    </xf>
    <xf numFmtId="1" fontId="10" fillId="16" borderId="3" xfId="3" applyNumberFormat="1" applyFont="1" applyFill="1" applyBorder="1"/>
    <xf numFmtId="0" fontId="22" fillId="16" borderId="3" xfId="3" applyFont="1" applyFill="1" applyBorder="1" applyAlignment="1">
      <alignment horizontal="left" indent="1"/>
    </xf>
    <xf numFmtId="166" fontId="22" fillId="16" borderId="5" xfId="61" applyNumberFormat="1" applyFont="1" applyFill="1" applyBorder="1" applyAlignment="1">
      <alignment horizontal="center"/>
    </xf>
    <xf numFmtId="9" fontId="22" fillId="16" borderId="27" xfId="61" applyNumberFormat="1" applyFont="1" applyFill="1" applyBorder="1"/>
    <xf numFmtId="9" fontId="22" fillId="16" borderId="0" xfId="61" applyNumberFormat="1" applyFont="1" applyFill="1" applyBorder="1"/>
    <xf numFmtId="7" fontId="2" fillId="16" borderId="27" xfId="3" applyNumberFormat="1" applyFont="1" applyFill="1" applyBorder="1"/>
    <xf numFmtId="0" fontId="2" fillId="16" borderId="42" xfId="3" applyFont="1" applyFill="1" applyBorder="1"/>
    <xf numFmtId="0" fontId="2" fillId="16" borderId="44" xfId="3" applyFont="1" applyFill="1" applyBorder="1"/>
    <xf numFmtId="165" fontId="2" fillId="16" borderId="44" xfId="3" applyNumberFormat="1" applyFont="1" applyFill="1" applyBorder="1"/>
    <xf numFmtId="165" fontId="10" fillId="16" borderId="44" xfId="3" applyNumberFormat="1" applyFont="1" applyFill="1" applyBorder="1"/>
    <xf numFmtId="0" fontId="10" fillId="16" borderId="44" xfId="3" applyFont="1" applyFill="1" applyBorder="1"/>
    <xf numFmtId="165" fontId="18" fillId="16" borderId="44" xfId="3" applyNumberFormat="1" applyFont="1" applyFill="1" applyBorder="1"/>
    <xf numFmtId="165" fontId="10" fillId="16" borderId="44" xfId="37" applyNumberFormat="1" applyFont="1" applyFill="1" applyBorder="1"/>
    <xf numFmtId="165" fontId="2" fillId="16" borderId="44" xfId="37" applyNumberFormat="1" applyFont="1" applyFill="1" applyBorder="1"/>
    <xf numFmtId="44" fontId="10" fillId="16" borderId="45" xfId="39" applyNumberFormat="1" applyFont="1" applyFill="1" applyBorder="1"/>
    <xf numFmtId="7" fontId="10" fillId="16" borderId="44" xfId="39" applyNumberFormat="1" applyFont="1" applyFill="1" applyBorder="1"/>
    <xf numFmtId="7" fontId="2" fillId="16" borderId="44" xfId="39" applyNumberFormat="1" applyFont="1" applyFill="1" applyBorder="1"/>
    <xf numFmtId="7" fontId="10" fillId="16" borderId="45" xfId="39" applyNumberFormat="1" applyFont="1" applyFill="1" applyBorder="1"/>
    <xf numFmtId="172" fontId="25" fillId="16" borderId="46" xfId="3" applyNumberFormat="1" applyFont="1" applyFill="1" applyBorder="1"/>
    <xf numFmtId="0" fontId="2" fillId="16" borderId="47" xfId="3" applyFont="1" applyFill="1" applyBorder="1"/>
    <xf numFmtId="2" fontId="10" fillId="16" borderId="49" xfId="3" applyNumberFormat="1" applyFont="1" applyFill="1" applyBorder="1"/>
    <xf numFmtId="2" fontId="2" fillId="16" borderId="49" xfId="3" applyNumberFormat="1" applyFont="1" applyFill="1" applyBorder="1"/>
    <xf numFmtId="2" fontId="10" fillId="16" borderId="50" xfId="3" applyNumberFormat="1" applyFont="1" applyFill="1" applyBorder="1"/>
    <xf numFmtId="0" fontId="2" fillId="16" borderId="46" xfId="3" applyFont="1" applyFill="1" applyBorder="1"/>
    <xf numFmtId="0" fontId="28" fillId="16" borderId="42" xfId="57" applyFont="1" applyFill="1" applyBorder="1">
      <alignment wrapText="1"/>
    </xf>
    <xf numFmtId="0" fontId="10" fillId="16" borderId="42" xfId="57" applyFont="1" applyFill="1" applyBorder="1">
      <alignment wrapText="1"/>
    </xf>
    <xf numFmtId="0" fontId="2" fillId="16" borderId="42" xfId="57" applyFont="1" applyFill="1" applyBorder="1">
      <alignment wrapText="1"/>
    </xf>
    <xf numFmtId="0" fontId="10" fillId="16" borderId="51" xfId="57" applyFont="1" applyFill="1" applyBorder="1">
      <alignment wrapText="1"/>
    </xf>
    <xf numFmtId="165" fontId="4" fillId="16" borderId="44" xfId="37" applyNumberFormat="1" applyFont="1" applyFill="1" applyBorder="1" applyAlignment="1">
      <alignment wrapText="1"/>
    </xf>
    <xf numFmtId="166" fontId="2" fillId="16" borderId="27" xfId="3" applyNumberFormat="1" applyFont="1" applyFill="1" applyBorder="1"/>
    <xf numFmtId="43" fontId="13" fillId="16" borderId="3" xfId="37" applyFont="1" applyFill="1" applyBorder="1" applyAlignment="1">
      <alignment wrapText="1"/>
    </xf>
    <xf numFmtId="43" fontId="13" fillId="16" borderId="0" xfId="37" applyFont="1" applyFill="1" applyBorder="1" applyAlignment="1">
      <alignment wrapText="1"/>
    </xf>
    <xf numFmtId="43" fontId="13" fillId="16" borderId="27" xfId="37" applyFont="1" applyFill="1" applyBorder="1" applyAlignment="1">
      <alignment wrapText="1"/>
    </xf>
    <xf numFmtId="43" fontId="13" fillId="16" borderId="49" xfId="37" applyFont="1" applyFill="1" applyBorder="1" applyAlignment="1">
      <alignment wrapText="1"/>
    </xf>
    <xf numFmtId="0" fontId="10" fillId="8" borderId="50" xfId="3" applyFont="1" applyFill="1" applyBorder="1"/>
    <xf numFmtId="166" fontId="2" fillId="16" borderId="49" xfId="3" applyNumberFormat="1" applyFont="1" applyFill="1" applyBorder="1"/>
    <xf numFmtId="0" fontId="2" fillId="16" borderId="49" xfId="3" applyFont="1" applyFill="1" applyBorder="1"/>
    <xf numFmtId="0" fontId="2" fillId="16" borderId="52" xfId="57" applyFont="1" applyFill="1" applyBorder="1">
      <alignment wrapText="1"/>
    </xf>
    <xf numFmtId="0" fontId="2" fillId="16" borderId="49" xfId="57" applyFont="1" applyFill="1" applyBorder="1">
      <alignment wrapText="1"/>
    </xf>
    <xf numFmtId="166" fontId="2" fillId="16" borderId="44" xfId="61" applyNumberFormat="1" applyFont="1" applyFill="1" applyBorder="1"/>
    <xf numFmtId="166" fontId="10" fillId="16" borderId="44" xfId="61" applyNumberFormat="1" applyFont="1" applyFill="1" applyBorder="1"/>
    <xf numFmtId="0" fontId="2" fillId="8" borderId="54" xfId="3" applyFont="1" applyFill="1" applyBorder="1"/>
    <xf numFmtId="9" fontId="2" fillId="16" borderId="44" xfId="61" applyNumberFormat="1" applyFont="1" applyFill="1" applyBorder="1" applyAlignment="1">
      <alignment horizontal="right"/>
    </xf>
    <xf numFmtId="43" fontId="2" fillId="16" borderId="3" xfId="37" applyFont="1" applyFill="1" applyBorder="1" applyAlignment="1">
      <alignment wrapText="1"/>
    </xf>
    <xf numFmtId="43" fontId="2" fillId="16" borderId="0" xfId="37" applyFont="1" applyFill="1" applyBorder="1" applyAlignment="1">
      <alignment wrapText="1"/>
    </xf>
    <xf numFmtId="43" fontId="2" fillId="16" borderId="27" xfId="37" applyFont="1" applyFill="1" applyBorder="1" applyAlignment="1">
      <alignment wrapText="1"/>
    </xf>
    <xf numFmtId="0" fontId="10" fillId="0" borderId="3" xfId="3" applyFont="1" applyFill="1" applyBorder="1"/>
    <xf numFmtId="1" fontId="10" fillId="0" borderId="21" xfId="3" applyNumberFormat="1" applyFont="1" applyBorder="1"/>
    <xf numFmtId="1" fontId="10" fillId="16" borderId="11" xfId="3" applyNumberFormat="1" applyFont="1" applyFill="1" applyBorder="1"/>
    <xf numFmtId="37" fontId="2" fillId="16" borderId="11" xfId="3" applyNumberFormat="1" applyFont="1" applyFill="1" applyBorder="1"/>
    <xf numFmtId="37" fontId="2" fillId="16" borderId="12" xfId="3" applyNumberFormat="1" applyFont="1" applyFill="1" applyBorder="1"/>
    <xf numFmtId="37" fontId="4" fillId="16" borderId="12" xfId="3" applyNumberFormat="1" applyFont="1" applyFill="1" applyBorder="1"/>
    <xf numFmtId="37" fontId="4" fillId="16" borderId="11" xfId="3" applyNumberFormat="1" applyFont="1" applyFill="1" applyBorder="1"/>
    <xf numFmtId="37" fontId="2" fillId="16" borderId="27" xfId="3" applyNumberFormat="1" applyFont="1" applyFill="1" applyBorder="1"/>
    <xf numFmtId="37" fontId="2" fillId="16" borderId="0" xfId="3" applyNumberFormat="1" applyFont="1" applyFill="1"/>
    <xf numFmtId="37" fontId="4" fillId="16" borderId="0" xfId="3" applyNumberFormat="1" applyFont="1" applyFill="1"/>
    <xf numFmtId="37" fontId="4" fillId="16" borderId="27" xfId="3" applyNumberFormat="1" applyFont="1" applyFill="1" applyBorder="1"/>
    <xf numFmtId="44" fontId="4" fillId="16" borderId="44" xfId="3" applyNumberFormat="1" applyFont="1" applyFill="1" applyBorder="1"/>
    <xf numFmtId="1" fontId="2" fillId="16" borderId="46" xfId="3" applyNumberFormat="1" applyFont="1" applyFill="1" applyBorder="1"/>
    <xf numFmtId="49" fontId="0" fillId="0" borderId="0" xfId="3" applyNumberFormat="1" applyFont="1"/>
    <xf numFmtId="192" fontId="28" fillId="16" borderId="42" xfId="57" applyNumberFormat="1" applyFont="1" applyFill="1" applyBorder="1">
      <alignment wrapText="1"/>
    </xf>
    <xf numFmtId="192" fontId="28" fillId="16" borderId="2" xfId="57" applyNumberFormat="1" applyFont="1" applyFill="1" applyBorder="1">
      <alignment wrapText="1"/>
    </xf>
    <xf numFmtId="192" fontId="28" fillId="16" borderId="28" xfId="57" applyNumberFormat="1" applyFont="1" applyFill="1" applyBorder="1">
      <alignment wrapText="1"/>
    </xf>
    <xf numFmtId="192" fontId="28" fillId="16" borderId="27" xfId="57" applyNumberFormat="1" applyFont="1" applyFill="1" applyBorder="1">
      <alignment wrapText="1"/>
    </xf>
    <xf numFmtId="192" fontId="2" fillId="16" borderId="26" xfId="57" applyNumberFormat="1" applyFont="1" applyFill="1" applyBorder="1">
      <alignment wrapText="1"/>
    </xf>
    <xf numFmtId="192" fontId="2" fillId="16" borderId="0" xfId="57" applyNumberFormat="1" applyFont="1" applyFill="1" applyBorder="1">
      <alignment wrapText="1"/>
    </xf>
    <xf numFmtId="192" fontId="11" fillId="16" borderId="0" xfId="57" applyNumberFormat="1" applyFont="1" applyFill="1" applyBorder="1">
      <alignment wrapText="1"/>
    </xf>
    <xf numFmtId="192" fontId="2" fillId="16" borderId="3" xfId="57" applyNumberFormat="1" applyFont="1" applyFill="1" applyBorder="1">
      <alignment wrapText="1"/>
    </xf>
    <xf numFmtId="192" fontId="4" fillId="16" borderId="0" xfId="57" applyNumberFormat="1" applyFont="1" applyFill="1" applyBorder="1">
      <alignment wrapText="1"/>
    </xf>
    <xf numFmtId="192" fontId="2" fillId="16" borderId="10" xfId="57" applyNumberFormat="1" applyFont="1" applyFill="1" applyBorder="1">
      <alignment wrapText="1"/>
    </xf>
    <xf numFmtId="192" fontId="2" fillId="16" borderId="27" xfId="57" applyNumberFormat="1" applyFont="1" applyFill="1" applyBorder="1">
      <alignment wrapText="1"/>
    </xf>
    <xf numFmtId="192" fontId="4" fillId="16" borderId="27" xfId="57" applyNumberFormat="1" applyFont="1" applyFill="1" applyBorder="1">
      <alignment wrapText="1"/>
    </xf>
    <xf numFmtId="0" fontId="46" fillId="16" borderId="0" xfId="3" applyFont="1" applyFill="1"/>
    <xf numFmtId="0" fontId="37" fillId="8" borderId="21" xfId="3" applyFont="1" applyFill="1" applyBorder="1"/>
    <xf numFmtId="0" fontId="46" fillId="0" borderId="0" xfId="3" applyFont="1" applyFill="1" applyBorder="1"/>
    <xf numFmtId="0" fontId="10" fillId="16" borderId="0" xfId="53" applyFont="1" applyFill="1" applyBorder="1"/>
    <xf numFmtId="171" fontId="2" fillId="16" borderId="0" xfId="53" applyNumberFormat="1" applyFont="1" applyFill="1" applyBorder="1" applyAlignment="1">
      <alignment horizontal="center"/>
    </xf>
    <xf numFmtId="0" fontId="9" fillId="16" borderId="32" xfId="53" applyFont="1" applyFill="1" applyBorder="1"/>
    <xf numFmtId="0" fontId="5" fillId="16" borderId="0" xfId="53" applyFill="1" applyBorder="1"/>
    <xf numFmtId="0" fontId="5" fillId="16" borderId="33" xfId="53" applyFill="1" applyBorder="1"/>
    <xf numFmtId="3" fontId="2" fillId="16" borderId="0" xfId="53" applyNumberFormat="1" applyFont="1" applyFill="1" applyBorder="1" applyAlignment="1">
      <alignment horizontal="center"/>
    </xf>
    <xf numFmtId="0" fontId="9" fillId="16" borderId="0" xfId="53" applyFont="1" applyFill="1" applyBorder="1"/>
    <xf numFmtId="0" fontId="9" fillId="16" borderId="33" xfId="53" applyFont="1" applyFill="1" applyBorder="1"/>
    <xf numFmtId="37" fontId="2" fillId="16" borderId="0" xfId="53" applyNumberFormat="1" applyFont="1" applyFill="1" applyBorder="1" applyAlignment="1">
      <alignment horizontal="center"/>
    </xf>
    <xf numFmtId="0" fontId="10" fillId="16" borderId="32" xfId="53" applyFont="1" applyFill="1" applyBorder="1" applyAlignment="1">
      <alignment horizontal="left"/>
    </xf>
    <xf numFmtId="175" fontId="10" fillId="16" borderId="0" xfId="53" applyNumberFormat="1" applyFont="1" applyFill="1" applyBorder="1"/>
    <xf numFmtId="175" fontId="10" fillId="16" borderId="33" xfId="53" applyNumberFormat="1" applyFont="1" applyFill="1" applyBorder="1"/>
    <xf numFmtId="166" fontId="10" fillId="16" borderId="0" xfId="61" applyNumberFormat="1" applyFont="1" applyFill="1" applyBorder="1" applyAlignment="1">
      <alignment horizontal="center"/>
    </xf>
    <xf numFmtId="0" fontId="2" fillId="8" borderId="4" xfId="55" applyFont="1" applyFill="1" applyBorder="1"/>
    <xf numFmtId="182" fontId="2" fillId="16" borderId="0" xfId="3" applyNumberFormat="1" applyFont="1" applyFill="1" applyBorder="1"/>
    <xf numFmtId="170" fontId="2" fillId="16" borderId="0" xfId="3" applyNumberFormat="1" applyFont="1" applyFill="1"/>
    <xf numFmtId="179" fontId="2" fillId="0" borderId="0" xfId="3" applyNumberFormat="1" applyFont="1" applyFill="1" applyBorder="1"/>
    <xf numFmtId="0" fontId="30" fillId="16" borderId="0" xfId="3" applyFont="1" applyFill="1" applyAlignment="1">
      <alignment horizontal="left"/>
    </xf>
    <xf numFmtId="3" fontId="2" fillId="16" borderId="33" xfId="3" applyNumberFormat="1" applyFont="1" applyFill="1" applyBorder="1" applyAlignment="1">
      <alignment horizontal="center"/>
    </xf>
    <xf numFmtId="3" fontId="2" fillId="16" borderId="9" xfId="3" applyNumberFormat="1" applyFont="1" applyFill="1" applyBorder="1" applyAlignment="1">
      <alignment horizontal="center"/>
    </xf>
    <xf numFmtId="3" fontId="2" fillId="16" borderId="56" xfId="3" applyNumberFormat="1" applyFont="1" applyFill="1" applyBorder="1" applyAlignment="1">
      <alignment horizontal="center"/>
    </xf>
    <xf numFmtId="0" fontId="2" fillId="16" borderId="32" xfId="53" applyFont="1" applyFill="1" applyBorder="1" applyAlignment="1">
      <alignment horizontal="left"/>
    </xf>
    <xf numFmtId="175" fontId="2" fillId="16" borderId="0" xfId="53" applyNumberFormat="1" applyFont="1" applyFill="1" applyBorder="1"/>
    <xf numFmtId="175" fontId="2" fillId="16" borderId="33" xfId="53" applyNumberFormat="1" applyFont="1" applyFill="1" applyBorder="1"/>
    <xf numFmtId="183" fontId="2" fillId="16" borderId="0" xfId="53" applyNumberFormat="1" applyFont="1" applyFill="1" applyBorder="1"/>
    <xf numFmtId="183" fontId="2" fillId="16" borderId="33" xfId="53" applyNumberFormat="1" applyFont="1" applyFill="1" applyBorder="1"/>
    <xf numFmtId="43" fontId="2" fillId="16" borderId="44" xfId="37" applyFont="1" applyFill="1" applyBorder="1"/>
    <xf numFmtId="0" fontId="2" fillId="16" borderId="37" xfId="53" applyFont="1" applyFill="1" applyBorder="1" applyAlignment="1">
      <alignment horizontal="left"/>
    </xf>
    <xf numFmtId="175" fontId="2" fillId="16" borderId="9" xfId="53" applyNumberFormat="1" applyFont="1" applyFill="1" applyBorder="1"/>
    <xf numFmtId="175" fontId="2" fillId="16" borderId="56" xfId="53" applyNumberFormat="1" applyFont="1" applyFill="1" applyBorder="1"/>
    <xf numFmtId="0" fontId="2" fillId="16" borderId="3" xfId="57" applyFont="1" applyFill="1" applyBorder="1" applyAlignment="1">
      <alignment horizontal="left" wrapText="1" indent="1"/>
    </xf>
    <xf numFmtId="0" fontId="27" fillId="16" borderId="0" xfId="57" applyFont="1" applyFill="1" applyBorder="1">
      <alignment wrapText="1"/>
    </xf>
    <xf numFmtId="3" fontId="4" fillId="16" borderId="0" xfId="57" applyNumberFormat="1" applyFont="1" applyFill="1" applyBorder="1">
      <alignment wrapText="1"/>
    </xf>
    <xf numFmtId="0" fontId="10" fillId="16" borderId="3" xfId="57" applyFont="1" applyFill="1" applyBorder="1">
      <alignment wrapText="1"/>
    </xf>
    <xf numFmtId="192" fontId="2" fillId="16" borderId="3" xfId="57" applyNumberFormat="1" applyFont="1" applyFill="1" applyBorder="1" applyAlignment="1">
      <alignment horizontal="left" wrapText="1" indent="1"/>
    </xf>
    <xf numFmtId="0" fontId="22" fillId="16" borderId="3" xfId="57" applyFont="1" applyFill="1" applyBorder="1" applyAlignment="1">
      <alignment horizontal="left" wrapText="1" indent="2"/>
    </xf>
    <xf numFmtId="0" fontId="22" fillId="16" borderId="0" xfId="57" applyFont="1" applyFill="1" applyBorder="1">
      <alignment wrapText="1"/>
    </xf>
    <xf numFmtId="166" fontId="22" fillId="16" borderId="0" xfId="61" applyNumberFormat="1" applyFont="1" applyFill="1" applyBorder="1" applyAlignment="1">
      <alignment wrapText="1"/>
    </xf>
    <xf numFmtId="10" fontId="22" fillId="16" borderId="0" xfId="61" applyNumberFormat="1" applyFont="1" applyFill="1" applyBorder="1" applyAlignment="1">
      <alignment wrapText="1"/>
    </xf>
    <xf numFmtId="10" fontId="25" fillId="16" borderId="0" xfId="61" applyNumberFormat="1" applyFont="1" applyFill="1" applyBorder="1" applyAlignment="1">
      <alignment wrapText="1"/>
    </xf>
    <xf numFmtId="10" fontId="22" fillId="16" borderId="27" xfId="61" applyNumberFormat="1" applyFont="1" applyFill="1" applyBorder="1" applyAlignment="1">
      <alignment wrapText="1"/>
    </xf>
    <xf numFmtId="10" fontId="22" fillId="16" borderId="3" xfId="61" applyNumberFormat="1" applyFont="1" applyFill="1" applyBorder="1" applyAlignment="1">
      <alignment wrapText="1"/>
    </xf>
    <xf numFmtId="10" fontId="22" fillId="16" borderId="5" xfId="61" applyNumberFormat="1" applyFont="1" applyFill="1" applyBorder="1" applyAlignment="1">
      <alignment wrapText="1"/>
    </xf>
    <xf numFmtId="10" fontId="25" fillId="16" borderId="44" xfId="61" applyNumberFormat="1" applyFont="1" applyFill="1" applyBorder="1" applyAlignment="1">
      <alignment wrapText="1"/>
    </xf>
    <xf numFmtId="10" fontId="25" fillId="16" borderId="27" xfId="61" applyNumberFormat="1" applyFont="1" applyFill="1" applyBorder="1" applyAlignment="1">
      <alignment wrapText="1"/>
    </xf>
    <xf numFmtId="10" fontId="25" fillId="16" borderId="3" xfId="61" applyNumberFormat="1" applyFont="1" applyFill="1" applyBorder="1" applyAlignment="1">
      <alignment wrapText="1"/>
    </xf>
    <xf numFmtId="192" fontId="22" fillId="16" borderId="3" xfId="57" applyNumberFormat="1" applyFont="1" applyFill="1" applyBorder="1" applyAlignment="1">
      <alignment horizontal="left" wrapText="1" indent="1"/>
    </xf>
    <xf numFmtId="165" fontId="22" fillId="16" borderId="27" xfId="37" applyNumberFormat="1" applyFont="1" applyFill="1" applyBorder="1" applyAlignment="1">
      <alignment wrapText="1"/>
    </xf>
    <xf numFmtId="165" fontId="22" fillId="16" borderId="0" xfId="37" applyNumberFormat="1" applyFont="1" applyFill="1" applyBorder="1" applyAlignment="1">
      <alignment wrapText="1"/>
    </xf>
    <xf numFmtId="165" fontId="22" fillId="16" borderId="3" xfId="37" applyNumberFormat="1" applyFont="1" applyFill="1" applyBorder="1" applyAlignment="1">
      <alignment wrapText="1"/>
    </xf>
    <xf numFmtId="165" fontId="22" fillId="16" borderId="5" xfId="37" applyNumberFormat="1" applyFont="1" applyFill="1" applyBorder="1" applyAlignment="1">
      <alignment wrapText="1"/>
    </xf>
    <xf numFmtId="165" fontId="25" fillId="16" borderId="0" xfId="37" applyNumberFormat="1" applyFont="1" applyFill="1" applyBorder="1" applyAlignment="1">
      <alignment wrapText="1"/>
    </xf>
    <xf numFmtId="165" fontId="25" fillId="16" borderId="27" xfId="37" applyNumberFormat="1" applyFont="1" applyFill="1" applyBorder="1" applyAlignment="1">
      <alignment wrapText="1"/>
    </xf>
    <xf numFmtId="165" fontId="25" fillId="16" borderId="3" xfId="37" applyNumberFormat="1" applyFont="1" applyFill="1" applyBorder="1" applyAlignment="1">
      <alignment wrapText="1"/>
    </xf>
    <xf numFmtId="165" fontId="2" fillId="0" borderId="0" xfId="37" applyNumberFormat="1" applyFont="1" applyFill="1" applyBorder="1"/>
    <xf numFmtId="0" fontId="3" fillId="0" borderId="0" xfId="3" applyFont="1"/>
    <xf numFmtId="192" fontId="2" fillId="16" borderId="2" xfId="57" applyNumberFormat="1" applyFont="1" applyFill="1" applyBorder="1">
      <alignment wrapText="1"/>
    </xf>
    <xf numFmtId="0" fontId="13" fillId="16" borderId="2" xfId="3" applyFont="1" applyFill="1" applyBorder="1"/>
    <xf numFmtId="0" fontId="14" fillId="16" borderId="48" xfId="3" applyFont="1" applyFill="1" applyBorder="1"/>
    <xf numFmtId="0" fontId="2" fillId="16" borderId="3" xfId="54" applyFont="1" applyFill="1" applyBorder="1"/>
    <xf numFmtId="165" fontId="2" fillId="16" borderId="0" xfId="54" applyNumberFormat="1" applyFont="1" applyFill="1" applyBorder="1"/>
    <xf numFmtId="41" fontId="2" fillId="16" borderId="27" xfId="54" applyNumberFormat="1" applyFont="1" applyFill="1" applyBorder="1" applyAlignment="1">
      <alignment horizontal="right"/>
    </xf>
    <xf numFmtId="7" fontId="10" fillId="16" borderId="0" xfId="37" applyNumberFormat="1" applyFont="1" applyFill="1" applyBorder="1"/>
    <xf numFmtId="192" fontId="2" fillId="16" borderId="44" xfId="57" applyNumberFormat="1" applyFont="1" applyFill="1" applyBorder="1">
      <alignment wrapText="1"/>
    </xf>
    <xf numFmtId="0" fontId="2" fillId="16" borderId="44" xfId="57" applyFont="1" applyFill="1" applyBorder="1">
      <alignment wrapText="1"/>
    </xf>
    <xf numFmtId="5" fontId="2" fillId="16" borderId="44" xfId="57" applyNumberFormat="1" applyFont="1" applyFill="1" applyBorder="1" applyAlignment="1">
      <alignment horizontal="right" wrapText="1"/>
    </xf>
    <xf numFmtId="165" fontId="2" fillId="16" borderId="44" xfId="37" applyNumberFormat="1" applyFont="1" applyFill="1" applyBorder="1" applyAlignment="1">
      <alignment wrapText="1"/>
    </xf>
    <xf numFmtId="165" fontId="2" fillId="16" borderId="44" xfId="57" applyNumberFormat="1" applyFont="1" applyFill="1" applyBorder="1">
      <alignment wrapText="1"/>
    </xf>
    <xf numFmtId="165" fontId="18" fillId="16" borderId="44" xfId="57" applyNumberFormat="1" applyFont="1" applyFill="1" applyBorder="1">
      <alignment wrapText="1"/>
    </xf>
    <xf numFmtId="165" fontId="10" fillId="16" borderId="44" xfId="57" applyNumberFormat="1" applyFont="1" applyFill="1" applyBorder="1">
      <alignment wrapText="1"/>
    </xf>
    <xf numFmtId="5" fontId="10" fillId="16" borderId="43" xfId="57" applyNumberFormat="1" applyFont="1" applyFill="1" applyBorder="1">
      <alignment wrapText="1"/>
    </xf>
    <xf numFmtId="5" fontId="2" fillId="16" borderId="44" xfId="57" applyNumberFormat="1" applyFont="1" applyFill="1" applyBorder="1">
      <alignment wrapText="1"/>
    </xf>
    <xf numFmtId="165" fontId="10" fillId="16" borderId="44" xfId="37" applyNumberFormat="1" applyFont="1" applyFill="1" applyBorder="1" applyAlignment="1">
      <alignment wrapText="1"/>
    </xf>
    <xf numFmtId="170" fontId="2" fillId="16" borderId="44" xfId="37" applyNumberFormat="1" applyFont="1" applyFill="1" applyBorder="1" applyAlignment="1">
      <alignment horizontal="center"/>
    </xf>
    <xf numFmtId="165" fontId="2" fillId="16" borderId="44" xfId="37" applyNumberFormat="1" applyFont="1" applyFill="1" applyBorder="1" applyAlignment="1">
      <alignment horizontal="center"/>
    </xf>
    <xf numFmtId="165" fontId="10" fillId="16" borderId="44" xfId="37" applyNumberFormat="1" applyFont="1" applyFill="1" applyBorder="1" applyAlignment="1">
      <alignment horizontal="center"/>
    </xf>
    <xf numFmtId="165" fontId="10" fillId="16" borderId="45" xfId="37" applyNumberFormat="1" applyFont="1" applyFill="1" applyBorder="1"/>
    <xf numFmtId="165" fontId="10" fillId="16" borderId="45" xfId="37" applyNumberFormat="1" applyFont="1" applyFill="1" applyBorder="1" applyAlignment="1">
      <alignment horizontal="center"/>
    </xf>
    <xf numFmtId="0" fontId="2" fillId="16" borderId="44" xfId="3" applyFont="1" applyFill="1" applyBorder="1" applyAlignment="1">
      <alignment horizontal="center"/>
    </xf>
    <xf numFmtId="165" fontId="2" fillId="16" borderId="44" xfId="3" applyNumberFormat="1" applyFont="1" applyFill="1" applyBorder="1" applyAlignment="1">
      <alignment horizontal="center"/>
    </xf>
    <xf numFmtId="1" fontId="2" fillId="16" borderId="44" xfId="3" applyNumberFormat="1" applyFont="1" applyFill="1" applyBorder="1" applyAlignment="1">
      <alignment horizontal="center"/>
    </xf>
    <xf numFmtId="0" fontId="2" fillId="16" borderId="61" xfId="3" applyFont="1" applyFill="1" applyBorder="1"/>
    <xf numFmtId="0" fontId="2" fillId="16" borderId="62" xfId="3" applyFont="1" applyFill="1" applyBorder="1"/>
    <xf numFmtId="0" fontId="2" fillId="16" borderId="6" xfId="3" applyFont="1" applyFill="1" applyBorder="1"/>
    <xf numFmtId="0" fontId="28" fillId="16" borderId="63" xfId="3" applyFont="1" applyFill="1" applyBorder="1"/>
    <xf numFmtId="0" fontId="28" fillId="16" borderId="6" xfId="3" applyFont="1" applyFill="1" applyBorder="1"/>
    <xf numFmtId="0" fontId="28" fillId="16" borderId="61" xfId="3" applyFont="1" applyFill="1" applyBorder="1"/>
    <xf numFmtId="0" fontId="2" fillId="16" borderId="63" xfId="3" applyFont="1" applyFill="1" applyBorder="1" applyAlignment="1">
      <alignment horizontal="center"/>
    </xf>
    <xf numFmtId="0" fontId="2" fillId="16" borderId="6" xfId="3" applyFont="1" applyFill="1" applyBorder="1" applyAlignment="1">
      <alignment horizontal="center"/>
    </xf>
    <xf numFmtId="0" fontId="11" fillId="16" borderId="6" xfId="3" applyFont="1" applyFill="1" applyBorder="1" applyAlignment="1">
      <alignment horizontal="center"/>
    </xf>
    <xf numFmtId="0" fontId="2" fillId="16" borderId="62" xfId="3" applyFont="1" applyFill="1" applyBorder="1" applyAlignment="1">
      <alignment horizontal="center"/>
    </xf>
    <xf numFmtId="0" fontId="2" fillId="16" borderId="63" xfId="3" applyFont="1" applyFill="1" applyBorder="1"/>
    <xf numFmtId="0" fontId="2" fillId="16" borderId="61" xfId="3" applyFont="1" applyFill="1" applyBorder="1" applyAlignment="1">
      <alignment horizontal="center"/>
    </xf>
    <xf numFmtId="0" fontId="11" fillId="16" borderId="61" xfId="3" applyFont="1" applyFill="1" applyBorder="1" applyAlignment="1">
      <alignment horizontal="center"/>
    </xf>
    <xf numFmtId="0" fontId="48" fillId="0" borderId="0" xfId="3" applyFont="1"/>
    <xf numFmtId="0" fontId="10" fillId="8" borderId="45" xfId="3" applyFont="1" applyFill="1" applyBorder="1" applyAlignment="1">
      <alignment horizontal="center"/>
    </xf>
    <xf numFmtId="0" fontId="2" fillId="16" borderId="42" xfId="57" applyFont="1" applyFill="1" applyBorder="1" applyAlignment="1">
      <alignment horizontal="left" wrapText="1" indent="1"/>
    </xf>
    <xf numFmtId="0" fontId="10" fillId="16" borderId="49" xfId="57" applyFont="1" applyFill="1" applyBorder="1">
      <alignment wrapText="1"/>
    </xf>
    <xf numFmtId="0" fontId="10" fillId="16" borderId="21" xfId="57" applyFont="1" applyFill="1" applyBorder="1">
      <alignment wrapText="1"/>
    </xf>
    <xf numFmtId="166" fontId="2" fillId="16" borderId="12" xfId="3" applyNumberFormat="1" applyFont="1" applyFill="1" applyBorder="1"/>
    <xf numFmtId="0" fontId="2" fillId="16" borderId="11" xfId="57" applyFont="1" applyFill="1" applyBorder="1">
      <alignment wrapText="1"/>
    </xf>
    <xf numFmtId="166" fontId="2" fillId="16" borderId="12" xfId="57" applyNumberFormat="1" applyFont="1" applyFill="1" applyBorder="1">
      <alignment wrapText="1"/>
    </xf>
    <xf numFmtId="166" fontId="2" fillId="16" borderId="11" xfId="57" applyNumberFormat="1" applyFont="1" applyFill="1" applyBorder="1">
      <alignment wrapText="1"/>
    </xf>
    <xf numFmtId="166" fontId="2" fillId="16" borderId="21" xfId="57" applyNumberFormat="1" applyFont="1" applyFill="1" applyBorder="1">
      <alignment wrapText="1"/>
    </xf>
    <xf numFmtId="166" fontId="4" fillId="16" borderId="12" xfId="57" applyNumberFormat="1" applyFont="1" applyFill="1" applyBorder="1">
      <alignment wrapText="1"/>
    </xf>
    <xf numFmtId="166" fontId="4" fillId="16" borderId="11" xfId="57" applyNumberFormat="1" applyFont="1" applyFill="1" applyBorder="1">
      <alignment wrapText="1"/>
    </xf>
    <xf numFmtId="166" fontId="4" fillId="16" borderId="21" xfId="57" applyNumberFormat="1" applyFont="1" applyFill="1" applyBorder="1">
      <alignment wrapText="1"/>
    </xf>
    <xf numFmtId="166" fontId="10" fillId="16" borderId="11" xfId="57" applyNumberFormat="1" applyFont="1" applyFill="1" applyBorder="1" applyAlignment="1">
      <alignment horizontal="center" wrapText="1"/>
    </xf>
    <xf numFmtId="166" fontId="10" fillId="16" borderId="21" xfId="57" applyNumberFormat="1" applyFont="1" applyFill="1" applyBorder="1" applyAlignment="1">
      <alignment horizontal="center" wrapText="1"/>
    </xf>
    <xf numFmtId="166" fontId="10" fillId="16" borderId="12" xfId="57" applyNumberFormat="1" applyFont="1" applyFill="1" applyBorder="1" applyAlignment="1">
      <alignment horizontal="center" wrapText="1"/>
    </xf>
    <xf numFmtId="166" fontId="16" fillId="16" borderId="12" xfId="57" applyNumberFormat="1" applyFont="1" applyFill="1" applyBorder="1" applyAlignment="1">
      <alignment horizontal="center" wrapText="1"/>
    </xf>
    <xf numFmtId="166" fontId="16" fillId="16" borderId="11" xfId="57" applyNumberFormat="1" applyFont="1" applyFill="1" applyBorder="1" applyAlignment="1">
      <alignment horizontal="center" wrapText="1"/>
    </xf>
    <xf numFmtId="166" fontId="16" fillId="16" borderId="21" xfId="57" applyNumberFormat="1" applyFont="1" applyFill="1" applyBorder="1" applyAlignment="1">
      <alignment horizontal="center" wrapText="1"/>
    </xf>
    <xf numFmtId="166" fontId="2" fillId="16" borderId="6" xfId="3" applyNumberFormat="1" applyFont="1" applyFill="1" applyBorder="1"/>
    <xf numFmtId="0" fontId="2" fillId="16" borderId="6" xfId="57" applyFont="1" applyFill="1" applyBorder="1">
      <alignment wrapText="1"/>
    </xf>
    <xf numFmtId="166" fontId="2" fillId="16" borderId="6" xfId="57" applyNumberFormat="1" applyFont="1" applyFill="1" applyBorder="1">
      <alignment wrapText="1"/>
    </xf>
    <xf numFmtId="166" fontId="4" fillId="16" borderId="6" xfId="57" applyNumberFormat="1" applyFont="1" applyFill="1" applyBorder="1">
      <alignment wrapText="1"/>
    </xf>
    <xf numFmtId="0" fontId="2" fillId="16" borderId="0" xfId="55" applyFont="1" applyFill="1"/>
    <xf numFmtId="7" fontId="10" fillId="16" borderId="2" xfId="39" applyNumberFormat="1" applyFont="1" applyFill="1" applyBorder="1" applyAlignment="1">
      <alignment horizontal="center"/>
    </xf>
    <xf numFmtId="7" fontId="10" fillId="16" borderId="0" xfId="39" applyNumberFormat="1" applyFont="1" applyFill="1" applyBorder="1" applyAlignment="1">
      <alignment horizontal="center"/>
    </xf>
    <xf numFmtId="44" fontId="22" fillId="16" borderId="0" xfId="39" applyNumberFormat="1" applyFont="1" applyFill="1" applyBorder="1" applyAlignment="1">
      <alignment horizontal="center"/>
    </xf>
    <xf numFmtId="166" fontId="2" fillId="16" borderId="9" xfId="61" applyNumberFormat="1" applyFont="1" applyFill="1" applyBorder="1" applyAlignment="1">
      <alignment horizontal="center"/>
    </xf>
    <xf numFmtId="166" fontId="10" fillId="16" borderId="9" xfId="61" applyNumberFormat="1" applyFont="1" applyFill="1" applyBorder="1" applyAlignment="1">
      <alignment horizontal="center"/>
    </xf>
    <xf numFmtId="0" fontId="2" fillId="16" borderId="39" xfId="3" applyFont="1" applyFill="1" applyBorder="1"/>
    <xf numFmtId="0" fontId="10" fillId="16" borderId="39" xfId="3" applyFont="1" applyFill="1" applyBorder="1"/>
    <xf numFmtId="37" fontId="2" fillId="16" borderId="25" xfId="57" applyNumberFormat="1" applyFont="1" applyFill="1" applyBorder="1">
      <alignment wrapText="1"/>
    </xf>
    <xf numFmtId="166" fontId="22" fillId="16" borderId="44" xfId="61" applyNumberFormat="1" applyFont="1" applyFill="1" applyBorder="1"/>
    <xf numFmtId="166" fontId="2" fillId="16" borderId="27" xfId="61" applyNumberFormat="1" applyFont="1" applyFill="1" applyBorder="1" applyAlignment="1">
      <alignment horizontal="right"/>
    </xf>
    <xf numFmtId="166" fontId="2" fillId="16" borderId="44" xfId="61" applyNumberFormat="1" applyFont="1" applyFill="1" applyBorder="1" applyAlignment="1">
      <alignment horizontal="right"/>
    </xf>
    <xf numFmtId="205" fontId="2" fillId="16" borderId="0" xfId="37" applyNumberFormat="1" applyFont="1" applyFill="1" applyBorder="1"/>
    <xf numFmtId="205" fontId="2" fillId="16" borderId="43" xfId="3" applyNumberFormat="1" applyFont="1" applyFill="1" applyBorder="1"/>
    <xf numFmtId="43" fontId="2" fillId="16" borderId="0" xfId="37" applyFont="1" applyFill="1" applyBorder="1"/>
    <xf numFmtId="0" fontId="49" fillId="0" borderId="0" xfId="3" applyFont="1"/>
    <xf numFmtId="0" fontId="10" fillId="16" borderId="30" xfId="3" applyFont="1" applyFill="1" applyBorder="1" applyAlignment="1">
      <alignment horizontal="center"/>
    </xf>
    <xf numFmtId="0" fontId="10" fillId="16" borderId="31" xfId="3" applyFont="1" applyFill="1" applyBorder="1" applyAlignment="1">
      <alignment horizontal="center"/>
    </xf>
    <xf numFmtId="0" fontId="10" fillId="16" borderId="38" xfId="53" applyFont="1" applyFill="1" applyBorder="1"/>
    <xf numFmtId="0" fontId="10" fillId="16" borderId="34" xfId="53" applyFont="1" applyFill="1" applyBorder="1" applyAlignment="1">
      <alignment horizontal="center"/>
    </xf>
    <xf numFmtId="166" fontId="10" fillId="16" borderId="5" xfId="61" applyNumberFormat="1" applyFont="1" applyFill="1" applyBorder="1" applyAlignment="1">
      <alignment horizontal="center"/>
    </xf>
    <xf numFmtId="170" fontId="2" fillId="16" borderId="3" xfId="3" applyNumberFormat="1" applyFont="1" applyFill="1" applyBorder="1"/>
    <xf numFmtId="0" fontId="22" fillId="8" borderId="50" xfId="3" applyFont="1" applyFill="1" applyBorder="1"/>
    <xf numFmtId="0" fontId="15" fillId="8" borderId="22" xfId="3" applyFont="1" applyFill="1" applyBorder="1" applyAlignment="1">
      <alignment horizontal="center"/>
    </xf>
    <xf numFmtId="5" fontId="10" fillId="16" borderId="27" xfId="3" applyNumberFormat="1" applyFont="1" applyFill="1" applyBorder="1"/>
    <xf numFmtId="5" fontId="10" fillId="16" borderId="3" xfId="3" applyNumberFormat="1" applyFont="1" applyFill="1" applyBorder="1"/>
    <xf numFmtId="170" fontId="10" fillId="16" borderId="44" xfId="3" applyNumberFormat="1" applyFont="1" applyFill="1" applyBorder="1" applyAlignment="1">
      <alignment horizontal="center"/>
    </xf>
    <xf numFmtId="167" fontId="2" fillId="16" borderId="12" xfId="3" applyNumberFormat="1" applyFont="1" applyFill="1" applyBorder="1"/>
    <xf numFmtId="167" fontId="4" fillId="16" borderId="12" xfId="3" applyNumberFormat="1" applyFont="1" applyFill="1" applyBorder="1"/>
    <xf numFmtId="167" fontId="2" fillId="16" borderId="21" xfId="3" applyNumberFormat="1" applyFont="1" applyFill="1" applyBorder="1"/>
    <xf numFmtId="167" fontId="2" fillId="16" borderId="11" xfId="3" applyNumberFormat="1" applyFont="1" applyFill="1" applyBorder="1" applyAlignment="1">
      <alignment horizontal="center"/>
    </xf>
    <xf numFmtId="167" fontId="4" fillId="16" borderId="11" xfId="3" applyNumberFormat="1" applyFont="1" applyFill="1" applyBorder="1" applyAlignment="1">
      <alignment horizontal="center"/>
    </xf>
    <xf numFmtId="0" fontId="0" fillId="0" borderId="0" xfId="3" applyFont="1" applyBorder="1"/>
    <xf numFmtId="0" fontId="22" fillId="8" borderId="67" xfId="3" applyFont="1" applyFill="1" applyBorder="1"/>
    <xf numFmtId="0" fontId="28" fillId="8" borderId="57" xfId="3" applyFont="1" applyFill="1" applyBorder="1"/>
    <xf numFmtId="0" fontId="28" fillId="8" borderId="58" xfId="3" applyFont="1" applyFill="1" applyBorder="1"/>
    <xf numFmtId="0" fontId="28" fillId="8" borderId="68" xfId="3" applyFont="1" applyFill="1" applyBorder="1"/>
    <xf numFmtId="0" fontId="10" fillId="8" borderId="69" xfId="3" applyFont="1" applyFill="1" applyBorder="1" applyAlignment="1">
      <alignment horizontal="center"/>
    </xf>
    <xf numFmtId="0" fontId="10" fillId="8" borderId="58" xfId="3" applyFont="1" applyFill="1" applyBorder="1" applyAlignment="1">
      <alignment horizontal="center"/>
    </xf>
    <xf numFmtId="0" fontId="10" fillId="8" borderId="68" xfId="3" applyFont="1" applyFill="1" applyBorder="1" applyAlignment="1">
      <alignment horizontal="center"/>
    </xf>
    <xf numFmtId="0" fontId="15" fillId="8" borderId="58" xfId="3" applyFont="1" applyFill="1" applyBorder="1" applyAlignment="1">
      <alignment horizontal="center"/>
    </xf>
    <xf numFmtId="0" fontId="10" fillId="8" borderId="57" xfId="3" applyFont="1" applyFill="1" applyBorder="1" applyAlignment="1">
      <alignment horizontal="center"/>
    </xf>
    <xf numFmtId="0" fontId="10" fillId="8" borderId="70" xfId="3" applyFont="1" applyFill="1" applyBorder="1" applyAlignment="1">
      <alignment horizontal="center"/>
    </xf>
    <xf numFmtId="0" fontId="16" fillId="8" borderId="58" xfId="3" applyFont="1" applyFill="1" applyBorder="1" applyAlignment="1">
      <alignment horizontal="center"/>
    </xf>
    <xf numFmtId="0" fontId="16" fillId="8" borderId="69" xfId="3" applyFont="1" applyFill="1" applyBorder="1" applyAlignment="1">
      <alignment horizontal="center"/>
    </xf>
    <xf numFmtId="0" fontId="10" fillId="16" borderId="71" xfId="57" applyFont="1" applyFill="1" applyBorder="1">
      <alignment wrapText="1"/>
    </xf>
    <xf numFmtId="0" fontId="10" fillId="16" borderId="72" xfId="57" applyFont="1" applyFill="1" applyBorder="1">
      <alignment wrapText="1"/>
    </xf>
    <xf numFmtId="0" fontId="10" fillId="16" borderId="19" xfId="57" applyFont="1" applyFill="1" applyBorder="1">
      <alignment wrapText="1"/>
    </xf>
    <xf numFmtId="0" fontId="10" fillId="16" borderId="73" xfId="57" applyFont="1" applyFill="1" applyBorder="1">
      <alignment wrapText="1"/>
    </xf>
    <xf numFmtId="5" fontId="10" fillId="16" borderId="74" xfId="57" applyNumberFormat="1" applyFont="1" applyFill="1" applyBorder="1" applyAlignment="1">
      <alignment horizontal="right" wrapText="1"/>
    </xf>
    <xf numFmtId="5" fontId="10" fillId="16" borderId="19" xfId="57" applyNumberFormat="1" applyFont="1" applyFill="1" applyBorder="1" applyAlignment="1">
      <alignment horizontal="right" wrapText="1"/>
    </xf>
    <xf numFmtId="5" fontId="10" fillId="16" borderId="73" xfId="57" applyNumberFormat="1" applyFont="1" applyFill="1" applyBorder="1" applyAlignment="1">
      <alignment horizontal="right" wrapText="1"/>
    </xf>
    <xf numFmtId="5" fontId="10" fillId="16" borderId="72" xfId="57" applyNumberFormat="1" applyFont="1" applyFill="1" applyBorder="1">
      <alignment wrapText="1"/>
    </xf>
    <xf numFmtId="5" fontId="10" fillId="16" borderId="19" xfId="57" applyNumberFormat="1" applyFont="1" applyFill="1" applyBorder="1">
      <alignment wrapText="1"/>
    </xf>
    <xf numFmtId="5" fontId="10" fillId="16" borderId="73" xfId="57" applyNumberFormat="1" applyFont="1" applyFill="1" applyBorder="1">
      <alignment wrapText="1"/>
    </xf>
    <xf numFmtId="5" fontId="10" fillId="16" borderId="74" xfId="57" applyNumberFormat="1" applyFont="1" applyFill="1" applyBorder="1">
      <alignment wrapText="1"/>
    </xf>
    <xf numFmtId="165" fontId="10" fillId="16" borderId="19" xfId="57" applyNumberFormat="1" applyFont="1" applyFill="1" applyBorder="1">
      <alignment wrapText="1"/>
    </xf>
    <xf numFmtId="165" fontId="10" fillId="16" borderId="72" xfId="57" applyNumberFormat="1" applyFont="1" applyFill="1" applyBorder="1">
      <alignment wrapText="1"/>
    </xf>
    <xf numFmtId="165" fontId="10" fillId="16" borderId="74" xfId="57" applyNumberFormat="1" applyFont="1" applyFill="1" applyBorder="1">
      <alignment wrapText="1"/>
    </xf>
    <xf numFmtId="165" fontId="10" fillId="16" borderId="75" xfId="57" applyNumberFormat="1" applyFont="1" applyFill="1" applyBorder="1">
      <alignment wrapText="1"/>
    </xf>
    <xf numFmtId="165" fontId="16" fillId="16" borderId="19" xfId="57" applyNumberFormat="1" applyFont="1" applyFill="1" applyBorder="1">
      <alignment wrapText="1"/>
    </xf>
    <xf numFmtId="165" fontId="16" fillId="16" borderId="74" xfId="57" applyNumberFormat="1" applyFont="1" applyFill="1" applyBorder="1">
      <alignment wrapText="1"/>
    </xf>
    <xf numFmtId="166" fontId="10" fillId="16" borderId="0" xfId="3" applyNumberFormat="1" applyFont="1" applyFill="1" applyBorder="1"/>
    <xf numFmtId="165" fontId="10" fillId="16" borderId="0" xfId="39" applyNumberFormat="1" applyFont="1" applyFill="1" applyBorder="1"/>
    <xf numFmtId="0" fontId="0" fillId="0" borderId="0" xfId="3" applyFont="1" applyFill="1"/>
    <xf numFmtId="7" fontId="16" fillId="16" borderId="0" xfId="39" applyNumberFormat="1" applyFont="1" applyFill="1" applyBorder="1"/>
    <xf numFmtId="203" fontId="10" fillId="16" borderId="0" xfId="39" applyNumberFormat="1" applyFont="1" applyFill="1" applyBorder="1"/>
    <xf numFmtId="0" fontId="10" fillId="16" borderId="42" xfId="3" applyFont="1" applyFill="1" applyBorder="1"/>
    <xf numFmtId="0" fontId="2" fillId="16" borderId="42" xfId="3" applyFont="1" applyFill="1" applyBorder="1" applyAlignment="1">
      <alignment horizontal="left" indent="1"/>
    </xf>
    <xf numFmtId="0" fontId="10" fillId="16" borderId="76" xfId="3" applyFont="1" applyFill="1" applyBorder="1"/>
    <xf numFmtId="172" fontId="22" fillId="16" borderId="42" xfId="3" applyNumberFormat="1" applyFont="1" applyFill="1" applyBorder="1"/>
    <xf numFmtId="0" fontId="2" fillId="16" borderId="77" xfId="3" applyFont="1" applyFill="1" applyBorder="1"/>
    <xf numFmtId="0" fontId="10" fillId="8" borderId="52" xfId="3" applyFont="1" applyFill="1" applyBorder="1"/>
    <xf numFmtId="166" fontId="2" fillId="16" borderId="42" xfId="61" applyNumberFormat="1" applyFont="1" applyFill="1" applyBorder="1"/>
    <xf numFmtId="0" fontId="22" fillId="16" borderId="42" xfId="3" applyFont="1" applyFill="1" applyBorder="1"/>
    <xf numFmtId="0" fontId="2" fillId="16" borderId="51" xfId="3" applyFont="1" applyFill="1" applyBorder="1"/>
    <xf numFmtId="0" fontId="2" fillId="16" borderId="0" xfId="56" applyFont="1" applyFill="1" applyBorder="1"/>
    <xf numFmtId="0" fontId="10" fillId="16" borderId="49" xfId="3" applyFont="1" applyFill="1" applyBorder="1"/>
    <xf numFmtId="7" fontId="2" fillId="16" borderId="27" xfId="39" applyNumberFormat="1" applyFont="1" applyFill="1" applyBorder="1" applyAlignment="1">
      <alignment horizontal="center"/>
    </xf>
    <xf numFmtId="165" fontId="2" fillId="16" borderId="11" xfId="3" applyNumberFormat="1" applyFont="1" applyFill="1" applyBorder="1" applyAlignment="1">
      <alignment horizontal="center"/>
    </xf>
    <xf numFmtId="166" fontId="2" fillId="16" borderId="28" xfId="61" applyNumberFormat="1" applyFont="1" applyFill="1" applyBorder="1" applyAlignment="1">
      <alignment horizontal="center"/>
    </xf>
    <xf numFmtId="166" fontId="10" fillId="16" borderId="27" xfId="61" applyNumberFormat="1" applyFont="1" applyFill="1" applyBorder="1" applyAlignment="1">
      <alignment horizontal="center"/>
    </xf>
    <xf numFmtId="9" fontId="2" fillId="16" borderId="5" xfId="61" applyFont="1" applyFill="1" applyBorder="1" applyAlignment="1">
      <alignment horizontal="center"/>
    </xf>
    <xf numFmtId="166" fontId="10" fillId="16" borderId="40" xfId="61" applyNumberFormat="1" applyFont="1" applyFill="1" applyBorder="1" applyAlignment="1">
      <alignment horizontal="center"/>
    </xf>
    <xf numFmtId="9" fontId="10" fillId="16" borderId="78" xfId="61" applyFont="1" applyFill="1" applyBorder="1" applyAlignment="1">
      <alignment horizontal="center"/>
    </xf>
    <xf numFmtId="0" fontId="22" fillId="16" borderId="0" xfId="3" applyFont="1" applyFill="1" applyBorder="1" applyAlignment="1">
      <alignment horizontal="center"/>
    </xf>
    <xf numFmtId="0" fontId="2" fillId="0" borderId="0" xfId="3" applyFont="1" applyFill="1" applyBorder="1" applyAlignment="1">
      <alignment horizontal="center"/>
    </xf>
    <xf numFmtId="0" fontId="0" fillId="0" borderId="0" xfId="3" applyFont="1" applyAlignment="1">
      <alignment horizontal="center"/>
    </xf>
    <xf numFmtId="0" fontId="3" fillId="16" borderId="0" xfId="3" applyFont="1" applyFill="1"/>
    <xf numFmtId="0" fontId="10" fillId="16" borderId="34" xfId="3" applyFont="1" applyFill="1" applyBorder="1" applyAlignment="1">
      <alignment horizontal="center"/>
    </xf>
    <xf numFmtId="0" fontId="10" fillId="16" borderId="35" xfId="3" applyFont="1" applyFill="1" applyBorder="1" applyAlignment="1">
      <alignment horizontal="center"/>
    </xf>
    <xf numFmtId="170" fontId="9" fillId="16" borderId="36" xfId="3" applyNumberFormat="1" applyFont="1" applyFill="1" applyBorder="1"/>
    <xf numFmtId="170" fontId="9" fillId="16" borderId="2" xfId="3" applyNumberFormat="1" applyFont="1" applyFill="1" applyBorder="1" applyAlignment="1">
      <alignment horizontal="center"/>
    </xf>
    <xf numFmtId="170" fontId="9" fillId="16" borderId="59" xfId="3" applyNumberFormat="1" applyFont="1" applyFill="1" applyBorder="1" applyAlignment="1">
      <alignment horizontal="center"/>
    </xf>
    <xf numFmtId="170" fontId="0" fillId="16" borderId="0" xfId="3" applyNumberFormat="1" applyFont="1" applyFill="1"/>
    <xf numFmtId="3" fontId="35" fillId="16" borderId="0" xfId="49" applyNumberFormat="1" applyFont="1" applyFill="1" applyAlignment="1" applyProtection="1"/>
    <xf numFmtId="3" fontId="9" fillId="16" borderId="32" xfId="3" applyNumberFormat="1" applyFont="1" applyFill="1" applyBorder="1"/>
    <xf numFmtId="3" fontId="0" fillId="16" borderId="0" xfId="3" applyNumberFormat="1" applyFont="1" applyFill="1"/>
    <xf numFmtId="7" fontId="16" fillId="16" borderId="0" xfId="39" applyNumberFormat="1" applyFont="1" applyFill="1" applyBorder="1" applyAlignment="1">
      <alignment horizontal="center"/>
    </xf>
    <xf numFmtId="0" fontId="22" fillId="16" borderId="38" xfId="3" applyFont="1" applyFill="1" applyBorder="1" applyAlignment="1">
      <alignment horizontal="centerContinuous"/>
    </xf>
    <xf numFmtId="3" fontId="2" fillId="16" borderId="32" xfId="3" applyNumberFormat="1" applyFont="1" applyFill="1" applyBorder="1" applyAlignment="1">
      <alignment horizontal="center"/>
    </xf>
    <xf numFmtId="166" fontId="4" fillId="16" borderId="27" xfId="61" applyNumberFormat="1" applyFont="1" applyFill="1" applyBorder="1" applyAlignment="1">
      <alignment horizontal="right"/>
    </xf>
    <xf numFmtId="37" fontId="2" fillId="16" borderId="0" xfId="3" applyNumberFormat="1" applyFont="1" applyFill="1" applyBorder="1"/>
    <xf numFmtId="37" fontId="4" fillId="16" borderId="0" xfId="3" applyNumberFormat="1" applyFont="1" applyFill="1" applyBorder="1"/>
    <xf numFmtId="167" fontId="2" fillId="16" borderId="0" xfId="57" applyNumberFormat="1" applyFont="1" applyFill="1" applyBorder="1">
      <alignment wrapText="1"/>
    </xf>
    <xf numFmtId="0" fontId="2" fillId="16" borderId="26" xfId="57" applyFont="1" applyFill="1" applyBorder="1">
      <alignment wrapText="1"/>
    </xf>
    <xf numFmtId="172" fontId="2" fillId="16" borderId="0" xfId="37" applyNumberFormat="1" applyFont="1" applyFill="1" applyBorder="1"/>
    <xf numFmtId="172" fontId="2" fillId="16" borderId="44" xfId="3" applyNumberFormat="1" applyFont="1" applyFill="1" applyBorder="1"/>
    <xf numFmtId="166" fontId="2" fillId="16" borderId="43" xfId="61" applyNumberFormat="1" applyFont="1" applyFill="1" applyBorder="1"/>
    <xf numFmtId="166" fontId="49" fillId="0" borderId="0" xfId="61" applyNumberFormat="1" applyFont="1" applyBorder="1"/>
    <xf numFmtId="165" fontId="2" fillId="16" borderId="0" xfId="3" quotePrefix="1" applyNumberFormat="1" applyFont="1" applyFill="1" applyBorder="1"/>
    <xf numFmtId="177" fontId="22" fillId="16" borderId="27" xfId="37" applyNumberFormat="1" applyFont="1" applyFill="1" applyBorder="1"/>
    <xf numFmtId="177" fontId="22" fillId="16" borderId="0" xfId="37" applyNumberFormat="1" applyFont="1" applyFill="1" applyBorder="1"/>
    <xf numFmtId="177" fontId="22" fillId="16" borderId="3" xfId="37" applyNumberFormat="1" applyFont="1" applyFill="1" applyBorder="1"/>
    <xf numFmtId="177" fontId="28" fillId="16" borderId="0" xfId="37" applyNumberFormat="1" applyFont="1" applyFill="1" applyBorder="1"/>
    <xf numFmtId="177" fontId="49" fillId="0" borderId="0" xfId="37" applyNumberFormat="1" applyFont="1"/>
    <xf numFmtId="165" fontId="10" fillId="16" borderId="10" xfId="3" applyNumberFormat="1" applyFont="1" applyFill="1" applyBorder="1"/>
    <xf numFmtId="165" fontId="10" fillId="16" borderId="2" xfId="3" applyNumberFormat="1" applyFont="1" applyFill="1" applyBorder="1"/>
    <xf numFmtId="165" fontId="10" fillId="16" borderId="28" xfId="3" applyNumberFormat="1" applyFont="1" applyFill="1" applyBorder="1"/>
    <xf numFmtId="165" fontId="2" fillId="16" borderId="24" xfId="3" applyNumberFormat="1" applyFont="1" applyFill="1" applyBorder="1"/>
    <xf numFmtId="0" fontId="3" fillId="0" borderId="0" xfId="3" applyFont="1" applyBorder="1"/>
    <xf numFmtId="166" fontId="10" fillId="16" borderId="0" xfId="57" applyNumberFormat="1" applyFont="1" applyFill="1" applyBorder="1">
      <alignment wrapText="1"/>
    </xf>
    <xf numFmtId="166" fontId="10" fillId="16" borderId="27" xfId="57" applyNumberFormat="1" applyFont="1" applyFill="1" applyBorder="1">
      <alignment wrapText="1"/>
    </xf>
    <xf numFmtId="166" fontId="10" fillId="16" borderId="3" xfId="57" applyNumberFormat="1" applyFont="1" applyFill="1" applyBorder="1">
      <alignment wrapText="1"/>
    </xf>
    <xf numFmtId="166" fontId="16" fillId="16" borderId="0" xfId="57" applyNumberFormat="1" applyFont="1" applyFill="1" applyBorder="1">
      <alignment wrapText="1"/>
    </xf>
    <xf numFmtId="166" fontId="16" fillId="16" borderId="27" xfId="57" applyNumberFormat="1" applyFont="1" applyFill="1" applyBorder="1">
      <alignment wrapText="1"/>
    </xf>
    <xf numFmtId="166" fontId="16" fillId="16" borderId="3" xfId="57" applyNumberFormat="1" applyFont="1" applyFill="1" applyBorder="1">
      <alignment wrapText="1"/>
    </xf>
    <xf numFmtId="166" fontId="10" fillId="16" borderId="52" xfId="3" applyNumberFormat="1" applyFont="1" applyFill="1" applyBorder="1"/>
    <xf numFmtId="166" fontId="10" fillId="16" borderId="4" xfId="3" applyNumberFormat="1" applyFont="1" applyFill="1" applyBorder="1"/>
    <xf numFmtId="0" fontId="10" fillId="16" borderId="25" xfId="57" applyFont="1" applyFill="1" applyBorder="1">
      <alignment wrapText="1"/>
    </xf>
    <xf numFmtId="166" fontId="10" fillId="16" borderId="4" xfId="57" applyNumberFormat="1" applyFont="1" applyFill="1" applyBorder="1">
      <alignment wrapText="1"/>
    </xf>
    <xf numFmtId="166" fontId="10" fillId="16" borderId="25" xfId="57" applyNumberFormat="1" applyFont="1" applyFill="1" applyBorder="1" applyAlignment="1">
      <alignment horizontal="right" wrapText="1"/>
    </xf>
    <xf numFmtId="166" fontId="10" fillId="16" borderId="23" xfId="57" applyNumberFormat="1" applyFont="1" applyFill="1" applyBorder="1" applyAlignment="1">
      <alignment horizontal="right" wrapText="1"/>
    </xf>
    <xf numFmtId="166" fontId="10" fillId="16" borderId="23" xfId="57" applyNumberFormat="1" applyFont="1" applyFill="1" applyBorder="1">
      <alignment wrapText="1"/>
    </xf>
    <xf numFmtId="166" fontId="16" fillId="16" borderId="4" xfId="57" applyNumberFormat="1" applyFont="1" applyFill="1" applyBorder="1">
      <alignment wrapText="1"/>
    </xf>
    <xf numFmtId="166" fontId="16" fillId="16" borderId="25" xfId="57" applyNumberFormat="1" applyFont="1" applyFill="1" applyBorder="1" applyAlignment="1">
      <alignment horizontal="right" wrapText="1"/>
    </xf>
    <xf numFmtId="166" fontId="16" fillId="16" borderId="23" xfId="57" applyNumberFormat="1" applyFont="1" applyFill="1" applyBorder="1">
      <alignment wrapText="1"/>
    </xf>
    <xf numFmtId="2" fontId="10" fillId="16" borderId="0" xfId="3" applyNumberFormat="1" applyFont="1" applyFill="1" applyBorder="1"/>
    <xf numFmtId="2" fontId="10" fillId="16" borderId="27" xfId="57" applyNumberFormat="1" applyFont="1" applyFill="1" applyBorder="1">
      <alignment wrapText="1"/>
    </xf>
    <xf numFmtId="2" fontId="10" fillId="16" borderId="0" xfId="57" applyNumberFormat="1" applyFont="1" applyFill="1" applyBorder="1">
      <alignment wrapText="1"/>
    </xf>
    <xf numFmtId="2" fontId="15" fillId="16" borderId="0" xfId="57" applyNumberFormat="1" applyFont="1" applyFill="1" applyBorder="1">
      <alignment wrapText="1"/>
    </xf>
    <xf numFmtId="2" fontId="15" fillId="16" borderId="27" xfId="57" applyNumberFormat="1" applyFont="1" applyFill="1" applyBorder="1">
      <alignment wrapText="1"/>
    </xf>
    <xf numFmtId="175" fontId="10" fillId="16" borderId="27" xfId="57" applyNumberFormat="1" applyFont="1" applyFill="1" applyBorder="1">
      <alignment wrapText="1"/>
    </xf>
    <xf numFmtId="175" fontId="10" fillId="16" borderId="0" xfId="57" applyNumberFormat="1" applyFont="1" applyFill="1" applyBorder="1">
      <alignment wrapText="1"/>
    </xf>
    <xf numFmtId="175" fontId="10" fillId="16" borderId="3" xfId="57" applyNumberFormat="1" applyFont="1" applyFill="1" applyBorder="1">
      <alignment wrapText="1"/>
    </xf>
    <xf numFmtId="166" fontId="10" fillId="16" borderId="80" xfId="3" applyNumberFormat="1" applyFont="1" applyFill="1" applyBorder="1"/>
    <xf numFmtId="166" fontId="10" fillId="16" borderId="19" xfId="3" applyNumberFormat="1" applyFont="1" applyFill="1" applyBorder="1"/>
    <xf numFmtId="0" fontId="10" fillId="16" borderId="74" xfId="57" applyFont="1" applyFill="1" applyBorder="1">
      <alignment wrapText="1"/>
    </xf>
    <xf numFmtId="2" fontId="10" fillId="16" borderId="74" xfId="57" applyNumberFormat="1" applyFont="1" applyFill="1" applyBorder="1">
      <alignment wrapText="1"/>
    </xf>
    <xf numFmtId="166" fontId="10" fillId="16" borderId="19" xfId="57" applyNumberFormat="1" applyFont="1" applyFill="1" applyBorder="1">
      <alignment wrapText="1"/>
    </xf>
    <xf numFmtId="2" fontId="10" fillId="16" borderId="19" xfId="57" applyNumberFormat="1" applyFont="1" applyFill="1" applyBorder="1">
      <alignment wrapText="1"/>
    </xf>
    <xf numFmtId="175" fontId="10" fillId="16" borderId="19" xfId="57" applyNumberFormat="1" applyFont="1" applyFill="1" applyBorder="1">
      <alignment wrapText="1"/>
    </xf>
    <xf numFmtId="175" fontId="10" fillId="16" borderId="74" xfId="57" applyNumberFormat="1" applyFont="1" applyFill="1" applyBorder="1">
      <alignment wrapText="1"/>
    </xf>
    <xf numFmtId="175" fontId="10" fillId="16" borderId="23" xfId="57" applyNumberFormat="1" applyFont="1" applyFill="1" applyBorder="1">
      <alignment wrapText="1"/>
    </xf>
    <xf numFmtId="175" fontId="10" fillId="16" borderId="4" xfId="57" applyNumberFormat="1" applyFont="1" applyFill="1" applyBorder="1">
      <alignment wrapText="1"/>
    </xf>
    <xf numFmtId="175" fontId="10" fillId="16" borderId="25" xfId="57" applyNumberFormat="1" applyFont="1" applyFill="1" applyBorder="1">
      <alignment wrapText="1"/>
    </xf>
    <xf numFmtId="9" fontId="2" fillId="0" borderId="0" xfId="61" applyNumberFormat="1" applyFont="1" applyFill="1" applyBorder="1" applyAlignment="1">
      <alignment horizontal="center"/>
    </xf>
    <xf numFmtId="0" fontId="0" fillId="0" borderId="0" xfId="3" applyFont="1" applyFill="1" applyAlignment="1">
      <alignment horizontal="center"/>
    </xf>
    <xf numFmtId="0" fontId="2" fillId="0" borderId="0" xfId="3" applyFont="1" applyFill="1" applyAlignment="1">
      <alignment horizontal="center"/>
    </xf>
    <xf numFmtId="14" fontId="2" fillId="16" borderId="0" xfId="3" applyNumberFormat="1" applyFont="1" applyFill="1"/>
    <xf numFmtId="166" fontId="22" fillId="16" borderId="0" xfId="3" applyNumberFormat="1" applyFont="1" applyFill="1" applyBorder="1"/>
    <xf numFmtId="41" fontId="2" fillId="16" borderId="0" xfId="3" applyNumberFormat="1" applyFont="1" applyFill="1" applyBorder="1"/>
    <xf numFmtId="41" fontId="0" fillId="16" borderId="0" xfId="3" applyNumberFormat="1" applyFont="1" applyFill="1"/>
    <xf numFmtId="41" fontId="0" fillId="16" borderId="0" xfId="3" applyNumberFormat="1" applyFont="1" applyFill="1" applyAlignment="1">
      <alignment horizontal="center"/>
    </xf>
    <xf numFmtId="41" fontId="2" fillId="16" borderId="0" xfId="3" applyNumberFormat="1" applyFont="1" applyFill="1" applyBorder="1" applyAlignment="1">
      <alignment horizontal="center"/>
    </xf>
    <xf numFmtId="166" fontId="22" fillId="16" borderId="3" xfId="3" applyNumberFormat="1" applyFont="1" applyFill="1" applyBorder="1" applyAlignment="1">
      <alignment horizontal="left" indent="1"/>
    </xf>
    <xf numFmtId="166" fontId="0" fillId="16" borderId="0" xfId="3" applyNumberFormat="1" applyFont="1" applyFill="1"/>
    <xf numFmtId="166" fontId="0" fillId="16" borderId="0" xfId="3" applyNumberFormat="1" applyFont="1" applyFill="1" applyAlignment="1">
      <alignment horizontal="center"/>
    </xf>
    <xf numFmtId="166" fontId="22" fillId="16" borderId="0" xfId="3" applyNumberFormat="1" applyFont="1" applyFill="1" applyBorder="1" applyAlignment="1">
      <alignment horizontal="center"/>
    </xf>
    <xf numFmtId="1" fontId="10" fillId="16" borderId="4" xfId="3" applyNumberFormat="1" applyFont="1" applyFill="1" applyBorder="1"/>
    <xf numFmtId="1" fontId="10" fillId="16" borderId="25" xfId="3" applyNumberFormat="1" applyFont="1" applyFill="1" applyBorder="1"/>
    <xf numFmtId="0" fontId="12" fillId="16" borderId="0" xfId="3" applyFont="1" applyFill="1" applyAlignment="1">
      <alignment horizontal="left"/>
    </xf>
    <xf numFmtId="0" fontId="2" fillId="16" borderId="2" xfId="3" applyFont="1" applyFill="1" applyBorder="1" applyAlignment="1">
      <alignment horizontal="center"/>
    </xf>
    <xf numFmtId="165" fontId="2" fillId="16" borderId="2" xfId="3" applyNumberFormat="1" applyFont="1" applyFill="1" applyBorder="1" applyAlignment="1">
      <alignment horizontal="right"/>
    </xf>
    <xf numFmtId="165" fontId="2" fillId="16" borderId="0" xfId="3" applyNumberFormat="1" applyFont="1" applyFill="1" applyBorder="1" applyAlignment="1">
      <alignment horizontal="right"/>
    </xf>
    <xf numFmtId="165" fontId="2" fillId="16" borderId="27" xfId="3" applyNumberFormat="1" applyFont="1" applyFill="1" applyBorder="1" applyAlignment="1">
      <alignment horizontal="right"/>
    </xf>
    <xf numFmtId="37" fontId="2" fillId="16" borderId="27" xfId="3" applyNumberFormat="1" applyFont="1" applyFill="1" applyBorder="1" applyAlignment="1">
      <alignment horizontal="center"/>
    </xf>
    <xf numFmtId="37" fontId="10" fillId="16" borderId="27" xfId="3" applyNumberFormat="1" applyFont="1" applyFill="1" applyBorder="1" applyAlignment="1">
      <alignment horizontal="center"/>
    </xf>
    <xf numFmtId="37" fontId="2" fillId="16" borderId="0" xfId="39" applyNumberFormat="1" applyFont="1" applyFill="1" applyBorder="1" applyAlignment="1">
      <alignment horizontal="center"/>
    </xf>
    <xf numFmtId="37" fontId="2" fillId="16" borderId="0" xfId="37" applyNumberFormat="1" applyFont="1" applyFill="1" applyBorder="1" applyAlignment="1">
      <alignment horizontal="center"/>
    </xf>
    <xf numFmtId="37" fontId="21" fillId="16" borderId="0" xfId="37" applyNumberFormat="1" applyFont="1" applyFill="1" applyBorder="1" applyAlignment="1">
      <alignment horizontal="center"/>
    </xf>
    <xf numFmtId="164" fontId="4" fillId="16" borderId="0" xfId="3" applyNumberFormat="1" applyFont="1" applyFill="1" applyBorder="1" applyAlignment="1">
      <alignment horizontal="right"/>
    </xf>
    <xf numFmtId="165" fontId="4" fillId="16" borderId="0" xfId="3" applyNumberFormat="1" applyFont="1" applyFill="1" applyBorder="1" applyAlignment="1">
      <alignment horizontal="right"/>
    </xf>
    <xf numFmtId="170" fontId="2" fillId="16" borderId="0" xfId="3" applyNumberFormat="1" applyFont="1" applyFill="1" applyBorder="1" applyAlignment="1">
      <alignment horizontal="right"/>
    </xf>
    <xf numFmtId="170" fontId="2" fillId="16" borderId="27" xfId="3" applyNumberFormat="1" applyFont="1" applyFill="1" applyBorder="1" applyAlignment="1">
      <alignment horizontal="right"/>
    </xf>
    <xf numFmtId="166" fontId="4" fillId="16" borderId="0" xfId="61" applyNumberFormat="1" applyFont="1" applyFill="1" applyBorder="1" applyAlignment="1">
      <alignment horizontal="right"/>
    </xf>
    <xf numFmtId="165" fontId="2" fillId="16" borderId="4" xfId="3" applyNumberFormat="1" applyFont="1" applyFill="1" applyBorder="1" applyAlignment="1">
      <alignment horizontal="right"/>
    </xf>
    <xf numFmtId="165" fontId="2" fillId="16" borderId="25" xfId="3" applyNumberFormat="1" applyFont="1" applyFill="1" applyBorder="1" applyAlignment="1">
      <alignment horizontal="right"/>
    </xf>
    <xf numFmtId="170" fontId="4" fillId="16" borderId="0" xfId="3" applyNumberFormat="1" applyFont="1" applyFill="1" applyBorder="1" applyAlignment="1">
      <alignment horizontal="right"/>
    </xf>
    <xf numFmtId="44" fontId="16" fillId="16" borderId="0" xfId="39" applyNumberFormat="1" applyFont="1" applyFill="1" applyBorder="1"/>
    <xf numFmtId="5" fontId="2" fillId="16" borderId="0" xfId="3" applyNumberFormat="1" applyFont="1" applyFill="1"/>
    <xf numFmtId="208" fontId="2" fillId="16" borderId="27" xfId="61" applyNumberFormat="1" applyFont="1" applyFill="1" applyBorder="1" applyAlignment="1">
      <alignment horizontal="center"/>
    </xf>
    <xf numFmtId="208" fontId="2" fillId="16" borderId="27" xfId="3" applyNumberFormat="1" applyFont="1" applyFill="1" applyBorder="1" applyAlignment="1">
      <alignment horizontal="center"/>
    </xf>
    <xf numFmtId="208" fontId="10" fillId="16" borderId="27" xfId="3" applyNumberFormat="1" applyFont="1" applyFill="1" applyBorder="1" applyAlignment="1">
      <alignment horizontal="center"/>
    </xf>
    <xf numFmtId="208" fontId="2" fillId="16" borderId="40" xfId="3" applyNumberFormat="1" applyFont="1" applyFill="1" applyBorder="1" applyAlignment="1">
      <alignment horizontal="center"/>
    </xf>
    <xf numFmtId="0" fontId="2" fillId="0" borderId="3" xfId="3" applyFont="1" applyFill="1" applyBorder="1"/>
    <xf numFmtId="0" fontId="2" fillId="0" borderId="23" xfId="3" applyFont="1" applyFill="1" applyBorder="1"/>
    <xf numFmtId="0" fontId="2" fillId="0" borderId="4" xfId="3" applyFont="1" applyFill="1" applyBorder="1"/>
    <xf numFmtId="165" fontId="2" fillId="0" borderId="27" xfId="37" applyNumberFormat="1" applyFont="1" applyFill="1" applyBorder="1"/>
    <xf numFmtId="179" fontId="2" fillId="0" borderId="27" xfId="3" applyNumberFormat="1" applyFont="1" applyFill="1" applyBorder="1"/>
    <xf numFmtId="166" fontId="2" fillId="0" borderId="25" xfId="61" applyNumberFormat="1" applyFont="1" applyFill="1" applyBorder="1"/>
    <xf numFmtId="0" fontId="0" fillId="16" borderId="0" xfId="3" applyFont="1" applyFill="1" applyBorder="1" applyAlignment="1">
      <alignment horizontal="center"/>
    </xf>
    <xf numFmtId="0" fontId="0" fillId="0" borderId="0" xfId="3" applyFont="1" applyBorder="1" applyAlignment="1">
      <alignment horizontal="center"/>
    </xf>
    <xf numFmtId="0" fontId="16" fillId="16" borderId="11" xfId="3" applyFont="1" applyFill="1" applyBorder="1" applyAlignment="1">
      <alignment horizontal="center"/>
    </xf>
    <xf numFmtId="0" fontId="10" fillId="0" borderId="21" xfId="3" applyFont="1" applyBorder="1"/>
    <xf numFmtId="0" fontId="10" fillId="0" borderId="0" xfId="3" applyFont="1"/>
    <xf numFmtId="0" fontId="10" fillId="0" borderId="0" xfId="3" applyFont="1" applyAlignment="1">
      <alignment horizontal="center"/>
    </xf>
    <xf numFmtId="0" fontId="2" fillId="0" borderId="0" xfId="3" applyFont="1"/>
    <xf numFmtId="0" fontId="2" fillId="0" borderId="0" xfId="3" applyFont="1" applyAlignment="1">
      <alignment horizontal="center"/>
    </xf>
    <xf numFmtId="164" fontId="2" fillId="0" borderId="0" xfId="37" applyNumberFormat="1" applyFont="1"/>
    <xf numFmtId="164" fontId="2" fillId="0" borderId="27" xfId="37" applyNumberFormat="1" applyFont="1" applyBorder="1"/>
    <xf numFmtId="7" fontId="10" fillId="0" borderId="11" xfId="37" applyNumberFormat="1" applyFont="1" applyBorder="1"/>
    <xf numFmtId="0" fontId="15" fillId="16" borderId="0" xfId="57" applyFont="1" applyFill="1" applyBorder="1">
      <alignment wrapText="1"/>
    </xf>
    <xf numFmtId="0" fontId="16" fillId="16" borderId="0" xfId="57" applyFont="1" applyFill="1" applyBorder="1">
      <alignment wrapText="1"/>
    </xf>
    <xf numFmtId="180" fontId="2" fillId="16" borderId="10" xfId="56" applyNumberFormat="1" applyFont="1" applyFill="1" applyBorder="1"/>
    <xf numFmtId="0" fontId="2" fillId="16" borderId="2" xfId="57" applyFont="1" applyFill="1" applyBorder="1">
      <alignment wrapText="1"/>
    </xf>
    <xf numFmtId="0" fontId="11" fillId="16" borderId="2" xfId="57" applyFont="1" applyFill="1" applyBorder="1">
      <alignment wrapText="1"/>
    </xf>
    <xf numFmtId="181" fontId="2" fillId="16" borderId="2" xfId="57" applyNumberFormat="1" applyFont="1" applyFill="1" applyBorder="1">
      <alignment wrapText="1"/>
    </xf>
    <xf numFmtId="181" fontId="4" fillId="16" borderId="2" xfId="57" applyNumberFormat="1" applyFont="1" applyFill="1" applyBorder="1">
      <alignment wrapText="1"/>
    </xf>
    <xf numFmtId="0" fontId="11" fillId="16" borderId="4" xfId="57" applyFont="1" applyFill="1" applyBorder="1">
      <alignment wrapText="1"/>
    </xf>
    <xf numFmtId="166" fontId="2" fillId="16" borderId="4" xfId="61" applyNumberFormat="1" applyFont="1" applyFill="1" applyBorder="1" applyAlignment="1">
      <alignment wrapText="1"/>
    </xf>
    <xf numFmtId="0" fontId="10" fillId="8" borderId="0" xfId="3" applyFont="1" applyFill="1" applyBorder="1" applyAlignment="1">
      <alignment horizontal="center"/>
    </xf>
    <xf numFmtId="0" fontId="28" fillId="0" borderId="3" xfId="3" applyFont="1" applyFill="1" applyBorder="1"/>
    <xf numFmtId="7" fontId="16" fillId="16" borderId="0" xfId="39" quotePrefix="1" applyNumberFormat="1" applyFont="1" applyFill="1" applyBorder="1"/>
    <xf numFmtId="43" fontId="22" fillId="16" borderId="27" xfId="37" applyNumberFormat="1" applyFont="1" applyFill="1" applyBorder="1"/>
    <xf numFmtId="177" fontId="0" fillId="0" borderId="0" xfId="37" applyNumberFormat="1" applyFont="1"/>
    <xf numFmtId="0" fontId="49" fillId="16" borderId="0" xfId="3" applyFont="1" applyFill="1"/>
    <xf numFmtId="0" fontId="3" fillId="0" borderId="0" xfId="0" applyFont="1"/>
    <xf numFmtId="0" fontId="49" fillId="0" borderId="0" xfId="0" applyFont="1"/>
    <xf numFmtId="172" fontId="22" fillId="16" borderId="0" xfId="39" applyNumberFormat="1" applyFont="1" applyFill="1" applyBorder="1" applyAlignment="1">
      <alignment horizontal="center"/>
    </xf>
    <xf numFmtId="43" fontId="10" fillId="16" borderId="0" xfId="39" applyNumberFormat="1" applyFont="1" applyFill="1" applyBorder="1"/>
    <xf numFmtId="0" fontId="2" fillId="0" borderId="0" xfId="0" applyFont="1"/>
    <xf numFmtId="43" fontId="2" fillId="0" borderId="0" xfId="0" applyNumberFormat="1" applyFont="1"/>
    <xf numFmtId="0" fontId="70" fillId="16" borderId="0" xfId="3" applyFont="1" applyFill="1"/>
    <xf numFmtId="0" fontId="70" fillId="16" borderId="0" xfId="3" applyFont="1" applyFill="1" applyBorder="1"/>
    <xf numFmtId="166" fontId="70" fillId="16" borderId="0" xfId="61" applyNumberFormat="1" applyFont="1" applyFill="1"/>
    <xf numFmtId="0" fontId="69" fillId="0" borderId="0" xfId="0" applyFont="1"/>
    <xf numFmtId="0" fontId="10" fillId="0" borderId="0" xfId="0" applyFont="1"/>
    <xf numFmtId="0" fontId="30" fillId="0" borderId="0" xfId="0" applyFont="1"/>
    <xf numFmtId="0" fontId="2" fillId="0" borderId="0" xfId="0" applyFont="1" applyBorder="1"/>
    <xf numFmtId="43" fontId="2" fillId="0" borderId="0" xfId="0" applyNumberFormat="1" applyFont="1" applyBorder="1"/>
    <xf numFmtId="0" fontId="2" fillId="0" borderId="12" xfId="0" applyFont="1" applyBorder="1"/>
    <xf numFmtId="166" fontId="72" fillId="16" borderId="0" xfId="61" applyNumberFormat="1" applyFont="1" applyFill="1" applyBorder="1"/>
    <xf numFmtId="165" fontId="70" fillId="16" borderId="0" xfId="37" applyNumberFormat="1" applyFont="1" applyFill="1" applyBorder="1"/>
    <xf numFmtId="165" fontId="70" fillId="16" borderId="0" xfId="3" applyNumberFormat="1" applyFont="1" applyFill="1" applyBorder="1"/>
    <xf numFmtId="170" fontId="71" fillId="16" borderId="0" xfId="3" applyNumberFormat="1" applyFont="1" applyFill="1" applyBorder="1"/>
    <xf numFmtId="165" fontId="71" fillId="16" borderId="0" xfId="37" applyNumberFormat="1" applyFont="1" applyFill="1" applyBorder="1"/>
    <xf numFmtId="165" fontId="70" fillId="16" borderId="3" xfId="3" applyNumberFormat="1" applyFont="1" applyFill="1" applyBorder="1"/>
    <xf numFmtId="0" fontId="70" fillId="16" borderId="2" xfId="3" applyFont="1" applyFill="1" applyBorder="1"/>
    <xf numFmtId="0" fontId="70" fillId="8" borderId="0" xfId="55" applyFont="1" applyFill="1"/>
    <xf numFmtId="0" fontId="71" fillId="8" borderId="12" xfId="3" applyFont="1" applyFill="1" applyBorder="1"/>
    <xf numFmtId="0" fontId="70" fillId="16" borderId="2" xfId="3" applyFont="1" applyFill="1" applyBorder="1" applyAlignment="1">
      <alignment horizontal="center"/>
    </xf>
    <xf numFmtId="0" fontId="71" fillId="8" borderId="58" xfId="3" applyFont="1" applyFill="1" applyBorder="1" applyAlignment="1">
      <alignment horizontal="center"/>
    </xf>
    <xf numFmtId="192" fontId="70" fillId="16" borderId="0" xfId="57" applyNumberFormat="1" applyFont="1" applyFill="1" applyBorder="1">
      <alignment wrapText="1"/>
    </xf>
    <xf numFmtId="0" fontId="70" fillId="16" borderId="0" xfId="57" applyFont="1" applyFill="1" applyBorder="1">
      <alignment wrapText="1"/>
    </xf>
    <xf numFmtId="5" fontId="70" fillId="16" borderId="0" xfId="57" applyNumberFormat="1" applyFont="1" applyFill="1" applyBorder="1" applyAlignment="1">
      <alignment horizontal="right" wrapText="1"/>
    </xf>
    <xf numFmtId="165" fontId="70" fillId="16" borderId="0" xfId="37" applyNumberFormat="1" applyFont="1" applyFill="1" applyBorder="1" applyAlignment="1">
      <alignment wrapText="1"/>
    </xf>
    <xf numFmtId="165" fontId="70" fillId="16" borderId="0" xfId="57" applyNumberFormat="1" applyFont="1" applyFill="1" applyBorder="1">
      <alignment wrapText="1"/>
    </xf>
    <xf numFmtId="165" fontId="73" fillId="16" borderId="0" xfId="57" applyNumberFormat="1" applyFont="1" applyFill="1" applyBorder="1">
      <alignment wrapText="1"/>
    </xf>
    <xf numFmtId="165" fontId="71" fillId="16" borderId="0" xfId="37" applyNumberFormat="1" applyFont="1" applyFill="1" applyBorder="1" applyAlignment="1">
      <alignment wrapText="1"/>
    </xf>
    <xf numFmtId="5" fontId="71" fillId="16" borderId="4" xfId="57" applyNumberFormat="1" applyFont="1" applyFill="1" applyBorder="1">
      <alignment wrapText="1"/>
    </xf>
    <xf numFmtId="165" fontId="71" fillId="16" borderId="19" xfId="57" applyNumberFormat="1" applyFont="1" applyFill="1" applyBorder="1">
      <alignment wrapText="1"/>
    </xf>
    <xf numFmtId="0" fontId="71" fillId="8" borderId="12" xfId="3" applyFont="1" applyFill="1" applyBorder="1" applyAlignment="1">
      <alignment horizontal="center"/>
    </xf>
    <xf numFmtId="166" fontId="70" fillId="16" borderId="3" xfId="57" applyNumberFormat="1" applyFont="1" applyFill="1" applyBorder="1">
      <alignment wrapText="1"/>
    </xf>
    <xf numFmtId="2" fontId="70" fillId="16" borderId="3" xfId="57" applyNumberFormat="1" applyFont="1" applyFill="1" applyBorder="1">
      <alignment wrapText="1"/>
    </xf>
    <xf numFmtId="166" fontId="71" fillId="16" borderId="3" xfId="57" applyNumberFormat="1" applyFont="1" applyFill="1" applyBorder="1">
      <alignment wrapText="1"/>
    </xf>
    <xf numFmtId="166" fontId="71" fillId="16" borderId="23" xfId="57" applyNumberFormat="1" applyFont="1" applyFill="1" applyBorder="1">
      <alignment wrapText="1"/>
    </xf>
    <xf numFmtId="0" fontId="70" fillId="16" borderId="3" xfId="57" applyFont="1" applyFill="1" applyBorder="1">
      <alignment wrapText="1"/>
    </xf>
    <xf numFmtId="37" fontId="70" fillId="16" borderId="3" xfId="57" applyNumberFormat="1" applyFont="1" applyFill="1" applyBorder="1">
      <alignment wrapText="1"/>
    </xf>
    <xf numFmtId="0" fontId="70" fillId="16" borderId="23" xfId="57" applyFont="1" applyFill="1" applyBorder="1">
      <alignment wrapText="1"/>
    </xf>
    <xf numFmtId="0" fontId="70" fillId="8" borderId="12" xfId="57" applyFont="1" applyFill="1" applyBorder="1">
      <alignment wrapText="1"/>
    </xf>
    <xf numFmtId="175" fontId="70" fillId="16" borderId="3" xfId="57" applyNumberFormat="1" applyFont="1" applyFill="1" applyBorder="1">
      <alignment wrapText="1"/>
    </xf>
    <xf numFmtId="175" fontId="71" fillId="16" borderId="3" xfId="57" applyNumberFormat="1" applyFont="1" applyFill="1" applyBorder="1">
      <alignment wrapText="1"/>
    </xf>
    <xf numFmtId="37" fontId="70" fillId="16" borderId="0" xfId="3" applyNumberFormat="1" applyFont="1" applyFill="1" applyBorder="1"/>
    <xf numFmtId="175" fontId="71" fillId="16" borderId="23" xfId="57" applyNumberFormat="1" applyFont="1" applyFill="1" applyBorder="1">
      <alignment wrapText="1"/>
    </xf>
    <xf numFmtId="175" fontId="71" fillId="16" borderId="0" xfId="57" applyNumberFormat="1" applyFont="1" applyFill="1" applyBorder="1">
      <alignment wrapText="1"/>
    </xf>
    <xf numFmtId="37" fontId="70" fillId="16" borderId="12" xfId="3" applyNumberFormat="1" applyFont="1" applyFill="1" applyBorder="1"/>
    <xf numFmtId="37" fontId="70" fillId="16" borderId="0" xfId="3" applyNumberFormat="1" applyFont="1" applyFill="1"/>
    <xf numFmtId="166" fontId="71" fillId="16" borderId="21" xfId="57" applyNumberFormat="1" applyFont="1" applyFill="1" applyBorder="1" applyAlignment="1">
      <alignment horizontal="center" wrapText="1"/>
    </xf>
    <xf numFmtId="166" fontId="70" fillId="16" borderId="21" xfId="57" applyNumberFormat="1" applyFont="1" applyFill="1" applyBorder="1">
      <alignment wrapText="1"/>
    </xf>
    <xf numFmtId="166" fontId="70" fillId="16" borderId="6" xfId="57" applyNumberFormat="1" applyFont="1" applyFill="1" applyBorder="1">
      <alignment wrapText="1"/>
    </xf>
    <xf numFmtId="166" fontId="70" fillId="16" borderId="0" xfId="57" applyNumberFormat="1" applyFont="1" applyFill="1" applyBorder="1">
      <alignment wrapText="1"/>
    </xf>
    <xf numFmtId="181" fontId="70" fillId="16" borderId="2" xfId="57" applyNumberFormat="1" applyFont="1" applyFill="1" applyBorder="1">
      <alignment wrapText="1"/>
    </xf>
    <xf numFmtId="176" fontId="70" fillId="16" borderId="0" xfId="57" applyNumberFormat="1" applyFont="1" applyFill="1" applyBorder="1">
      <alignment wrapText="1"/>
    </xf>
    <xf numFmtId="166" fontId="70" fillId="16" borderId="0" xfId="61" applyNumberFormat="1" applyFont="1" applyFill="1" applyBorder="1" applyAlignment="1">
      <alignment wrapText="1"/>
    </xf>
    <xf numFmtId="166" fontId="70" fillId="16" borderId="4" xfId="61" applyNumberFormat="1" applyFont="1" applyFill="1" applyBorder="1" applyAlignment="1">
      <alignment wrapText="1"/>
    </xf>
    <xf numFmtId="0" fontId="71" fillId="16" borderId="0" xfId="57" applyFont="1" applyFill="1" applyBorder="1">
      <alignment wrapText="1"/>
    </xf>
    <xf numFmtId="0" fontId="70" fillId="16" borderId="0" xfId="55" applyFont="1" applyFill="1"/>
    <xf numFmtId="165" fontId="70" fillId="16" borderId="3" xfId="37" applyNumberFormat="1" applyFont="1" applyFill="1" applyBorder="1" applyAlignment="1">
      <alignment wrapText="1"/>
    </xf>
    <xf numFmtId="10" fontId="72" fillId="16" borderId="3" xfId="61" applyNumberFormat="1" applyFont="1" applyFill="1" applyBorder="1" applyAlignment="1">
      <alignment wrapText="1"/>
    </xf>
    <xf numFmtId="165" fontId="72" fillId="16" borderId="3" xfId="37" applyNumberFormat="1" applyFont="1" applyFill="1" applyBorder="1" applyAlignment="1">
      <alignment wrapText="1"/>
    </xf>
    <xf numFmtId="3" fontId="70" fillId="16" borderId="0" xfId="57" applyNumberFormat="1" applyFont="1" applyFill="1" applyBorder="1">
      <alignment wrapText="1"/>
    </xf>
    <xf numFmtId="0" fontId="71" fillId="16" borderId="0" xfId="3" applyFont="1" applyFill="1" applyBorder="1"/>
    <xf numFmtId="165" fontId="71" fillId="16" borderId="12" xfId="37" applyNumberFormat="1" applyFont="1" applyFill="1" applyBorder="1"/>
    <xf numFmtId="165" fontId="70" fillId="16" borderId="3" xfId="37" applyNumberFormat="1" applyFont="1" applyFill="1" applyBorder="1"/>
    <xf numFmtId="165" fontId="70" fillId="16" borderId="12" xfId="37" applyNumberFormat="1" applyFont="1" applyFill="1" applyBorder="1"/>
    <xf numFmtId="167" fontId="70" fillId="16" borderId="21" xfId="3" applyNumberFormat="1" applyFont="1" applyFill="1" applyBorder="1"/>
    <xf numFmtId="0" fontId="70" fillId="16" borderId="10" xfId="3" applyFont="1" applyFill="1" applyBorder="1"/>
    <xf numFmtId="165" fontId="70" fillId="16" borderId="23" xfId="3" applyNumberFormat="1" applyFont="1" applyFill="1" applyBorder="1"/>
    <xf numFmtId="165" fontId="71" fillId="16" borderId="23" xfId="3" applyNumberFormat="1" applyFont="1" applyFill="1" applyBorder="1"/>
    <xf numFmtId="165" fontId="71" fillId="16" borderId="0" xfId="3" applyNumberFormat="1" applyFont="1" applyFill="1" applyBorder="1"/>
    <xf numFmtId="165" fontId="70" fillId="16" borderId="4" xfId="3" applyNumberFormat="1" applyFont="1" applyFill="1" applyBorder="1"/>
    <xf numFmtId="166" fontId="70" fillId="16" borderId="0" xfId="3" applyNumberFormat="1" applyFont="1" applyFill="1"/>
    <xf numFmtId="9" fontId="70" fillId="16" borderId="0" xfId="61" applyFont="1" applyFill="1"/>
    <xf numFmtId="165" fontId="70" fillId="16" borderId="12" xfId="3" applyNumberFormat="1" applyFont="1" applyFill="1" applyBorder="1"/>
    <xf numFmtId="44" fontId="70" fillId="16" borderId="0" xfId="39" applyFont="1" applyFill="1"/>
    <xf numFmtId="165" fontId="70" fillId="16" borderId="0" xfId="3" quotePrefix="1" applyNumberFormat="1" applyFont="1" applyFill="1" applyBorder="1"/>
    <xf numFmtId="177" fontId="72" fillId="16" borderId="0" xfId="37" applyNumberFormat="1" applyFont="1" applyFill="1" applyBorder="1"/>
    <xf numFmtId="43" fontId="72" fillId="16" borderId="0" xfId="37" applyNumberFormat="1" applyFont="1" applyFill="1" applyBorder="1"/>
    <xf numFmtId="166" fontId="72" fillId="16" borderId="4" xfId="61" applyNumberFormat="1" applyFont="1" applyFill="1" applyBorder="1"/>
    <xf numFmtId="165" fontId="70" fillId="16" borderId="0" xfId="3" applyNumberFormat="1" applyFont="1" applyFill="1"/>
    <xf numFmtId="7" fontId="71" fillId="16" borderId="0" xfId="39" applyNumberFormat="1" applyFont="1" applyFill="1" applyBorder="1"/>
    <xf numFmtId="0" fontId="69" fillId="16" borderId="0" xfId="3" applyFont="1" applyFill="1"/>
    <xf numFmtId="43" fontId="16" fillId="16" borderId="0" xfId="37" applyFont="1" applyFill="1" applyBorder="1"/>
    <xf numFmtId="0" fontId="3" fillId="0" borderId="0" xfId="4" applyFont="1"/>
    <xf numFmtId="0" fontId="22" fillId="16" borderId="5" xfId="3" applyFont="1" applyFill="1" applyBorder="1" applyAlignment="1">
      <alignment horizontal="center"/>
    </xf>
    <xf numFmtId="0" fontId="22" fillId="0" borderId="0" xfId="3" applyFont="1" applyFill="1" applyBorder="1"/>
    <xf numFmtId="14" fontId="2" fillId="16" borderId="0" xfId="61" applyNumberFormat="1" applyFont="1" applyFill="1"/>
    <xf numFmtId="0" fontId="10" fillId="16" borderId="0" xfId="4" applyFont="1" applyFill="1"/>
    <xf numFmtId="0" fontId="2" fillId="0" borderId="0" xfId="4" applyFont="1" applyFill="1" applyBorder="1"/>
    <xf numFmtId="0" fontId="2" fillId="16" borderId="0" xfId="4" applyFont="1" applyFill="1" applyAlignment="1">
      <alignment horizontal="center"/>
    </xf>
    <xf numFmtId="0" fontId="2" fillId="8" borderId="0" xfId="4" applyFont="1" applyFill="1"/>
    <xf numFmtId="0" fontId="13" fillId="16" borderId="0" xfId="4" applyFont="1" applyFill="1"/>
    <xf numFmtId="0" fontId="2" fillId="16" borderId="42" xfId="4" applyFont="1" applyFill="1" applyBorder="1"/>
    <xf numFmtId="165" fontId="2" fillId="16" borderId="27" xfId="4" applyNumberFormat="1" applyFont="1" applyFill="1" applyBorder="1" applyAlignment="1">
      <alignment horizontal="center"/>
    </xf>
    <xf numFmtId="0" fontId="10" fillId="16" borderId="0" xfId="4" applyFont="1" applyFill="1" applyBorder="1"/>
    <xf numFmtId="165" fontId="2" fillId="16" borderId="3" xfId="38" applyNumberFormat="1" applyFont="1" applyFill="1" applyBorder="1"/>
    <xf numFmtId="0" fontId="2" fillId="8" borderId="12" xfId="4" applyFont="1" applyFill="1" applyBorder="1"/>
    <xf numFmtId="0" fontId="2" fillId="8" borderId="54" xfId="4" applyFont="1" applyFill="1" applyBorder="1"/>
    <xf numFmtId="166" fontId="2" fillId="16" borderId="0" xfId="62" applyNumberFormat="1" applyFont="1" applyFill="1" applyBorder="1"/>
    <xf numFmtId="166" fontId="2" fillId="16" borderId="5" xfId="62" applyNumberFormat="1" applyFont="1" applyFill="1" applyBorder="1"/>
    <xf numFmtId="166" fontId="2" fillId="16" borderId="0" xfId="62" applyNumberFormat="1" applyFont="1" applyFill="1" applyBorder="1" applyAlignment="1">
      <alignment horizontal="center"/>
    </xf>
    <xf numFmtId="0" fontId="10" fillId="8" borderId="50" xfId="4" applyFont="1" applyFill="1" applyBorder="1"/>
    <xf numFmtId="166" fontId="2" fillId="16" borderId="27" xfId="62" applyNumberFormat="1" applyFont="1" applyFill="1" applyBorder="1" applyAlignment="1">
      <alignment horizontal="center"/>
    </xf>
    <xf numFmtId="166" fontId="2" fillId="16" borderId="5" xfId="62" applyNumberFormat="1" applyFont="1" applyFill="1" applyBorder="1" applyAlignment="1">
      <alignment horizontal="center"/>
    </xf>
    <xf numFmtId="166" fontId="22" fillId="16" borderId="0" xfId="62" applyNumberFormat="1" applyFont="1" applyFill="1" applyBorder="1"/>
    <xf numFmtId="0" fontId="2" fillId="8" borderId="12" xfId="4" applyFont="1" applyFill="1" applyBorder="1" applyAlignment="1">
      <alignment horizontal="center"/>
    </xf>
    <xf numFmtId="0" fontId="2" fillId="8" borderId="79" xfId="4" applyFont="1" applyFill="1" applyBorder="1" applyAlignment="1">
      <alignment horizontal="center"/>
    </xf>
    <xf numFmtId="0" fontId="2" fillId="8" borderId="54" xfId="4" applyFont="1" applyFill="1" applyBorder="1" applyAlignment="1">
      <alignment horizontal="center"/>
    </xf>
    <xf numFmtId="9" fontId="2" fillId="16" borderId="0" xfId="62" applyNumberFormat="1" applyFont="1" applyFill="1" applyBorder="1" applyAlignment="1">
      <alignment horizontal="right"/>
    </xf>
    <xf numFmtId="9" fontId="2" fillId="16" borderId="5" xfId="62" applyNumberFormat="1" applyFont="1" applyFill="1" applyBorder="1" applyAlignment="1">
      <alignment horizontal="right"/>
    </xf>
    <xf numFmtId="9" fontId="2" fillId="16" borderId="44" xfId="62" applyNumberFormat="1" applyFont="1" applyFill="1" applyBorder="1" applyAlignment="1">
      <alignment horizontal="right"/>
    </xf>
    <xf numFmtId="166" fontId="2" fillId="16" borderId="0" xfId="62" applyNumberFormat="1" applyFont="1" applyFill="1" applyBorder="1" applyAlignment="1">
      <alignment horizontal="right"/>
    </xf>
    <xf numFmtId="166" fontId="2" fillId="16" borderId="5" xfId="62" applyNumberFormat="1" applyFont="1" applyFill="1" applyBorder="1" applyAlignment="1">
      <alignment horizontal="right"/>
    </xf>
    <xf numFmtId="166" fontId="2" fillId="16" borderId="44" xfId="62" applyNumberFormat="1" applyFont="1" applyFill="1" applyBorder="1" applyAlignment="1">
      <alignment horizontal="right"/>
    </xf>
    <xf numFmtId="0" fontId="2" fillId="16" borderId="81" xfId="4" applyFont="1" applyFill="1" applyBorder="1"/>
    <xf numFmtId="208" fontId="2" fillId="16" borderId="27" xfId="62" applyNumberFormat="1" applyFont="1" applyFill="1" applyBorder="1" applyAlignment="1">
      <alignment horizontal="center"/>
    </xf>
    <xf numFmtId="208" fontId="2" fillId="16" borderId="60" xfId="62" applyNumberFormat="1" applyFont="1" applyFill="1" applyBorder="1" applyAlignment="1">
      <alignment horizontal="center"/>
    </xf>
    <xf numFmtId="0" fontId="2" fillId="16" borderId="49" xfId="4" applyFont="1" applyFill="1" applyBorder="1"/>
    <xf numFmtId="166" fontId="2" fillId="16" borderId="60" xfId="62" applyNumberFormat="1" applyFont="1" applyFill="1" applyBorder="1"/>
    <xf numFmtId="0" fontId="10" fillId="17" borderId="0" xfId="3" applyFont="1" applyFill="1" applyBorder="1"/>
    <xf numFmtId="0" fontId="49" fillId="0" borderId="0" xfId="4" applyFont="1"/>
    <xf numFmtId="0" fontId="0" fillId="0" borderId="0" xfId="0"/>
    <xf numFmtId="165" fontId="2" fillId="17" borderId="27" xfId="37" applyNumberFormat="1" applyFont="1" applyFill="1" applyBorder="1"/>
    <xf numFmtId="165" fontId="10" fillId="17" borderId="27" xfId="37" applyNumberFormat="1" applyFont="1" applyFill="1" applyBorder="1"/>
    <xf numFmtId="164" fontId="2" fillId="0" borderId="26" xfId="37" applyNumberFormat="1" applyFont="1" applyBorder="1"/>
    <xf numFmtId="0" fontId="75" fillId="17" borderId="0" xfId="0" applyFont="1" applyFill="1"/>
    <xf numFmtId="166" fontId="78" fillId="17" borderId="0" xfId="61" applyNumberFormat="1" applyFont="1" applyFill="1" applyBorder="1"/>
    <xf numFmtId="165" fontId="78" fillId="17" borderId="0" xfId="37" applyNumberFormat="1" applyFont="1" applyFill="1" applyBorder="1"/>
    <xf numFmtId="165" fontId="10" fillId="16" borderId="12" xfId="38" applyNumberFormat="1" applyFont="1" applyFill="1" applyBorder="1"/>
    <xf numFmtId="166" fontId="2" fillId="16" borderId="2" xfId="62" applyNumberFormat="1" applyFont="1" applyFill="1" applyBorder="1" applyAlignment="1">
      <alignment horizontal="center"/>
    </xf>
    <xf numFmtId="166" fontId="2" fillId="16" borderId="26" xfId="62" applyNumberFormat="1" applyFont="1" applyFill="1" applyBorder="1" applyAlignment="1">
      <alignment horizontal="center"/>
    </xf>
    <xf numFmtId="0" fontId="10" fillId="0" borderId="0" xfId="4" applyFont="1"/>
    <xf numFmtId="0" fontId="2" fillId="0" borderId="0" xfId="4" applyFont="1"/>
    <xf numFmtId="0" fontId="75" fillId="0" borderId="0" xfId="0" applyFont="1"/>
    <xf numFmtId="0" fontId="4" fillId="16" borderId="0" xfId="4" applyFont="1" applyFill="1" applyBorder="1"/>
    <xf numFmtId="0" fontId="2" fillId="16" borderId="27" xfId="71" applyFont="1" applyFill="1" applyBorder="1">
      <alignment wrapText="1"/>
    </xf>
    <xf numFmtId="0" fontId="2" fillId="16" borderId="0" xfId="71" applyFont="1" applyFill="1" applyBorder="1">
      <alignment wrapText="1"/>
    </xf>
    <xf numFmtId="0" fontId="11" fillId="16" borderId="0" xfId="71" applyFont="1" applyFill="1" applyBorder="1">
      <alignment wrapText="1"/>
    </xf>
    <xf numFmtId="0" fontId="2" fillId="16" borderId="26" xfId="71" applyFont="1" applyFill="1" applyBorder="1">
      <alignment wrapText="1"/>
    </xf>
    <xf numFmtId="0" fontId="2" fillId="16" borderId="2" xfId="71" applyFont="1" applyFill="1" applyBorder="1">
      <alignment wrapText="1"/>
    </xf>
    <xf numFmtId="0" fontId="11" fillId="16" borderId="2" xfId="71" applyFont="1" applyFill="1" applyBorder="1">
      <alignment wrapText="1"/>
    </xf>
    <xf numFmtId="181" fontId="2" fillId="16" borderId="2" xfId="71" applyNumberFormat="1" applyFont="1" applyFill="1" applyBorder="1">
      <alignment wrapText="1"/>
    </xf>
    <xf numFmtId="181" fontId="78" fillId="16" borderId="2" xfId="71" applyNumberFormat="1" applyFont="1" applyFill="1" applyBorder="1">
      <alignment wrapText="1"/>
    </xf>
    <xf numFmtId="181" fontId="4" fillId="16" borderId="2" xfId="71" applyNumberFormat="1" applyFont="1" applyFill="1" applyBorder="1">
      <alignment wrapText="1"/>
    </xf>
    <xf numFmtId="176" fontId="2" fillId="16" borderId="0" xfId="71" applyNumberFormat="1" applyFont="1" applyFill="1" applyBorder="1">
      <alignment wrapText="1"/>
    </xf>
    <xf numFmtId="176" fontId="78" fillId="16" borderId="0" xfId="71" applyNumberFormat="1" applyFont="1" applyFill="1" applyBorder="1">
      <alignment wrapText="1"/>
    </xf>
    <xf numFmtId="176" fontId="4" fillId="16" borderId="0" xfId="71" applyNumberFormat="1" applyFont="1" applyFill="1" applyBorder="1">
      <alignment wrapText="1"/>
    </xf>
    <xf numFmtId="170" fontId="2" fillId="16" borderId="27" xfId="38" applyNumberFormat="1" applyFont="1" applyFill="1" applyBorder="1" applyAlignment="1">
      <alignment horizontal="center"/>
    </xf>
    <xf numFmtId="165" fontId="2" fillId="16" borderId="27" xfId="38" applyNumberFormat="1" applyFont="1" applyFill="1" applyBorder="1" applyAlignment="1">
      <alignment horizontal="center"/>
    </xf>
    <xf numFmtId="165" fontId="2" fillId="16" borderId="44" xfId="38" applyNumberFormat="1" applyFont="1" applyFill="1" applyBorder="1" applyAlignment="1">
      <alignment horizontal="center"/>
    </xf>
    <xf numFmtId="165" fontId="10" fillId="16" borderId="27" xfId="38" applyNumberFormat="1" applyFont="1" applyFill="1" applyBorder="1" applyAlignment="1">
      <alignment horizontal="center"/>
    </xf>
    <xf numFmtId="165" fontId="2" fillId="16" borderId="12" xfId="38" applyNumberFormat="1" applyFont="1" applyFill="1" applyBorder="1"/>
    <xf numFmtId="165" fontId="10" fillId="16" borderId="11" xfId="38" applyNumberFormat="1" applyFont="1" applyFill="1" applyBorder="1" applyAlignment="1">
      <alignment horizontal="center"/>
    </xf>
    <xf numFmtId="0" fontId="2" fillId="16" borderId="27" xfId="4" applyFont="1" applyFill="1" applyBorder="1" applyAlignment="1">
      <alignment horizontal="center"/>
    </xf>
    <xf numFmtId="0" fontId="28" fillId="16" borderId="0" xfId="4" applyFont="1" applyFill="1"/>
    <xf numFmtId="177" fontId="28" fillId="16" borderId="0" xfId="38" applyNumberFormat="1" applyFont="1" applyFill="1"/>
    <xf numFmtId="0" fontId="0" fillId="0" borderId="0" xfId="0"/>
    <xf numFmtId="0" fontId="0" fillId="0" borderId="0" xfId="0" applyBorder="1"/>
    <xf numFmtId="165" fontId="2" fillId="0" borderId="0" xfId="3" applyNumberFormat="1" applyFont="1" applyFill="1" applyBorder="1" applyAlignment="1">
      <alignment horizontal="right"/>
    </xf>
    <xf numFmtId="165" fontId="2" fillId="17" borderId="0" xfId="37" applyNumberFormat="1" applyFont="1" applyFill="1" applyBorder="1"/>
    <xf numFmtId="0" fontId="2" fillId="16" borderId="0" xfId="4" applyFont="1" applyFill="1"/>
    <xf numFmtId="0" fontId="2" fillId="16" borderId="3" xfId="4" applyFont="1" applyFill="1" applyBorder="1"/>
    <xf numFmtId="0" fontId="2" fillId="16" borderId="0" xfId="4" applyFont="1" applyFill="1" applyBorder="1"/>
    <xf numFmtId="0" fontId="2" fillId="16" borderId="27" xfId="4" applyFont="1" applyFill="1" applyBorder="1"/>
    <xf numFmtId="165" fontId="2" fillId="16" borderId="0" xfId="38" applyNumberFormat="1" applyFont="1" applyFill="1" applyBorder="1"/>
    <xf numFmtId="165" fontId="10" fillId="16" borderId="0" xfId="38" applyNumberFormat="1" applyFont="1" applyFill="1" applyBorder="1"/>
    <xf numFmtId="165" fontId="2" fillId="16" borderId="3" xfId="4" applyNumberFormat="1" applyFont="1" applyFill="1" applyBorder="1"/>
    <xf numFmtId="165" fontId="2" fillId="16" borderId="0" xfId="4" applyNumberFormat="1" applyFont="1" applyFill="1" applyBorder="1"/>
    <xf numFmtId="165" fontId="2" fillId="16" borderId="27" xfId="4" applyNumberFormat="1" applyFont="1" applyFill="1" applyBorder="1"/>
    <xf numFmtId="0" fontId="2" fillId="17" borderId="0" xfId="3" applyFont="1" applyFill="1" applyBorder="1"/>
    <xf numFmtId="0" fontId="0" fillId="17" borderId="0" xfId="3" applyFont="1" applyFill="1"/>
    <xf numFmtId="1" fontId="2" fillId="0" borderId="0" xfId="3" applyNumberFormat="1" applyFont="1" applyFill="1" applyBorder="1"/>
    <xf numFmtId="166" fontId="2" fillId="17" borderId="0" xfId="61" applyNumberFormat="1" applyFont="1" applyFill="1" applyBorder="1"/>
    <xf numFmtId="0" fontId="0" fillId="17" borderId="0" xfId="0" applyFill="1"/>
    <xf numFmtId="166" fontId="10" fillId="0" borderId="0" xfId="61" applyNumberFormat="1" applyFont="1" applyFill="1" applyBorder="1"/>
    <xf numFmtId="166" fontId="28" fillId="0" borderId="0" xfId="61" applyNumberFormat="1" applyFont="1" applyFill="1" applyBorder="1"/>
    <xf numFmtId="165" fontId="2" fillId="16" borderId="0" xfId="73" applyNumberFormat="1" applyFont="1" applyFill="1" applyBorder="1" applyAlignment="1">
      <alignment wrapText="1"/>
    </xf>
    <xf numFmtId="0" fontId="77" fillId="0" borderId="0" xfId="0" applyFont="1"/>
    <xf numFmtId="212" fontId="4" fillId="16" borderId="0" xfId="71" applyNumberFormat="1" applyFont="1" applyFill="1" applyBorder="1">
      <alignment wrapText="1"/>
    </xf>
    <xf numFmtId="212" fontId="2" fillId="16" borderId="27" xfId="71" applyNumberFormat="1" applyFont="1" applyFill="1" applyBorder="1">
      <alignment wrapText="1"/>
    </xf>
    <xf numFmtId="165" fontId="2" fillId="16" borderId="23" xfId="73" applyNumberFormat="1" applyFont="1" applyFill="1" applyBorder="1"/>
    <xf numFmtId="165" fontId="2" fillId="16" borderId="4" xfId="73" applyNumberFormat="1" applyFont="1" applyFill="1" applyBorder="1" applyAlignment="1">
      <alignment wrapText="1"/>
    </xf>
    <xf numFmtId="165" fontId="11" fillId="16" borderId="4" xfId="73" applyNumberFormat="1" applyFont="1" applyFill="1" applyBorder="1" applyAlignment="1">
      <alignment wrapText="1"/>
    </xf>
    <xf numFmtId="165" fontId="2" fillId="16" borderId="25" xfId="73" applyNumberFormat="1" applyFont="1" applyFill="1" applyBorder="1" applyAlignment="1">
      <alignment wrapText="1"/>
    </xf>
    <xf numFmtId="165" fontId="78" fillId="16" borderId="4" xfId="73" applyNumberFormat="1" applyFont="1" applyFill="1" applyBorder="1" applyAlignment="1">
      <alignment wrapText="1"/>
    </xf>
    <xf numFmtId="212" fontId="4" fillId="16" borderId="4" xfId="73" applyNumberFormat="1" applyFont="1" applyFill="1" applyBorder="1" applyAlignment="1">
      <alignment wrapText="1"/>
    </xf>
    <xf numFmtId="212" fontId="2" fillId="16" borderId="25" xfId="73" applyNumberFormat="1" applyFont="1" applyFill="1" applyBorder="1" applyAlignment="1">
      <alignment wrapText="1"/>
    </xf>
    <xf numFmtId="6" fontId="2" fillId="0" borderId="0" xfId="0" applyNumberFormat="1" applyFont="1"/>
    <xf numFmtId="0" fontId="78" fillId="0" borderId="0" xfId="0" applyFont="1"/>
    <xf numFmtId="166" fontId="4" fillId="16" borderId="0" xfId="74" applyNumberFormat="1" applyFont="1" applyFill="1" applyBorder="1" applyAlignment="1">
      <alignment wrapText="1"/>
    </xf>
    <xf numFmtId="166" fontId="2" fillId="16" borderId="27" xfId="74" applyNumberFormat="1" applyFont="1" applyFill="1" applyBorder="1" applyAlignment="1">
      <alignment wrapText="1"/>
    </xf>
    <xf numFmtId="164" fontId="10" fillId="0" borderId="0" xfId="73" applyNumberFormat="1" applyFont="1"/>
    <xf numFmtId="165" fontId="2" fillId="16" borderId="0" xfId="73" applyNumberFormat="1" applyFont="1" applyFill="1" applyBorder="1"/>
    <xf numFmtId="165" fontId="4" fillId="16" borderId="0" xfId="73" applyNumberFormat="1" applyFont="1" applyFill="1" applyBorder="1"/>
    <xf numFmtId="165" fontId="83" fillId="16" borderId="0" xfId="4" applyNumberFormat="1" applyFont="1" applyFill="1" applyBorder="1"/>
    <xf numFmtId="166" fontId="10" fillId="17" borderId="0" xfId="74" applyNumberFormat="1" applyFont="1" applyFill="1" applyBorder="1"/>
    <xf numFmtId="166" fontId="10" fillId="17" borderId="27" xfId="74" applyNumberFormat="1" applyFont="1" applyFill="1" applyBorder="1"/>
    <xf numFmtId="0" fontId="2" fillId="17" borderId="27" xfId="3" applyFont="1" applyFill="1" applyBorder="1"/>
    <xf numFmtId="165" fontId="2" fillId="17" borderId="0" xfId="3" applyNumberFormat="1" applyFont="1" applyFill="1" applyBorder="1"/>
    <xf numFmtId="165" fontId="2" fillId="17" borderId="27" xfId="3" applyNumberFormat="1" applyFont="1" applyFill="1" applyBorder="1"/>
    <xf numFmtId="165" fontId="2" fillId="17" borderId="3" xfId="3" applyNumberFormat="1" applyFont="1" applyFill="1" applyBorder="1"/>
    <xf numFmtId="165" fontId="17" fillId="17" borderId="27" xfId="3" applyNumberFormat="1" applyFont="1" applyFill="1" applyBorder="1"/>
    <xf numFmtId="0" fontId="10" fillId="17" borderId="27" xfId="3" applyFont="1" applyFill="1" applyBorder="1"/>
    <xf numFmtId="165" fontId="10" fillId="17" borderId="0" xfId="3" applyNumberFormat="1" applyFont="1" applyFill="1" applyBorder="1"/>
    <xf numFmtId="165" fontId="10" fillId="17" borderId="27" xfId="3" applyNumberFormat="1" applyFont="1" applyFill="1" applyBorder="1"/>
    <xf numFmtId="165" fontId="10" fillId="17" borderId="5" xfId="3" applyNumberFormat="1" applyFont="1" applyFill="1" applyBorder="1"/>
    <xf numFmtId="166" fontId="22" fillId="17" borderId="0" xfId="61" applyNumberFormat="1" applyFont="1" applyFill="1" applyBorder="1"/>
    <xf numFmtId="165" fontId="2" fillId="17" borderId="3" xfId="37" applyNumberFormat="1" applyFont="1" applyFill="1" applyBorder="1"/>
    <xf numFmtId="165" fontId="10" fillId="17" borderId="0" xfId="37" applyNumberFormat="1" applyFont="1" applyFill="1" applyBorder="1"/>
    <xf numFmtId="0" fontId="2" fillId="17" borderId="3" xfId="3" applyFont="1" applyFill="1" applyBorder="1"/>
    <xf numFmtId="0" fontId="2" fillId="17" borderId="0" xfId="4" applyFont="1" applyFill="1" applyBorder="1"/>
    <xf numFmtId="0" fontId="2" fillId="17" borderId="27" xfId="4" applyFont="1" applyFill="1" applyBorder="1"/>
    <xf numFmtId="165" fontId="2" fillId="17" borderId="0" xfId="4" applyNumberFormat="1" applyFont="1" applyFill="1" applyBorder="1"/>
    <xf numFmtId="165" fontId="2" fillId="17" borderId="27" xfId="4" applyNumberFormat="1" applyFont="1" applyFill="1" applyBorder="1"/>
    <xf numFmtId="0" fontId="2" fillId="17" borderId="0" xfId="4" applyFont="1" applyFill="1"/>
    <xf numFmtId="170" fontId="10" fillId="17" borderId="27" xfId="4" applyNumberFormat="1" applyFont="1" applyFill="1" applyBorder="1"/>
    <xf numFmtId="170" fontId="2" fillId="17" borderId="0" xfId="4" applyNumberFormat="1" applyFont="1" applyFill="1" applyBorder="1"/>
    <xf numFmtId="170" fontId="10" fillId="17" borderId="0" xfId="4" applyNumberFormat="1" applyFont="1" applyFill="1" applyBorder="1"/>
    <xf numFmtId="166" fontId="2" fillId="17" borderId="5" xfId="62" applyNumberFormat="1" applyFont="1" applyFill="1" applyBorder="1"/>
    <xf numFmtId="165" fontId="10" fillId="17" borderId="0" xfId="38" applyNumberFormat="1" applyFont="1" applyFill="1" applyBorder="1"/>
    <xf numFmtId="0" fontId="2" fillId="17" borderId="5" xfId="4" applyFont="1" applyFill="1" applyBorder="1"/>
    <xf numFmtId="166" fontId="78" fillId="17" borderId="0" xfId="62" applyNumberFormat="1" applyFont="1" applyFill="1" applyBorder="1"/>
    <xf numFmtId="166" fontId="4" fillId="17" borderId="0" xfId="74" applyNumberFormat="1" applyFont="1" applyFill="1" applyBorder="1"/>
    <xf numFmtId="166" fontId="2" fillId="17" borderId="0" xfId="74" applyNumberFormat="1" applyFont="1" applyFill="1" applyBorder="1"/>
    <xf numFmtId="165" fontId="2" fillId="17" borderId="0" xfId="73" applyNumberFormat="1" applyFont="1" applyFill="1" applyBorder="1"/>
    <xf numFmtId="165" fontId="22" fillId="17" borderId="0" xfId="3" applyNumberFormat="1" applyFont="1" applyFill="1" applyBorder="1"/>
    <xf numFmtId="165" fontId="11" fillId="17" borderId="0" xfId="37" applyNumberFormat="1" applyFont="1" applyFill="1" applyBorder="1"/>
    <xf numFmtId="165" fontId="22" fillId="17" borderId="0" xfId="37" applyNumberFormat="1" applyFont="1" applyFill="1" applyBorder="1"/>
    <xf numFmtId="165" fontId="22" fillId="17" borderId="27" xfId="37" applyNumberFormat="1" applyFont="1" applyFill="1" applyBorder="1"/>
    <xf numFmtId="165" fontId="2" fillId="17" borderId="27" xfId="3" applyNumberFormat="1" applyFont="1" applyFill="1" applyBorder="1" applyAlignment="1">
      <alignment horizontal="center"/>
    </xf>
    <xf numFmtId="166" fontId="2" fillId="17" borderId="0" xfId="61" applyNumberFormat="1" applyFont="1" applyFill="1" applyBorder="1" applyAlignment="1">
      <alignment horizontal="right"/>
    </xf>
    <xf numFmtId="165" fontId="2" fillId="17" borderId="27" xfId="37" applyNumberFormat="1" applyFont="1" applyFill="1" applyBorder="1" applyAlignment="1">
      <alignment horizontal="center"/>
    </xf>
    <xf numFmtId="0" fontId="2" fillId="17" borderId="10" xfId="3" applyFont="1" applyFill="1" applyBorder="1"/>
    <xf numFmtId="165" fontId="2" fillId="17" borderId="27" xfId="37" applyNumberFormat="1" applyFont="1" applyFill="1" applyBorder="1" applyAlignment="1">
      <alignment horizontal="right"/>
    </xf>
    <xf numFmtId="166" fontId="2" fillId="17" borderId="0" xfId="74" applyNumberFormat="1" applyFont="1" applyFill="1" applyBorder="1" applyAlignment="1">
      <alignment horizontal="right"/>
    </xf>
    <xf numFmtId="0" fontId="2" fillId="16" borderId="0" xfId="53" applyFont="1" applyFill="1" applyBorder="1" applyAlignment="1">
      <alignment horizontal="right"/>
    </xf>
    <xf numFmtId="3" fontId="2" fillId="16" borderId="0" xfId="53" applyNumberFormat="1" applyFont="1" applyFill="1" applyBorder="1" applyAlignment="1">
      <alignment horizontal="right"/>
    </xf>
    <xf numFmtId="37" fontId="2" fillId="16" borderId="0" xfId="53" applyNumberFormat="1" applyFont="1" applyFill="1" applyBorder="1" applyAlignment="1">
      <alignment horizontal="right"/>
    </xf>
    <xf numFmtId="0" fontId="10" fillId="16" borderId="82" xfId="4" applyFont="1" applyFill="1" applyBorder="1"/>
    <xf numFmtId="0" fontId="2" fillId="16" borderId="83" xfId="4" applyFont="1" applyFill="1" applyBorder="1"/>
    <xf numFmtId="0" fontId="4" fillId="16" borderId="83" xfId="4" applyFont="1" applyFill="1" applyBorder="1"/>
    <xf numFmtId="0" fontId="78" fillId="16" borderId="83" xfId="4" applyFont="1" applyFill="1" applyBorder="1"/>
    <xf numFmtId="0" fontId="2" fillId="16" borderId="84" xfId="4" applyFont="1" applyFill="1" applyBorder="1"/>
    <xf numFmtId="0" fontId="83" fillId="16" borderId="0" xfId="4" applyFont="1" applyFill="1" applyBorder="1"/>
    <xf numFmtId="0" fontId="10" fillId="16" borderId="85" xfId="4" applyFont="1" applyFill="1" applyBorder="1"/>
    <xf numFmtId="0" fontId="10" fillId="16" borderId="86" xfId="4" applyFont="1" applyFill="1" applyBorder="1"/>
    <xf numFmtId="0" fontId="16" fillId="16" borderId="86" xfId="4" applyFont="1" applyFill="1" applyBorder="1"/>
    <xf numFmtId="43" fontId="10" fillId="16" borderId="86" xfId="4" applyNumberFormat="1" applyFont="1" applyFill="1" applyBorder="1"/>
    <xf numFmtId="43" fontId="85" fillId="16" borderId="86" xfId="4" applyNumberFormat="1" applyFont="1" applyFill="1" applyBorder="1"/>
    <xf numFmtId="0" fontId="2" fillId="16" borderId="87" xfId="4" applyFont="1" applyFill="1" applyBorder="1"/>
    <xf numFmtId="165" fontId="83" fillId="16" borderId="27" xfId="4" applyNumberFormat="1" applyFont="1" applyFill="1" applyBorder="1"/>
    <xf numFmtId="0" fontId="83" fillId="16" borderId="27" xfId="4" applyFont="1" applyFill="1" applyBorder="1"/>
    <xf numFmtId="43" fontId="85" fillId="16" borderId="88" xfId="4" applyNumberFormat="1" applyFont="1" applyFill="1" applyBorder="1"/>
    <xf numFmtId="43" fontId="10" fillId="16" borderId="88" xfId="4" applyNumberFormat="1" applyFont="1" applyFill="1" applyBorder="1"/>
    <xf numFmtId="0" fontId="10" fillId="16" borderId="88" xfId="4" applyFont="1" applyFill="1" applyBorder="1"/>
    <xf numFmtId="165" fontId="22" fillId="16" borderId="0" xfId="37" applyNumberFormat="1" applyFont="1" applyFill="1" applyBorder="1"/>
    <xf numFmtId="165" fontId="22" fillId="16" borderId="0" xfId="3" applyNumberFormat="1" applyFont="1" applyFill="1"/>
    <xf numFmtId="37" fontId="22" fillId="16" borderId="27" xfId="3" applyNumberFormat="1" applyFont="1" applyFill="1" applyBorder="1" applyAlignment="1">
      <alignment horizontal="center"/>
    </xf>
    <xf numFmtId="166" fontId="83" fillId="16" borderId="0" xfId="61" applyNumberFormat="1" applyFont="1" applyFill="1" applyBorder="1"/>
    <xf numFmtId="165" fontId="2" fillId="17" borderId="44" xfId="4" applyNumberFormat="1" applyFont="1" applyFill="1" applyBorder="1"/>
    <xf numFmtId="0" fontId="78" fillId="16" borderId="42" xfId="3" applyFont="1" applyFill="1" applyBorder="1"/>
    <xf numFmtId="165" fontId="78" fillId="16" borderId="0" xfId="37" applyNumberFormat="1" applyFont="1" applyFill="1" applyBorder="1" applyAlignment="1">
      <alignment horizontal="center"/>
    </xf>
    <xf numFmtId="165" fontId="78" fillId="16" borderId="44" xfId="3" applyNumberFormat="1" applyFont="1" applyFill="1" applyBorder="1"/>
    <xf numFmtId="165" fontId="78" fillId="16" borderId="64" xfId="37" applyNumberFormat="1" applyFont="1" applyFill="1" applyBorder="1"/>
    <xf numFmtId="0" fontId="78" fillId="16" borderId="0" xfId="3" applyFont="1" applyFill="1"/>
    <xf numFmtId="0" fontId="78" fillId="0" borderId="0" xfId="3" applyFont="1" applyFill="1" applyBorder="1"/>
    <xf numFmtId="165" fontId="84" fillId="16" borderId="0" xfId="37" applyNumberFormat="1" applyFont="1" applyFill="1" applyBorder="1" applyAlignment="1">
      <alignment horizontal="center"/>
    </xf>
    <xf numFmtId="0" fontId="78" fillId="17" borderId="42" xfId="3" applyFont="1" applyFill="1" applyBorder="1"/>
    <xf numFmtId="165" fontId="84" fillId="17" borderId="0" xfId="37" applyNumberFormat="1" applyFont="1" applyFill="1" applyBorder="1" applyAlignment="1">
      <alignment horizontal="center"/>
    </xf>
    <xf numFmtId="165" fontId="84" fillId="17" borderId="44" xfId="3" applyNumberFormat="1" applyFont="1" applyFill="1" applyBorder="1"/>
    <xf numFmtId="0" fontId="78" fillId="17" borderId="0" xfId="3" applyFont="1" applyFill="1"/>
    <xf numFmtId="0" fontId="78" fillId="17" borderId="0" xfId="3" applyFont="1" applyFill="1" applyBorder="1"/>
    <xf numFmtId="0" fontId="77" fillId="16" borderId="42" xfId="3" applyFont="1" applyFill="1" applyBorder="1"/>
    <xf numFmtId="165" fontId="77" fillId="16" borderId="0" xfId="3" applyNumberFormat="1" applyFont="1" applyFill="1" applyBorder="1"/>
    <xf numFmtId="0" fontId="77" fillId="16" borderId="3" xfId="3" applyFont="1" applyFill="1" applyBorder="1"/>
    <xf numFmtId="165" fontId="77" fillId="16" borderId="0" xfId="3" applyNumberFormat="1" applyFont="1" applyFill="1" applyBorder="1" applyAlignment="1">
      <alignment horizontal="center"/>
    </xf>
    <xf numFmtId="165" fontId="84" fillId="16" borderId="0" xfId="37" applyNumberFormat="1" applyFont="1" applyFill="1" applyBorder="1"/>
    <xf numFmtId="165" fontId="84" fillId="16" borderId="44" xfId="3" applyNumberFormat="1" applyFont="1" applyFill="1" applyBorder="1"/>
    <xf numFmtId="166" fontId="2" fillId="17" borderId="27" xfId="74" applyNumberFormat="1" applyFont="1" applyFill="1" applyBorder="1"/>
    <xf numFmtId="0" fontId="0" fillId="17" borderId="0" xfId="4" applyFont="1" applyFill="1" applyBorder="1"/>
    <xf numFmtId="165" fontId="10" fillId="17" borderId="0" xfId="73" applyNumberFormat="1" applyFont="1" applyFill="1"/>
    <xf numFmtId="166" fontId="22" fillId="17" borderId="27" xfId="74" applyNumberFormat="1" applyFont="1" applyFill="1" applyBorder="1"/>
    <xf numFmtId="9" fontId="2" fillId="17" borderId="0" xfId="74" applyFont="1" applyFill="1" applyBorder="1"/>
    <xf numFmtId="166" fontId="22" fillId="17" borderId="0" xfId="74" applyNumberFormat="1" applyFont="1" applyFill="1" applyBorder="1"/>
    <xf numFmtId="166" fontId="2" fillId="16" borderId="88" xfId="61" applyNumberFormat="1" applyFont="1" applyFill="1" applyBorder="1"/>
    <xf numFmtId="165" fontId="10" fillId="16" borderId="88" xfId="57" applyNumberFormat="1" applyFont="1" applyFill="1" applyBorder="1">
      <alignment wrapText="1"/>
    </xf>
    <xf numFmtId="181" fontId="2" fillId="16" borderId="26" xfId="57" applyNumberFormat="1" applyFont="1" applyFill="1" applyBorder="1">
      <alignment wrapText="1"/>
    </xf>
    <xf numFmtId="181" fontId="2" fillId="16" borderId="27" xfId="57" applyNumberFormat="1" applyFont="1" applyFill="1" applyBorder="1">
      <alignment wrapText="1"/>
    </xf>
    <xf numFmtId="0" fontId="2" fillId="16" borderId="88" xfId="57" applyFont="1" applyFill="1" applyBorder="1">
      <alignment wrapText="1"/>
    </xf>
    <xf numFmtId="176" fontId="2" fillId="16" borderId="27" xfId="57" applyNumberFormat="1" applyFont="1" applyFill="1" applyBorder="1">
      <alignment wrapText="1"/>
    </xf>
    <xf numFmtId="165" fontId="22" fillId="16" borderId="27" xfId="37" applyNumberFormat="1" applyFont="1" applyFill="1" applyBorder="1"/>
    <xf numFmtId="170" fontId="10" fillId="16" borderId="27" xfId="3" applyNumberFormat="1" applyFont="1" applyFill="1" applyBorder="1" applyAlignment="1"/>
    <xf numFmtId="170" fontId="10" fillId="16" borderId="0" xfId="3" applyNumberFormat="1" applyFont="1" applyFill="1" applyBorder="1" applyAlignment="1"/>
    <xf numFmtId="170" fontId="71" fillId="16" borderId="0" xfId="3" applyNumberFormat="1" applyFont="1" applyFill="1" applyBorder="1" applyAlignment="1"/>
    <xf numFmtId="170" fontId="16" fillId="16" borderId="0" xfId="3" applyNumberFormat="1" applyFont="1" applyFill="1" applyBorder="1" applyAlignment="1"/>
    <xf numFmtId="170" fontId="16" fillId="16" borderId="27" xfId="3" applyNumberFormat="1" applyFont="1" applyFill="1" applyBorder="1" applyAlignment="1"/>
    <xf numFmtId="165" fontId="2" fillId="16" borderId="27" xfId="3" applyNumberFormat="1" applyFont="1" applyFill="1" applyBorder="1" applyAlignment="1"/>
    <xf numFmtId="165" fontId="2" fillId="16" borderId="0" xfId="3" applyNumberFormat="1" applyFont="1" applyFill="1" applyBorder="1" applyAlignment="1"/>
    <xf numFmtId="165" fontId="70" fillId="16" borderId="0" xfId="3" applyNumberFormat="1" applyFont="1" applyFill="1" applyBorder="1" applyAlignment="1"/>
    <xf numFmtId="165" fontId="4" fillId="16" borderId="0" xfId="3" applyNumberFormat="1" applyFont="1" applyFill="1" applyBorder="1" applyAlignment="1"/>
    <xf numFmtId="165" fontId="4" fillId="16" borderId="27" xfId="3" applyNumberFormat="1" applyFont="1" applyFill="1" applyBorder="1" applyAlignment="1"/>
    <xf numFmtId="5" fontId="10" fillId="16" borderId="25" xfId="3" applyNumberFormat="1" applyFont="1" applyFill="1" applyBorder="1" applyAlignment="1"/>
    <xf numFmtId="170" fontId="10" fillId="16" borderId="23" xfId="3" applyNumberFormat="1" applyFont="1" applyFill="1" applyBorder="1" applyAlignment="1"/>
    <xf numFmtId="170" fontId="10" fillId="16" borderId="4" xfId="3" applyNumberFormat="1" applyFont="1" applyFill="1" applyBorder="1" applyAlignment="1"/>
    <xf numFmtId="170" fontId="71" fillId="16" borderId="4" xfId="3" applyNumberFormat="1" applyFont="1" applyFill="1" applyBorder="1" applyAlignment="1"/>
    <xf numFmtId="5" fontId="16" fillId="16" borderId="25" xfId="3" applyNumberFormat="1" applyFont="1" applyFill="1" applyBorder="1" applyAlignment="1"/>
    <xf numFmtId="9" fontId="2" fillId="16" borderId="0" xfId="3" applyNumberFormat="1" applyFont="1" applyFill="1" applyBorder="1" applyAlignment="1">
      <alignment horizontal="center"/>
    </xf>
    <xf numFmtId="5" fontId="2" fillId="16" borderId="0" xfId="3" applyNumberFormat="1" applyFont="1" applyFill="1" applyBorder="1" applyAlignment="1">
      <alignment horizontal="center"/>
    </xf>
    <xf numFmtId="166" fontId="0" fillId="16" borderId="0" xfId="61" applyNumberFormat="1" applyFont="1" applyFill="1"/>
    <xf numFmtId="165" fontId="0" fillId="16" borderId="0" xfId="37" applyNumberFormat="1" applyFont="1" applyFill="1"/>
    <xf numFmtId="43" fontId="0" fillId="16" borderId="0" xfId="3" applyNumberFormat="1" applyFont="1" applyFill="1"/>
    <xf numFmtId="0" fontId="10" fillId="8" borderId="91" xfId="3" applyFont="1" applyFill="1" applyBorder="1"/>
    <xf numFmtId="0" fontId="2" fillId="8" borderId="93" xfId="3" applyFont="1" applyFill="1" applyBorder="1"/>
    <xf numFmtId="0" fontId="2" fillId="8" borderId="94" xfId="3" applyFont="1" applyFill="1" applyBorder="1"/>
    <xf numFmtId="0" fontId="2" fillId="16" borderId="92" xfId="3" applyFont="1" applyFill="1" applyBorder="1"/>
    <xf numFmtId="0" fontId="0" fillId="0" borderId="0" xfId="0"/>
    <xf numFmtId="212" fontId="2" fillId="16" borderId="0" xfId="71" applyNumberFormat="1" applyFont="1" applyFill="1" applyBorder="1">
      <alignment wrapText="1"/>
    </xf>
    <xf numFmtId="166" fontId="10" fillId="17" borderId="0" xfId="61" applyNumberFormat="1" applyFont="1" applyFill="1" applyBorder="1"/>
    <xf numFmtId="0" fontId="28" fillId="0" borderId="0" xfId="4" applyFont="1" applyFill="1" applyBorder="1"/>
    <xf numFmtId="166" fontId="10" fillId="16" borderId="87" xfId="61" applyNumberFormat="1" applyFont="1" applyFill="1" applyBorder="1"/>
    <xf numFmtId="0" fontId="0" fillId="0" borderId="0" xfId="0"/>
    <xf numFmtId="0" fontId="2" fillId="8" borderId="45" xfId="3" applyFont="1" applyFill="1" applyBorder="1"/>
    <xf numFmtId="205" fontId="2" fillId="16" borderId="44" xfId="3" applyNumberFormat="1" applyFont="1" applyFill="1" applyBorder="1"/>
    <xf numFmtId="165" fontId="16" fillId="16" borderId="87" xfId="3" applyNumberFormat="1" applyFont="1" applyFill="1" applyBorder="1" applyAlignment="1">
      <alignment horizontal="center"/>
    </xf>
    <xf numFmtId="165" fontId="16" fillId="16" borderId="3" xfId="3" applyNumberFormat="1" applyFont="1" applyFill="1" applyBorder="1"/>
    <xf numFmtId="165" fontId="2" fillId="16" borderId="88" xfId="3" applyNumberFormat="1" applyFont="1" applyFill="1" applyBorder="1"/>
    <xf numFmtId="5" fontId="22" fillId="16" borderId="0" xfId="3" applyNumberFormat="1" applyFont="1" applyFill="1" applyBorder="1"/>
    <xf numFmtId="165" fontId="22" fillId="16" borderId="87" xfId="3" applyNumberFormat="1" applyFont="1" applyFill="1" applyBorder="1"/>
    <xf numFmtId="165" fontId="22" fillId="16" borderId="83" xfId="3" applyNumberFormat="1" applyFont="1" applyFill="1" applyBorder="1"/>
    <xf numFmtId="165" fontId="22" fillId="16" borderId="87" xfId="3" applyNumberFormat="1" applyFont="1" applyFill="1" applyBorder="1" applyAlignment="1">
      <alignment horizontal="center"/>
    </xf>
    <xf numFmtId="165" fontId="27" fillId="16" borderId="0" xfId="3" applyNumberFormat="1" applyFont="1" applyFill="1" applyBorder="1"/>
    <xf numFmtId="165" fontId="25" fillId="16" borderId="0" xfId="3" applyNumberFormat="1" applyFont="1" applyFill="1" applyBorder="1"/>
    <xf numFmtId="9" fontId="25" fillId="16" borderId="87" xfId="61" applyNumberFormat="1" applyFont="1" applyFill="1" applyBorder="1" applyAlignment="1">
      <alignment horizontal="center"/>
    </xf>
    <xf numFmtId="9" fontId="25" fillId="16" borderId="83" xfId="61" applyNumberFormat="1" applyFont="1" applyFill="1" applyBorder="1" applyAlignment="1">
      <alignment horizontal="center"/>
    </xf>
    <xf numFmtId="9" fontId="22" fillId="17" borderId="0" xfId="74" applyNumberFormat="1" applyFont="1" applyFill="1" applyBorder="1"/>
    <xf numFmtId="9" fontId="22" fillId="17" borderId="27" xfId="74" applyNumberFormat="1" applyFont="1" applyFill="1" applyBorder="1"/>
    <xf numFmtId="0" fontId="37" fillId="8" borderId="91" xfId="3" applyFont="1" applyFill="1" applyBorder="1"/>
    <xf numFmtId="0" fontId="45" fillId="8" borderId="93" xfId="3" applyFont="1" applyFill="1" applyBorder="1" applyAlignment="1">
      <alignment horizontal="center"/>
    </xf>
    <xf numFmtId="0" fontId="46" fillId="8" borderId="93" xfId="3" applyFont="1" applyFill="1" applyBorder="1" applyAlignment="1">
      <alignment horizontal="center"/>
    </xf>
    <xf numFmtId="0" fontId="45" fillId="8" borderId="94" xfId="3" applyFont="1" applyFill="1" applyBorder="1" applyAlignment="1">
      <alignment horizontal="center"/>
    </xf>
    <xf numFmtId="0" fontId="14" fillId="16" borderId="98" xfId="3" applyFont="1" applyFill="1" applyBorder="1"/>
    <xf numFmtId="0" fontId="10" fillId="16" borderId="93" xfId="3" applyFont="1" applyFill="1" applyBorder="1" applyAlignment="1">
      <alignment horizontal="center"/>
    </xf>
    <xf numFmtId="0" fontId="13" fillId="16" borderId="93" xfId="3" applyFont="1" applyFill="1" applyBorder="1" applyAlignment="1">
      <alignment horizontal="center"/>
    </xf>
    <xf numFmtId="0" fontId="13" fillId="16" borderId="99" xfId="3" applyFont="1" applyFill="1" applyBorder="1" applyAlignment="1">
      <alignment horizontal="center"/>
    </xf>
    <xf numFmtId="0" fontId="78" fillId="16" borderId="3" xfId="3" applyFont="1" applyFill="1" applyBorder="1"/>
    <xf numFmtId="166" fontId="78" fillId="16" borderId="5" xfId="61" applyNumberFormat="1" applyFont="1" applyFill="1" applyBorder="1" applyAlignment="1">
      <alignment horizontal="center"/>
    </xf>
    <xf numFmtId="0" fontId="78" fillId="17" borderId="3" xfId="3" applyFont="1" applyFill="1" applyBorder="1"/>
    <xf numFmtId="166" fontId="78" fillId="17" borderId="5" xfId="61" applyNumberFormat="1" applyFont="1" applyFill="1" applyBorder="1" applyAlignment="1">
      <alignment horizontal="center"/>
    </xf>
    <xf numFmtId="37" fontId="9" fillId="16" borderId="0" xfId="3" applyNumberFormat="1" applyFont="1" applyFill="1" applyBorder="1" applyAlignment="1">
      <alignment horizontal="center"/>
    </xf>
    <xf numFmtId="37" fontId="50" fillId="16" borderId="0" xfId="3" applyNumberFormat="1" applyFont="1" applyFill="1" applyBorder="1" applyAlignment="1">
      <alignment horizontal="center"/>
    </xf>
    <xf numFmtId="37" fontId="41" fillId="16" borderId="0" xfId="3" applyNumberFormat="1" applyFont="1" applyFill="1" applyBorder="1" applyAlignment="1">
      <alignment horizontal="center"/>
    </xf>
    <xf numFmtId="37" fontId="10" fillId="16" borderId="0" xfId="3" applyNumberFormat="1" applyFont="1" applyFill="1" applyBorder="1" applyAlignment="1">
      <alignment horizontal="center"/>
    </xf>
    <xf numFmtId="37" fontId="22" fillId="16" borderId="0" xfId="3" applyNumberFormat="1" applyFont="1" applyFill="1" applyBorder="1" applyAlignment="1">
      <alignment horizontal="center"/>
    </xf>
    <xf numFmtId="0" fontId="2" fillId="16" borderId="91" xfId="3" applyFont="1" applyFill="1" applyBorder="1"/>
    <xf numFmtId="1" fontId="2" fillId="16" borderId="93" xfId="3" applyNumberFormat="1" applyFont="1" applyFill="1" applyBorder="1" applyAlignment="1">
      <alignment horizontal="center"/>
    </xf>
    <xf numFmtId="166" fontId="2" fillId="16" borderId="94" xfId="61" applyNumberFormat="1" applyFont="1" applyFill="1" applyBorder="1" applyAlignment="1">
      <alignment horizontal="center"/>
    </xf>
    <xf numFmtId="0" fontId="10" fillId="8" borderId="95" xfId="3" applyFont="1" applyFill="1" applyBorder="1"/>
    <xf numFmtId="166" fontId="2" fillId="8" borderId="90" xfId="3" applyNumberFormat="1" applyFont="1" applyFill="1" applyBorder="1" applyAlignment="1">
      <alignment horizontal="center"/>
    </xf>
    <xf numFmtId="0" fontId="2" fillId="8" borderId="88" xfId="3" applyFont="1" applyFill="1" applyBorder="1" applyAlignment="1">
      <alignment horizontal="center"/>
    </xf>
    <xf numFmtId="0" fontId="2" fillId="8" borderId="89" xfId="3" applyFont="1" applyFill="1" applyBorder="1" applyAlignment="1">
      <alignment horizontal="center"/>
    </xf>
    <xf numFmtId="208" fontId="2" fillId="16" borderId="5" xfId="3" applyNumberFormat="1" applyFont="1" applyFill="1" applyBorder="1" applyAlignment="1">
      <alignment horizontal="center"/>
    </xf>
    <xf numFmtId="208" fontId="10" fillId="16" borderId="5" xfId="3" applyNumberFormat="1" applyFont="1" applyFill="1" applyBorder="1" applyAlignment="1">
      <alignment horizontal="center"/>
    </xf>
    <xf numFmtId="208" fontId="2" fillId="16" borderId="78" xfId="3" applyNumberFormat="1" applyFont="1" applyFill="1" applyBorder="1" applyAlignment="1">
      <alignment horizontal="center"/>
    </xf>
    <xf numFmtId="0" fontId="2" fillId="8" borderId="90" xfId="3" applyFont="1" applyFill="1" applyBorder="1" applyAlignment="1">
      <alignment horizontal="center"/>
    </xf>
    <xf numFmtId="0" fontId="10" fillId="16" borderId="92" xfId="3" applyFont="1" applyFill="1" applyBorder="1"/>
    <xf numFmtId="166" fontId="10" fillId="16" borderId="83" xfId="61" applyNumberFormat="1" applyFont="1" applyFill="1" applyBorder="1" applyAlignment="1">
      <alignment horizontal="center"/>
    </xf>
    <xf numFmtId="166" fontId="10" fillId="16" borderId="87" xfId="61" applyNumberFormat="1" applyFont="1" applyFill="1" applyBorder="1" applyAlignment="1">
      <alignment horizontal="center"/>
    </xf>
    <xf numFmtId="166" fontId="10" fillId="16" borderId="97" xfId="61" applyNumberFormat="1" applyFont="1" applyFill="1" applyBorder="1" applyAlignment="1">
      <alignment horizontal="center"/>
    </xf>
    <xf numFmtId="0" fontId="2" fillId="8" borderId="93" xfId="3" applyFont="1" applyFill="1" applyBorder="1" applyAlignment="1">
      <alignment horizontal="center"/>
    </xf>
    <xf numFmtId="0" fontId="2" fillId="8" borderId="100" xfId="3" applyFont="1" applyFill="1" applyBorder="1" applyAlignment="1">
      <alignment horizontal="center"/>
    </xf>
    <xf numFmtId="0" fontId="2" fillId="8" borderId="94" xfId="3" applyFont="1" applyFill="1" applyBorder="1" applyAlignment="1">
      <alignment horizontal="center"/>
    </xf>
    <xf numFmtId="208" fontId="2" fillId="16" borderId="5" xfId="61" applyNumberFormat="1" applyFont="1" applyFill="1" applyBorder="1" applyAlignment="1">
      <alignment horizontal="center"/>
    </xf>
    <xf numFmtId="165" fontId="78" fillId="16" borderId="27" xfId="3" applyNumberFormat="1" applyFont="1" applyFill="1" applyBorder="1" applyAlignment="1">
      <alignment horizontal="center"/>
    </xf>
    <xf numFmtId="165" fontId="78" fillId="17" borderId="27" xfId="3" applyNumberFormat="1" applyFont="1" applyFill="1" applyBorder="1" applyAlignment="1">
      <alignment horizontal="center"/>
    </xf>
    <xf numFmtId="7" fontId="10" fillId="16" borderId="87" xfId="39" applyNumberFormat="1" applyFont="1" applyFill="1" applyBorder="1" applyAlignment="1">
      <alignment horizontal="center"/>
    </xf>
    <xf numFmtId="7" fontId="10" fillId="16" borderId="88" xfId="39" applyNumberFormat="1" applyFont="1" applyFill="1" applyBorder="1" applyAlignment="1">
      <alignment horizontal="center"/>
    </xf>
    <xf numFmtId="0" fontId="10" fillId="0" borderId="42" xfId="3" applyFont="1" applyFill="1" applyBorder="1"/>
    <xf numFmtId="166" fontId="10" fillId="0" borderId="44" xfId="61" applyNumberFormat="1" applyFont="1" applyFill="1" applyBorder="1"/>
    <xf numFmtId="166" fontId="10" fillId="0" borderId="96" xfId="61" applyNumberFormat="1" applyFont="1" applyFill="1" applyBorder="1"/>
    <xf numFmtId="0" fontId="10" fillId="0" borderId="0" xfId="3" applyFont="1" applyFill="1"/>
    <xf numFmtId="166" fontId="10" fillId="0" borderId="0" xfId="61" applyNumberFormat="1" applyFont="1" applyFill="1" applyBorder="1" applyAlignment="1">
      <alignment horizontal="center"/>
    </xf>
    <xf numFmtId="166" fontId="10" fillId="0" borderId="27" xfId="61" applyNumberFormat="1" applyFont="1" applyFill="1" applyBorder="1" applyAlignment="1">
      <alignment horizontal="center"/>
    </xf>
    <xf numFmtId="166" fontId="10" fillId="0" borderId="5" xfId="61" applyNumberFormat="1" applyFont="1" applyFill="1" applyBorder="1" applyAlignment="1">
      <alignment horizontal="center"/>
    </xf>
    <xf numFmtId="165" fontId="2" fillId="16" borderId="96" xfId="37" applyNumberFormat="1" applyFont="1" applyFill="1" applyBorder="1" applyAlignment="1">
      <alignment horizontal="center"/>
    </xf>
    <xf numFmtId="170" fontId="2" fillId="17" borderId="0" xfId="3" applyNumberFormat="1" applyFont="1" applyFill="1" applyBorder="1"/>
    <xf numFmtId="0" fontId="10" fillId="0" borderId="84" xfId="3" applyFont="1" applyFill="1" applyBorder="1"/>
    <xf numFmtId="0" fontId="0" fillId="0" borderId="0" xfId="0"/>
    <xf numFmtId="165" fontId="4" fillId="16" borderId="96" xfId="37" applyNumberFormat="1" applyFont="1" applyFill="1" applyBorder="1" applyAlignment="1">
      <alignment wrapText="1"/>
    </xf>
    <xf numFmtId="43" fontId="2" fillId="16" borderId="2" xfId="3" applyNumberFormat="1" applyFont="1" applyFill="1" applyBorder="1"/>
    <xf numFmtId="0" fontId="0" fillId="0" borderId="0" xfId="0"/>
    <xf numFmtId="0" fontId="2" fillId="20" borderId="3" xfId="3" applyFont="1" applyFill="1" applyBorder="1"/>
    <xf numFmtId="0" fontId="2" fillId="20" borderId="0" xfId="3" applyFont="1" applyFill="1" applyBorder="1"/>
    <xf numFmtId="0" fontId="2" fillId="20" borderId="0" xfId="3" applyFont="1" applyFill="1" applyBorder="1" applyAlignment="1"/>
    <xf numFmtId="0" fontId="11" fillId="20" borderId="0" xfId="3" applyFont="1" applyFill="1" applyBorder="1"/>
    <xf numFmtId="0" fontId="2" fillId="20" borderId="0" xfId="55" applyFont="1" applyFill="1"/>
    <xf numFmtId="0" fontId="0" fillId="0" borderId="0" xfId="0"/>
    <xf numFmtId="9" fontId="0" fillId="0" borderId="0" xfId="74" applyFont="1"/>
    <xf numFmtId="177" fontId="49" fillId="0" borderId="0" xfId="73" applyNumberFormat="1" applyFont="1"/>
    <xf numFmtId="165" fontId="10" fillId="16" borderId="94" xfId="37" applyNumberFormat="1" applyFont="1" applyFill="1" applyBorder="1"/>
    <xf numFmtId="7" fontId="77" fillId="16" borderId="0" xfId="39" applyNumberFormat="1" applyFont="1" applyFill="1" applyBorder="1"/>
    <xf numFmtId="166" fontId="78" fillId="16" borderId="0" xfId="61" applyNumberFormat="1" applyFont="1" applyFill="1" applyBorder="1"/>
    <xf numFmtId="0" fontId="75" fillId="16" borderId="0" xfId="3" applyFont="1" applyFill="1"/>
    <xf numFmtId="165" fontId="2" fillId="18" borderId="0" xfId="3" applyNumberFormat="1" applyFont="1" applyFill="1"/>
    <xf numFmtId="0" fontId="2" fillId="16" borderId="101" xfId="3" applyFont="1" applyFill="1" applyBorder="1"/>
    <xf numFmtId="170" fontId="2" fillId="17" borderId="27" xfId="37" applyNumberFormat="1" applyFont="1" applyFill="1" applyBorder="1" applyAlignment="1">
      <alignment horizontal="center"/>
    </xf>
    <xf numFmtId="9" fontId="2" fillId="17" borderId="27" xfId="61" applyFont="1" applyFill="1" applyBorder="1" applyAlignment="1">
      <alignment horizontal="center"/>
    </xf>
    <xf numFmtId="165" fontId="4" fillId="17" borderId="0" xfId="37" applyNumberFormat="1" applyFont="1" applyFill="1" applyBorder="1"/>
    <xf numFmtId="165" fontId="2" fillId="17" borderId="44" xfId="37" applyNumberFormat="1" applyFont="1" applyFill="1" applyBorder="1" applyAlignment="1">
      <alignment horizontal="right"/>
    </xf>
    <xf numFmtId="165" fontId="10" fillId="17" borderId="12" xfId="37" applyNumberFormat="1" applyFont="1" applyFill="1" applyBorder="1"/>
    <xf numFmtId="165" fontId="2" fillId="17" borderId="44" xfId="37" applyNumberFormat="1" applyFont="1" applyFill="1" applyBorder="1" applyAlignment="1">
      <alignment horizontal="center"/>
    </xf>
    <xf numFmtId="165" fontId="10" fillId="17" borderId="91" xfId="37" applyNumberFormat="1" applyFont="1" applyFill="1" applyBorder="1"/>
    <xf numFmtId="165" fontId="10" fillId="17" borderId="93" xfId="37" applyNumberFormat="1" applyFont="1" applyFill="1" applyBorder="1"/>
    <xf numFmtId="0" fontId="2" fillId="17" borderId="27" xfId="3" applyFont="1" applyFill="1" applyBorder="1" applyAlignment="1">
      <alignment horizontal="center"/>
    </xf>
    <xf numFmtId="167" fontId="2" fillId="17" borderId="11" xfId="3" applyNumberFormat="1" applyFont="1" applyFill="1" applyBorder="1" applyAlignment="1">
      <alignment horizontal="center"/>
    </xf>
    <xf numFmtId="167" fontId="2" fillId="17" borderId="21" xfId="3" applyNumberFormat="1" applyFont="1" applyFill="1" applyBorder="1"/>
    <xf numFmtId="167" fontId="2" fillId="17" borderId="12" xfId="3" applyNumberFormat="1" applyFont="1" applyFill="1" applyBorder="1"/>
    <xf numFmtId="170" fontId="10" fillId="17" borderId="27" xfId="3" applyNumberFormat="1" applyFont="1" applyFill="1" applyBorder="1" applyAlignment="1"/>
    <xf numFmtId="165" fontId="2" fillId="17" borderId="27" xfId="3" applyNumberFormat="1" applyFont="1" applyFill="1" applyBorder="1" applyAlignment="1"/>
    <xf numFmtId="5" fontId="10" fillId="17" borderId="25" xfId="3" applyNumberFormat="1" applyFont="1" applyFill="1" applyBorder="1" applyAlignment="1"/>
    <xf numFmtId="165" fontId="25" fillId="17" borderId="87" xfId="3" applyNumberFormat="1" applyFont="1" applyFill="1" applyBorder="1" applyAlignment="1">
      <alignment horizontal="center"/>
    </xf>
    <xf numFmtId="5" fontId="10" fillId="17" borderId="26" xfId="3" applyNumberFormat="1" applyFont="1" applyFill="1" applyBorder="1" applyAlignment="1">
      <alignment horizontal="center"/>
    </xf>
    <xf numFmtId="165" fontId="2" fillId="17" borderId="25" xfId="3" applyNumberFormat="1" applyFont="1" applyFill="1" applyBorder="1" applyAlignment="1">
      <alignment horizontal="center"/>
    </xf>
    <xf numFmtId="165" fontId="16" fillId="17" borderId="11" xfId="3" applyNumberFormat="1" applyFont="1" applyFill="1" applyBorder="1" applyAlignment="1">
      <alignment horizontal="center"/>
    </xf>
    <xf numFmtId="165" fontId="16" fillId="17" borderId="26" xfId="3" applyNumberFormat="1" applyFont="1" applyFill="1" applyBorder="1" applyAlignment="1">
      <alignment horizontal="center"/>
    </xf>
    <xf numFmtId="165" fontId="2" fillId="17" borderId="25" xfId="3" applyNumberFormat="1" applyFont="1" applyFill="1" applyBorder="1"/>
    <xf numFmtId="165" fontId="2" fillId="17" borderId="4" xfId="3" applyNumberFormat="1" applyFont="1" applyFill="1" applyBorder="1"/>
    <xf numFmtId="2" fontId="2" fillId="17" borderId="49" xfId="3" applyNumberFormat="1" applyFont="1" applyFill="1" applyBorder="1"/>
    <xf numFmtId="165" fontId="4" fillId="17" borderId="27" xfId="37" applyNumberFormat="1" applyFont="1" applyFill="1" applyBorder="1" applyAlignment="1">
      <alignment horizontal="center"/>
    </xf>
    <xf numFmtId="165" fontId="2" fillId="17" borderId="27" xfId="38" applyNumberFormat="1" applyFont="1" applyFill="1" applyBorder="1" applyAlignment="1">
      <alignment horizontal="center"/>
    </xf>
    <xf numFmtId="0" fontId="70" fillId="17" borderId="0" xfId="3" applyFont="1" applyFill="1" applyBorder="1"/>
    <xf numFmtId="0" fontId="4" fillId="17" borderId="0" xfId="57" applyFont="1" applyFill="1" applyBorder="1">
      <alignment wrapText="1"/>
    </xf>
    <xf numFmtId="165" fontId="4" fillId="17" borderId="0" xfId="57" applyNumberFormat="1" applyFont="1" applyFill="1" applyBorder="1">
      <alignment wrapText="1"/>
    </xf>
    <xf numFmtId="165" fontId="19" fillId="17" borderId="0" xfId="57" applyNumberFormat="1" applyFont="1" applyFill="1" applyBorder="1">
      <alignment wrapText="1"/>
    </xf>
    <xf numFmtId="165" fontId="16" fillId="17" borderId="0" xfId="37" applyNumberFormat="1" applyFont="1" applyFill="1" applyBorder="1" applyAlignment="1">
      <alignment wrapText="1"/>
    </xf>
    <xf numFmtId="0" fontId="2" fillId="17" borderId="42" xfId="57" applyFont="1" applyFill="1" applyBorder="1">
      <alignment wrapText="1"/>
    </xf>
    <xf numFmtId="0" fontId="10" fillId="17" borderId="0" xfId="57" applyFont="1" applyFill="1" applyBorder="1">
      <alignment wrapText="1"/>
    </xf>
    <xf numFmtId="0" fontId="10" fillId="17" borderId="5" xfId="57" applyFont="1" applyFill="1" applyBorder="1">
      <alignment wrapText="1"/>
    </xf>
    <xf numFmtId="37" fontId="10" fillId="17" borderId="27" xfId="57" applyNumberFormat="1" applyFont="1" applyFill="1" applyBorder="1" applyAlignment="1">
      <alignment horizontal="right" wrapText="1"/>
    </xf>
    <xf numFmtId="37" fontId="10" fillId="17" borderId="0" xfId="57" applyNumberFormat="1" applyFont="1" applyFill="1" applyBorder="1" applyAlignment="1">
      <alignment horizontal="right" wrapText="1"/>
    </xf>
    <xf numFmtId="37" fontId="10" fillId="17" borderId="5" xfId="57" applyNumberFormat="1" applyFont="1" applyFill="1" applyBorder="1" applyAlignment="1">
      <alignment horizontal="right" wrapText="1"/>
    </xf>
    <xf numFmtId="165" fontId="10" fillId="17" borderId="0" xfId="37" applyNumberFormat="1" applyFont="1" applyFill="1" applyBorder="1" applyAlignment="1">
      <alignment wrapText="1"/>
    </xf>
    <xf numFmtId="165" fontId="10" fillId="17" borderId="27" xfId="37" applyNumberFormat="1" applyFont="1" applyFill="1" applyBorder="1" applyAlignment="1">
      <alignment wrapText="1"/>
    </xf>
    <xf numFmtId="165" fontId="10" fillId="17" borderId="3" xfId="37" applyNumberFormat="1" applyFont="1" applyFill="1" applyBorder="1" applyAlignment="1">
      <alignment wrapText="1"/>
    </xf>
    <xf numFmtId="165" fontId="10" fillId="17" borderId="27" xfId="57" applyNumberFormat="1" applyFont="1" applyFill="1" applyBorder="1">
      <alignment wrapText="1"/>
    </xf>
    <xf numFmtId="165" fontId="10" fillId="17" borderId="44" xfId="57" applyNumberFormat="1" applyFont="1" applyFill="1" applyBorder="1">
      <alignment wrapText="1"/>
    </xf>
    <xf numFmtId="165" fontId="71" fillId="17" borderId="0" xfId="37" applyNumberFormat="1" applyFont="1" applyFill="1" applyBorder="1" applyAlignment="1">
      <alignment wrapText="1"/>
    </xf>
    <xf numFmtId="165" fontId="2" fillId="17" borderId="27" xfId="57" applyNumberFormat="1" applyFont="1" applyFill="1" applyBorder="1">
      <alignment wrapText="1"/>
    </xf>
    <xf numFmtId="165" fontId="16" fillId="17" borderId="27" xfId="57" applyNumberFormat="1" applyFont="1" applyFill="1" applyBorder="1">
      <alignment wrapText="1"/>
    </xf>
    <xf numFmtId="43" fontId="2" fillId="17" borderId="0" xfId="37" applyFont="1" applyFill="1" applyBorder="1" applyAlignment="1">
      <alignment wrapText="1"/>
    </xf>
    <xf numFmtId="0" fontId="2" fillId="17" borderId="0" xfId="57" applyFont="1" applyFill="1" applyBorder="1">
      <alignment wrapText="1"/>
    </xf>
    <xf numFmtId="0" fontId="2" fillId="17" borderId="5" xfId="57" applyFont="1" applyFill="1" applyBorder="1">
      <alignment wrapText="1"/>
    </xf>
    <xf numFmtId="37" fontId="2" fillId="17" borderId="27" xfId="57" applyNumberFormat="1" applyFont="1" applyFill="1" applyBorder="1" applyAlignment="1">
      <alignment horizontal="right" wrapText="1"/>
    </xf>
    <xf numFmtId="37" fontId="2" fillId="17" borderId="0" xfId="57" applyNumberFormat="1" applyFont="1" applyFill="1" applyBorder="1" applyAlignment="1">
      <alignment horizontal="right" wrapText="1"/>
    </xf>
    <xf numFmtId="37" fontId="2" fillId="17" borderId="5" xfId="57" applyNumberFormat="1" applyFont="1" applyFill="1" applyBorder="1" applyAlignment="1">
      <alignment horizontal="right" wrapText="1"/>
    </xf>
    <xf numFmtId="165" fontId="2" fillId="17" borderId="0" xfId="37" applyNumberFormat="1" applyFont="1" applyFill="1" applyBorder="1" applyAlignment="1">
      <alignment wrapText="1"/>
    </xf>
    <xf numFmtId="165" fontId="2" fillId="17" borderId="27" xfId="37" applyNumberFormat="1" applyFont="1" applyFill="1" applyBorder="1" applyAlignment="1">
      <alignment wrapText="1"/>
    </xf>
    <xf numFmtId="165" fontId="2" fillId="17" borderId="3" xfId="37" applyNumberFormat="1" applyFont="1" applyFill="1" applyBorder="1" applyAlignment="1">
      <alignment wrapText="1"/>
    </xf>
    <xf numFmtId="165" fontId="2" fillId="17" borderId="5" xfId="37" applyNumberFormat="1" applyFont="1" applyFill="1" applyBorder="1" applyAlignment="1">
      <alignment wrapText="1"/>
    </xf>
    <xf numFmtId="165" fontId="2" fillId="17" borderId="44" xfId="37" applyNumberFormat="1" applyFont="1" applyFill="1" applyBorder="1" applyAlignment="1">
      <alignment wrapText="1"/>
    </xf>
    <xf numFmtId="165" fontId="70" fillId="17" borderId="0" xfId="37" applyNumberFormat="1" applyFont="1" applyFill="1" applyBorder="1" applyAlignment="1">
      <alignment wrapText="1"/>
    </xf>
    <xf numFmtId="165" fontId="78" fillId="17" borderId="0" xfId="38" applyNumberFormat="1" applyFont="1" applyFill="1" applyBorder="1"/>
    <xf numFmtId="165" fontId="18" fillId="17" borderId="27" xfId="3" applyNumberFormat="1" applyFont="1" applyFill="1" applyBorder="1"/>
    <xf numFmtId="165" fontId="77" fillId="17" borderId="0" xfId="38" applyNumberFormat="1" applyFont="1" applyFill="1" applyBorder="1"/>
    <xf numFmtId="166" fontId="18" fillId="16" borderId="44" xfId="62" applyNumberFormat="1" applyFont="1" applyFill="1" applyBorder="1" applyAlignment="1">
      <alignment horizontal="right"/>
    </xf>
    <xf numFmtId="166" fontId="18" fillId="16" borderId="0" xfId="62" applyNumberFormat="1" applyFont="1" applyFill="1" applyBorder="1" applyAlignment="1">
      <alignment horizontal="right"/>
    </xf>
    <xf numFmtId="166" fontId="18" fillId="16" borderId="5" xfId="62" applyNumberFormat="1" applyFont="1" applyFill="1" applyBorder="1" applyAlignment="1">
      <alignment horizontal="right"/>
    </xf>
    <xf numFmtId="202" fontId="2" fillId="16" borderId="0" xfId="37" applyNumberFormat="1" applyFont="1" applyFill="1" applyBorder="1"/>
    <xf numFmtId="202" fontId="2" fillId="16" borderId="44" xfId="3" applyNumberFormat="1" applyFont="1" applyFill="1" applyBorder="1"/>
    <xf numFmtId="0" fontId="10" fillId="16" borderId="0" xfId="53" applyFont="1" applyFill="1" applyBorder="1" applyAlignment="1">
      <alignment horizontal="left"/>
    </xf>
    <xf numFmtId="0" fontId="2" fillId="20" borderId="0" xfId="55" applyFont="1" applyFill="1" applyBorder="1"/>
    <xf numFmtId="0" fontId="70" fillId="20" borderId="0" xfId="55" applyFont="1" applyFill="1" applyBorder="1"/>
    <xf numFmtId="0" fontId="10" fillId="8" borderId="93" xfId="3" applyFont="1" applyFill="1" applyBorder="1"/>
    <xf numFmtId="0" fontId="2" fillId="8" borderId="93" xfId="3" applyFont="1" applyFill="1" applyBorder="1" applyAlignment="1"/>
    <xf numFmtId="0" fontId="4" fillId="8" borderId="93" xfId="3" applyFont="1" applyFill="1" applyBorder="1"/>
    <xf numFmtId="0" fontId="71" fillId="8" borderId="93" xfId="3" applyFont="1" applyFill="1" applyBorder="1"/>
    <xf numFmtId="0" fontId="2" fillId="20" borderId="4" xfId="55" applyFont="1" applyFill="1" applyBorder="1"/>
    <xf numFmtId="0" fontId="0" fillId="0" borderId="0" xfId="0"/>
    <xf numFmtId="43" fontId="10" fillId="16" borderId="0" xfId="37" applyFont="1" applyFill="1" applyBorder="1"/>
    <xf numFmtId="175" fontId="10" fillId="16" borderId="0" xfId="53" applyNumberFormat="1" applyFont="1" applyFill="1" applyBorder="1" applyAlignment="1">
      <alignment horizontal="right"/>
    </xf>
    <xf numFmtId="0" fontId="11" fillId="22" borderId="0" xfId="4" applyFont="1" applyFill="1" applyBorder="1"/>
    <xf numFmtId="0" fontId="2" fillId="22" borderId="0" xfId="4" applyFont="1" applyFill="1" applyBorder="1"/>
    <xf numFmtId="0" fontId="13" fillId="22" borderId="0" xfId="4" applyFont="1" applyFill="1" applyBorder="1"/>
    <xf numFmtId="0" fontId="10" fillId="22" borderId="103" xfId="4" applyFont="1" applyFill="1" applyBorder="1" applyAlignment="1">
      <alignment horizontal="center"/>
    </xf>
    <xf numFmtId="0" fontId="10" fillId="22" borderId="11" xfId="4" applyFont="1" applyFill="1" applyBorder="1" applyAlignment="1">
      <alignment horizontal="center"/>
    </xf>
    <xf numFmtId="0" fontId="10" fillId="21" borderId="0" xfId="4" applyFont="1" applyFill="1" applyBorder="1" applyAlignment="1">
      <alignment horizontal="center"/>
    </xf>
    <xf numFmtId="0" fontId="2" fillId="21" borderId="27" xfId="4" applyFont="1" applyFill="1" applyBorder="1"/>
    <xf numFmtId="0" fontId="2" fillId="21" borderId="44" xfId="4" applyFont="1" applyFill="1" applyBorder="1"/>
    <xf numFmtId="0" fontId="10" fillId="22" borderId="0" xfId="4" applyFont="1" applyFill="1" applyBorder="1" applyAlignment="1">
      <alignment horizontal="center"/>
    </xf>
    <xf numFmtId="0" fontId="2" fillId="22" borderId="44" xfId="4" applyFont="1" applyFill="1" applyBorder="1"/>
    <xf numFmtId="0" fontId="15" fillId="22" borderId="0" xfId="4" applyFont="1" applyFill="1" applyBorder="1" applyAlignment="1">
      <alignment horizontal="center"/>
    </xf>
    <xf numFmtId="165" fontId="78" fillId="21" borderId="0" xfId="73" applyNumberFormat="1" applyFont="1" applyFill="1" applyBorder="1" applyAlignment="1">
      <alignment horizontal="center"/>
    </xf>
    <xf numFmtId="165" fontId="78" fillId="21" borderId="27" xfId="4" applyNumberFormat="1" applyFont="1" applyFill="1" applyBorder="1"/>
    <xf numFmtId="165" fontId="78" fillId="21" borderId="44" xfId="4" applyNumberFormat="1" applyFont="1" applyFill="1" applyBorder="1"/>
    <xf numFmtId="165" fontId="78" fillId="22" borderId="0" xfId="73" applyNumberFormat="1" applyFont="1" applyFill="1" applyBorder="1" applyAlignment="1">
      <alignment horizontal="center"/>
    </xf>
    <xf numFmtId="165" fontId="78" fillId="22" borderId="44" xfId="4" applyNumberFormat="1" applyFont="1" applyFill="1" applyBorder="1"/>
    <xf numFmtId="165" fontId="84" fillId="21" borderId="0" xfId="73" applyNumberFormat="1" applyFont="1" applyFill="1" applyBorder="1" applyAlignment="1">
      <alignment horizontal="center"/>
    </xf>
    <xf numFmtId="165" fontId="84" fillId="21" borderId="27" xfId="4" applyNumberFormat="1" applyFont="1" applyFill="1" applyBorder="1"/>
    <xf numFmtId="165" fontId="84" fillId="21" borderId="5" xfId="4" applyNumberFormat="1" applyFont="1" applyFill="1" applyBorder="1"/>
    <xf numFmtId="165" fontId="84" fillId="21" borderId="44" xfId="4" applyNumberFormat="1" applyFont="1" applyFill="1" applyBorder="1"/>
    <xf numFmtId="165" fontId="84" fillId="22" borderId="0" xfId="73" applyNumberFormat="1" applyFont="1" applyFill="1" applyBorder="1" applyAlignment="1">
      <alignment horizontal="center"/>
    </xf>
    <xf numFmtId="165" fontId="84" fillId="22" borderId="44" xfId="4" applyNumberFormat="1" applyFont="1" applyFill="1" applyBorder="1"/>
    <xf numFmtId="165" fontId="77" fillId="21" borderId="0" xfId="4" applyNumberFormat="1" applyFont="1" applyFill="1" applyBorder="1"/>
    <xf numFmtId="165" fontId="77" fillId="21" borderId="0" xfId="73" applyNumberFormat="1" applyFont="1" applyFill="1" applyBorder="1"/>
    <xf numFmtId="165" fontId="77" fillId="21" borderId="27" xfId="4" applyNumberFormat="1" applyFont="1" applyFill="1" applyBorder="1"/>
    <xf numFmtId="165" fontId="77" fillId="21" borderId="5" xfId="73" applyNumberFormat="1" applyFont="1" applyFill="1" applyBorder="1"/>
    <xf numFmtId="165" fontId="77" fillId="21" borderId="5" xfId="4" applyNumberFormat="1" applyFont="1" applyFill="1" applyBorder="1"/>
    <xf numFmtId="165" fontId="77" fillId="21" borderId="44" xfId="4" applyNumberFormat="1" applyFont="1" applyFill="1" applyBorder="1"/>
    <xf numFmtId="165" fontId="77" fillId="22" borderId="0" xfId="4" applyNumberFormat="1" applyFont="1" applyFill="1" applyBorder="1"/>
    <xf numFmtId="165" fontId="77" fillId="22" borderId="44" xfId="4" applyNumberFormat="1" applyFont="1" applyFill="1" applyBorder="1"/>
    <xf numFmtId="165" fontId="2" fillId="21" borderId="0" xfId="73" applyNumberFormat="1" applyFont="1" applyFill="1" applyBorder="1"/>
    <xf numFmtId="0" fontId="2" fillId="21" borderId="0" xfId="4" applyFont="1" applyFill="1" applyBorder="1"/>
    <xf numFmtId="165" fontId="2" fillId="21" borderId="0" xfId="4" applyNumberFormat="1" applyFont="1" applyFill="1" applyBorder="1"/>
    <xf numFmtId="0" fontId="11" fillId="21" borderId="5" xfId="4" applyFont="1" applyFill="1" applyBorder="1"/>
    <xf numFmtId="165" fontId="2" fillId="21" borderId="5" xfId="73" applyNumberFormat="1" applyFont="1" applyFill="1" applyBorder="1"/>
    <xf numFmtId="0" fontId="2" fillId="21" borderId="5" xfId="4" applyFont="1" applyFill="1" applyBorder="1"/>
    <xf numFmtId="165" fontId="2" fillId="22" borderId="0" xfId="4" applyNumberFormat="1" applyFont="1" applyFill="1" applyBorder="1"/>
    <xf numFmtId="165" fontId="10" fillId="21" borderId="0" xfId="73" applyNumberFormat="1" applyFont="1" applyFill="1" applyBorder="1"/>
    <xf numFmtId="0" fontId="10" fillId="21" borderId="0" xfId="4" applyFont="1" applyFill="1" applyBorder="1"/>
    <xf numFmtId="0" fontId="15" fillId="21" borderId="5" xfId="4" applyFont="1" applyFill="1" applyBorder="1"/>
    <xf numFmtId="0" fontId="10" fillId="21" borderId="5" xfId="4" applyFont="1" applyFill="1" applyBorder="1"/>
    <xf numFmtId="0" fontId="10" fillId="21" borderId="27" xfId="4" applyFont="1" applyFill="1" applyBorder="1"/>
    <xf numFmtId="0" fontId="10" fillId="21" borderId="44" xfId="4" applyFont="1" applyFill="1" applyBorder="1"/>
    <xf numFmtId="0" fontId="10" fillId="22" borderId="0" xfId="4" applyFont="1" applyFill="1" applyBorder="1"/>
    <xf numFmtId="165" fontId="78" fillId="22" borderId="0" xfId="38" applyNumberFormat="1" applyFont="1" applyFill="1" applyBorder="1"/>
    <xf numFmtId="0" fontId="77" fillId="22" borderId="0" xfId="4" applyFont="1" applyFill="1" applyBorder="1"/>
    <xf numFmtId="0" fontId="77" fillId="22" borderId="44" xfId="4" applyFont="1" applyFill="1" applyBorder="1"/>
    <xf numFmtId="165" fontId="2" fillId="21" borderId="0" xfId="73" applyNumberFormat="1" applyFont="1" applyFill="1" applyBorder="1" applyAlignment="1">
      <alignment horizontal="center"/>
    </xf>
    <xf numFmtId="165" fontId="2" fillId="21" borderId="27" xfId="4" applyNumberFormat="1" applyFont="1" applyFill="1" applyBorder="1"/>
    <xf numFmtId="165" fontId="2" fillId="21" borderId="5" xfId="73" applyNumberFormat="1" applyFont="1" applyFill="1" applyBorder="1" applyAlignment="1">
      <alignment horizontal="center"/>
    </xf>
    <xf numFmtId="165" fontId="2" fillId="21" borderId="44" xfId="4" applyNumberFormat="1" applyFont="1" applyFill="1" applyBorder="1"/>
    <xf numFmtId="165" fontId="18" fillId="21" borderId="0" xfId="73" applyNumberFormat="1" applyFont="1" applyFill="1" applyBorder="1" applyAlignment="1">
      <alignment horizontal="center"/>
    </xf>
    <xf numFmtId="165" fontId="18" fillId="21" borderId="27" xfId="4" applyNumberFormat="1" applyFont="1" applyFill="1" applyBorder="1"/>
    <xf numFmtId="165" fontId="18" fillId="21" borderId="5" xfId="73" applyNumberFormat="1" applyFont="1" applyFill="1" applyBorder="1" applyAlignment="1">
      <alignment horizontal="center"/>
    </xf>
    <xf numFmtId="165" fontId="18" fillId="21" borderId="44" xfId="4" applyNumberFormat="1" applyFont="1" applyFill="1" applyBorder="1"/>
    <xf numFmtId="165" fontId="80" fillId="21" borderId="0" xfId="73" applyNumberFormat="1" applyFont="1" applyFill="1" applyBorder="1" applyAlignment="1">
      <alignment horizontal="center"/>
    </xf>
    <xf numFmtId="165" fontId="80" fillId="22" borderId="0" xfId="73" applyNumberFormat="1" applyFont="1" applyFill="1" applyBorder="1" applyAlignment="1">
      <alignment horizontal="center"/>
    </xf>
    <xf numFmtId="165" fontId="80" fillId="22" borderId="44" xfId="4" applyNumberFormat="1" applyFont="1" applyFill="1" applyBorder="1"/>
    <xf numFmtId="165" fontId="10" fillId="21" borderId="0" xfId="4" applyNumberFormat="1" applyFont="1" applyFill="1" applyBorder="1"/>
    <xf numFmtId="165" fontId="10" fillId="21" borderId="27" xfId="4" applyNumberFormat="1" applyFont="1" applyFill="1" applyBorder="1"/>
    <xf numFmtId="165" fontId="10" fillId="21" borderId="5" xfId="73" applyNumberFormat="1" applyFont="1" applyFill="1" applyBorder="1"/>
    <xf numFmtId="165" fontId="10" fillId="21" borderId="5" xfId="4" applyNumberFormat="1" applyFont="1" applyFill="1" applyBorder="1"/>
    <xf numFmtId="165" fontId="10" fillId="21" borderId="44" xfId="4" applyNumberFormat="1" applyFont="1" applyFill="1" applyBorder="1"/>
    <xf numFmtId="165" fontId="10" fillId="22" borderId="0" xfId="4" applyNumberFormat="1" applyFont="1" applyFill="1" applyBorder="1"/>
    <xf numFmtId="165" fontId="2" fillId="21" borderId="5" xfId="4" applyNumberFormat="1" applyFont="1" applyFill="1" applyBorder="1"/>
    <xf numFmtId="165" fontId="78" fillId="22" borderId="0" xfId="4" applyNumberFormat="1" applyFont="1" applyFill="1" applyBorder="1"/>
    <xf numFmtId="0" fontId="78" fillId="22" borderId="44" xfId="4" applyFont="1" applyFill="1" applyBorder="1"/>
    <xf numFmtId="165" fontId="11" fillId="21" borderId="5" xfId="73" applyNumberFormat="1" applyFont="1" applyFill="1" applyBorder="1"/>
    <xf numFmtId="165" fontId="78" fillId="22" borderId="0" xfId="73" applyNumberFormat="1" applyFont="1" applyFill="1" applyBorder="1"/>
    <xf numFmtId="165" fontId="17" fillId="21" borderId="0" xfId="73" applyNumberFormat="1" applyFont="1" applyFill="1" applyBorder="1"/>
    <xf numFmtId="165" fontId="17" fillId="21" borderId="27" xfId="4" applyNumberFormat="1" applyFont="1" applyFill="1" applyBorder="1"/>
    <xf numFmtId="165" fontId="20" fillId="21" borderId="5" xfId="73" applyNumberFormat="1" applyFont="1" applyFill="1" applyBorder="1"/>
    <xf numFmtId="165" fontId="17" fillId="21" borderId="5" xfId="73" applyNumberFormat="1" applyFont="1" applyFill="1" applyBorder="1"/>
    <xf numFmtId="165" fontId="2" fillId="22" borderId="0" xfId="73" applyNumberFormat="1" applyFont="1" applyFill="1" applyBorder="1"/>
    <xf numFmtId="165" fontId="17" fillId="21" borderId="44" xfId="4" applyNumberFormat="1" applyFont="1" applyFill="1" applyBorder="1"/>
    <xf numFmtId="165" fontId="17" fillId="22" borderId="0" xfId="73" applyNumberFormat="1" applyFont="1" applyFill="1" applyBorder="1"/>
    <xf numFmtId="165" fontId="84" fillId="22" borderId="0" xfId="73" applyNumberFormat="1" applyFont="1" applyFill="1" applyBorder="1"/>
    <xf numFmtId="165" fontId="10" fillId="21" borderId="27" xfId="73" applyNumberFormat="1" applyFont="1" applyFill="1" applyBorder="1"/>
    <xf numFmtId="165" fontId="10" fillId="21" borderId="44" xfId="73" applyNumberFormat="1" applyFont="1" applyFill="1" applyBorder="1"/>
    <xf numFmtId="165" fontId="10" fillId="22" borderId="0" xfId="73" applyNumberFormat="1" applyFont="1" applyFill="1" applyBorder="1"/>
    <xf numFmtId="165" fontId="77" fillId="22" borderId="0" xfId="38" applyNumberFormat="1" applyFont="1" applyFill="1" applyBorder="1"/>
    <xf numFmtId="165" fontId="77" fillId="22" borderId="0" xfId="73" applyNumberFormat="1" applyFont="1" applyFill="1" applyBorder="1"/>
    <xf numFmtId="165" fontId="77" fillId="22" borderId="44" xfId="73" applyNumberFormat="1" applyFont="1" applyFill="1" applyBorder="1"/>
    <xf numFmtId="165" fontId="77" fillId="22" borderId="27" xfId="73" applyNumberFormat="1" applyFont="1" applyFill="1" applyBorder="1"/>
    <xf numFmtId="165" fontId="15" fillId="21" borderId="5" xfId="73" applyNumberFormat="1" applyFont="1" applyFill="1" applyBorder="1"/>
    <xf numFmtId="165" fontId="22" fillId="21" borderId="0" xfId="73" applyNumberFormat="1" applyFont="1" applyFill="1" applyBorder="1"/>
    <xf numFmtId="165" fontId="22" fillId="21" borderId="5" xfId="73" applyNumberFormat="1" applyFont="1" applyFill="1" applyBorder="1"/>
    <xf numFmtId="165" fontId="22" fillId="22" borderId="0" xfId="73" applyNumberFormat="1" applyFont="1" applyFill="1" applyBorder="1"/>
    <xf numFmtId="165" fontId="77" fillId="22" borderId="5" xfId="73" applyNumberFormat="1" applyFont="1" applyFill="1" applyBorder="1"/>
    <xf numFmtId="0" fontId="22" fillId="21" borderId="0" xfId="4" applyFont="1" applyFill="1" applyBorder="1"/>
    <xf numFmtId="165" fontId="81" fillId="22" borderId="0" xfId="73" applyNumberFormat="1" applyFont="1" applyFill="1" applyBorder="1"/>
    <xf numFmtId="165" fontId="2" fillId="21" borderId="27" xfId="73" applyNumberFormat="1" applyFont="1" applyFill="1" applyBorder="1"/>
    <xf numFmtId="165" fontId="2" fillId="21" borderId="44" xfId="73" applyNumberFormat="1" applyFont="1" applyFill="1" applyBorder="1"/>
    <xf numFmtId="165" fontId="78" fillId="22" borderId="5" xfId="73" applyNumberFormat="1" applyFont="1" applyFill="1" applyBorder="1"/>
    <xf numFmtId="165" fontId="78" fillId="22" borderId="44" xfId="73" applyNumberFormat="1" applyFont="1" applyFill="1" applyBorder="1"/>
    <xf numFmtId="165" fontId="11" fillId="21" borderId="5" xfId="4" applyNumberFormat="1" applyFont="1" applyFill="1" applyBorder="1"/>
    <xf numFmtId="0" fontId="78" fillId="22" borderId="0" xfId="4" applyFont="1" applyFill="1" applyBorder="1"/>
    <xf numFmtId="0" fontId="78" fillId="22" borderId="5" xfId="4" applyFont="1" applyFill="1" applyBorder="1"/>
    <xf numFmtId="44" fontId="2" fillId="21" borderId="27" xfId="75" applyFont="1" applyFill="1" applyBorder="1"/>
    <xf numFmtId="44" fontId="2" fillId="21" borderId="0" xfId="75" applyFont="1" applyFill="1" applyBorder="1"/>
    <xf numFmtId="44" fontId="2" fillId="21" borderId="0" xfId="4" applyNumberFormat="1" applyFont="1" applyFill="1" applyBorder="1"/>
    <xf numFmtId="43" fontId="2" fillId="21" borderId="27" xfId="4" applyNumberFormat="1" applyFont="1" applyFill="1" applyBorder="1"/>
    <xf numFmtId="44" fontId="2" fillId="21" borderId="27" xfId="4" applyNumberFormat="1" applyFont="1" applyFill="1" applyBorder="1"/>
    <xf numFmtId="44" fontId="2" fillId="21" borderId="44" xfId="4" applyNumberFormat="1" applyFont="1" applyFill="1" applyBorder="1"/>
    <xf numFmtId="44" fontId="78" fillId="22" borderId="0" xfId="4" applyNumberFormat="1" applyFont="1" applyFill="1" applyBorder="1"/>
    <xf numFmtId="44" fontId="78" fillId="22" borderId="44" xfId="4" applyNumberFormat="1" applyFont="1" applyFill="1" applyBorder="1"/>
    <xf numFmtId="165" fontId="21" fillId="21" borderId="0" xfId="73" applyNumberFormat="1" applyFont="1" applyFill="1" applyBorder="1"/>
    <xf numFmtId="165" fontId="21" fillId="22" borderId="0" xfId="73" applyNumberFormat="1" applyFont="1" applyFill="1" applyBorder="1"/>
    <xf numFmtId="165" fontId="11" fillId="21" borderId="27" xfId="73" applyNumberFormat="1" applyFont="1" applyFill="1" applyBorder="1"/>
    <xf numFmtId="165" fontId="2" fillId="21" borderId="0" xfId="73" applyNumberFormat="1" applyFont="1" applyFill="1" applyBorder="1" applyAlignment="1">
      <alignment horizontal="right"/>
    </xf>
    <xf numFmtId="43" fontId="2" fillId="21" borderId="27" xfId="73" applyFont="1" applyFill="1" applyBorder="1"/>
    <xf numFmtId="1" fontId="11" fillId="21" borderId="5" xfId="4" applyNumberFormat="1" applyFont="1" applyFill="1" applyBorder="1"/>
    <xf numFmtId="165" fontId="78" fillId="22" borderId="25" xfId="73" applyNumberFormat="1" applyFont="1" applyFill="1" applyBorder="1"/>
    <xf numFmtId="44" fontId="10" fillId="21" borderId="103" xfId="75" applyNumberFormat="1" applyFont="1" applyFill="1" applyBorder="1"/>
    <xf numFmtId="44" fontId="10" fillId="21" borderId="11" xfId="75" applyNumberFormat="1" applyFont="1" applyFill="1" applyBorder="1"/>
    <xf numFmtId="44" fontId="15" fillId="21" borderId="94" xfId="75" applyNumberFormat="1" applyFont="1" applyFill="1" applyBorder="1"/>
    <xf numFmtId="44" fontId="10" fillId="21" borderId="94" xfId="75" applyNumberFormat="1" applyFont="1" applyFill="1" applyBorder="1"/>
    <xf numFmtId="7" fontId="10" fillId="21" borderId="11" xfId="75" applyNumberFormat="1" applyFont="1" applyFill="1" applyBorder="1"/>
    <xf numFmtId="7" fontId="10" fillId="21" borderId="103" xfId="75" applyNumberFormat="1" applyFont="1" applyFill="1" applyBorder="1"/>
    <xf numFmtId="7" fontId="10" fillId="21" borderId="94" xfId="75" applyNumberFormat="1" applyFont="1" applyFill="1" applyBorder="1"/>
    <xf numFmtId="44" fontId="10" fillId="21" borderId="45" xfId="75" applyNumberFormat="1" applyFont="1" applyFill="1" applyBorder="1"/>
    <xf numFmtId="44" fontId="10" fillId="22" borderId="103" xfId="75" applyNumberFormat="1" applyFont="1" applyFill="1" applyBorder="1"/>
    <xf numFmtId="44" fontId="10" fillId="22" borderId="65" xfId="75" applyNumberFormat="1" applyFont="1" applyFill="1" applyBorder="1"/>
    <xf numFmtId="7" fontId="10" fillId="22" borderId="103" xfId="75" applyNumberFormat="1" applyFont="1" applyFill="1" applyBorder="1"/>
    <xf numFmtId="7" fontId="10" fillId="22" borderId="94" xfId="75" applyNumberFormat="1" applyFont="1" applyFill="1" applyBorder="1"/>
    <xf numFmtId="44" fontId="10" fillId="22" borderId="45" xfId="75" applyNumberFormat="1" applyFont="1" applyFill="1" applyBorder="1"/>
    <xf numFmtId="44" fontId="15" fillId="22" borderId="103" xfId="40" applyNumberFormat="1" applyFont="1" applyFill="1" applyBorder="1"/>
    <xf numFmtId="44" fontId="10" fillId="21" borderId="0" xfId="75" applyNumberFormat="1" applyFont="1" applyFill="1" applyBorder="1"/>
    <xf numFmtId="44" fontId="10" fillId="21" borderId="27" xfId="75" applyNumberFormat="1" applyFont="1" applyFill="1" applyBorder="1"/>
    <xf numFmtId="44" fontId="15" fillId="21" borderId="5" xfId="75" applyNumberFormat="1" applyFont="1" applyFill="1" applyBorder="1"/>
    <xf numFmtId="44" fontId="10" fillId="21" borderId="5" xfId="75" applyNumberFormat="1" applyFont="1" applyFill="1" applyBorder="1"/>
    <xf numFmtId="7" fontId="10" fillId="21" borderId="27" xfId="75" applyNumberFormat="1" applyFont="1" applyFill="1" applyBorder="1"/>
    <xf numFmtId="7" fontId="10" fillId="21" borderId="0" xfId="75" applyNumberFormat="1" applyFont="1" applyFill="1" applyBorder="1"/>
    <xf numFmtId="7" fontId="10" fillId="21" borderId="5" xfId="75" applyNumberFormat="1" applyFont="1" applyFill="1" applyBorder="1"/>
    <xf numFmtId="7" fontId="10" fillId="21" borderId="44" xfId="75" applyNumberFormat="1" applyFont="1" applyFill="1" applyBorder="1"/>
    <xf numFmtId="7" fontId="10" fillId="22" borderId="0" xfId="75" applyNumberFormat="1" applyFont="1" applyFill="1" applyBorder="1"/>
    <xf numFmtId="7" fontId="10" fillId="22" borderId="5" xfId="75" applyNumberFormat="1" applyFont="1" applyFill="1" applyBorder="1"/>
    <xf numFmtId="7" fontId="10" fillId="22" borderId="44" xfId="75" applyNumberFormat="1" applyFont="1" applyFill="1" applyBorder="1"/>
    <xf numFmtId="7" fontId="15" fillId="22" borderId="0" xfId="40" applyNumberFormat="1" applyFont="1" applyFill="1" applyBorder="1"/>
    <xf numFmtId="44" fontId="2" fillId="21" borderId="0" xfId="75" applyNumberFormat="1" applyFont="1" applyFill="1" applyBorder="1"/>
    <xf numFmtId="44" fontId="2" fillId="21" borderId="27" xfId="75" applyNumberFormat="1" applyFont="1" applyFill="1" applyBorder="1"/>
    <xf numFmtId="44" fontId="2" fillId="21" borderId="5" xfId="75" applyNumberFormat="1" applyFont="1" applyFill="1" applyBorder="1"/>
    <xf numFmtId="7" fontId="2" fillId="21" borderId="27" xfId="75" applyNumberFormat="1" applyFont="1" applyFill="1" applyBorder="1"/>
    <xf numFmtId="7" fontId="2" fillId="21" borderId="0" xfId="75" applyNumberFormat="1" applyFont="1" applyFill="1" applyBorder="1"/>
    <xf numFmtId="7" fontId="2" fillId="21" borderId="5" xfId="75" applyNumberFormat="1" applyFont="1" applyFill="1" applyBorder="1"/>
    <xf numFmtId="43" fontId="2" fillId="21" borderId="0" xfId="73" applyNumberFormat="1" applyFont="1" applyFill="1" applyBorder="1"/>
    <xf numFmtId="7" fontId="2" fillId="21" borderId="44" xfId="75" applyNumberFormat="1" applyFont="1" applyFill="1" applyBorder="1"/>
    <xf numFmtId="7" fontId="2" fillId="22" borderId="0" xfId="75" applyNumberFormat="1" applyFont="1" applyFill="1" applyBorder="1"/>
    <xf numFmtId="7" fontId="2" fillId="22" borderId="5" xfId="75" applyNumberFormat="1" applyFont="1" applyFill="1" applyBorder="1"/>
    <xf numFmtId="7" fontId="2" fillId="22" borderId="44" xfId="75" applyNumberFormat="1" applyFont="1" applyFill="1" applyBorder="1"/>
    <xf numFmtId="7" fontId="11" fillId="22" borderId="0" xfId="40" applyNumberFormat="1" applyFont="1" applyFill="1" applyBorder="1"/>
    <xf numFmtId="44" fontId="10" fillId="21" borderId="21" xfId="75" applyFont="1" applyFill="1" applyBorder="1"/>
    <xf numFmtId="44" fontId="10" fillId="21" borderId="103" xfId="75" applyFont="1" applyFill="1" applyBorder="1"/>
    <xf numFmtId="44" fontId="10" fillId="21" borderId="11" xfId="75" applyFont="1" applyFill="1" applyBorder="1"/>
    <xf numFmtId="44" fontId="10" fillId="21" borderId="21" xfId="75" applyNumberFormat="1" applyFont="1" applyFill="1" applyBorder="1"/>
    <xf numFmtId="7" fontId="10" fillId="21" borderId="21" xfId="75" applyNumberFormat="1" applyFont="1" applyFill="1" applyBorder="1"/>
    <xf numFmtId="7" fontId="10" fillId="21" borderId="45" xfId="75" applyNumberFormat="1" applyFont="1" applyFill="1" applyBorder="1"/>
    <xf numFmtId="7" fontId="10" fillId="22" borderId="65" xfId="75" applyNumberFormat="1" applyFont="1" applyFill="1" applyBorder="1"/>
    <xf numFmtId="7" fontId="10" fillId="22" borderId="45" xfId="75" applyNumberFormat="1" applyFont="1" applyFill="1" applyBorder="1"/>
    <xf numFmtId="7" fontId="15" fillId="22" borderId="103" xfId="40" applyNumberFormat="1" applyFont="1" applyFill="1" applyBorder="1"/>
    <xf numFmtId="44" fontId="22" fillId="21" borderId="0" xfId="75" applyNumberFormat="1" applyFont="1" applyFill="1" applyBorder="1"/>
    <xf numFmtId="44" fontId="22" fillId="21" borderId="27" xfId="75" applyNumberFormat="1" applyFont="1" applyFill="1" applyBorder="1"/>
    <xf numFmtId="44" fontId="22" fillId="21" borderId="0" xfId="75" applyFont="1" applyFill="1" applyBorder="1"/>
    <xf numFmtId="44" fontId="27" fillId="21" borderId="0" xfId="75" applyNumberFormat="1" applyFont="1" applyFill="1" applyBorder="1"/>
    <xf numFmtId="44" fontId="22" fillId="21" borderId="27" xfId="75" applyFont="1" applyFill="1" applyBorder="1"/>
    <xf numFmtId="44" fontId="22" fillId="21" borderId="5" xfId="75" applyNumberFormat="1" applyFont="1" applyFill="1" applyBorder="1"/>
    <xf numFmtId="44" fontId="22" fillId="21" borderId="25" xfId="75" applyNumberFormat="1" applyFont="1" applyFill="1" applyBorder="1"/>
    <xf numFmtId="44" fontId="22" fillId="21" borderId="86" xfId="75" applyNumberFormat="1" applyFont="1" applyFill="1" applyBorder="1"/>
    <xf numFmtId="44" fontId="22" fillId="21" borderId="24" xfId="75" applyNumberFormat="1" applyFont="1" applyFill="1" applyBorder="1"/>
    <xf numFmtId="172" fontId="22" fillId="21" borderId="0" xfId="4" applyNumberFormat="1" applyFont="1" applyFill="1" applyBorder="1"/>
    <xf numFmtId="172" fontId="22" fillId="21" borderId="101" xfId="4" applyNumberFormat="1" applyFont="1" applyFill="1" applyBorder="1"/>
    <xf numFmtId="172" fontId="22" fillId="21" borderId="104" xfId="4" applyNumberFormat="1" applyFont="1" applyFill="1" applyBorder="1"/>
    <xf numFmtId="172" fontId="25" fillId="21" borderId="104" xfId="4" applyNumberFormat="1" applyFont="1" applyFill="1" applyBorder="1"/>
    <xf numFmtId="172" fontId="25" fillId="22" borderId="104" xfId="4" applyNumberFormat="1" applyFont="1" applyFill="1" applyBorder="1"/>
    <xf numFmtId="0" fontId="2" fillId="21" borderId="105" xfId="4" applyFont="1" applyFill="1" applyBorder="1"/>
    <xf numFmtId="165" fontId="2" fillId="21" borderId="105" xfId="73" applyNumberFormat="1" applyFont="1" applyFill="1" applyBorder="1"/>
    <xf numFmtId="1" fontId="2" fillId="21" borderId="105" xfId="4" applyNumberFormat="1" applyFont="1" applyFill="1" applyBorder="1"/>
    <xf numFmtId="1" fontId="2" fillId="21" borderId="106" xfId="4" applyNumberFormat="1" applyFont="1" applyFill="1" applyBorder="1"/>
    <xf numFmtId="1" fontId="2" fillId="21" borderId="107" xfId="4" applyNumberFormat="1" applyFont="1" applyFill="1" applyBorder="1"/>
    <xf numFmtId="165" fontId="2" fillId="21" borderId="106" xfId="73" applyNumberFormat="1" applyFont="1" applyFill="1" applyBorder="1"/>
    <xf numFmtId="1" fontId="2" fillId="21" borderId="108" xfId="4" applyNumberFormat="1" applyFont="1" applyFill="1" applyBorder="1"/>
    <xf numFmtId="1" fontId="2" fillId="21" borderId="109" xfId="4" applyNumberFormat="1" applyFont="1" applyFill="1" applyBorder="1"/>
    <xf numFmtId="1" fontId="2" fillId="21" borderId="104" xfId="4" applyNumberFormat="1" applyFont="1" applyFill="1" applyBorder="1"/>
    <xf numFmtId="1" fontId="2" fillId="22" borderId="104" xfId="4" applyNumberFormat="1" applyFont="1" applyFill="1" applyBorder="1"/>
    <xf numFmtId="0" fontId="2" fillId="21" borderId="86" xfId="4" applyFont="1" applyFill="1" applyBorder="1"/>
    <xf numFmtId="0" fontId="11" fillId="21" borderId="86" xfId="4" applyFont="1" applyFill="1" applyBorder="1"/>
    <xf numFmtId="166" fontId="2" fillId="21" borderId="86" xfId="74" applyNumberFormat="1" applyFont="1" applyFill="1" applyBorder="1"/>
    <xf numFmtId="0" fontId="2" fillId="21" borderId="24" xfId="4" applyFont="1" applyFill="1" applyBorder="1"/>
    <xf numFmtId="0" fontId="2" fillId="21" borderId="53" xfId="4" applyFont="1" applyFill="1" applyBorder="1"/>
    <xf numFmtId="0" fontId="2" fillId="21" borderId="103" xfId="4" applyFont="1" applyFill="1" applyBorder="1"/>
    <xf numFmtId="0" fontId="2" fillId="21" borderId="110" xfId="4" applyFont="1" applyFill="1" applyBorder="1"/>
    <xf numFmtId="166" fontId="2" fillId="21" borderId="0" xfId="74" applyNumberFormat="1" applyFont="1" applyFill="1" applyBorder="1"/>
    <xf numFmtId="166" fontId="2" fillId="21" borderId="27" xfId="74" applyNumberFormat="1" applyFont="1" applyFill="1" applyBorder="1"/>
    <xf numFmtId="166" fontId="2" fillId="21" borderId="5" xfId="74" applyNumberFormat="1" applyFont="1" applyFill="1" applyBorder="1"/>
    <xf numFmtId="166" fontId="2" fillId="21" borderId="44" xfId="74" applyNumberFormat="1" applyFont="1" applyFill="1" applyBorder="1"/>
    <xf numFmtId="166" fontId="2" fillId="22" borderId="0" xfId="74" applyNumberFormat="1" applyFont="1" applyFill="1" applyBorder="1"/>
    <xf numFmtId="166" fontId="2" fillId="22" borderId="44" xfId="74" applyNumberFormat="1" applyFont="1" applyFill="1" applyBorder="1"/>
    <xf numFmtId="166" fontId="11" fillId="22" borderId="0" xfId="74" applyNumberFormat="1" applyFont="1" applyFill="1" applyBorder="1"/>
    <xf numFmtId="166" fontId="10" fillId="21" borderId="0" xfId="74" applyNumberFormat="1" applyFont="1" applyFill="1" applyBorder="1"/>
    <xf numFmtId="166" fontId="10" fillId="21" borderId="27" xfId="74" applyNumberFormat="1" applyFont="1" applyFill="1" applyBorder="1"/>
    <xf numFmtId="166" fontId="15" fillId="21" borderId="0" xfId="74" applyNumberFormat="1" applyFont="1" applyFill="1" applyBorder="1"/>
    <xf numFmtId="166" fontId="10" fillId="21" borderId="5" xfId="74" applyNumberFormat="1" applyFont="1" applyFill="1" applyBorder="1"/>
    <xf numFmtId="10" fontId="10" fillId="21" borderId="0" xfId="74" applyNumberFormat="1" applyFont="1" applyFill="1" applyBorder="1"/>
    <xf numFmtId="166" fontId="10" fillId="21" borderId="44" xfId="74" applyNumberFormat="1" applyFont="1" applyFill="1" applyBorder="1"/>
    <xf numFmtId="166" fontId="10" fillId="22" borderId="0" xfId="74" applyNumberFormat="1" applyFont="1" applyFill="1" applyBorder="1"/>
    <xf numFmtId="166" fontId="10" fillId="22" borderId="44" xfId="74" applyNumberFormat="1" applyFont="1" applyFill="1" applyBorder="1"/>
    <xf numFmtId="166" fontId="15" fillId="22" borderId="0" xfId="74" applyNumberFormat="1" applyFont="1" applyFill="1" applyBorder="1"/>
    <xf numFmtId="166" fontId="11" fillId="21" borderId="0" xfId="74" applyNumberFormat="1" applyFont="1" applyFill="1" applyBorder="1"/>
    <xf numFmtId="166" fontId="2" fillId="22" borderId="5" xfId="74" applyNumberFormat="1" applyFont="1" applyFill="1" applyBorder="1"/>
    <xf numFmtId="166" fontId="10" fillId="22" borderId="5" xfId="74" applyNumberFormat="1" applyFont="1" applyFill="1" applyBorder="1"/>
    <xf numFmtId="166" fontId="4" fillId="22" borderId="0" xfId="74" applyNumberFormat="1" applyFont="1" applyFill="1" applyBorder="1"/>
    <xf numFmtId="0" fontId="2" fillId="21" borderId="94" xfId="4" applyFont="1" applyFill="1" applyBorder="1"/>
    <xf numFmtId="166" fontId="10" fillId="22" borderId="27" xfId="74" applyNumberFormat="1" applyFont="1" applyFill="1" applyBorder="1"/>
    <xf numFmtId="0" fontId="2" fillId="21" borderId="0" xfId="4" quotePrefix="1" applyFont="1" applyFill="1" applyBorder="1" applyAlignment="1">
      <alignment horizontal="center"/>
    </xf>
    <xf numFmtId="166" fontId="2" fillId="22" borderId="27" xfId="74" applyNumberFormat="1" applyFont="1" applyFill="1" applyBorder="1"/>
    <xf numFmtId="0" fontId="10" fillId="21" borderId="0" xfId="4" quotePrefix="1" applyFont="1" applyFill="1" applyBorder="1" applyAlignment="1">
      <alignment horizontal="center"/>
    </xf>
    <xf numFmtId="0" fontId="22" fillId="21" borderId="0" xfId="4" quotePrefix="1" applyFont="1" applyFill="1" applyBorder="1" applyAlignment="1">
      <alignment horizontal="center"/>
    </xf>
    <xf numFmtId="166" fontId="22" fillId="21" borderId="27" xfId="74" applyNumberFormat="1" applyFont="1" applyFill="1" applyBorder="1"/>
    <xf numFmtId="166" fontId="22" fillId="21" borderId="0" xfId="74" applyNumberFormat="1" applyFont="1" applyFill="1" applyBorder="1"/>
    <xf numFmtId="166" fontId="27" fillId="21" borderId="0" xfId="74" applyNumberFormat="1" applyFont="1" applyFill="1" applyBorder="1"/>
    <xf numFmtId="166" fontId="22" fillId="21" borderId="5" xfId="74" applyNumberFormat="1" applyFont="1" applyFill="1" applyBorder="1"/>
    <xf numFmtId="166" fontId="22" fillId="21" borderId="44" xfId="74" applyNumberFormat="1" applyFont="1" applyFill="1" applyBorder="1"/>
    <xf numFmtId="166" fontId="22" fillId="22" borderId="0" xfId="74" applyNumberFormat="1" applyFont="1" applyFill="1" applyBorder="1"/>
    <xf numFmtId="166" fontId="22" fillId="22" borderId="44" xfId="74" applyNumberFormat="1" applyFont="1" applyFill="1" applyBorder="1"/>
    <xf numFmtId="166" fontId="22" fillId="22" borderId="27" xfId="74" applyNumberFormat="1" applyFont="1" applyFill="1" applyBorder="1"/>
    <xf numFmtId="166" fontId="2" fillId="21" borderId="103" xfId="74" applyNumberFormat="1" applyFont="1" applyFill="1" applyBorder="1"/>
    <xf numFmtId="0" fontId="14" fillId="21" borderId="103" xfId="4" applyFont="1" applyFill="1" applyBorder="1" applyAlignment="1">
      <alignment horizontal="center"/>
    </xf>
    <xf numFmtId="0" fontId="2" fillId="22" borderId="103" xfId="4" applyFont="1" applyFill="1" applyBorder="1"/>
    <xf numFmtId="9" fontId="2" fillId="21" borderId="0" xfId="74" applyNumberFormat="1" applyFont="1" applyFill="1" applyBorder="1"/>
    <xf numFmtId="9" fontId="2" fillId="21" borderId="5" xfId="74" applyNumberFormat="1" applyFont="1" applyFill="1" applyBorder="1"/>
    <xf numFmtId="9" fontId="2" fillId="21" borderId="27" xfId="74" applyNumberFormat="1" applyFont="1" applyFill="1" applyBorder="1" applyAlignment="1">
      <alignment horizontal="right"/>
    </xf>
    <xf numFmtId="9" fontId="2" fillId="21" borderId="0" xfId="74" applyNumberFormat="1" applyFont="1" applyFill="1" applyBorder="1" applyAlignment="1">
      <alignment horizontal="right"/>
    </xf>
    <xf numFmtId="9" fontId="11" fillId="21" borderId="5" xfId="74" applyNumberFormat="1" applyFont="1" applyFill="1" applyBorder="1" applyAlignment="1">
      <alignment horizontal="right"/>
    </xf>
    <xf numFmtId="9" fontId="2" fillId="21" borderId="5" xfId="74" applyNumberFormat="1" applyFont="1" applyFill="1" applyBorder="1" applyAlignment="1">
      <alignment horizontal="right"/>
    </xf>
    <xf numFmtId="9" fontId="4" fillId="21" borderId="0" xfId="74" applyNumberFormat="1" applyFont="1" applyFill="1" applyBorder="1" applyAlignment="1">
      <alignment horizontal="right"/>
    </xf>
    <xf numFmtId="9" fontId="4" fillId="21" borderId="5" xfId="74" applyNumberFormat="1" applyFont="1" applyFill="1" applyBorder="1" applyAlignment="1">
      <alignment horizontal="right"/>
    </xf>
    <xf numFmtId="9" fontId="2" fillId="21" borderId="44" xfId="74" applyNumberFormat="1" applyFont="1" applyFill="1" applyBorder="1" applyAlignment="1">
      <alignment horizontal="right"/>
    </xf>
    <xf numFmtId="9" fontId="2" fillId="22" borderId="0" xfId="74" applyNumberFormat="1" applyFont="1" applyFill="1" applyBorder="1" applyAlignment="1">
      <alignment horizontal="right"/>
    </xf>
    <xf numFmtId="166" fontId="2" fillId="22" borderId="0" xfId="74" applyNumberFormat="1" applyFont="1" applyFill="1" applyBorder="1" applyAlignment="1">
      <alignment horizontal="right"/>
    </xf>
    <xf numFmtId="166" fontId="2" fillId="22" borderId="44" xfId="74" applyNumberFormat="1" applyFont="1" applyFill="1" applyBorder="1" applyAlignment="1">
      <alignment horizontal="right"/>
    </xf>
    <xf numFmtId="166" fontId="11" fillId="22" borderId="0" xfId="74" applyNumberFormat="1" applyFont="1" applyFill="1" applyBorder="1" applyAlignment="1">
      <alignment horizontal="right"/>
    </xf>
    <xf numFmtId="9" fontId="2" fillId="21" borderId="27" xfId="74" applyNumberFormat="1" applyFont="1" applyFill="1" applyBorder="1"/>
    <xf numFmtId="166" fontId="2" fillId="21" borderId="60" xfId="74" applyNumberFormat="1" applyFont="1" applyFill="1" applyBorder="1"/>
    <xf numFmtId="9" fontId="2" fillId="22" borderId="0" xfId="74" applyNumberFormat="1" applyFont="1" applyFill="1" applyBorder="1"/>
    <xf numFmtId="166" fontId="2" fillId="21" borderId="103" xfId="62" applyNumberFormat="1" applyFont="1" applyFill="1" applyBorder="1"/>
    <xf numFmtId="0" fontId="78" fillId="22" borderId="103" xfId="4" applyFont="1" applyFill="1" applyBorder="1"/>
    <xf numFmtId="9" fontId="2" fillId="21" borderId="0" xfId="62" applyNumberFormat="1" applyFont="1" applyFill="1" applyBorder="1"/>
    <xf numFmtId="9" fontId="2" fillId="21" borderId="5" xfId="62" applyNumberFormat="1" applyFont="1" applyFill="1" applyBorder="1"/>
    <xf numFmtId="9" fontId="2" fillId="21" borderId="27" xfId="62" applyNumberFormat="1" applyFont="1" applyFill="1" applyBorder="1" applyAlignment="1">
      <alignment horizontal="right"/>
    </xf>
    <xf numFmtId="9" fontId="2" fillId="21" borderId="0" xfId="62" applyNumberFormat="1" applyFont="1" applyFill="1" applyBorder="1" applyAlignment="1">
      <alignment horizontal="right"/>
    </xf>
    <xf numFmtId="9" fontId="11" fillId="21" borderId="5" xfId="62" applyNumberFormat="1" applyFont="1" applyFill="1" applyBorder="1" applyAlignment="1">
      <alignment horizontal="right"/>
    </xf>
    <xf numFmtId="9" fontId="2" fillId="21" borderId="5" xfId="62" applyNumberFormat="1" applyFont="1" applyFill="1" applyBorder="1" applyAlignment="1">
      <alignment horizontal="right"/>
    </xf>
    <xf numFmtId="9" fontId="4" fillId="21" borderId="0" xfId="62" applyNumberFormat="1" applyFont="1" applyFill="1" applyBorder="1" applyAlignment="1">
      <alignment horizontal="right"/>
    </xf>
    <xf numFmtId="9" fontId="4" fillId="21" borderId="5" xfId="62" applyNumberFormat="1" applyFont="1" applyFill="1" applyBorder="1" applyAlignment="1">
      <alignment horizontal="right"/>
    </xf>
    <xf numFmtId="9" fontId="2" fillId="21" borderId="44" xfId="62" applyNumberFormat="1" applyFont="1" applyFill="1" applyBorder="1" applyAlignment="1">
      <alignment horizontal="right"/>
    </xf>
    <xf numFmtId="166" fontId="2" fillId="22" borderId="0" xfId="62" applyNumberFormat="1" applyFont="1" applyFill="1" applyBorder="1" applyAlignment="1">
      <alignment horizontal="right"/>
    </xf>
    <xf numFmtId="166" fontId="2" fillId="22" borderId="5" xfId="62" applyNumberFormat="1" applyFont="1" applyFill="1" applyBorder="1" applyAlignment="1">
      <alignment horizontal="right"/>
    </xf>
    <xf numFmtId="166" fontId="2" fillId="22" borderId="44" xfId="62" applyNumberFormat="1" applyFont="1" applyFill="1" applyBorder="1" applyAlignment="1">
      <alignment horizontal="right"/>
    </xf>
    <xf numFmtId="9" fontId="2" fillId="21" borderId="27" xfId="62" applyNumberFormat="1" applyFont="1" applyFill="1" applyBorder="1"/>
    <xf numFmtId="166" fontId="2" fillId="21" borderId="5" xfId="62" applyNumberFormat="1" applyFont="1" applyFill="1" applyBorder="1"/>
    <xf numFmtId="166" fontId="2" fillId="21" borderId="0" xfId="62" applyNumberFormat="1" applyFont="1" applyFill="1" applyBorder="1"/>
    <xf numFmtId="166" fontId="2" fillId="21" borderId="27" xfId="62" applyNumberFormat="1" applyFont="1" applyFill="1" applyBorder="1"/>
    <xf numFmtId="166" fontId="2" fillId="21" borderId="44" xfId="62" applyNumberFormat="1" applyFont="1" applyFill="1" applyBorder="1"/>
    <xf numFmtId="166" fontId="2" fillId="21" borderId="60" xfId="62" applyNumberFormat="1" applyFont="1" applyFill="1" applyBorder="1"/>
    <xf numFmtId="166" fontId="2" fillId="22" borderId="0" xfId="62" applyNumberFormat="1" applyFont="1" applyFill="1" applyBorder="1"/>
    <xf numFmtId="166" fontId="2" fillId="22" borderId="5" xfId="62" applyNumberFormat="1" applyFont="1" applyFill="1" applyBorder="1"/>
    <xf numFmtId="166" fontId="2" fillId="22" borderId="60" xfId="62" applyNumberFormat="1" applyFont="1" applyFill="1" applyBorder="1"/>
    <xf numFmtId="166" fontId="2" fillId="21" borderId="0" xfId="62" applyNumberFormat="1" applyFont="1" applyFill="1" applyBorder="1" applyAlignment="1">
      <alignment horizontal="right"/>
    </xf>
    <xf numFmtId="166" fontId="2" fillId="21" borderId="5" xfId="62" applyNumberFormat="1" applyFont="1" applyFill="1" applyBorder="1" applyAlignment="1">
      <alignment horizontal="right"/>
    </xf>
    <xf numFmtId="166" fontId="2" fillId="21" borderId="27" xfId="62" applyNumberFormat="1" applyFont="1" applyFill="1" applyBorder="1" applyAlignment="1">
      <alignment horizontal="right"/>
    </xf>
    <xf numFmtId="166" fontId="2" fillId="21" borderId="44" xfId="62" applyNumberFormat="1" applyFont="1" applyFill="1" applyBorder="1" applyAlignment="1">
      <alignment horizontal="right"/>
    </xf>
    <xf numFmtId="166" fontId="18" fillId="21" borderId="44" xfId="62" applyNumberFormat="1" applyFont="1" applyFill="1" applyBorder="1" applyAlignment="1">
      <alignment horizontal="right"/>
    </xf>
    <xf numFmtId="166" fontId="18" fillId="21" borderId="0" xfId="62" applyNumberFormat="1" applyFont="1" applyFill="1" applyBorder="1" applyAlignment="1">
      <alignment horizontal="right"/>
    </xf>
    <xf numFmtId="166" fontId="18" fillId="21" borderId="5" xfId="62" applyNumberFormat="1" applyFont="1" applyFill="1" applyBorder="1" applyAlignment="1">
      <alignment horizontal="right"/>
    </xf>
    <xf numFmtId="166" fontId="18" fillId="22" borderId="0" xfId="62" applyNumberFormat="1" applyFont="1" applyFill="1" applyBorder="1" applyAlignment="1">
      <alignment horizontal="right"/>
    </xf>
    <xf numFmtId="166" fontId="18" fillId="22" borderId="5" xfId="62" applyNumberFormat="1" applyFont="1" applyFill="1" applyBorder="1" applyAlignment="1">
      <alignment horizontal="right"/>
    </xf>
    <xf numFmtId="166" fontId="18" fillId="22" borderId="44" xfId="62" applyNumberFormat="1" applyFont="1" applyFill="1" applyBorder="1" applyAlignment="1">
      <alignment horizontal="right"/>
    </xf>
    <xf numFmtId="0" fontId="14" fillId="21" borderId="86" xfId="4" applyFont="1" applyFill="1" applyBorder="1" applyAlignment="1">
      <alignment horizontal="center"/>
    </xf>
    <xf numFmtId="0" fontId="2" fillId="22" borderId="86" xfId="4" applyFont="1" applyFill="1" applyBorder="1"/>
    <xf numFmtId="165" fontId="2" fillId="22" borderId="44" xfId="4" applyNumberFormat="1" applyFont="1" applyFill="1" applyBorder="1"/>
    <xf numFmtId="165" fontId="11" fillId="22" borderId="0" xfId="73" applyNumberFormat="1" applyFont="1" applyFill="1" applyBorder="1"/>
    <xf numFmtId="165" fontId="17" fillId="21" borderId="0" xfId="4" applyNumberFormat="1" applyFont="1" applyFill="1" applyBorder="1"/>
    <xf numFmtId="165" fontId="20" fillId="21" borderId="0" xfId="73" applyNumberFormat="1" applyFont="1" applyFill="1" applyBorder="1"/>
    <xf numFmtId="205" fontId="2" fillId="21" borderId="27" xfId="4" applyNumberFormat="1" applyFont="1" applyFill="1" applyBorder="1"/>
    <xf numFmtId="205" fontId="2" fillId="21" borderId="0" xfId="73" applyNumberFormat="1" applyFont="1" applyFill="1" applyBorder="1"/>
    <xf numFmtId="205" fontId="2" fillId="21" borderId="60" xfId="4" applyNumberFormat="1" applyFont="1" applyFill="1" applyBorder="1"/>
    <xf numFmtId="205" fontId="2" fillId="21" borderId="43" xfId="4" applyNumberFormat="1" applyFont="1" applyFill="1" applyBorder="1"/>
    <xf numFmtId="202" fontId="2" fillId="21" borderId="43" xfId="4" applyNumberFormat="1" applyFont="1" applyFill="1" applyBorder="1"/>
    <xf numFmtId="202" fontId="2" fillId="21" borderId="0" xfId="73" applyNumberFormat="1" applyFont="1" applyFill="1" applyBorder="1"/>
    <xf numFmtId="202" fontId="2" fillId="22" borderId="0" xfId="73" applyNumberFormat="1" applyFont="1" applyFill="1" applyBorder="1"/>
    <xf numFmtId="202" fontId="2" fillId="22" borderId="66" xfId="4" applyNumberFormat="1" applyFont="1" applyFill="1" applyBorder="1"/>
    <xf numFmtId="202" fontId="2" fillId="22" borderId="43" xfId="4" applyNumberFormat="1" applyFont="1" applyFill="1" applyBorder="1"/>
    <xf numFmtId="202" fontId="11" fillId="22" borderId="0" xfId="73" applyNumberFormat="1" applyFont="1" applyFill="1" applyBorder="1"/>
    <xf numFmtId="172" fontId="2" fillId="21" borderId="0" xfId="73" applyNumberFormat="1" applyFont="1" applyFill="1" applyBorder="1"/>
    <xf numFmtId="172" fontId="2" fillId="21" borderId="27" xfId="4" applyNumberFormat="1" applyFont="1" applyFill="1" applyBorder="1"/>
    <xf numFmtId="172" fontId="2" fillId="21" borderId="44" xfId="4" applyNumberFormat="1" applyFont="1" applyFill="1" applyBorder="1"/>
    <xf numFmtId="172" fontId="2" fillId="22" borderId="0" xfId="73" applyNumberFormat="1" applyFont="1" applyFill="1" applyBorder="1"/>
    <xf numFmtId="172" fontId="2" fillId="22" borderId="44" xfId="4" applyNumberFormat="1" applyFont="1" applyFill="1" applyBorder="1"/>
    <xf numFmtId="172" fontId="11" fillId="22" borderId="0" xfId="73" applyNumberFormat="1" applyFont="1" applyFill="1" applyBorder="1"/>
    <xf numFmtId="165" fontId="17" fillId="21" borderId="86" xfId="73" applyNumberFormat="1" applyFont="1" applyFill="1" applyBorder="1"/>
    <xf numFmtId="165" fontId="17" fillId="21" borderId="25" xfId="4" applyNumberFormat="1" applyFont="1" applyFill="1" applyBorder="1"/>
    <xf numFmtId="165" fontId="17" fillId="21" borderId="23" xfId="73" applyNumberFormat="1" applyFont="1" applyFill="1" applyBorder="1"/>
    <xf numFmtId="165" fontId="20" fillId="21" borderId="24" xfId="73" applyNumberFormat="1" applyFont="1" applyFill="1" applyBorder="1"/>
    <xf numFmtId="165" fontId="17" fillId="21" borderId="24" xfId="73" applyNumberFormat="1" applyFont="1" applyFill="1" applyBorder="1"/>
    <xf numFmtId="165" fontId="2" fillId="21" borderId="23" xfId="73" applyNumberFormat="1" applyFont="1" applyFill="1" applyBorder="1"/>
    <xf numFmtId="165" fontId="2" fillId="21" borderId="86" xfId="73" applyNumberFormat="1" applyFont="1" applyFill="1" applyBorder="1"/>
    <xf numFmtId="165" fontId="2" fillId="21" borderId="25" xfId="4" applyNumberFormat="1" applyFont="1" applyFill="1" applyBorder="1"/>
    <xf numFmtId="166" fontId="2" fillId="21" borderId="25" xfId="74" applyNumberFormat="1" applyFont="1" applyFill="1" applyBorder="1"/>
    <xf numFmtId="166" fontId="2" fillId="21" borderId="43" xfId="74" applyNumberFormat="1" applyFont="1" applyFill="1" applyBorder="1"/>
    <xf numFmtId="166" fontId="2" fillId="22" borderId="86" xfId="74" applyNumberFormat="1" applyFont="1" applyFill="1" applyBorder="1"/>
    <xf numFmtId="166" fontId="2" fillId="22" borderId="43" xfId="74" applyNumberFormat="1" applyFont="1" applyFill="1" applyBorder="1"/>
    <xf numFmtId="166" fontId="11" fillId="22" borderId="86" xfId="74" applyNumberFormat="1" applyFont="1" applyFill="1" applyBorder="1"/>
    <xf numFmtId="9" fontId="11" fillId="22" borderId="0" xfId="74" applyNumberFormat="1" applyFont="1" applyFill="1" applyBorder="1"/>
    <xf numFmtId="0" fontId="2" fillId="22" borderId="5" xfId="4" applyFont="1" applyFill="1" applyBorder="1"/>
    <xf numFmtId="0" fontId="2" fillId="22" borderId="27" xfId="4" applyFont="1" applyFill="1" applyBorder="1"/>
    <xf numFmtId="165" fontId="2" fillId="22" borderId="5" xfId="73" applyNumberFormat="1" applyFont="1" applyFill="1" applyBorder="1"/>
    <xf numFmtId="0" fontId="2" fillId="21" borderId="0" xfId="4" applyFont="1" applyFill="1"/>
    <xf numFmtId="0" fontId="11" fillId="21" borderId="0" xfId="4" applyFont="1" applyFill="1"/>
    <xf numFmtId="166" fontId="2" fillId="21" borderId="0" xfId="4" applyNumberFormat="1" applyFont="1" applyFill="1"/>
    <xf numFmtId="0" fontId="2" fillId="22" borderId="0" xfId="4" applyFont="1" applyFill="1"/>
    <xf numFmtId="0" fontId="11" fillId="22" borderId="0" xfId="4" applyFont="1" applyFill="1"/>
    <xf numFmtId="0" fontId="2" fillId="21" borderId="0" xfId="4" applyFont="1" applyFill="1" applyAlignment="1">
      <alignment horizontal="left"/>
    </xf>
    <xf numFmtId="0" fontId="2" fillId="21" borderId="0" xfId="4" applyFont="1" applyFill="1" applyAlignment="1">
      <alignment wrapText="1"/>
    </xf>
    <xf numFmtId="165" fontId="2" fillId="21" borderId="0" xfId="4" applyNumberFormat="1" applyFont="1" applyFill="1"/>
    <xf numFmtId="171" fontId="2" fillId="21" borderId="0" xfId="4" applyNumberFormat="1" applyFont="1" applyFill="1"/>
    <xf numFmtId="0" fontId="10" fillId="21" borderId="103" xfId="4" applyFont="1" applyFill="1" applyBorder="1"/>
    <xf numFmtId="164" fontId="2" fillId="21" borderId="0" xfId="73" applyNumberFormat="1" applyFont="1" applyFill="1"/>
    <xf numFmtId="164" fontId="2" fillId="21" borderId="27" xfId="73" applyNumberFormat="1" applyFont="1" applyFill="1" applyBorder="1"/>
    <xf numFmtId="164" fontId="2" fillId="22" borderId="0" xfId="73" applyNumberFormat="1" applyFont="1" applyFill="1"/>
    <xf numFmtId="164" fontId="2" fillId="22" borderId="27" xfId="73" applyNumberFormat="1" applyFont="1" applyFill="1" applyBorder="1"/>
    <xf numFmtId="165" fontId="2" fillId="22" borderId="0" xfId="73" applyNumberFormat="1" applyFont="1" applyFill="1"/>
    <xf numFmtId="165" fontId="2" fillId="21" borderId="0" xfId="73" applyNumberFormat="1" applyFont="1" applyFill="1"/>
    <xf numFmtId="165" fontId="2" fillId="22" borderId="27" xfId="73" applyNumberFormat="1" applyFont="1" applyFill="1" applyBorder="1"/>
    <xf numFmtId="0" fontId="0" fillId="21" borderId="0" xfId="0" applyFill="1"/>
    <xf numFmtId="0" fontId="0" fillId="22" borderId="0" xfId="0" applyFill="1"/>
    <xf numFmtId="165" fontId="17" fillId="21" borderId="0" xfId="73" applyNumberFormat="1" applyFont="1" applyFill="1"/>
    <xf numFmtId="165" fontId="17" fillId="21" borderId="27" xfId="73" applyNumberFormat="1" applyFont="1" applyFill="1" applyBorder="1"/>
    <xf numFmtId="165" fontId="17" fillId="22" borderId="0" xfId="73" applyNumberFormat="1" applyFont="1" applyFill="1"/>
    <xf numFmtId="164" fontId="10" fillId="21" borderId="103" xfId="73" applyNumberFormat="1" applyFont="1" applyFill="1" applyBorder="1"/>
    <xf numFmtId="7" fontId="10" fillId="21" borderId="103" xfId="73" applyNumberFormat="1" applyFont="1" applyFill="1" applyBorder="1"/>
    <xf numFmtId="7" fontId="10" fillId="21" borderId="11" xfId="73" applyNumberFormat="1" applyFont="1" applyFill="1" applyBorder="1"/>
    <xf numFmtId="7" fontId="10" fillId="22" borderId="103" xfId="73" applyNumberFormat="1" applyFont="1" applyFill="1" applyBorder="1"/>
    <xf numFmtId="7" fontId="10" fillId="22" borderId="11" xfId="73" applyNumberFormat="1" applyFont="1" applyFill="1" applyBorder="1"/>
    <xf numFmtId="0" fontId="15" fillId="21" borderId="103" xfId="4" applyFont="1" applyFill="1" applyBorder="1"/>
    <xf numFmtId="165" fontId="10" fillId="21" borderId="103" xfId="73" applyNumberFormat="1" applyFont="1" applyFill="1" applyBorder="1"/>
    <xf numFmtId="165" fontId="10" fillId="21" borderId="11" xfId="73" applyNumberFormat="1" applyFont="1" applyFill="1" applyBorder="1"/>
    <xf numFmtId="165" fontId="10" fillId="22" borderId="103" xfId="73" applyNumberFormat="1" applyFont="1" applyFill="1" applyBorder="1"/>
    <xf numFmtId="165" fontId="10" fillId="22" borderId="11" xfId="73" applyNumberFormat="1" applyFont="1" applyFill="1" applyBorder="1"/>
    <xf numFmtId="0" fontId="11" fillId="21" borderId="0" xfId="4" applyFont="1" applyFill="1" applyBorder="1"/>
    <xf numFmtId="166" fontId="2" fillId="21" borderId="0" xfId="4" applyNumberFormat="1" applyFont="1" applyFill="1" applyBorder="1"/>
    <xf numFmtId="166" fontId="2" fillId="21" borderId="27" xfId="4" applyNumberFormat="1" applyFont="1" applyFill="1" applyBorder="1"/>
    <xf numFmtId="166" fontId="2" fillId="22" borderId="0" xfId="4" applyNumberFormat="1" applyFont="1" applyFill="1" applyBorder="1"/>
    <xf numFmtId="166" fontId="2" fillId="22" borderId="27" xfId="4" applyNumberFormat="1" applyFont="1" applyFill="1" applyBorder="1"/>
    <xf numFmtId="0" fontId="11" fillId="21" borderId="103" xfId="4" applyFont="1" applyFill="1" applyBorder="1"/>
    <xf numFmtId="166" fontId="2" fillId="21" borderId="11" xfId="74" applyNumberFormat="1" applyFont="1" applyFill="1" applyBorder="1"/>
    <xf numFmtId="166" fontId="2" fillId="22" borderId="103" xfId="74" applyNumberFormat="1" applyFont="1" applyFill="1" applyBorder="1"/>
    <xf numFmtId="166" fontId="2" fillId="22" borderId="11" xfId="74" applyNumberFormat="1" applyFont="1" applyFill="1" applyBorder="1"/>
    <xf numFmtId="0" fontId="10" fillId="21" borderId="11" xfId="4" applyFont="1" applyFill="1" applyBorder="1" applyAlignment="1">
      <alignment horizontal="center"/>
    </xf>
    <xf numFmtId="0" fontId="10" fillId="21" borderId="103" xfId="4" applyFont="1" applyFill="1" applyBorder="1" applyAlignment="1">
      <alignment horizontal="center"/>
    </xf>
    <xf numFmtId="0" fontId="10" fillId="21" borderId="94" xfId="4" applyFont="1" applyFill="1" applyBorder="1" applyAlignment="1">
      <alignment horizontal="center"/>
    </xf>
    <xf numFmtId="0" fontId="10" fillId="21" borderId="45" xfId="4" applyFont="1" applyFill="1" applyBorder="1" applyAlignment="1">
      <alignment horizontal="center"/>
    </xf>
    <xf numFmtId="165" fontId="2" fillId="22" borderId="27" xfId="4" applyNumberFormat="1" applyFont="1" applyFill="1" applyBorder="1" applyAlignment="1">
      <alignment horizontal="right"/>
    </xf>
    <xf numFmtId="165" fontId="2" fillId="22" borderId="0" xfId="4" applyNumberFormat="1" applyFont="1" applyFill="1" applyBorder="1" applyAlignment="1">
      <alignment horizontal="right"/>
    </xf>
    <xf numFmtId="170" fontId="2" fillId="21" borderId="27" xfId="4" applyNumberFormat="1" applyFont="1" applyFill="1" applyBorder="1"/>
    <xf numFmtId="170" fontId="2" fillId="21" borderId="0" xfId="4" applyNumberFormat="1" applyFont="1" applyFill="1" applyBorder="1"/>
    <xf numFmtId="170" fontId="2" fillId="22" borderId="0" xfId="4" applyNumberFormat="1" applyFont="1" applyFill="1" applyBorder="1"/>
    <xf numFmtId="170" fontId="2" fillId="22" borderId="0" xfId="4" applyNumberFormat="1" applyFont="1" applyFill="1" applyBorder="1" applyAlignment="1">
      <alignment horizontal="right"/>
    </xf>
    <xf numFmtId="170" fontId="2" fillId="22" borderId="27" xfId="4" applyNumberFormat="1" applyFont="1" applyFill="1" applyBorder="1" applyAlignment="1">
      <alignment horizontal="right"/>
    </xf>
    <xf numFmtId="170" fontId="78" fillId="22" borderId="0" xfId="4" applyNumberFormat="1" applyFont="1" applyFill="1" applyBorder="1" applyAlignment="1">
      <alignment horizontal="right"/>
    </xf>
    <xf numFmtId="206" fontId="2" fillId="21" borderId="0" xfId="74" applyNumberFormat="1" applyFont="1" applyFill="1" applyBorder="1"/>
    <xf numFmtId="166" fontId="4" fillId="21" borderId="27" xfId="74" applyNumberFormat="1" applyFont="1" applyFill="1" applyBorder="1"/>
    <xf numFmtId="166" fontId="4" fillId="22" borderId="27" xfId="74" applyNumberFormat="1" applyFont="1" applyFill="1" applyBorder="1" applyAlignment="1">
      <alignment horizontal="right"/>
    </xf>
    <xf numFmtId="164" fontId="2" fillId="21" borderId="0" xfId="4" applyNumberFormat="1" applyFont="1" applyFill="1" applyBorder="1"/>
    <xf numFmtId="164" fontId="2" fillId="21" borderId="27" xfId="4" applyNumberFormat="1" applyFont="1" applyFill="1" applyBorder="1"/>
    <xf numFmtId="164" fontId="2" fillId="22" borderId="0" xfId="4" applyNumberFormat="1" applyFont="1" applyFill="1" applyBorder="1"/>
    <xf numFmtId="164" fontId="2" fillId="22" borderId="0" xfId="4" applyNumberFormat="1" applyFont="1" applyFill="1" applyBorder="1" applyAlignment="1">
      <alignment horizontal="right"/>
    </xf>
    <xf numFmtId="164" fontId="2" fillId="22" borderId="27" xfId="4" applyNumberFormat="1" applyFont="1" applyFill="1" applyBorder="1" applyAlignment="1">
      <alignment horizontal="right"/>
    </xf>
    <xf numFmtId="164" fontId="78" fillId="22" borderId="0" xfId="4" applyNumberFormat="1" applyFont="1" applyFill="1" applyBorder="1" applyAlignment="1">
      <alignment horizontal="right"/>
    </xf>
    <xf numFmtId="165" fontId="2" fillId="21" borderId="0" xfId="4" applyNumberFormat="1" applyFont="1" applyFill="1" applyBorder="1" applyAlignment="1">
      <alignment horizontal="right"/>
    </xf>
    <xf numFmtId="165" fontId="2" fillId="21" borderId="27" xfId="4" applyNumberFormat="1" applyFont="1" applyFill="1" applyBorder="1" applyAlignment="1">
      <alignment horizontal="right"/>
    </xf>
    <xf numFmtId="165" fontId="78" fillId="22" borderId="0" xfId="4" applyNumberFormat="1" applyFont="1" applyFill="1" applyBorder="1" applyAlignment="1">
      <alignment horizontal="right"/>
    </xf>
    <xf numFmtId="164" fontId="2" fillId="21" borderId="0" xfId="4" applyNumberFormat="1" applyFont="1" applyFill="1" applyBorder="1" applyAlignment="1">
      <alignment horizontal="right"/>
    </xf>
    <xf numFmtId="165" fontId="2" fillId="21" borderId="86" xfId="4" applyNumberFormat="1" applyFont="1" applyFill="1" applyBorder="1"/>
    <xf numFmtId="165" fontId="2" fillId="22" borderId="86" xfId="4" applyNumberFormat="1" applyFont="1" applyFill="1" applyBorder="1"/>
    <xf numFmtId="165" fontId="2" fillId="22" borderId="86" xfId="4" applyNumberFormat="1" applyFont="1" applyFill="1" applyBorder="1" applyAlignment="1">
      <alignment horizontal="right"/>
    </xf>
    <xf numFmtId="165" fontId="2" fillId="22" borderId="25" xfId="4" applyNumberFormat="1" applyFont="1" applyFill="1" applyBorder="1" applyAlignment="1">
      <alignment horizontal="right"/>
    </xf>
    <xf numFmtId="166" fontId="2" fillId="21" borderId="27" xfId="74" applyNumberFormat="1" applyFont="1" applyFill="1" applyBorder="1" applyAlignment="1">
      <alignment horizontal="right"/>
    </xf>
    <xf numFmtId="166" fontId="2" fillId="22" borderId="27" xfId="74" applyNumberFormat="1" applyFont="1" applyFill="1" applyBorder="1" applyAlignment="1">
      <alignment horizontal="right"/>
    </xf>
    <xf numFmtId="166" fontId="22" fillId="21" borderId="0" xfId="4" applyNumberFormat="1" applyFont="1" applyFill="1" applyBorder="1"/>
    <xf numFmtId="166" fontId="27" fillId="21" borderId="0" xfId="4" applyNumberFormat="1" applyFont="1" applyFill="1" applyBorder="1"/>
    <xf numFmtId="41" fontId="2" fillId="21" borderId="0" xfId="4" applyNumberFormat="1" applyFont="1" applyFill="1" applyBorder="1"/>
    <xf numFmtId="41" fontId="11" fillId="21" borderId="0" xfId="4" applyNumberFormat="1" applyFont="1" applyFill="1" applyBorder="1"/>
    <xf numFmtId="41" fontId="2" fillId="21" borderId="27" xfId="4" applyNumberFormat="1" applyFont="1" applyFill="1" applyBorder="1"/>
    <xf numFmtId="41" fontId="2" fillId="21" borderId="5" xfId="4" applyNumberFormat="1" applyFont="1" applyFill="1" applyBorder="1"/>
    <xf numFmtId="41" fontId="2" fillId="22" borderId="0" xfId="4" applyNumberFormat="1" applyFont="1" applyFill="1" applyBorder="1"/>
    <xf numFmtId="41" fontId="2" fillId="22" borderId="5" xfId="4" applyNumberFormat="1" applyFont="1" applyFill="1" applyBorder="1"/>
    <xf numFmtId="165" fontId="2" fillId="22" borderId="27" xfId="4" applyNumberFormat="1" applyFont="1" applyFill="1" applyBorder="1"/>
    <xf numFmtId="0" fontId="27" fillId="21" borderId="0" xfId="4" applyFont="1" applyFill="1" applyBorder="1"/>
    <xf numFmtId="0" fontId="22" fillId="21" borderId="27" xfId="4" applyFont="1" applyFill="1" applyBorder="1"/>
    <xf numFmtId="9" fontId="22" fillId="21" borderId="27" xfId="74" applyFont="1" applyFill="1" applyBorder="1"/>
    <xf numFmtId="9" fontId="22" fillId="21" borderId="0" xfId="74" applyFont="1" applyFill="1" applyBorder="1"/>
    <xf numFmtId="166" fontId="25" fillId="22" borderId="0" xfId="74" applyNumberFormat="1" applyFont="1" applyFill="1" applyBorder="1"/>
    <xf numFmtId="0" fontId="10" fillId="21" borderId="86" xfId="4" applyFont="1" applyFill="1" applyBorder="1"/>
    <xf numFmtId="0" fontId="15" fillId="21" borderId="86" xfId="4" applyFont="1" applyFill="1" applyBorder="1"/>
    <xf numFmtId="0" fontId="10" fillId="21" borderId="25" xfId="4" applyFont="1" applyFill="1" applyBorder="1"/>
    <xf numFmtId="166" fontId="10" fillId="21" borderId="25" xfId="74" applyNumberFormat="1" applyFont="1" applyFill="1" applyBorder="1"/>
    <xf numFmtId="165" fontId="10" fillId="21" borderId="86" xfId="4" applyNumberFormat="1" applyFont="1" applyFill="1" applyBorder="1"/>
    <xf numFmtId="165" fontId="10" fillId="22" borderId="86" xfId="4" applyNumberFormat="1" applyFont="1" applyFill="1" applyBorder="1"/>
    <xf numFmtId="1" fontId="10" fillId="22" borderId="86" xfId="4" applyNumberFormat="1" applyFont="1" applyFill="1" applyBorder="1"/>
    <xf numFmtId="1" fontId="10" fillId="22" borderId="25" xfId="4" applyNumberFormat="1" applyFont="1" applyFill="1" applyBorder="1"/>
    <xf numFmtId="9" fontId="22" fillId="21" borderId="27" xfId="74" applyNumberFormat="1" applyFont="1" applyFill="1" applyBorder="1"/>
    <xf numFmtId="9" fontId="22" fillId="21" borderId="0" xfId="74" applyNumberFormat="1" applyFont="1" applyFill="1" applyBorder="1"/>
    <xf numFmtId="9" fontId="22" fillId="22" borderId="0" xfId="74" applyNumberFormat="1" applyFont="1" applyFill="1" applyBorder="1"/>
    <xf numFmtId="9" fontId="22" fillId="22" borderId="27" xfId="74" applyNumberFormat="1" applyFont="1" applyFill="1" applyBorder="1"/>
    <xf numFmtId="7" fontId="2" fillId="21" borderId="27" xfId="4" applyNumberFormat="1" applyFont="1" applyFill="1" applyBorder="1"/>
    <xf numFmtId="43" fontId="2" fillId="21" borderId="0" xfId="4" applyNumberFormat="1" applyFont="1" applyFill="1" applyBorder="1"/>
    <xf numFmtId="2" fontId="2" fillId="21" borderId="0" xfId="4" applyNumberFormat="1" applyFont="1" applyFill="1" applyBorder="1"/>
    <xf numFmtId="43" fontId="2" fillId="21" borderId="5" xfId="4" applyNumberFormat="1" applyFont="1" applyFill="1" applyBorder="1"/>
    <xf numFmtId="2" fontId="2" fillId="22" borderId="0" xfId="4" applyNumberFormat="1" applyFont="1" applyFill="1" applyBorder="1"/>
    <xf numFmtId="7" fontId="2" fillId="22" borderId="27" xfId="4" applyNumberFormat="1" applyFont="1" applyFill="1" applyBorder="1"/>
    <xf numFmtId="0" fontId="2" fillId="21" borderId="25" xfId="4" applyFont="1" applyFill="1" applyBorder="1"/>
    <xf numFmtId="0" fontId="2" fillId="22" borderId="25" xfId="4" applyFont="1" applyFill="1" applyBorder="1"/>
    <xf numFmtId="9" fontId="2" fillId="21" borderId="0" xfId="74" applyFont="1" applyFill="1" applyBorder="1"/>
    <xf numFmtId="9" fontId="2" fillId="22" borderId="0" xfId="74" applyFont="1" applyFill="1" applyBorder="1"/>
    <xf numFmtId="9" fontId="2" fillId="21" borderId="0" xfId="4" applyNumberFormat="1" applyFont="1" applyFill="1" applyBorder="1"/>
    <xf numFmtId="179" fontId="2" fillId="21" borderId="0" xfId="4" applyNumberFormat="1" applyFont="1" applyFill="1" applyBorder="1"/>
    <xf numFmtId="179" fontId="2" fillId="21" borderId="27" xfId="4" applyNumberFormat="1" applyFont="1" applyFill="1" applyBorder="1"/>
    <xf numFmtId="179" fontId="2" fillId="22" borderId="0" xfId="4" applyNumberFormat="1" applyFont="1" applyFill="1" applyBorder="1"/>
    <xf numFmtId="179" fontId="2" fillId="22" borderId="27" xfId="4" applyNumberFormat="1" applyFont="1" applyFill="1" applyBorder="1"/>
    <xf numFmtId="166" fontId="2" fillId="22" borderId="25" xfId="74" applyNumberFormat="1" applyFont="1" applyFill="1" applyBorder="1"/>
    <xf numFmtId="165" fontId="2" fillId="21" borderId="25" xfId="4" applyNumberFormat="1" applyFont="1" applyFill="1" applyBorder="1" applyAlignment="1">
      <alignment horizontal="right"/>
    </xf>
    <xf numFmtId="0" fontId="0" fillId="21" borderId="0" xfId="4" applyFont="1" applyFill="1" applyBorder="1"/>
    <xf numFmtId="165" fontId="0" fillId="21" borderId="0" xfId="4" applyNumberFormat="1" applyFont="1" applyFill="1" applyBorder="1"/>
    <xf numFmtId="0" fontId="0" fillId="22" borderId="0" xfId="4" applyFont="1" applyFill="1" applyBorder="1"/>
    <xf numFmtId="44" fontId="2" fillId="22" borderId="0" xfId="4" applyNumberFormat="1" applyFont="1" applyFill="1" applyBorder="1"/>
    <xf numFmtId="44" fontId="2" fillId="22" borderId="27" xfId="4" applyNumberFormat="1" applyFont="1" applyFill="1" applyBorder="1"/>
    <xf numFmtId="165" fontId="2" fillId="21" borderId="0" xfId="54" applyNumberFormat="1" applyFont="1" applyFill="1" applyBorder="1"/>
    <xf numFmtId="41" fontId="2" fillId="21" borderId="27" xfId="54" applyNumberFormat="1" applyFont="1" applyFill="1" applyBorder="1" applyAlignment="1">
      <alignment horizontal="right"/>
    </xf>
    <xf numFmtId="165" fontId="2" fillId="22" borderId="0" xfId="54" applyNumberFormat="1" applyFont="1" applyFill="1" applyBorder="1"/>
    <xf numFmtId="41" fontId="2" fillId="22" borderId="27" xfId="54" applyNumberFormat="1" applyFont="1" applyFill="1" applyBorder="1" applyAlignment="1">
      <alignment horizontal="right"/>
    </xf>
    <xf numFmtId="165" fontId="2" fillId="21" borderId="25" xfId="73" applyNumberFormat="1" applyFont="1" applyFill="1" applyBorder="1"/>
    <xf numFmtId="165" fontId="2" fillId="22" borderId="86" xfId="73" applyNumberFormat="1" applyFont="1" applyFill="1" applyBorder="1"/>
    <xf numFmtId="165" fontId="2" fillId="22" borderId="25" xfId="73" applyNumberFormat="1" applyFont="1" applyFill="1" applyBorder="1"/>
    <xf numFmtId="0" fontId="10" fillId="22" borderId="111" xfId="4" applyFont="1" applyFill="1" applyBorder="1" applyAlignment="1">
      <alignment horizontal="center"/>
    </xf>
    <xf numFmtId="165" fontId="2" fillId="22" borderId="112" xfId="4" applyNumberFormat="1" applyFont="1" applyFill="1" applyBorder="1"/>
    <xf numFmtId="165" fontId="2" fillId="21" borderId="113" xfId="73" applyNumberFormat="1" applyFont="1" applyFill="1" applyBorder="1"/>
    <xf numFmtId="165" fontId="10" fillId="21" borderId="113" xfId="4" applyNumberFormat="1" applyFont="1" applyFill="1" applyBorder="1"/>
    <xf numFmtId="165" fontId="10" fillId="22" borderId="112" xfId="4" applyNumberFormat="1" applyFont="1" applyFill="1" applyBorder="1"/>
    <xf numFmtId="0" fontId="2" fillId="21" borderId="113" xfId="4" applyFont="1" applyFill="1" applyBorder="1"/>
    <xf numFmtId="165" fontId="2" fillId="21" borderId="113" xfId="4" applyNumberFormat="1" applyFont="1" applyFill="1" applyBorder="1"/>
    <xf numFmtId="44" fontId="10" fillId="21" borderId="111" xfId="75" applyNumberFormat="1" applyFont="1" applyFill="1" applyBorder="1"/>
    <xf numFmtId="44" fontId="22" fillId="21" borderId="102" xfId="75" applyNumberFormat="1" applyFont="1" applyFill="1" applyBorder="1"/>
    <xf numFmtId="165" fontId="17" fillId="21" borderId="113" xfId="73" applyNumberFormat="1" applyFont="1" applyFill="1" applyBorder="1"/>
    <xf numFmtId="0" fontId="2" fillId="22" borderId="112" xfId="4" applyFont="1" applyFill="1" applyBorder="1"/>
    <xf numFmtId="165" fontId="78" fillId="21" borderId="113" xfId="73" applyNumberFormat="1" applyFont="1" applyFill="1" applyBorder="1" applyAlignment="1">
      <alignment horizontal="center"/>
    </xf>
    <xf numFmtId="165" fontId="78" fillId="21" borderId="112" xfId="73" applyNumberFormat="1" applyFont="1" applyFill="1" applyBorder="1"/>
    <xf numFmtId="165" fontId="78" fillId="22" borderId="112" xfId="73" applyNumberFormat="1" applyFont="1" applyFill="1" applyBorder="1"/>
    <xf numFmtId="165" fontId="78" fillId="22" borderId="112" xfId="4" applyNumberFormat="1" applyFont="1" applyFill="1" applyBorder="1"/>
    <xf numFmtId="165" fontId="84" fillId="21" borderId="113" xfId="73" applyNumberFormat="1" applyFont="1" applyFill="1" applyBorder="1" applyAlignment="1">
      <alignment horizontal="center"/>
    </xf>
    <xf numFmtId="165" fontId="84" fillId="22" borderId="112" xfId="4" applyNumberFormat="1" applyFont="1" applyFill="1" applyBorder="1"/>
    <xf numFmtId="165" fontId="77" fillId="21" borderId="113" xfId="73" applyNumberFormat="1" applyFont="1" applyFill="1" applyBorder="1"/>
    <xf numFmtId="165" fontId="77" fillId="21" borderId="113" xfId="4" applyNumberFormat="1" applyFont="1" applyFill="1" applyBorder="1"/>
    <xf numFmtId="165" fontId="77" fillId="22" borderId="112" xfId="4" applyNumberFormat="1" applyFont="1" applyFill="1" applyBorder="1"/>
    <xf numFmtId="0" fontId="10" fillId="21" borderId="113" xfId="4" applyFont="1" applyFill="1" applyBorder="1"/>
    <xf numFmtId="0" fontId="10" fillId="22" borderId="112" xfId="4" applyFont="1" applyFill="1" applyBorder="1"/>
    <xf numFmtId="165" fontId="2" fillId="21" borderId="113" xfId="73" applyNumberFormat="1" applyFont="1" applyFill="1" applyBorder="1" applyAlignment="1">
      <alignment horizontal="center"/>
    </xf>
    <xf numFmtId="165" fontId="2" fillId="21" borderId="112" xfId="4" applyNumberFormat="1" applyFont="1" applyFill="1" applyBorder="1"/>
    <xf numFmtId="165" fontId="18" fillId="21" borderId="113" xfId="73" applyNumberFormat="1" applyFont="1" applyFill="1" applyBorder="1" applyAlignment="1">
      <alignment horizontal="center"/>
    </xf>
    <xf numFmtId="165" fontId="18" fillId="21" borderId="112" xfId="4" applyNumberFormat="1" applyFont="1" applyFill="1" applyBorder="1"/>
    <xf numFmtId="165" fontId="18" fillId="22" borderId="112" xfId="4" applyNumberFormat="1" applyFont="1" applyFill="1" applyBorder="1"/>
    <xf numFmtId="165" fontId="10" fillId="21" borderId="113" xfId="73" applyNumberFormat="1" applyFont="1" applyFill="1" applyBorder="1"/>
    <xf numFmtId="165" fontId="10" fillId="21" borderId="112" xfId="4" applyNumberFormat="1" applyFont="1" applyFill="1" applyBorder="1"/>
    <xf numFmtId="165" fontId="17" fillId="22" borderId="112" xfId="4" applyNumberFormat="1" applyFont="1" applyFill="1" applyBorder="1"/>
    <xf numFmtId="165" fontId="10" fillId="22" borderId="112" xfId="73" applyNumberFormat="1" applyFont="1" applyFill="1" applyBorder="1"/>
    <xf numFmtId="165" fontId="2" fillId="21" borderId="115" xfId="4" applyNumberFormat="1" applyFont="1" applyFill="1" applyBorder="1"/>
    <xf numFmtId="165" fontId="2" fillId="22" borderId="116" xfId="4" applyNumberFormat="1" applyFont="1" applyFill="1" applyBorder="1"/>
    <xf numFmtId="165" fontId="2" fillId="21" borderId="117" xfId="73" applyNumberFormat="1" applyFont="1" applyFill="1" applyBorder="1"/>
    <xf numFmtId="165" fontId="2" fillId="21" borderId="115" xfId="73" applyNumberFormat="1" applyFont="1" applyFill="1" applyBorder="1"/>
    <xf numFmtId="165" fontId="2" fillId="22" borderId="116" xfId="73" applyNumberFormat="1" applyFont="1" applyFill="1" applyBorder="1"/>
    <xf numFmtId="165" fontId="10" fillId="21" borderId="117" xfId="4" applyNumberFormat="1" applyFont="1" applyFill="1" applyBorder="1"/>
    <xf numFmtId="165" fontId="10" fillId="22" borderId="116" xfId="4" applyNumberFormat="1" applyFont="1" applyFill="1" applyBorder="1"/>
    <xf numFmtId="0" fontId="2" fillId="21" borderId="117" xfId="4" applyFont="1" applyFill="1" applyBorder="1"/>
    <xf numFmtId="165" fontId="2" fillId="21" borderId="117" xfId="4" applyNumberFormat="1" applyFont="1" applyFill="1" applyBorder="1"/>
    <xf numFmtId="44" fontId="78" fillId="22" borderId="116" xfId="4" applyNumberFormat="1" applyFont="1" applyFill="1" applyBorder="1"/>
    <xf numFmtId="44" fontId="10" fillId="21" borderId="117" xfId="75" applyFont="1" applyFill="1" applyBorder="1"/>
    <xf numFmtId="7" fontId="10" fillId="21" borderId="117" xfId="75" applyNumberFormat="1" applyFont="1" applyFill="1" applyBorder="1"/>
    <xf numFmtId="7" fontId="10" fillId="22" borderId="116" xfId="75" applyNumberFormat="1" applyFont="1" applyFill="1" applyBorder="1"/>
    <xf numFmtId="44" fontId="2" fillId="21" borderId="117" xfId="75" applyNumberFormat="1" applyFont="1" applyFill="1" applyBorder="1"/>
    <xf numFmtId="7" fontId="2" fillId="21" borderId="117" xfId="75" applyNumberFormat="1" applyFont="1" applyFill="1" applyBorder="1"/>
    <xf numFmtId="7" fontId="2" fillId="22" borderId="116" xfId="75" applyNumberFormat="1" applyFont="1" applyFill="1" applyBorder="1"/>
    <xf numFmtId="44" fontId="22" fillId="21" borderId="117" xfId="75" applyFont="1" applyFill="1" applyBorder="1"/>
    <xf numFmtId="44" fontId="22" fillId="21" borderId="117" xfId="75" applyNumberFormat="1" applyFont="1" applyFill="1" applyBorder="1"/>
    <xf numFmtId="172" fontId="22" fillId="21" borderId="118" xfId="4" applyNumberFormat="1" applyFont="1" applyFill="1" applyBorder="1"/>
    <xf numFmtId="7" fontId="22" fillId="21" borderId="119" xfId="4" applyNumberFormat="1" applyFont="1" applyFill="1" applyBorder="1"/>
    <xf numFmtId="172" fontId="22" fillId="21" borderId="119" xfId="4" applyNumberFormat="1" applyFont="1" applyFill="1" applyBorder="1"/>
    <xf numFmtId="172" fontId="22" fillId="21" borderId="120" xfId="4" applyNumberFormat="1" applyFont="1" applyFill="1" applyBorder="1"/>
    <xf numFmtId="172" fontId="25" fillId="21" borderId="119" xfId="4" applyNumberFormat="1" applyFont="1" applyFill="1" applyBorder="1"/>
    <xf numFmtId="172" fontId="25" fillId="21" borderId="118" xfId="4" applyNumberFormat="1" applyFont="1" applyFill="1" applyBorder="1"/>
    <xf numFmtId="172" fontId="25" fillId="22" borderId="119" xfId="4" applyNumberFormat="1" applyFont="1" applyFill="1" applyBorder="1"/>
    <xf numFmtId="172" fontId="22" fillId="22" borderId="119" xfId="4" applyNumberFormat="1" applyFont="1" applyFill="1" applyBorder="1"/>
    <xf numFmtId="172" fontId="22" fillId="22" borderId="118" xfId="4" applyNumberFormat="1" applyFont="1" applyFill="1" applyBorder="1"/>
    <xf numFmtId="172" fontId="27" fillId="22" borderId="119" xfId="4" applyNumberFormat="1" applyFont="1" applyFill="1" applyBorder="1"/>
    <xf numFmtId="1" fontId="2" fillId="21" borderId="119" xfId="4" applyNumberFormat="1" applyFont="1" applyFill="1" applyBorder="1"/>
    <xf numFmtId="1" fontId="2" fillId="21" borderId="118" xfId="4" applyNumberFormat="1" applyFont="1" applyFill="1" applyBorder="1"/>
    <xf numFmtId="1" fontId="2" fillId="22" borderId="119" xfId="4" applyNumberFormat="1" applyFont="1" applyFill="1" applyBorder="1"/>
    <xf numFmtId="1" fontId="2" fillId="22" borderId="121" xfId="4" applyNumberFormat="1" applyFont="1" applyFill="1" applyBorder="1"/>
    <xf numFmtId="1" fontId="11" fillId="22" borderId="119" xfId="4" applyNumberFormat="1" applyFont="1" applyFill="1" applyBorder="1"/>
    <xf numFmtId="166" fontId="2" fillId="21" borderId="117" xfId="74" applyNumberFormat="1" applyFont="1" applyFill="1" applyBorder="1"/>
    <xf numFmtId="166" fontId="2" fillId="22" borderId="116" xfId="74" applyNumberFormat="1" applyFont="1" applyFill="1" applyBorder="1"/>
    <xf numFmtId="166" fontId="10" fillId="21" borderId="117" xfId="74" applyNumberFormat="1" applyFont="1" applyFill="1" applyBorder="1"/>
    <xf numFmtId="166" fontId="15" fillId="21" borderId="117" xfId="74" applyNumberFormat="1" applyFont="1" applyFill="1" applyBorder="1"/>
    <xf numFmtId="166" fontId="10" fillId="22" borderId="116" xfId="74" applyNumberFormat="1" applyFont="1" applyFill="1" applyBorder="1"/>
    <xf numFmtId="166" fontId="11" fillId="21" borderId="117" xfId="74" applyNumberFormat="1" applyFont="1" applyFill="1" applyBorder="1"/>
    <xf numFmtId="0" fontId="10" fillId="21" borderId="115" xfId="4" applyFont="1" applyFill="1" applyBorder="1"/>
    <xf numFmtId="166" fontId="10" fillId="21" borderId="115" xfId="74" applyNumberFormat="1" applyFont="1" applyFill="1" applyBorder="1"/>
    <xf numFmtId="166" fontId="22" fillId="21" borderId="117" xfId="74" applyNumberFormat="1" applyFont="1" applyFill="1" applyBorder="1"/>
    <xf numFmtId="166" fontId="27" fillId="21" borderId="117" xfId="74" applyNumberFormat="1" applyFont="1" applyFill="1" applyBorder="1"/>
    <xf numFmtId="166" fontId="22" fillId="22" borderId="116" xfId="74" applyNumberFormat="1" applyFont="1" applyFill="1" applyBorder="1"/>
    <xf numFmtId="9" fontId="2" fillId="21" borderId="117" xfId="74" applyNumberFormat="1" applyFont="1" applyFill="1" applyBorder="1"/>
    <xf numFmtId="9" fontId="2" fillId="21" borderId="117" xfId="74" applyNumberFormat="1" applyFont="1" applyFill="1" applyBorder="1" applyAlignment="1">
      <alignment horizontal="right"/>
    </xf>
    <xf numFmtId="166" fontId="2" fillId="22" borderId="116" xfId="74" applyNumberFormat="1" applyFont="1" applyFill="1" applyBorder="1" applyAlignment="1">
      <alignment horizontal="right"/>
    </xf>
    <xf numFmtId="9" fontId="2" fillId="21" borderId="117" xfId="62" applyNumberFormat="1" applyFont="1" applyFill="1" applyBorder="1"/>
    <xf numFmtId="9" fontId="2" fillId="21" borderId="117" xfId="62" applyNumberFormat="1" applyFont="1" applyFill="1" applyBorder="1" applyAlignment="1">
      <alignment horizontal="right"/>
    </xf>
    <xf numFmtId="165" fontId="17" fillId="21" borderId="117" xfId="73" applyNumberFormat="1" applyFont="1" applyFill="1" applyBorder="1"/>
    <xf numFmtId="172" fontId="2" fillId="22" borderId="116" xfId="4" applyNumberFormat="1" applyFont="1" applyFill="1" applyBorder="1"/>
    <xf numFmtId="164" fontId="2" fillId="22" borderId="101" xfId="73" applyNumberFormat="1" applyFont="1" applyFill="1" applyBorder="1"/>
    <xf numFmtId="0" fontId="2" fillId="21" borderId="119" xfId="4" applyFont="1" applyFill="1" applyBorder="1"/>
    <xf numFmtId="0" fontId="11" fillId="21" borderId="119" xfId="4" applyFont="1" applyFill="1" applyBorder="1"/>
    <xf numFmtId="165" fontId="2" fillId="21" borderId="101" xfId="4" applyNumberFormat="1" applyFont="1" applyFill="1" applyBorder="1"/>
    <xf numFmtId="165" fontId="2" fillId="21" borderId="119" xfId="4" applyNumberFormat="1" applyFont="1" applyFill="1" applyBorder="1"/>
    <xf numFmtId="165" fontId="2" fillId="22" borderId="119" xfId="4" applyNumberFormat="1" applyFont="1" applyFill="1" applyBorder="1"/>
    <xf numFmtId="165" fontId="2" fillId="22" borderId="119" xfId="4" applyNumberFormat="1" applyFont="1" applyFill="1" applyBorder="1" applyAlignment="1">
      <alignment horizontal="right"/>
    </xf>
    <xf numFmtId="165" fontId="2" fillId="22" borderId="101" xfId="4" applyNumberFormat="1" applyFont="1" applyFill="1" applyBorder="1" applyAlignment="1">
      <alignment horizontal="right"/>
    </xf>
    <xf numFmtId="165" fontId="2" fillId="21" borderId="101" xfId="4" applyNumberFormat="1" applyFont="1" applyFill="1" applyBorder="1" applyAlignment="1">
      <alignment horizontal="right"/>
    </xf>
    <xf numFmtId="165" fontId="2" fillId="22" borderId="101" xfId="4" applyNumberFormat="1" applyFont="1" applyFill="1" applyBorder="1"/>
    <xf numFmtId="171" fontId="2" fillId="21" borderId="119" xfId="4" applyNumberFormat="1" applyFont="1" applyFill="1" applyBorder="1"/>
    <xf numFmtId="0" fontId="2" fillId="21" borderId="120" xfId="4" applyFont="1" applyFill="1" applyBorder="1"/>
    <xf numFmtId="0" fontId="2" fillId="21" borderId="101" xfId="4" applyFont="1" applyFill="1" applyBorder="1"/>
    <xf numFmtId="0" fontId="2" fillId="22" borderId="119" xfId="4" applyFont="1" applyFill="1" applyBorder="1"/>
    <xf numFmtId="0" fontId="2" fillId="22" borderId="101" xfId="4" applyFont="1" applyFill="1" applyBorder="1"/>
    <xf numFmtId="44" fontId="2" fillId="21" borderId="117" xfId="4" applyNumberFormat="1" applyFont="1" applyFill="1" applyBorder="1"/>
    <xf numFmtId="165" fontId="2" fillId="21" borderId="117" xfId="54" applyNumberFormat="1" applyFont="1" applyFill="1" applyBorder="1"/>
    <xf numFmtId="0" fontId="0" fillId="0" borderId="0" xfId="0"/>
    <xf numFmtId="0" fontId="2" fillId="16" borderId="123" xfId="3" applyFont="1" applyFill="1" applyBorder="1"/>
    <xf numFmtId="165" fontId="2" fillId="22" borderId="112" xfId="73" applyNumberFormat="1" applyFont="1" applyFill="1" applyBorder="1"/>
    <xf numFmtId="0" fontId="2" fillId="16" borderId="117" xfId="3" applyFont="1" applyFill="1" applyBorder="1"/>
    <xf numFmtId="7" fontId="2" fillId="22" borderId="112" xfId="75" applyNumberFormat="1" applyFont="1" applyFill="1" applyBorder="1"/>
    <xf numFmtId="0" fontId="10" fillId="16" borderId="117" xfId="3" applyFont="1" applyFill="1" applyBorder="1"/>
    <xf numFmtId="165" fontId="2" fillId="0" borderId="0" xfId="37" applyNumberFormat="1" applyFont="1" applyBorder="1"/>
    <xf numFmtId="165" fontId="17" fillId="17" borderId="0" xfId="37" applyNumberFormat="1" applyFont="1" applyFill="1" applyBorder="1" applyAlignment="1">
      <alignment horizontal="center"/>
    </xf>
    <xf numFmtId="0" fontId="15" fillId="21" borderId="0" xfId="4" applyFont="1" applyFill="1" applyBorder="1"/>
    <xf numFmtId="164" fontId="10" fillId="21" borderId="0" xfId="73" applyNumberFormat="1" applyFont="1" applyFill="1" applyBorder="1"/>
    <xf numFmtId="165" fontId="10" fillId="22" borderId="27" xfId="73" applyNumberFormat="1" applyFont="1" applyFill="1" applyBorder="1"/>
    <xf numFmtId="165" fontId="10" fillId="17" borderId="0" xfId="39" applyNumberFormat="1" applyFont="1" applyFill="1" applyBorder="1"/>
    <xf numFmtId="7" fontId="16" fillId="17" borderId="0" xfId="39" applyNumberFormat="1" applyFont="1" applyFill="1" applyBorder="1"/>
    <xf numFmtId="7" fontId="10" fillId="17" borderId="0" xfId="39" applyNumberFormat="1" applyFont="1" applyFill="1" applyBorder="1"/>
    <xf numFmtId="0" fontId="13" fillId="17" borderId="0" xfId="4" applyFont="1" applyFill="1" applyBorder="1"/>
    <xf numFmtId="165" fontId="78" fillId="17" borderId="0" xfId="73" applyNumberFormat="1" applyFont="1" applyFill="1" applyBorder="1" applyAlignment="1">
      <alignment horizontal="center"/>
    </xf>
    <xf numFmtId="165" fontId="84" fillId="17" borderId="0" xfId="73" applyNumberFormat="1" applyFont="1" applyFill="1" applyBorder="1" applyAlignment="1">
      <alignment horizontal="center"/>
    </xf>
    <xf numFmtId="165" fontId="77" fillId="17" borderId="0" xfId="4" applyNumberFormat="1" applyFont="1" applyFill="1" applyBorder="1"/>
    <xf numFmtId="0" fontId="77" fillId="17" borderId="0" xfId="4" applyFont="1" applyFill="1" applyBorder="1"/>
    <xf numFmtId="165" fontId="78" fillId="17" borderId="0" xfId="4" applyNumberFormat="1" applyFont="1" applyFill="1" applyBorder="1"/>
    <xf numFmtId="165" fontId="78" fillId="17" borderId="0" xfId="73" applyNumberFormat="1" applyFont="1" applyFill="1" applyBorder="1"/>
    <xf numFmtId="165" fontId="84" fillId="17" borderId="0" xfId="73" applyNumberFormat="1" applyFont="1" applyFill="1" applyBorder="1"/>
    <xf numFmtId="165" fontId="77" fillId="17" borderId="0" xfId="73" applyNumberFormat="1" applyFont="1" applyFill="1" applyBorder="1"/>
    <xf numFmtId="44" fontId="78" fillId="17" borderId="0" xfId="4" applyNumberFormat="1" applyFont="1" applyFill="1" applyBorder="1"/>
    <xf numFmtId="7" fontId="10" fillId="17" borderId="94" xfId="75" applyNumberFormat="1" applyFont="1" applyFill="1" applyBorder="1"/>
    <xf numFmtId="7" fontId="10" fillId="17" borderId="5" xfId="39" applyNumberFormat="1" applyFont="1" applyFill="1" applyBorder="1"/>
    <xf numFmtId="7" fontId="2" fillId="17" borderId="5" xfId="39" applyNumberFormat="1" applyFont="1" applyFill="1" applyBorder="1"/>
    <xf numFmtId="172" fontId="25" fillId="17" borderId="118" xfId="4" applyNumberFormat="1" applyFont="1" applyFill="1" applyBorder="1"/>
    <xf numFmtId="1" fontId="2" fillId="17" borderId="118" xfId="4" applyNumberFormat="1" applyFont="1" applyFill="1" applyBorder="1"/>
    <xf numFmtId="166" fontId="2" fillId="17" borderId="5" xfId="74" applyNumberFormat="1" applyFont="1" applyFill="1" applyBorder="1"/>
    <xf numFmtId="166" fontId="10" fillId="17" borderId="5" xfId="74" applyNumberFormat="1" applyFont="1" applyFill="1" applyBorder="1"/>
    <xf numFmtId="166" fontId="2" fillId="17" borderId="5" xfId="62" applyNumberFormat="1" applyFont="1" applyFill="1" applyBorder="1" applyAlignment="1">
      <alignment horizontal="right"/>
    </xf>
    <xf numFmtId="166" fontId="18" fillId="17" borderId="5" xfId="62" applyNumberFormat="1" applyFont="1" applyFill="1" applyBorder="1" applyAlignment="1">
      <alignment horizontal="right"/>
    </xf>
    <xf numFmtId="202" fontId="2" fillId="17" borderId="0" xfId="73" applyNumberFormat="1" applyFont="1" applyFill="1" applyBorder="1"/>
    <xf numFmtId="172" fontId="2" fillId="17" borderId="0" xfId="73" applyNumberFormat="1" applyFont="1" applyFill="1" applyBorder="1"/>
    <xf numFmtId="166" fontId="2" fillId="17" borderId="86" xfId="74" applyNumberFormat="1" applyFont="1" applyFill="1" applyBorder="1"/>
    <xf numFmtId="9" fontId="2" fillId="17" borderId="0" xfId="74" applyNumberFormat="1" applyFont="1" applyFill="1" applyBorder="1"/>
    <xf numFmtId="0" fontId="10" fillId="17" borderId="103" xfId="4" applyFont="1" applyFill="1" applyBorder="1" applyAlignment="1">
      <alignment horizontal="center"/>
    </xf>
    <xf numFmtId="164" fontId="2" fillId="17" borderId="0" xfId="73" applyNumberFormat="1" applyFont="1" applyFill="1"/>
    <xf numFmtId="7" fontId="10" fillId="17" borderId="103" xfId="73" applyNumberFormat="1" applyFont="1" applyFill="1" applyBorder="1"/>
    <xf numFmtId="165" fontId="10" fillId="17" borderId="103" xfId="73" applyNumberFormat="1" applyFont="1" applyFill="1" applyBorder="1"/>
    <xf numFmtId="166" fontId="2" fillId="17" borderId="0" xfId="3" applyNumberFormat="1" applyFont="1" applyFill="1" applyBorder="1"/>
    <xf numFmtId="166" fontId="2" fillId="17" borderId="12" xfId="61" applyNumberFormat="1" applyFont="1" applyFill="1" applyBorder="1"/>
    <xf numFmtId="165" fontId="2" fillId="17" borderId="119" xfId="4" applyNumberFormat="1" applyFont="1" applyFill="1" applyBorder="1" applyAlignment="1">
      <alignment horizontal="right"/>
    </xf>
    <xf numFmtId="165" fontId="2" fillId="17" borderId="0" xfId="4" applyNumberFormat="1" applyFont="1" applyFill="1" applyBorder="1" applyAlignment="1">
      <alignment horizontal="right"/>
    </xf>
    <xf numFmtId="170" fontId="2" fillId="17" borderId="0" xfId="4" applyNumberFormat="1" applyFont="1" applyFill="1" applyBorder="1" applyAlignment="1">
      <alignment horizontal="right"/>
    </xf>
    <xf numFmtId="164" fontId="2" fillId="17" borderId="0" xfId="4" applyNumberFormat="1" applyFont="1" applyFill="1" applyBorder="1" applyAlignment="1">
      <alignment horizontal="right"/>
    </xf>
    <xf numFmtId="164" fontId="2" fillId="17" borderId="0" xfId="4" applyNumberFormat="1" applyFont="1" applyFill="1" applyBorder="1"/>
    <xf numFmtId="165" fontId="2" fillId="17" borderId="86" xfId="4" applyNumberFormat="1" applyFont="1" applyFill="1" applyBorder="1"/>
    <xf numFmtId="165" fontId="2" fillId="17" borderId="119" xfId="4" applyNumberFormat="1" applyFont="1" applyFill="1" applyBorder="1"/>
    <xf numFmtId="41" fontId="2" fillId="17" borderId="0" xfId="4" applyNumberFormat="1" applyFont="1" applyFill="1" applyBorder="1"/>
    <xf numFmtId="166" fontId="25" fillId="17" borderId="0" xfId="74" applyNumberFormat="1" applyFont="1" applyFill="1" applyBorder="1"/>
    <xf numFmtId="1" fontId="10" fillId="17" borderId="86" xfId="4" applyNumberFormat="1" applyFont="1" applyFill="1" applyBorder="1"/>
    <xf numFmtId="2" fontId="2" fillId="17" borderId="0" xfId="4" applyNumberFormat="1" applyFont="1" applyFill="1" applyBorder="1"/>
    <xf numFmtId="0" fontId="2" fillId="17" borderId="86" xfId="4" applyFont="1" applyFill="1" applyBorder="1"/>
    <xf numFmtId="179" fontId="2" fillId="17" borderId="0" xfId="4" applyNumberFormat="1" applyFont="1" applyFill="1" applyBorder="1"/>
    <xf numFmtId="0" fontId="2" fillId="17" borderId="119" xfId="4" applyFont="1" applyFill="1" applyBorder="1"/>
    <xf numFmtId="44" fontId="2" fillId="17" borderId="0" xfId="4" applyNumberFormat="1" applyFont="1" applyFill="1" applyBorder="1"/>
    <xf numFmtId="165" fontId="2" fillId="17" borderId="0" xfId="54" applyNumberFormat="1" applyFont="1" applyFill="1" applyBorder="1"/>
    <xf numFmtId="165" fontId="2" fillId="17" borderId="86" xfId="73" applyNumberFormat="1" applyFont="1" applyFill="1" applyBorder="1"/>
    <xf numFmtId="165" fontId="2" fillId="16" borderId="88" xfId="37" applyNumberFormat="1" applyFont="1" applyFill="1" applyBorder="1"/>
    <xf numFmtId="165" fontId="10" fillId="16" borderId="0" xfId="3" applyNumberFormat="1" applyFont="1" applyFill="1"/>
    <xf numFmtId="177" fontId="3" fillId="0" borderId="0" xfId="37" applyNumberFormat="1" applyFont="1"/>
    <xf numFmtId="165" fontId="77" fillId="16" borderId="0" xfId="38" applyNumberFormat="1" applyFont="1" applyFill="1" applyBorder="1"/>
    <xf numFmtId="165" fontId="77" fillId="16" borderId="27" xfId="37" applyNumberFormat="1" applyFont="1" applyFill="1" applyBorder="1"/>
    <xf numFmtId="0" fontId="10" fillId="16" borderId="42" xfId="3" applyFont="1" applyFill="1" applyBorder="1" applyAlignment="1">
      <alignment horizontal="left" indent="1"/>
    </xf>
    <xf numFmtId="0" fontId="78" fillId="17" borderId="0" xfId="4" applyFont="1" applyFill="1" applyBorder="1"/>
    <xf numFmtId="165" fontId="78" fillId="17" borderId="88" xfId="73" applyNumberFormat="1" applyFont="1" applyFill="1" applyBorder="1"/>
    <xf numFmtId="44" fontId="16" fillId="17" borderId="0" xfId="39" applyNumberFormat="1" applyFont="1" applyFill="1" applyBorder="1"/>
    <xf numFmtId="0" fontId="10" fillId="17" borderId="11" xfId="4" applyFont="1" applyFill="1" applyBorder="1" applyAlignment="1">
      <alignment horizontal="center"/>
    </xf>
    <xf numFmtId="165" fontId="78" fillId="17" borderId="27" xfId="73" applyNumberFormat="1" applyFont="1" applyFill="1" applyBorder="1"/>
    <xf numFmtId="165" fontId="78" fillId="17" borderId="27" xfId="4" applyNumberFormat="1" applyFont="1" applyFill="1" applyBorder="1"/>
    <xf numFmtId="165" fontId="84" fillId="17" borderId="27" xfId="4" applyNumberFormat="1" applyFont="1" applyFill="1" applyBorder="1"/>
    <xf numFmtId="165" fontId="77" fillId="17" borderId="27" xfId="4" applyNumberFormat="1" applyFont="1" applyFill="1" applyBorder="1"/>
    <xf numFmtId="0" fontId="77" fillId="17" borderId="27" xfId="4" applyFont="1" applyFill="1" applyBorder="1"/>
    <xf numFmtId="165" fontId="80" fillId="17" borderId="27" xfId="4" applyNumberFormat="1" applyFont="1" applyFill="1" applyBorder="1"/>
    <xf numFmtId="0" fontId="78" fillId="17" borderId="27" xfId="4" applyFont="1" applyFill="1" applyBorder="1"/>
    <xf numFmtId="165" fontId="77" fillId="17" borderId="27" xfId="73" applyNumberFormat="1" applyFont="1" applyFill="1" applyBorder="1"/>
    <xf numFmtId="44" fontId="78" fillId="17" borderId="27" xfId="4" applyNumberFormat="1" applyFont="1" applyFill="1" applyBorder="1"/>
    <xf numFmtId="164" fontId="78" fillId="17" borderId="27" xfId="73" applyNumberFormat="1" applyFont="1" applyFill="1" applyBorder="1"/>
    <xf numFmtId="44" fontId="10" fillId="17" borderId="45" xfId="75" applyNumberFormat="1" applyFont="1" applyFill="1" applyBorder="1"/>
    <xf numFmtId="7" fontId="10" fillId="17" borderId="44" xfId="75" applyNumberFormat="1" applyFont="1" applyFill="1" applyBorder="1"/>
    <xf numFmtId="7" fontId="2" fillId="17" borderId="44" xfId="75" applyNumberFormat="1" applyFont="1" applyFill="1" applyBorder="1"/>
    <xf numFmtId="7" fontId="10" fillId="17" borderId="45" xfId="75" applyNumberFormat="1" applyFont="1" applyFill="1" applyBorder="1"/>
    <xf numFmtId="172" fontId="25" fillId="17" borderId="104" xfId="4" applyNumberFormat="1" applyFont="1" applyFill="1" applyBorder="1"/>
    <xf numFmtId="1" fontId="2" fillId="17" borderId="104" xfId="4" applyNumberFormat="1" applyFont="1" applyFill="1" applyBorder="1"/>
    <xf numFmtId="166" fontId="2" fillId="17" borderId="44" xfId="74" applyNumberFormat="1" applyFont="1" applyFill="1" applyBorder="1"/>
    <xf numFmtId="166" fontId="10" fillId="17" borderId="44" xfId="74" applyNumberFormat="1" applyFont="1" applyFill="1" applyBorder="1"/>
    <xf numFmtId="166" fontId="10" fillId="17" borderId="122" xfId="74" applyNumberFormat="1" applyFont="1" applyFill="1" applyBorder="1"/>
    <xf numFmtId="166" fontId="10" fillId="17" borderId="25" xfId="74" applyNumberFormat="1" applyFont="1" applyFill="1" applyBorder="1"/>
    <xf numFmtId="166" fontId="2" fillId="17" borderId="44" xfId="74" applyNumberFormat="1" applyFont="1" applyFill="1" applyBorder="1" applyAlignment="1">
      <alignment horizontal="right"/>
    </xf>
    <xf numFmtId="166" fontId="2" fillId="17" borderId="44" xfId="62" applyNumberFormat="1" applyFont="1" applyFill="1" applyBorder="1" applyAlignment="1">
      <alignment horizontal="right"/>
    </xf>
    <xf numFmtId="166" fontId="2" fillId="17" borderId="60" xfId="62" applyNumberFormat="1" applyFont="1" applyFill="1" applyBorder="1"/>
    <xf numFmtId="166" fontId="18" fillId="17" borderId="44" xfId="62" applyNumberFormat="1" applyFont="1" applyFill="1" applyBorder="1" applyAlignment="1">
      <alignment horizontal="right"/>
    </xf>
    <xf numFmtId="202" fontId="2" fillId="17" borderId="44" xfId="4" applyNumberFormat="1" applyFont="1" applyFill="1" applyBorder="1"/>
    <xf numFmtId="172" fontId="2" fillId="17" borderId="44" xfId="4" applyNumberFormat="1" applyFont="1" applyFill="1" applyBorder="1"/>
    <xf numFmtId="166" fontId="2" fillId="17" borderId="43" xfId="74" applyNumberFormat="1" applyFont="1" applyFill="1" applyBorder="1"/>
    <xf numFmtId="165" fontId="2" fillId="17" borderId="5" xfId="73" applyNumberFormat="1" applyFont="1" applyFill="1" applyBorder="1"/>
    <xf numFmtId="165" fontId="2" fillId="17" borderId="27" xfId="73" applyNumberFormat="1" applyFont="1" applyFill="1" applyBorder="1"/>
    <xf numFmtId="7" fontId="10" fillId="17" borderId="11" xfId="37" applyNumberFormat="1" applyFont="1" applyFill="1" applyBorder="1"/>
    <xf numFmtId="165" fontId="10" fillId="17" borderId="11" xfId="37" applyNumberFormat="1" applyFont="1" applyFill="1" applyBorder="1"/>
    <xf numFmtId="166" fontId="2" fillId="17" borderId="27" xfId="3" applyNumberFormat="1" applyFont="1" applyFill="1" applyBorder="1"/>
    <xf numFmtId="166" fontId="2" fillId="17" borderId="11" xfId="61" applyNumberFormat="1" applyFont="1" applyFill="1" applyBorder="1"/>
    <xf numFmtId="165" fontId="2" fillId="17" borderId="101" xfId="4" applyNumberFormat="1" applyFont="1" applyFill="1" applyBorder="1" applyAlignment="1">
      <alignment horizontal="right"/>
    </xf>
    <xf numFmtId="165" fontId="2" fillId="17" borderId="27" xfId="4" applyNumberFormat="1" applyFont="1" applyFill="1" applyBorder="1" applyAlignment="1">
      <alignment horizontal="right"/>
    </xf>
    <xf numFmtId="170" fontId="2" fillId="17" borderId="27" xfId="4" applyNumberFormat="1" applyFont="1" applyFill="1" applyBorder="1" applyAlignment="1">
      <alignment horizontal="right"/>
    </xf>
    <xf numFmtId="166" fontId="4" fillId="17" borderId="27" xfId="74" applyNumberFormat="1" applyFont="1" applyFill="1" applyBorder="1" applyAlignment="1">
      <alignment horizontal="right"/>
    </xf>
    <xf numFmtId="164" fontId="2" fillId="17" borderId="27" xfId="4" applyNumberFormat="1" applyFont="1" applyFill="1" applyBorder="1" applyAlignment="1">
      <alignment horizontal="right"/>
    </xf>
    <xf numFmtId="165" fontId="2" fillId="17" borderId="25" xfId="4" applyNumberFormat="1" applyFont="1" applyFill="1" applyBorder="1" applyAlignment="1">
      <alignment horizontal="right"/>
    </xf>
    <xf numFmtId="166" fontId="2" fillId="17" borderId="27" xfId="74" applyNumberFormat="1" applyFont="1" applyFill="1" applyBorder="1" applyAlignment="1">
      <alignment horizontal="right"/>
    </xf>
    <xf numFmtId="165" fontId="2" fillId="17" borderId="101" xfId="4" applyNumberFormat="1" applyFont="1" applyFill="1" applyBorder="1"/>
    <xf numFmtId="1" fontId="10" fillId="17" borderId="25" xfId="4" applyNumberFormat="1" applyFont="1" applyFill="1" applyBorder="1"/>
    <xf numFmtId="7" fontId="2" fillId="17" borderId="27" xfId="4" applyNumberFormat="1" applyFont="1" applyFill="1" applyBorder="1"/>
    <xf numFmtId="0" fontId="2" fillId="17" borderId="25" xfId="4" applyFont="1" applyFill="1" applyBorder="1"/>
    <xf numFmtId="179" fontId="2" fillId="17" borderId="27" xfId="4" applyNumberFormat="1" applyFont="1" applyFill="1" applyBorder="1"/>
    <xf numFmtId="166" fontId="2" fillId="17" borderId="25" xfId="74" applyNumberFormat="1" applyFont="1" applyFill="1" applyBorder="1"/>
    <xf numFmtId="0" fontId="2" fillId="17" borderId="101" xfId="4" applyFont="1" applyFill="1" applyBorder="1"/>
    <xf numFmtId="44" fontId="2" fillId="17" borderId="27" xfId="4" applyNumberFormat="1" applyFont="1" applyFill="1" applyBorder="1"/>
    <xf numFmtId="41" fontId="2" fillId="17" borderId="27" xfId="54" applyNumberFormat="1" applyFont="1" applyFill="1" applyBorder="1" applyAlignment="1">
      <alignment horizontal="right"/>
    </xf>
    <xf numFmtId="165" fontId="2" fillId="17" borderId="25" xfId="73" applyNumberFormat="1" applyFont="1" applyFill="1" applyBorder="1"/>
    <xf numFmtId="165" fontId="77" fillId="22" borderId="0" xfId="37" applyNumberFormat="1" applyFont="1" applyFill="1" applyBorder="1"/>
    <xf numFmtId="0" fontId="77" fillId="22" borderId="0" xfId="3" applyFont="1" applyFill="1" applyBorder="1" applyAlignment="1">
      <alignment horizontal="center"/>
    </xf>
    <xf numFmtId="0" fontId="10" fillId="19" borderId="52" xfId="3" applyFont="1" applyFill="1" applyBorder="1"/>
    <xf numFmtId="0" fontId="2" fillId="19" borderId="86" xfId="4" applyFont="1" applyFill="1" applyBorder="1"/>
    <xf numFmtId="44" fontId="2" fillId="19" borderId="86" xfId="4" applyNumberFormat="1" applyFont="1" applyFill="1" applyBorder="1"/>
    <xf numFmtId="0" fontId="11" fillId="19" borderId="86" xfId="4" applyFont="1" applyFill="1" applyBorder="1"/>
    <xf numFmtId="166" fontId="2" fillId="19" borderId="86" xfId="4" applyNumberFormat="1" applyFont="1" applyFill="1" applyBorder="1"/>
    <xf numFmtId="166" fontId="2" fillId="19" borderId="86" xfId="74" applyNumberFormat="1" applyFont="1" applyFill="1" applyBorder="1"/>
    <xf numFmtId="0" fontId="2" fillId="19" borderId="24" xfId="4" applyFont="1" applyFill="1" applyBorder="1"/>
    <xf numFmtId="0" fontId="2" fillId="19" borderId="53" xfId="4" applyFont="1" applyFill="1" applyBorder="1"/>
    <xf numFmtId="0" fontId="2" fillId="19" borderId="103" xfId="4" applyFont="1" applyFill="1" applyBorder="1"/>
    <xf numFmtId="166" fontId="2" fillId="19" borderId="103" xfId="4" applyNumberFormat="1" applyFont="1" applyFill="1" applyBorder="1"/>
    <xf numFmtId="0" fontId="2" fillId="19" borderId="110" xfId="4" applyFont="1" applyFill="1" applyBorder="1"/>
    <xf numFmtId="165" fontId="2" fillId="19" borderId="65" xfId="4" applyNumberFormat="1" applyFont="1" applyFill="1" applyBorder="1"/>
    <xf numFmtId="0" fontId="11" fillId="19" borderId="103" xfId="4" applyFont="1" applyFill="1" applyBorder="1"/>
    <xf numFmtId="0" fontId="78" fillId="19" borderId="12" xfId="3" applyFont="1" applyFill="1" applyBorder="1"/>
    <xf numFmtId="166" fontId="78" fillId="19" borderId="12" xfId="3" applyNumberFormat="1" applyFont="1" applyFill="1" applyBorder="1"/>
    <xf numFmtId="0" fontId="2" fillId="19" borderId="12" xfId="3" applyFont="1" applyFill="1" applyBorder="1"/>
    <xf numFmtId="0" fontId="10" fillId="19" borderId="50" xfId="3" applyFont="1" applyFill="1" applyBorder="1"/>
    <xf numFmtId="0" fontId="2" fillId="19" borderId="94" xfId="4" applyFont="1" applyFill="1" applyBorder="1"/>
    <xf numFmtId="0" fontId="2" fillId="19" borderId="65" xfId="4" applyFont="1" applyFill="1" applyBorder="1"/>
    <xf numFmtId="0" fontId="22" fillId="16" borderId="123" xfId="3" applyFont="1" applyFill="1" applyBorder="1"/>
    <xf numFmtId="165" fontId="68" fillId="21" borderId="0" xfId="73" applyNumberFormat="1" applyFont="1" applyFill="1" applyBorder="1"/>
    <xf numFmtId="165" fontId="68" fillId="21" borderId="27" xfId="4" applyNumberFormat="1" applyFont="1" applyFill="1" applyBorder="1"/>
    <xf numFmtId="165" fontId="68" fillId="21" borderId="117" xfId="73" applyNumberFormat="1" applyFont="1" applyFill="1" applyBorder="1"/>
    <xf numFmtId="165" fontId="86" fillId="21" borderId="5" xfId="73" applyNumberFormat="1" applyFont="1" applyFill="1" applyBorder="1"/>
    <xf numFmtId="165" fontId="68" fillId="21" borderId="5" xfId="73" applyNumberFormat="1" applyFont="1" applyFill="1" applyBorder="1"/>
    <xf numFmtId="165" fontId="22" fillId="21" borderId="117" xfId="73" applyNumberFormat="1" applyFont="1" applyFill="1" applyBorder="1"/>
    <xf numFmtId="165" fontId="22" fillId="21" borderId="27" xfId="4" applyNumberFormat="1" applyFont="1" applyFill="1" applyBorder="1"/>
    <xf numFmtId="165" fontId="22" fillId="21" borderId="44" xfId="4" applyNumberFormat="1" applyFont="1" applyFill="1" applyBorder="1"/>
    <xf numFmtId="165" fontId="22" fillId="22" borderId="60" xfId="4" applyNumberFormat="1" applyFont="1" applyFill="1" applyBorder="1"/>
    <xf numFmtId="165" fontId="81" fillId="22" borderId="44" xfId="4" applyNumberFormat="1" applyFont="1" applyFill="1" applyBorder="1"/>
    <xf numFmtId="165" fontId="81" fillId="17" borderId="27" xfId="4" applyNumberFormat="1" applyFont="1" applyFill="1" applyBorder="1"/>
    <xf numFmtId="165" fontId="25" fillId="16" borderId="0" xfId="37" applyNumberFormat="1" applyFont="1" applyFill="1" applyBorder="1"/>
    <xf numFmtId="165" fontId="22" fillId="16" borderId="44" xfId="3" applyNumberFormat="1" applyFont="1" applyFill="1" applyBorder="1"/>
    <xf numFmtId="0" fontId="22" fillId="16" borderId="117" xfId="3" applyFont="1" applyFill="1" applyBorder="1"/>
    <xf numFmtId="165" fontId="18" fillId="16" borderId="0" xfId="37" applyNumberFormat="1" applyFont="1" applyFill="1" applyBorder="1" applyAlignment="1">
      <alignment horizontal="center"/>
    </xf>
    <xf numFmtId="1" fontId="2" fillId="16" borderId="119" xfId="3" applyNumberFormat="1" applyFont="1" applyFill="1" applyBorder="1"/>
    <xf numFmtId="165" fontId="77" fillId="16" borderId="27" xfId="3" applyNumberFormat="1" applyFont="1" applyFill="1" applyBorder="1"/>
    <xf numFmtId="7" fontId="10" fillId="16" borderId="111" xfId="39" applyNumberFormat="1" applyFont="1" applyFill="1" applyBorder="1"/>
    <xf numFmtId="0" fontId="2" fillId="19" borderId="111" xfId="3" applyFont="1" applyFill="1" applyBorder="1"/>
    <xf numFmtId="1" fontId="2" fillId="16" borderId="122" xfId="3" applyNumberFormat="1" applyFont="1" applyFill="1" applyBorder="1"/>
    <xf numFmtId="0" fontId="2" fillId="19" borderId="11" xfId="3" applyFont="1" applyFill="1" applyBorder="1"/>
    <xf numFmtId="192" fontId="2" fillId="16" borderId="101" xfId="57" applyNumberFormat="1" applyFont="1" applyFill="1" applyBorder="1">
      <alignment wrapText="1"/>
    </xf>
    <xf numFmtId="0" fontId="2" fillId="16" borderId="96" xfId="57" applyFont="1" applyFill="1" applyBorder="1">
      <alignment wrapText="1"/>
    </xf>
    <xf numFmtId="5" fontId="2" fillId="16" borderId="96" xfId="57" applyNumberFormat="1" applyFont="1" applyFill="1" applyBorder="1" applyAlignment="1">
      <alignment horizontal="right" wrapText="1"/>
    </xf>
    <xf numFmtId="165" fontId="2" fillId="16" borderId="96" xfId="37" applyNumberFormat="1" applyFont="1" applyFill="1" applyBorder="1" applyAlignment="1">
      <alignment wrapText="1"/>
    </xf>
    <xf numFmtId="5" fontId="10" fillId="16" borderId="88" xfId="57" applyNumberFormat="1" applyFont="1" applyFill="1" applyBorder="1">
      <alignment wrapText="1"/>
    </xf>
    <xf numFmtId="5" fontId="2" fillId="16" borderId="96" xfId="57" applyNumberFormat="1" applyFont="1" applyFill="1" applyBorder="1">
      <alignment wrapText="1"/>
    </xf>
    <xf numFmtId="165" fontId="2" fillId="16" borderId="96" xfId="57" applyNumberFormat="1" applyFont="1" applyFill="1" applyBorder="1">
      <alignment wrapText="1"/>
    </xf>
    <xf numFmtId="165" fontId="18" fillId="16" borderId="96" xfId="57" applyNumberFormat="1" applyFont="1" applyFill="1" applyBorder="1">
      <alignment wrapText="1"/>
    </xf>
    <xf numFmtId="165" fontId="10" fillId="17" borderId="96" xfId="57" applyNumberFormat="1" applyFont="1" applyFill="1" applyBorder="1">
      <alignment wrapText="1"/>
    </xf>
    <xf numFmtId="165" fontId="10" fillId="16" borderId="96" xfId="37" applyNumberFormat="1" applyFont="1" applyFill="1" applyBorder="1" applyAlignment="1">
      <alignment wrapText="1"/>
    </xf>
    <xf numFmtId="212" fontId="2" fillId="16" borderId="4" xfId="73" applyNumberFormat="1" applyFont="1" applyFill="1" applyBorder="1" applyAlignment="1">
      <alignment wrapText="1"/>
    </xf>
    <xf numFmtId="166" fontId="2" fillId="16" borderId="0" xfId="74" applyNumberFormat="1" applyFont="1" applyFill="1" applyBorder="1" applyAlignment="1">
      <alignment wrapText="1"/>
    </xf>
    <xf numFmtId="170" fontId="2" fillId="16" borderId="96" xfId="37" applyNumberFormat="1" applyFont="1" applyFill="1" applyBorder="1" applyAlignment="1">
      <alignment horizontal="center"/>
    </xf>
    <xf numFmtId="165" fontId="10" fillId="16" borderId="96" xfId="37" applyNumberFormat="1" applyFont="1" applyFill="1" applyBorder="1" applyAlignment="1">
      <alignment horizontal="center"/>
    </xf>
    <xf numFmtId="165" fontId="2" fillId="17" borderId="12" xfId="37" applyNumberFormat="1" applyFont="1" applyFill="1" applyBorder="1"/>
    <xf numFmtId="9" fontId="22" fillId="16" borderId="87" xfId="61" applyNumberFormat="1" applyFont="1" applyFill="1" applyBorder="1" applyAlignment="1">
      <alignment horizontal="center"/>
    </xf>
    <xf numFmtId="165" fontId="10" fillId="16" borderId="87" xfId="3" applyNumberFormat="1" applyFont="1" applyFill="1" applyBorder="1" applyAlignment="1">
      <alignment horizontal="center"/>
    </xf>
    <xf numFmtId="0" fontId="10" fillId="16" borderId="123" xfId="3" applyFont="1" applyFill="1" applyBorder="1"/>
    <xf numFmtId="165" fontId="15" fillId="21" borderId="27" xfId="73" applyNumberFormat="1" applyFont="1" applyFill="1" applyBorder="1"/>
    <xf numFmtId="165" fontId="10" fillId="21" borderId="117" xfId="73" applyNumberFormat="1" applyFont="1" applyFill="1" applyBorder="1"/>
    <xf numFmtId="165" fontId="87" fillId="21" borderId="0" xfId="73" applyNumberFormat="1" applyFont="1" applyFill="1" applyBorder="1"/>
    <xf numFmtId="165" fontId="87" fillId="22" borderId="0" xfId="73" applyNumberFormat="1" applyFont="1" applyFill="1" applyBorder="1"/>
    <xf numFmtId="165" fontId="87" fillId="16" borderId="0" xfId="37" applyNumberFormat="1" applyFont="1" applyFill="1" applyBorder="1"/>
    <xf numFmtId="37" fontId="10" fillId="16" borderId="0" xfId="37" applyNumberFormat="1" applyFont="1" applyFill="1" applyBorder="1" applyAlignment="1">
      <alignment horizontal="center"/>
    </xf>
    <xf numFmtId="37" fontId="87" fillId="16" borderId="0" xfId="37" applyNumberFormat="1" applyFont="1" applyFill="1" applyBorder="1" applyAlignment="1">
      <alignment horizontal="center"/>
    </xf>
    <xf numFmtId="43" fontId="10" fillId="16" borderId="111" xfId="37" applyFont="1" applyFill="1" applyBorder="1"/>
    <xf numFmtId="165" fontId="78" fillId="17" borderId="0" xfId="37" applyNumberFormat="1" applyFont="1" applyFill="1" applyBorder="1" applyAlignment="1">
      <alignment horizontal="center"/>
    </xf>
    <xf numFmtId="165" fontId="77" fillId="17" borderId="0" xfId="3" applyNumberFormat="1" applyFont="1" applyFill="1" applyBorder="1"/>
    <xf numFmtId="0" fontId="77" fillId="17" borderId="0" xfId="3" applyFont="1" applyFill="1" applyBorder="1"/>
    <xf numFmtId="165" fontId="80" fillId="17" borderId="0" xfId="37" applyNumberFormat="1" applyFont="1" applyFill="1" applyBorder="1" applyAlignment="1">
      <alignment horizontal="center"/>
    </xf>
    <xf numFmtId="165" fontId="78" fillId="17" borderId="0" xfId="3" applyNumberFormat="1" applyFont="1" applyFill="1" applyBorder="1"/>
    <xf numFmtId="165" fontId="81" fillId="17" borderId="0" xfId="37" applyNumberFormat="1" applyFont="1" applyFill="1" applyBorder="1"/>
    <xf numFmtId="165" fontId="77" fillId="17" borderId="0" xfId="37" applyNumberFormat="1" applyFont="1" applyFill="1" applyBorder="1"/>
    <xf numFmtId="44" fontId="78" fillId="17" borderId="0" xfId="3" applyNumberFormat="1" applyFont="1" applyFill="1" applyBorder="1"/>
    <xf numFmtId="44" fontId="77" fillId="17" borderId="12" xfId="39" applyNumberFormat="1" applyFont="1" applyFill="1" applyBorder="1"/>
    <xf numFmtId="7" fontId="77" fillId="17" borderId="12" xfId="39" applyNumberFormat="1" applyFont="1" applyFill="1" applyBorder="1"/>
    <xf numFmtId="7" fontId="77" fillId="17" borderId="0" xfId="39" applyNumberFormat="1" applyFont="1" applyFill="1" applyBorder="1"/>
    <xf numFmtId="43" fontId="78" fillId="17" borderId="0" xfId="37" applyFont="1" applyFill="1" applyBorder="1"/>
    <xf numFmtId="43" fontId="2" fillId="17" borderId="0" xfId="37" applyFont="1" applyFill="1" applyBorder="1"/>
    <xf numFmtId="43" fontId="77" fillId="17" borderId="12" xfId="37" applyFont="1" applyFill="1" applyBorder="1"/>
    <xf numFmtId="172" fontId="81" fillId="17" borderId="2" xfId="3" applyNumberFormat="1" applyFont="1" applyFill="1" applyBorder="1"/>
    <xf numFmtId="1" fontId="78" fillId="17" borderId="2" xfId="3" applyNumberFormat="1" applyFont="1" applyFill="1" applyBorder="1"/>
    <xf numFmtId="166" fontId="77" fillId="17" borderId="0" xfId="61" applyNumberFormat="1" applyFont="1" applyFill="1" applyBorder="1"/>
    <xf numFmtId="166" fontId="81" fillId="17" borderId="0" xfId="61" applyNumberFormat="1" applyFont="1" applyFill="1" applyBorder="1"/>
    <xf numFmtId="166" fontId="78" fillId="17" borderId="0" xfId="61" applyNumberFormat="1" applyFont="1" applyFill="1" applyBorder="1" applyAlignment="1">
      <alignment horizontal="right"/>
    </xf>
    <xf numFmtId="166" fontId="78" fillId="17" borderId="0" xfId="62" applyNumberFormat="1" applyFont="1" applyFill="1" applyBorder="1" applyAlignment="1">
      <alignment horizontal="right"/>
    </xf>
    <xf numFmtId="166" fontId="80" fillId="17" borderId="0" xfId="62" applyNumberFormat="1" applyFont="1" applyFill="1" applyBorder="1" applyAlignment="1">
      <alignment horizontal="right"/>
    </xf>
    <xf numFmtId="202" fontId="78" fillId="17" borderId="0" xfId="37" applyNumberFormat="1" applyFont="1" applyFill="1" applyBorder="1"/>
    <xf numFmtId="202" fontId="2" fillId="17" borderId="0" xfId="37" applyNumberFormat="1" applyFont="1" applyFill="1" applyBorder="1"/>
    <xf numFmtId="172" fontId="78" fillId="17" borderId="0" xfId="37" applyNumberFormat="1" applyFont="1" applyFill="1" applyBorder="1"/>
    <xf numFmtId="166" fontId="78" fillId="17" borderId="4" xfId="61" applyNumberFormat="1" applyFont="1" applyFill="1" applyBorder="1"/>
    <xf numFmtId="9" fontId="78" fillId="17" borderId="0" xfId="61" applyNumberFormat="1" applyFont="1" applyFill="1" applyBorder="1"/>
    <xf numFmtId="164" fontId="78" fillId="17" borderId="0" xfId="37" applyNumberFormat="1" applyFont="1" applyFill="1"/>
    <xf numFmtId="165" fontId="78" fillId="17" borderId="0" xfId="37" applyNumberFormat="1" applyFont="1" applyFill="1"/>
    <xf numFmtId="166" fontId="78" fillId="17" borderId="0" xfId="3" applyNumberFormat="1" applyFont="1" applyFill="1" applyBorder="1"/>
    <xf numFmtId="166" fontId="78" fillId="17" borderId="12" xfId="61" applyNumberFormat="1" applyFont="1" applyFill="1" applyBorder="1"/>
    <xf numFmtId="0" fontId="77" fillId="17" borderId="12" xfId="3" applyFont="1" applyFill="1" applyBorder="1" applyAlignment="1">
      <alignment horizontal="center"/>
    </xf>
    <xf numFmtId="165" fontId="78" fillId="17" borderId="2" xfId="3" applyNumberFormat="1" applyFont="1" applyFill="1" applyBorder="1" applyAlignment="1">
      <alignment horizontal="right"/>
    </xf>
    <xf numFmtId="165" fontId="78" fillId="17" borderId="0" xfId="3" applyNumberFormat="1" applyFont="1" applyFill="1" applyBorder="1" applyAlignment="1">
      <alignment horizontal="right"/>
    </xf>
    <xf numFmtId="170" fontId="78" fillId="17" borderId="0" xfId="4" applyNumberFormat="1" applyFont="1" applyFill="1" applyBorder="1" applyAlignment="1">
      <alignment horizontal="right"/>
    </xf>
    <xf numFmtId="170" fontId="78" fillId="17" borderId="0" xfId="3" applyNumberFormat="1" applyFont="1" applyFill="1" applyBorder="1" applyAlignment="1">
      <alignment horizontal="right"/>
    </xf>
    <xf numFmtId="166" fontId="78" fillId="17" borderId="0" xfId="74" applyNumberFormat="1" applyFont="1" applyFill="1" applyBorder="1" applyAlignment="1">
      <alignment horizontal="right"/>
    </xf>
    <xf numFmtId="165" fontId="78" fillId="17" borderId="0" xfId="4" applyNumberFormat="1" applyFont="1" applyFill="1" applyBorder="1" applyAlignment="1">
      <alignment horizontal="right"/>
    </xf>
    <xf numFmtId="170" fontId="78" fillId="17" borderId="0" xfId="3" applyNumberFormat="1" applyFont="1" applyFill="1" applyBorder="1"/>
    <xf numFmtId="164" fontId="78" fillId="17" borderId="0" xfId="3" applyNumberFormat="1" applyFont="1" applyFill="1" applyBorder="1"/>
    <xf numFmtId="164" fontId="78" fillId="17" borderId="0" xfId="4" applyNumberFormat="1" applyFont="1" applyFill="1" applyBorder="1" applyAlignment="1">
      <alignment horizontal="right"/>
    </xf>
    <xf numFmtId="165" fontId="78" fillId="17" borderId="4" xfId="3" applyNumberFormat="1" applyFont="1" applyFill="1" applyBorder="1"/>
    <xf numFmtId="165" fontId="78" fillId="17" borderId="2" xfId="3" applyNumberFormat="1" applyFont="1" applyFill="1" applyBorder="1"/>
    <xf numFmtId="41" fontId="78" fillId="17" borderId="0" xfId="3" applyNumberFormat="1" applyFont="1" applyFill="1" applyBorder="1"/>
    <xf numFmtId="165" fontId="77" fillId="17" borderId="4" xfId="3" applyNumberFormat="1" applyFont="1" applyFill="1" applyBorder="1"/>
    <xf numFmtId="9" fontId="81" fillId="17" borderId="0" xfId="61" applyNumberFormat="1" applyFont="1" applyFill="1" applyBorder="1"/>
    <xf numFmtId="2" fontId="78" fillId="17" borderId="0" xfId="3" applyNumberFormat="1" applyFont="1" applyFill="1" applyBorder="1"/>
    <xf numFmtId="0" fontId="78" fillId="17" borderId="4" xfId="3" applyFont="1" applyFill="1" applyBorder="1"/>
    <xf numFmtId="9" fontId="78" fillId="17" borderId="0" xfId="61" applyFont="1" applyFill="1" applyBorder="1"/>
    <xf numFmtId="179" fontId="78" fillId="17" borderId="0" xfId="3" applyNumberFormat="1" applyFont="1" applyFill="1" applyBorder="1"/>
    <xf numFmtId="0" fontId="75" fillId="17" borderId="0" xfId="3" applyFont="1" applyFill="1" applyBorder="1"/>
    <xf numFmtId="0" fontId="78" fillId="17" borderId="2" xfId="3" applyFont="1" applyFill="1" applyBorder="1"/>
    <xf numFmtId="165" fontId="78" fillId="17" borderId="0" xfId="54" applyNumberFormat="1" applyFont="1" applyFill="1" applyBorder="1"/>
    <xf numFmtId="165" fontId="78" fillId="17" borderId="4" xfId="37" applyNumberFormat="1" applyFont="1" applyFill="1" applyBorder="1"/>
    <xf numFmtId="0" fontId="14" fillId="17" borderId="0" xfId="3" applyFont="1" applyFill="1" applyBorder="1"/>
    <xf numFmtId="0" fontId="0" fillId="0" borderId="0" xfId="0"/>
    <xf numFmtId="7" fontId="10" fillId="17" borderId="12" xfId="37" applyNumberFormat="1" applyFont="1" applyFill="1" applyBorder="1"/>
    <xf numFmtId="44" fontId="10" fillId="16" borderId="0" xfId="39" applyFont="1" applyFill="1" applyBorder="1"/>
    <xf numFmtId="44" fontId="0" fillId="0" borderId="0" xfId="39" applyFont="1" applyBorder="1"/>
    <xf numFmtId="44" fontId="10" fillId="16" borderId="0" xfId="75" applyNumberFormat="1" applyFont="1" applyFill="1" applyBorder="1"/>
    <xf numFmtId="7" fontId="10" fillId="16" borderId="0" xfId="75" applyNumberFormat="1" applyFont="1" applyFill="1" applyBorder="1"/>
    <xf numFmtId="0" fontId="28" fillId="8" borderId="42" xfId="3" applyFont="1" applyFill="1" applyBorder="1"/>
    <xf numFmtId="0" fontId="22" fillId="21" borderId="113" xfId="4" applyFont="1" applyFill="1" applyBorder="1" applyAlignment="1">
      <alignment horizontal="center"/>
    </xf>
    <xf numFmtId="0" fontId="22" fillId="21" borderId="0" xfId="4" applyFont="1" applyFill="1" applyBorder="1" applyAlignment="1">
      <alignment horizontal="center"/>
    </xf>
    <xf numFmtId="0" fontId="22" fillId="21" borderId="5" xfId="4" applyFont="1" applyFill="1" applyBorder="1" applyAlignment="1">
      <alignment horizontal="center"/>
    </xf>
    <xf numFmtId="0" fontId="27" fillId="21" borderId="5" xfId="4" applyFont="1" applyFill="1" applyBorder="1" applyAlignment="1">
      <alignment horizontal="center"/>
    </xf>
    <xf numFmtId="0" fontId="22" fillId="21" borderId="27" xfId="4" applyFont="1" applyFill="1" applyBorder="1" applyAlignment="1">
      <alignment horizontal="center"/>
    </xf>
    <xf numFmtId="0" fontId="22" fillId="21" borderId="44" xfId="4" applyFont="1" applyFill="1" applyBorder="1" applyAlignment="1">
      <alignment horizontal="center"/>
    </xf>
    <xf numFmtId="0" fontId="22" fillId="22" borderId="0" xfId="4" applyFont="1" applyFill="1" applyBorder="1" applyAlignment="1">
      <alignment horizontal="center"/>
    </xf>
    <xf numFmtId="0" fontId="27" fillId="22" borderId="114" xfId="4" applyFont="1" applyFill="1" applyBorder="1" applyAlignment="1">
      <alignment horizontal="center"/>
    </xf>
    <xf numFmtId="0" fontId="22" fillId="22" borderId="114" xfId="4" applyFont="1" applyFill="1" applyBorder="1" applyAlignment="1">
      <alignment horizontal="center"/>
    </xf>
    <xf numFmtId="0" fontId="22" fillId="17" borderId="114" xfId="4" applyFont="1" applyFill="1" applyBorder="1" applyAlignment="1">
      <alignment horizontal="center"/>
    </xf>
    <xf numFmtId="14" fontId="81" fillId="19" borderId="120" xfId="3" applyNumberFormat="1" applyFont="1" applyFill="1" applyBorder="1" applyAlignment="1">
      <alignment horizontal="center"/>
    </xf>
    <xf numFmtId="14" fontId="81" fillId="19" borderId="127" xfId="3" applyNumberFormat="1" applyFont="1" applyFill="1" applyBorder="1" applyAlignment="1">
      <alignment horizontal="center"/>
    </xf>
    <xf numFmtId="14" fontId="22" fillId="19" borderId="128" xfId="3" applyNumberFormat="1" applyFont="1" applyFill="1" applyBorder="1" applyAlignment="1">
      <alignment horizontal="center"/>
    </xf>
    <xf numFmtId="0" fontId="22" fillId="8" borderId="126" xfId="3" applyFont="1" applyFill="1" applyBorder="1" applyAlignment="1">
      <alignment horizontal="center"/>
    </xf>
    <xf numFmtId="0" fontId="22" fillId="8" borderId="55" xfId="3" applyFont="1" applyFill="1" applyBorder="1" applyAlignment="1">
      <alignment horizontal="center"/>
    </xf>
    <xf numFmtId="0" fontId="28" fillId="8" borderId="62" xfId="3" applyFont="1" applyFill="1" applyBorder="1"/>
    <xf numFmtId="0" fontId="22" fillId="8" borderId="0" xfId="3" applyFont="1" applyFill="1" applyBorder="1" applyAlignment="1">
      <alignment horizontal="center"/>
    </xf>
    <xf numFmtId="0" fontId="28" fillId="8" borderId="0" xfId="3" applyFont="1" applyFill="1" applyBorder="1" applyAlignment="1">
      <alignment horizontal="center"/>
    </xf>
    <xf numFmtId="0" fontId="28" fillId="8" borderId="61" xfId="3" applyFont="1" applyFill="1" applyBorder="1" applyAlignment="1">
      <alignment horizontal="center"/>
    </xf>
    <xf numFmtId="0" fontId="0" fillId="0" borderId="0" xfId="0"/>
    <xf numFmtId="14" fontId="22" fillId="8" borderId="0" xfId="3" applyNumberFormat="1" applyFont="1" applyFill="1" applyBorder="1" applyAlignment="1">
      <alignment horizontal="center"/>
    </xf>
    <xf numFmtId="43" fontId="2" fillId="16" borderId="0" xfId="39" applyNumberFormat="1" applyFont="1" applyFill="1" applyBorder="1" applyAlignment="1">
      <alignment horizontal="center"/>
    </xf>
    <xf numFmtId="43" fontId="10" fillId="16" borderId="0" xfId="39" applyNumberFormat="1" applyFont="1" applyFill="1" applyBorder="1" applyAlignment="1">
      <alignment horizontal="center"/>
    </xf>
    <xf numFmtId="165" fontId="78" fillId="22" borderId="27" xfId="73" applyNumberFormat="1" applyFont="1" applyFill="1" applyBorder="1" applyAlignment="1">
      <alignment horizontal="center"/>
    </xf>
    <xf numFmtId="9" fontId="22" fillId="16" borderId="83" xfId="61" applyNumberFormat="1" applyFont="1" applyFill="1" applyBorder="1" applyAlignment="1">
      <alignment horizontal="center"/>
    </xf>
    <xf numFmtId="5" fontId="2" fillId="17" borderId="0" xfId="57" applyNumberFormat="1" applyFont="1" applyFill="1" applyBorder="1" applyAlignment="1">
      <alignment horizontal="right" wrapText="1"/>
    </xf>
    <xf numFmtId="165" fontId="2" fillId="17" borderId="0" xfId="57" applyNumberFormat="1" applyFont="1" applyFill="1" applyBorder="1">
      <alignment wrapText="1"/>
    </xf>
    <xf numFmtId="165" fontId="18" fillId="17" borderId="0" xfId="57" applyNumberFormat="1" applyFont="1" applyFill="1" applyBorder="1">
      <alignment wrapText="1"/>
    </xf>
    <xf numFmtId="5" fontId="10" fillId="17" borderId="4" xfId="57" applyNumberFormat="1" applyFont="1" applyFill="1" applyBorder="1">
      <alignment wrapText="1"/>
    </xf>
    <xf numFmtId="14" fontId="22" fillId="19" borderId="120" xfId="3" applyNumberFormat="1" applyFont="1" applyFill="1" applyBorder="1" applyAlignment="1">
      <alignment horizontal="center"/>
    </xf>
    <xf numFmtId="177" fontId="2" fillId="16" borderId="0" xfId="37" applyNumberFormat="1" applyFont="1" applyFill="1" applyBorder="1"/>
    <xf numFmtId="43" fontId="2" fillId="16" borderId="0" xfId="37" applyNumberFormat="1" applyFont="1" applyFill="1" applyBorder="1"/>
    <xf numFmtId="172" fontId="22" fillId="16" borderId="2" xfId="3" applyNumberFormat="1" applyFont="1" applyFill="1" applyBorder="1"/>
    <xf numFmtId="0" fontId="0" fillId="0" borderId="0" xfId="0"/>
    <xf numFmtId="0" fontId="0" fillId="0" borderId="0" xfId="0"/>
    <xf numFmtId="0" fontId="85" fillId="19" borderId="12" xfId="3" applyFont="1" applyFill="1" applyBorder="1" applyAlignment="1">
      <alignment horizontal="center"/>
    </xf>
    <xf numFmtId="0" fontId="10" fillId="19" borderId="11" xfId="3" applyFont="1" applyFill="1" applyBorder="1" applyAlignment="1">
      <alignment horizontal="center"/>
    </xf>
    <xf numFmtId="0" fontId="10" fillId="19" borderId="12" xfId="3" applyFont="1" applyFill="1" applyBorder="1" applyAlignment="1">
      <alignment horizontal="center"/>
    </xf>
    <xf numFmtId="0" fontId="85" fillId="19" borderId="11" xfId="3" applyFont="1" applyFill="1" applyBorder="1" applyAlignment="1">
      <alignment horizontal="center"/>
    </xf>
    <xf numFmtId="177" fontId="22" fillId="16" borderId="117" xfId="37" applyNumberFormat="1" applyFont="1" applyFill="1" applyBorder="1"/>
    <xf numFmtId="166" fontId="4" fillId="16" borderId="0" xfId="61" applyNumberFormat="1" applyFont="1" applyFill="1"/>
    <xf numFmtId="166" fontId="0" fillId="0" borderId="0" xfId="61" applyNumberFormat="1" applyFont="1"/>
    <xf numFmtId="0" fontId="0" fillId="0" borderId="0" xfId="0"/>
    <xf numFmtId="180" fontId="2" fillId="16" borderId="117" xfId="56" applyNumberFormat="1" applyFont="1" applyFill="1" applyBorder="1"/>
    <xf numFmtId="166" fontId="2" fillId="16" borderId="88" xfId="74" applyNumberFormat="1" applyFont="1" applyFill="1" applyBorder="1" applyAlignment="1">
      <alignment wrapText="1"/>
    </xf>
    <xf numFmtId="165" fontId="2" fillId="0" borderId="0" xfId="0" applyNumberFormat="1" applyFont="1"/>
    <xf numFmtId="0" fontId="11" fillId="0" borderId="0" xfId="0" applyFont="1"/>
    <xf numFmtId="166" fontId="2" fillId="0" borderId="0" xfId="61" applyNumberFormat="1" applyFont="1" applyBorder="1"/>
    <xf numFmtId="166" fontId="78" fillId="0" borderId="0" xfId="61" applyNumberFormat="1" applyFont="1" applyBorder="1"/>
    <xf numFmtId="165" fontId="78" fillId="0" borderId="0" xfId="37" applyNumberFormat="1" applyFont="1" applyBorder="1"/>
    <xf numFmtId="0" fontId="2" fillId="0" borderId="0" xfId="3" applyFont="1" applyBorder="1"/>
    <xf numFmtId="0" fontId="11" fillId="0" borderId="0" xfId="0" applyFont="1" applyBorder="1"/>
    <xf numFmtId="176" fontId="2" fillId="16" borderId="0" xfId="56" applyNumberFormat="1" applyFont="1" applyFill="1" applyBorder="1"/>
    <xf numFmtId="164" fontId="10" fillId="16" borderId="129" xfId="73" applyNumberFormat="1" applyFont="1" applyFill="1" applyBorder="1"/>
    <xf numFmtId="164" fontId="10" fillId="16" borderId="127" xfId="73" applyNumberFormat="1" applyFont="1" applyFill="1" applyBorder="1" applyAlignment="1">
      <alignment wrapText="1"/>
    </xf>
    <xf numFmtId="164" fontId="10" fillId="16" borderId="101" xfId="73" applyNumberFormat="1" applyFont="1" applyFill="1" applyBorder="1" applyAlignment="1">
      <alignment wrapText="1"/>
    </xf>
    <xf numFmtId="180" fontId="10" fillId="16" borderId="102" xfId="56" applyNumberFormat="1" applyFont="1" applyFill="1" applyBorder="1"/>
    <xf numFmtId="0" fontId="10" fillId="16" borderId="90" xfId="71" applyFont="1" applyFill="1" applyBorder="1">
      <alignment wrapText="1"/>
    </xf>
    <xf numFmtId="176" fontId="10" fillId="16" borderId="90" xfId="71" applyNumberFormat="1" applyFont="1" applyFill="1" applyBorder="1">
      <alignment wrapText="1"/>
    </xf>
    <xf numFmtId="0" fontId="10" fillId="16" borderId="88" xfId="71" applyFont="1" applyFill="1" applyBorder="1">
      <alignment wrapText="1"/>
    </xf>
    <xf numFmtId="166" fontId="10" fillId="16" borderId="90" xfId="74" applyNumberFormat="1" applyFont="1" applyFill="1" applyBorder="1" applyAlignment="1">
      <alignment wrapText="1"/>
    </xf>
    <xf numFmtId="166" fontId="10" fillId="16" borderId="88" xfId="74" applyNumberFormat="1" applyFont="1" applyFill="1" applyBorder="1" applyAlignment="1">
      <alignment wrapText="1"/>
    </xf>
    <xf numFmtId="0" fontId="2" fillId="16" borderId="101" xfId="71" applyFont="1" applyFill="1" applyBorder="1">
      <alignment wrapText="1"/>
    </xf>
    <xf numFmtId="212" fontId="4" fillId="16" borderId="27" xfId="71" applyNumberFormat="1" applyFont="1" applyFill="1" applyBorder="1">
      <alignment wrapText="1"/>
    </xf>
    <xf numFmtId="212" fontId="2" fillId="16" borderId="88" xfId="73" applyNumberFormat="1" applyFont="1" applyFill="1" applyBorder="1" applyAlignment="1">
      <alignment wrapText="1"/>
    </xf>
    <xf numFmtId="0" fontId="15" fillId="22" borderId="125" xfId="4" applyFont="1" applyFill="1" applyBorder="1" applyAlignment="1">
      <alignment horizontal="center"/>
    </xf>
    <xf numFmtId="0" fontId="10" fillId="19" borderId="94" xfId="3" applyFont="1" applyFill="1" applyBorder="1" applyAlignment="1">
      <alignment horizontal="center"/>
    </xf>
    <xf numFmtId="0" fontId="85" fillId="19" borderId="111" xfId="3" applyFont="1" applyFill="1" applyBorder="1" applyAlignment="1">
      <alignment horizontal="center"/>
    </xf>
    <xf numFmtId="0" fontId="2" fillId="8" borderId="76" xfId="3" applyFont="1" applyFill="1" applyBorder="1"/>
    <xf numFmtId="0" fontId="10" fillId="21" borderId="21" xfId="4" applyFont="1" applyFill="1" applyBorder="1" applyAlignment="1">
      <alignment horizontal="center"/>
    </xf>
    <xf numFmtId="0" fontId="10" fillId="21" borderId="111" xfId="4" applyFont="1" applyFill="1" applyBorder="1" applyAlignment="1">
      <alignment horizontal="center"/>
    </xf>
    <xf numFmtId="0" fontId="15" fillId="21" borderId="94" xfId="4" applyFont="1" applyFill="1" applyBorder="1" applyAlignment="1">
      <alignment horizontal="center"/>
    </xf>
    <xf numFmtId="0" fontId="10" fillId="22" borderId="111" xfId="4" quotePrefix="1" applyFont="1" applyFill="1" applyBorder="1" applyAlignment="1">
      <alignment horizontal="center"/>
    </xf>
    <xf numFmtId="0" fontId="10" fillId="8" borderId="125" xfId="3" applyFont="1" applyFill="1" applyBorder="1" applyAlignment="1">
      <alignment horizontal="center"/>
    </xf>
    <xf numFmtId="0" fontId="77" fillId="19" borderId="125" xfId="3" applyFont="1" applyFill="1" applyBorder="1" applyAlignment="1">
      <alignment horizontal="center"/>
    </xf>
    <xf numFmtId="0" fontId="77" fillId="19" borderId="111" xfId="3" applyFont="1" applyFill="1" applyBorder="1" applyAlignment="1">
      <alignment horizontal="center"/>
    </xf>
    <xf numFmtId="0" fontId="10" fillId="8" borderId="110" xfId="3" applyFont="1" applyFill="1" applyBorder="1" applyAlignment="1">
      <alignment horizontal="center"/>
    </xf>
    <xf numFmtId="0" fontId="10" fillId="8" borderId="111" xfId="3" applyFont="1" applyFill="1" applyBorder="1" applyAlignment="1">
      <alignment horizontal="center"/>
    </xf>
    <xf numFmtId="0" fontId="16" fillId="8" borderId="111" xfId="3" applyFont="1" applyFill="1" applyBorder="1" applyAlignment="1">
      <alignment horizontal="center"/>
    </xf>
    <xf numFmtId="0" fontId="16" fillId="8" borderId="45" xfId="3" applyFont="1" applyFill="1" applyBorder="1" applyAlignment="1">
      <alignment horizontal="center"/>
    </xf>
    <xf numFmtId="0" fontId="2" fillId="8" borderId="113" xfId="3" applyFont="1" applyFill="1" applyBorder="1"/>
    <xf numFmtId="0" fontId="10" fillId="8" borderId="130" xfId="3" applyFont="1" applyFill="1" applyBorder="1" applyAlignment="1">
      <alignment horizontal="center"/>
    </xf>
    <xf numFmtId="165" fontId="78" fillId="16" borderId="112" xfId="37" applyNumberFormat="1" applyFont="1" applyFill="1" applyBorder="1"/>
    <xf numFmtId="0" fontId="78" fillId="16" borderId="113" xfId="3" applyFont="1" applyFill="1" applyBorder="1"/>
    <xf numFmtId="165" fontId="78" fillId="16" borderId="115" xfId="3" applyNumberFormat="1" applyFont="1" applyFill="1" applyBorder="1" applyAlignment="1">
      <alignment horizontal="center"/>
    </xf>
    <xf numFmtId="0" fontId="15" fillId="21" borderId="0" xfId="4" applyFont="1" applyFill="1" applyBorder="1" applyAlignment="1">
      <alignment horizontal="center"/>
    </xf>
    <xf numFmtId="0" fontId="10" fillId="17" borderId="0" xfId="4" applyFont="1" applyFill="1" applyBorder="1" applyAlignment="1">
      <alignment horizontal="center"/>
    </xf>
    <xf numFmtId="5" fontId="2" fillId="16" borderId="2" xfId="3" applyNumberFormat="1" applyFont="1" applyFill="1" applyBorder="1"/>
    <xf numFmtId="0" fontId="0" fillId="0" borderId="0" xfId="0"/>
    <xf numFmtId="14" fontId="22" fillId="19" borderId="127" xfId="3" applyNumberFormat="1" applyFont="1" applyFill="1" applyBorder="1" applyAlignment="1">
      <alignment horizontal="center"/>
    </xf>
    <xf numFmtId="0" fontId="14" fillId="16" borderId="90" xfId="3" applyFont="1" applyFill="1" applyBorder="1"/>
    <xf numFmtId="0" fontId="13" fillId="21" borderId="90" xfId="4" applyFont="1" applyFill="1" applyBorder="1"/>
    <xf numFmtId="0" fontId="2" fillId="21" borderId="90" xfId="4" applyFont="1" applyFill="1" applyBorder="1"/>
    <xf numFmtId="0" fontId="22" fillId="21" borderId="90" xfId="4" applyFont="1" applyFill="1" applyBorder="1"/>
    <xf numFmtId="0" fontId="10" fillId="21" borderId="90" xfId="4" applyFont="1" applyFill="1" applyBorder="1"/>
    <xf numFmtId="0" fontId="13" fillId="22" borderId="90" xfId="4" applyFont="1" applyFill="1" applyBorder="1"/>
    <xf numFmtId="0" fontId="10" fillId="22" borderId="90" xfId="4" applyFont="1" applyFill="1" applyBorder="1"/>
    <xf numFmtId="0" fontId="10" fillId="17" borderId="131" xfId="4" applyFont="1" applyFill="1" applyBorder="1"/>
    <xf numFmtId="0" fontId="13" fillId="16" borderId="131" xfId="3" applyFont="1" applyFill="1" applyBorder="1"/>
    <xf numFmtId="0" fontId="37" fillId="8" borderId="125" xfId="3" applyFont="1" applyFill="1" applyBorder="1"/>
    <xf numFmtId="0" fontId="46" fillId="8" borderId="111" xfId="3" applyFont="1" applyFill="1" applyBorder="1"/>
    <xf numFmtId="0" fontId="45" fillId="8" borderId="111" xfId="3" applyFont="1" applyFill="1" applyBorder="1"/>
    <xf numFmtId="10" fontId="46" fillId="8" borderId="111" xfId="3" applyNumberFormat="1" applyFont="1" applyFill="1" applyBorder="1"/>
    <xf numFmtId="166" fontId="46" fillId="8" borderId="111" xfId="61" applyNumberFormat="1" applyFont="1" applyFill="1" applyBorder="1"/>
    <xf numFmtId="0" fontId="74" fillId="8" borderId="111" xfId="3" applyFont="1" applyFill="1" applyBorder="1"/>
    <xf numFmtId="0" fontId="46" fillId="19" borderId="111" xfId="3" applyFont="1" applyFill="1" applyBorder="1"/>
    <xf numFmtId="0" fontId="79" fillId="8" borderId="111" xfId="3" applyFont="1" applyFill="1" applyBorder="1"/>
    <xf numFmtId="0" fontId="46" fillId="8" borderId="94" xfId="3" applyFont="1" applyFill="1" applyBorder="1"/>
    <xf numFmtId="0" fontId="10" fillId="16" borderId="0" xfId="37" applyNumberFormat="1" applyFont="1" applyFill="1" applyBorder="1"/>
    <xf numFmtId="7" fontId="16" fillId="16" borderId="0" xfId="37" applyNumberFormat="1" applyFont="1" applyFill="1" applyBorder="1"/>
    <xf numFmtId="164" fontId="2" fillId="22" borderId="115" xfId="73" applyNumberFormat="1" applyFont="1" applyFill="1" applyBorder="1"/>
    <xf numFmtId="164" fontId="2" fillId="17" borderId="101" xfId="73" applyNumberFormat="1" applyFont="1" applyFill="1" applyBorder="1"/>
    <xf numFmtId="164" fontId="2" fillId="17" borderId="115" xfId="73" applyNumberFormat="1" applyFont="1" applyFill="1" applyBorder="1"/>
    <xf numFmtId="164" fontId="2" fillId="0" borderId="101" xfId="37" applyNumberFormat="1" applyFont="1" applyBorder="1"/>
    <xf numFmtId="164" fontId="2" fillId="0" borderId="115" xfId="37" applyNumberFormat="1" applyFont="1" applyBorder="1"/>
    <xf numFmtId="0" fontId="10" fillId="0" borderId="21" xfId="3" applyFont="1" applyBorder="1" applyAlignment="1">
      <alignment horizontal="center"/>
    </xf>
    <xf numFmtId="0" fontId="10" fillId="0" borderId="12" xfId="3" applyFont="1" applyBorder="1" applyAlignment="1">
      <alignment horizontal="center"/>
    </xf>
    <xf numFmtId="0" fontId="10" fillId="0" borderId="11" xfId="3" applyFont="1" applyBorder="1" applyAlignment="1">
      <alignment horizontal="center"/>
    </xf>
    <xf numFmtId="0" fontId="0" fillId="0" borderId="0" xfId="0" applyAlignment="1">
      <alignment horizontal="center"/>
    </xf>
    <xf numFmtId="41" fontId="2" fillId="22" borderId="27" xfId="73" applyNumberFormat="1" applyFont="1" applyFill="1" applyBorder="1"/>
    <xf numFmtId="41" fontId="2" fillId="22" borderId="0" xfId="73" applyNumberFormat="1" applyFont="1" applyFill="1"/>
    <xf numFmtId="41" fontId="2" fillId="17" borderId="0" xfId="73" applyNumberFormat="1" applyFont="1" applyFill="1"/>
    <xf numFmtId="41" fontId="2" fillId="17" borderId="115" xfId="73" applyNumberFormat="1" applyFont="1" applyFill="1" applyBorder="1"/>
    <xf numFmtId="41" fontId="78" fillId="17" borderId="0" xfId="37" applyNumberFormat="1" applyFont="1" applyFill="1"/>
    <xf numFmtId="41" fontId="2" fillId="0" borderId="0" xfId="37" applyNumberFormat="1" applyFont="1"/>
    <xf numFmtId="41" fontId="2" fillId="0" borderId="27" xfId="37" applyNumberFormat="1" applyFont="1" applyBorder="1"/>
    <xf numFmtId="41" fontId="2" fillId="0" borderId="115" xfId="37" applyNumberFormat="1" applyFont="1" applyBorder="1"/>
    <xf numFmtId="41" fontId="2" fillId="22" borderId="0" xfId="73" applyNumberFormat="1" applyFont="1" applyFill="1" applyBorder="1"/>
    <xf numFmtId="41" fontId="2" fillId="0" borderId="0" xfId="3" applyNumberFormat="1" applyFont="1"/>
    <xf numFmtId="41" fontId="2" fillId="0" borderId="115" xfId="3" applyNumberFormat="1" applyFont="1" applyBorder="1"/>
    <xf numFmtId="41" fontId="0" fillId="22" borderId="0" xfId="0" applyNumberFormat="1" applyFill="1"/>
    <xf numFmtId="41" fontId="0" fillId="17" borderId="0" xfId="0" applyNumberFormat="1" applyFill="1"/>
    <xf numFmtId="41" fontId="0" fillId="0" borderId="0" xfId="0" applyNumberFormat="1"/>
    <xf numFmtId="41" fontId="0" fillId="0" borderId="27" xfId="0" applyNumberFormat="1" applyBorder="1"/>
    <xf numFmtId="41" fontId="0" fillId="0" borderId="115" xfId="0" applyNumberFormat="1" applyBorder="1"/>
    <xf numFmtId="41" fontId="17" fillId="22" borderId="27" xfId="73" applyNumberFormat="1" applyFont="1" applyFill="1" applyBorder="1"/>
    <xf numFmtId="41" fontId="17" fillId="22" borderId="0" xfId="73" applyNumberFormat="1" applyFont="1" applyFill="1"/>
    <xf numFmtId="41" fontId="17" fillId="17" borderId="0" xfId="73" applyNumberFormat="1" applyFont="1" applyFill="1"/>
    <xf numFmtId="41" fontId="17" fillId="17" borderId="115" xfId="73" applyNumberFormat="1" applyFont="1" applyFill="1" applyBorder="1"/>
    <xf numFmtId="41" fontId="84" fillId="17" borderId="0" xfId="37" applyNumberFormat="1" applyFont="1" applyFill="1"/>
    <xf numFmtId="41" fontId="17" fillId="0" borderId="0" xfId="37" applyNumberFormat="1" applyFont="1"/>
    <xf numFmtId="41" fontId="17" fillId="0" borderId="27" xfId="37" applyNumberFormat="1" applyFont="1" applyBorder="1"/>
    <xf numFmtId="41" fontId="17" fillId="0" borderId="115" xfId="37" applyNumberFormat="1" applyFont="1" applyBorder="1"/>
    <xf numFmtId="41" fontId="2" fillId="17" borderId="115" xfId="37" applyNumberFormat="1" applyFont="1" applyFill="1" applyBorder="1"/>
    <xf numFmtId="41" fontId="2" fillId="17" borderId="0" xfId="37" applyNumberFormat="1" applyFont="1" applyFill="1"/>
    <xf numFmtId="41" fontId="78" fillId="17" borderId="27" xfId="37" applyNumberFormat="1" applyFont="1" applyFill="1" applyBorder="1"/>
    <xf numFmtId="41" fontId="78" fillId="17" borderId="115" xfId="37" applyNumberFormat="1" applyFont="1" applyFill="1" applyBorder="1"/>
    <xf numFmtId="41" fontId="17" fillId="17" borderId="0" xfId="37" applyNumberFormat="1" applyFont="1" applyFill="1"/>
    <xf numFmtId="41" fontId="2" fillId="17" borderId="88" xfId="37" applyNumberFormat="1" applyFont="1" applyFill="1" applyBorder="1"/>
    <xf numFmtId="41" fontId="78" fillId="17" borderId="88" xfId="37" applyNumberFormat="1" applyFont="1" applyFill="1" applyBorder="1"/>
    <xf numFmtId="7" fontId="10" fillId="0" borderId="12" xfId="37" applyNumberFormat="1" applyFont="1" applyBorder="1"/>
    <xf numFmtId="165" fontId="18" fillId="17" borderId="0" xfId="37" applyNumberFormat="1" applyFont="1" applyFill="1" applyBorder="1" applyAlignment="1">
      <alignment horizontal="center"/>
    </xf>
    <xf numFmtId="172" fontId="22" fillId="16" borderId="119" xfId="3" applyNumberFormat="1" applyFont="1" applyFill="1" applyBorder="1"/>
    <xf numFmtId="172" fontId="22" fillId="16" borderId="122" xfId="3" applyNumberFormat="1" applyFont="1" applyFill="1" applyBorder="1"/>
    <xf numFmtId="41" fontId="2" fillId="0" borderId="0" xfId="37" applyNumberFormat="1" applyFont="1" applyFill="1" applyBorder="1"/>
    <xf numFmtId="0" fontId="71" fillId="19" borderId="12" xfId="3" applyFont="1" applyFill="1" applyBorder="1" applyAlignment="1">
      <alignment horizontal="center"/>
    </xf>
    <xf numFmtId="1" fontId="2" fillId="17" borderId="0" xfId="3" applyNumberFormat="1" applyFont="1" applyFill="1" applyBorder="1"/>
    <xf numFmtId="165" fontId="10" fillId="17" borderId="4" xfId="57" applyNumberFormat="1" applyFont="1" applyFill="1" applyBorder="1">
      <alignment wrapText="1"/>
    </xf>
    <xf numFmtId="170" fontId="0" fillId="16" borderId="0" xfId="3" applyNumberFormat="1" applyFont="1" applyFill="1" applyAlignment="1">
      <alignment horizontal="center"/>
    </xf>
    <xf numFmtId="3" fontId="89" fillId="16" borderId="0" xfId="77" applyNumberFormat="1" applyFont="1" applyFill="1" applyAlignment="1" applyProtection="1"/>
    <xf numFmtId="0" fontId="0" fillId="0" borderId="0" xfId="0"/>
    <xf numFmtId="165" fontId="82" fillId="16" borderId="0" xfId="37" applyNumberFormat="1" applyFont="1" applyFill="1" applyBorder="1"/>
    <xf numFmtId="165" fontId="22" fillId="16" borderId="132" xfId="3" applyNumberFormat="1" applyFont="1" applyFill="1" applyBorder="1"/>
    <xf numFmtId="165" fontId="22" fillId="16" borderId="132" xfId="3" applyNumberFormat="1" applyFont="1" applyFill="1" applyBorder="1" applyAlignment="1">
      <alignment horizontal="center"/>
    </xf>
    <xf numFmtId="0" fontId="22" fillId="16" borderId="90" xfId="3" applyFont="1" applyFill="1" applyBorder="1"/>
    <xf numFmtId="0" fontId="28" fillId="16" borderId="125" xfId="3" applyFont="1" applyFill="1" applyBorder="1"/>
    <xf numFmtId="0" fontId="2" fillId="16" borderId="133" xfId="3" applyFont="1" applyFill="1" applyBorder="1"/>
    <xf numFmtId="5" fontId="10" fillId="16" borderId="133" xfId="3" applyNumberFormat="1" applyFont="1" applyFill="1" applyBorder="1"/>
    <xf numFmtId="165" fontId="2" fillId="16" borderId="133" xfId="3" applyNumberFormat="1" applyFont="1" applyFill="1" applyBorder="1"/>
    <xf numFmtId="0" fontId="4" fillId="16" borderId="133" xfId="3" applyFont="1" applyFill="1" applyBorder="1"/>
    <xf numFmtId="0" fontId="70" fillId="16" borderId="133" xfId="3" applyFont="1" applyFill="1" applyBorder="1"/>
    <xf numFmtId="165" fontId="2" fillId="17" borderId="133" xfId="3" applyNumberFormat="1" applyFont="1" applyFill="1" applyBorder="1"/>
    <xf numFmtId="165" fontId="2" fillId="16" borderId="134" xfId="3" applyNumberFormat="1" applyFont="1" applyFill="1" applyBorder="1"/>
    <xf numFmtId="0" fontId="3" fillId="16" borderId="0" xfId="3" applyFont="1" applyFill="1" applyAlignment="1">
      <alignment horizontal="center"/>
    </xf>
    <xf numFmtId="165" fontId="22" fillId="21" borderId="0" xfId="4" applyNumberFormat="1" applyFont="1" applyFill="1" applyBorder="1"/>
    <xf numFmtId="165" fontId="22" fillId="22" borderId="0" xfId="4" applyNumberFormat="1" applyFont="1" applyFill="1" applyBorder="1"/>
    <xf numFmtId="165" fontId="22" fillId="22" borderId="27" xfId="4" applyNumberFormat="1" applyFont="1" applyFill="1" applyBorder="1"/>
    <xf numFmtId="165" fontId="22" fillId="17" borderId="0" xfId="4" applyNumberFormat="1" applyFont="1" applyFill="1" applyBorder="1"/>
    <xf numFmtId="165" fontId="22" fillId="17" borderId="27" xfId="4" applyNumberFormat="1" applyFont="1" applyFill="1" applyBorder="1"/>
    <xf numFmtId="165" fontId="81" fillId="17" borderId="0" xfId="3" applyNumberFormat="1" applyFont="1" applyFill="1" applyBorder="1"/>
    <xf numFmtId="0" fontId="49" fillId="16" borderId="0" xfId="3" applyFont="1" applyFill="1" applyAlignment="1">
      <alignment horizontal="center"/>
    </xf>
    <xf numFmtId="170" fontId="10" fillId="21" borderId="0" xfId="4" applyNumberFormat="1" applyFont="1" applyFill="1" applyBorder="1"/>
    <xf numFmtId="170" fontId="10" fillId="21" borderId="27" xfId="4" applyNumberFormat="1" applyFont="1" applyFill="1" applyBorder="1"/>
    <xf numFmtId="170" fontId="10" fillId="22" borderId="0" xfId="4" applyNumberFormat="1" applyFont="1" applyFill="1" applyBorder="1"/>
    <xf numFmtId="170" fontId="10" fillId="22" borderId="27" xfId="4" applyNumberFormat="1" applyFont="1" applyFill="1" applyBorder="1"/>
    <xf numFmtId="170" fontId="77" fillId="17" borderId="0" xfId="3" applyNumberFormat="1" applyFont="1" applyFill="1" applyBorder="1"/>
    <xf numFmtId="170" fontId="10" fillId="0" borderId="0" xfId="3" applyNumberFormat="1" applyFont="1" applyFill="1" applyBorder="1"/>
    <xf numFmtId="170" fontId="10" fillId="0" borderId="27" xfId="3" applyNumberFormat="1" applyFont="1" applyFill="1" applyBorder="1"/>
    <xf numFmtId="0" fontId="10" fillId="0" borderId="0" xfId="3" applyFont="1" applyFill="1" applyBorder="1" applyAlignment="1">
      <alignment horizontal="center"/>
    </xf>
    <xf numFmtId="2" fontId="78" fillId="0" borderId="0" xfId="3" applyNumberFormat="1" applyFont="1" applyFill="1" applyBorder="1"/>
    <xf numFmtId="2" fontId="2" fillId="0" borderId="0" xfId="3" applyNumberFormat="1" applyFont="1" applyFill="1" applyBorder="1"/>
    <xf numFmtId="7" fontId="2" fillId="0" borderId="27" xfId="3" applyNumberFormat="1" applyFont="1" applyFill="1" applyBorder="1"/>
    <xf numFmtId="9" fontId="82" fillId="16" borderId="0" xfId="61" applyNumberFormat="1" applyFont="1" applyFill="1" applyBorder="1"/>
    <xf numFmtId="0" fontId="2" fillId="16" borderId="129" xfId="3" applyFont="1" applyFill="1" applyBorder="1"/>
    <xf numFmtId="0" fontId="2" fillId="21" borderId="127" xfId="4" applyFont="1" applyFill="1" applyBorder="1"/>
    <xf numFmtId="0" fontId="11" fillId="21" borderId="127" xfId="4" applyFont="1" applyFill="1" applyBorder="1"/>
    <xf numFmtId="165" fontId="2" fillId="21" borderId="132" xfId="4" applyNumberFormat="1" applyFont="1" applyFill="1" applyBorder="1"/>
    <xf numFmtId="165" fontId="2" fillId="21" borderId="127" xfId="4" applyNumberFormat="1" applyFont="1" applyFill="1" applyBorder="1"/>
    <xf numFmtId="165" fontId="2" fillId="21" borderId="127" xfId="4" applyNumberFormat="1" applyFont="1" applyFill="1" applyBorder="1" applyAlignment="1">
      <alignment horizontal="right"/>
    </xf>
    <xf numFmtId="165" fontId="2" fillId="21" borderId="132" xfId="4" applyNumberFormat="1" applyFont="1" applyFill="1" applyBorder="1" applyAlignment="1">
      <alignment horizontal="right"/>
    </xf>
    <xf numFmtId="165" fontId="2" fillId="22" borderId="127" xfId="4" applyNumberFormat="1" applyFont="1" applyFill="1" applyBorder="1" applyAlignment="1">
      <alignment horizontal="right"/>
    </xf>
    <xf numFmtId="165" fontId="2" fillId="22" borderId="132" xfId="4" applyNumberFormat="1" applyFont="1" applyFill="1" applyBorder="1" applyAlignment="1">
      <alignment horizontal="right"/>
    </xf>
    <xf numFmtId="165" fontId="2" fillId="17" borderId="127" xfId="4" applyNumberFormat="1" applyFont="1" applyFill="1" applyBorder="1" applyAlignment="1">
      <alignment horizontal="right"/>
    </xf>
    <xf numFmtId="165" fontId="2" fillId="17" borderId="132" xfId="4" applyNumberFormat="1" applyFont="1" applyFill="1" applyBorder="1" applyAlignment="1">
      <alignment horizontal="right"/>
    </xf>
    <xf numFmtId="165" fontId="78" fillId="17" borderId="127" xfId="3" applyNumberFormat="1" applyFont="1" applyFill="1" applyBorder="1" applyAlignment="1">
      <alignment horizontal="right"/>
    </xf>
    <xf numFmtId="165" fontId="2" fillId="16" borderId="127" xfId="3" applyNumberFormat="1" applyFont="1" applyFill="1" applyBorder="1" applyAlignment="1">
      <alignment horizontal="right"/>
    </xf>
    <xf numFmtId="165" fontId="2" fillId="16" borderId="132" xfId="3" applyNumberFormat="1" applyFont="1" applyFill="1" applyBorder="1" applyAlignment="1">
      <alignment horizontal="right"/>
    </xf>
    <xf numFmtId="0" fontId="2" fillId="16" borderId="102" xfId="3" applyFont="1" applyFill="1" applyBorder="1"/>
    <xf numFmtId="0" fontId="11" fillId="21" borderId="90" xfId="4" applyFont="1" applyFill="1" applyBorder="1"/>
    <xf numFmtId="166" fontId="2" fillId="21" borderId="88" xfId="74" applyNumberFormat="1" applyFont="1" applyFill="1" applyBorder="1"/>
    <xf numFmtId="166" fontId="2" fillId="21" borderId="90" xfId="74" applyNumberFormat="1" applyFont="1" applyFill="1" applyBorder="1"/>
    <xf numFmtId="166" fontId="2" fillId="21" borderId="90" xfId="74" applyNumberFormat="1" applyFont="1" applyFill="1" applyBorder="1" applyAlignment="1">
      <alignment horizontal="right"/>
    </xf>
    <xf numFmtId="166" fontId="2" fillId="21" borderId="88" xfId="74" applyNumberFormat="1" applyFont="1" applyFill="1" applyBorder="1" applyAlignment="1">
      <alignment horizontal="right"/>
    </xf>
    <xf numFmtId="166" fontId="2" fillId="22" borderId="90" xfId="74" applyNumberFormat="1" applyFont="1" applyFill="1" applyBorder="1" applyAlignment="1">
      <alignment horizontal="right"/>
    </xf>
    <xf numFmtId="166" fontId="2" fillId="22" borderId="88" xfId="74" applyNumberFormat="1" applyFont="1" applyFill="1" applyBorder="1" applyAlignment="1">
      <alignment horizontal="right"/>
    </xf>
    <xf numFmtId="166" fontId="2" fillId="17" borderId="90" xfId="74" applyNumberFormat="1" applyFont="1" applyFill="1" applyBorder="1" applyAlignment="1">
      <alignment horizontal="right"/>
    </xf>
    <xf numFmtId="166" fontId="2" fillId="17" borderId="88" xfId="74" applyNumberFormat="1" applyFont="1" applyFill="1" applyBorder="1" applyAlignment="1">
      <alignment horizontal="right"/>
    </xf>
    <xf numFmtId="166" fontId="78" fillId="17" borderId="90" xfId="61" applyNumberFormat="1" applyFont="1" applyFill="1" applyBorder="1" applyAlignment="1">
      <alignment horizontal="right"/>
    </xf>
    <xf numFmtId="166" fontId="2" fillId="16" borderId="90" xfId="61" applyNumberFormat="1" applyFont="1" applyFill="1" applyBorder="1" applyAlignment="1">
      <alignment horizontal="right"/>
    </xf>
    <xf numFmtId="166" fontId="2" fillId="16" borderId="88" xfId="61" applyNumberFormat="1" applyFont="1" applyFill="1" applyBorder="1" applyAlignment="1">
      <alignment horizontal="right"/>
    </xf>
    <xf numFmtId="170" fontId="2" fillId="0" borderId="0" xfId="3" applyNumberFormat="1" applyFont="1" applyFill="1" applyBorder="1" applyAlignment="1">
      <alignment horizontal="right"/>
    </xf>
    <xf numFmtId="0" fontId="2" fillId="16" borderId="124" xfId="3" applyFont="1" applyFill="1" applyBorder="1"/>
    <xf numFmtId="0" fontId="2" fillId="21" borderId="83" xfId="4" applyFont="1" applyFill="1" applyBorder="1"/>
    <xf numFmtId="0" fontId="11" fillId="21" borderId="83" xfId="4" applyFont="1" applyFill="1" applyBorder="1"/>
    <xf numFmtId="166" fontId="2" fillId="21" borderId="132" xfId="74" applyNumberFormat="1" applyFont="1" applyFill="1" applyBorder="1"/>
    <xf numFmtId="166" fontId="2" fillId="21" borderId="83" xfId="74" applyNumberFormat="1" applyFont="1" applyFill="1" applyBorder="1"/>
    <xf numFmtId="166" fontId="2" fillId="21" borderId="83" xfId="74" applyNumberFormat="1" applyFont="1" applyFill="1" applyBorder="1" applyAlignment="1">
      <alignment horizontal="right"/>
    </xf>
    <xf numFmtId="166" fontId="2" fillId="21" borderId="132" xfId="74" applyNumberFormat="1" applyFont="1" applyFill="1" applyBorder="1" applyAlignment="1">
      <alignment horizontal="right"/>
    </xf>
    <xf numFmtId="166" fontId="2" fillId="22" borderId="83" xfId="74" applyNumberFormat="1" applyFont="1" applyFill="1" applyBorder="1" applyAlignment="1">
      <alignment horizontal="right"/>
    </xf>
    <xf numFmtId="166" fontId="2" fillId="22" borderId="132" xfId="74" applyNumberFormat="1" applyFont="1" applyFill="1" applyBorder="1" applyAlignment="1">
      <alignment horizontal="right"/>
    </xf>
    <xf numFmtId="166" fontId="2" fillId="17" borderId="83" xfId="74" applyNumberFormat="1" applyFont="1" applyFill="1" applyBorder="1" applyAlignment="1">
      <alignment horizontal="right"/>
    </xf>
    <xf numFmtId="166" fontId="2" fillId="17" borderId="132" xfId="74" applyNumberFormat="1" applyFont="1" applyFill="1" applyBorder="1" applyAlignment="1">
      <alignment horizontal="right"/>
    </xf>
    <xf numFmtId="166" fontId="78" fillId="17" borderId="83" xfId="61" applyNumberFormat="1" applyFont="1" applyFill="1" applyBorder="1" applyAlignment="1">
      <alignment horizontal="right"/>
    </xf>
    <xf numFmtId="166" fontId="2" fillId="16" borderId="83" xfId="61" applyNumberFormat="1" applyFont="1" applyFill="1" applyBorder="1" applyAlignment="1">
      <alignment horizontal="right"/>
    </xf>
    <xf numFmtId="166" fontId="2" fillId="16" borderId="132" xfId="61" applyNumberFormat="1" applyFont="1" applyFill="1" applyBorder="1" applyAlignment="1">
      <alignment horizontal="right"/>
    </xf>
    <xf numFmtId="170" fontId="2" fillId="17" borderId="0" xfId="37" applyNumberFormat="1" applyFont="1" applyFill="1" applyBorder="1" applyAlignment="1">
      <alignment horizontal="center"/>
    </xf>
    <xf numFmtId="170" fontId="10" fillId="17" borderId="0" xfId="3" applyNumberFormat="1" applyFont="1" applyFill="1" applyBorder="1" applyAlignment="1"/>
    <xf numFmtId="165" fontId="2" fillId="17" borderId="0" xfId="3" applyNumberFormat="1" applyFont="1" applyFill="1" applyBorder="1" applyAlignment="1"/>
    <xf numFmtId="165" fontId="22" fillId="17" borderId="91" xfId="3" applyNumberFormat="1" applyFont="1" applyFill="1" applyBorder="1"/>
    <xf numFmtId="165" fontId="22" fillId="17" borderId="93" xfId="3" applyNumberFormat="1" applyFont="1" applyFill="1" applyBorder="1"/>
    <xf numFmtId="165" fontId="22" fillId="17" borderId="94" xfId="3" applyNumberFormat="1" applyFont="1" applyFill="1" applyBorder="1"/>
    <xf numFmtId="0" fontId="2" fillId="17" borderId="2" xfId="3" applyFont="1" applyFill="1" applyBorder="1"/>
    <xf numFmtId="165" fontId="2" fillId="17" borderId="23" xfId="3" applyNumberFormat="1" applyFont="1" applyFill="1" applyBorder="1"/>
    <xf numFmtId="165" fontId="10" fillId="17" borderId="23" xfId="3" applyNumberFormat="1" applyFont="1" applyFill="1" applyBorder="1"/>
    <xf numFmtId="165" fontId="10" fillId="17" borderId="4" xfId="3" applyNumberFormat="1" applyFont="1" applyFill="1" applyBorder="1"/>
    <xf numFmtId="166" fontId="46" fillId="8" borderId="111" xfId="3" applyNumberFormat="1" applyFont="1" applyFill="1" applyBorder="1"/>
    <xf numFmtId="41" fontId="45" fillId="8" borderId="111" xfId="3" applyNumberFormat="1" applyFont="1" applyFill="1" applyBorder="1"/>
    <xf numFmtId="0" fontId="2" fillId="16" borderId="131" xfId="3" applyFont="1" applyFill="1" applyBorder="1"/>
    <xf numFmtId="165" fontId="2" fillId="16" borderId="112" xfId="37" applyNumberFormat="1" applyFont="1" applyFill="1" applyBorder="1"/>
    <xf numFmtId="165" fontId="2" fillId="16" borderId="64" xfId="37" applyNumberFormat="1" applyFont="1" applyFill="1" applyBorder="1"/>
    <xf numFmtId="165" fontId="17" fillId="17" borderId="44" xfId="3" applyNumberFormat="1" applyFont="1" applyFill="1" applyBorder="1"/>
    <xf numFmtId="165" fontId="17" fillId="16" borderId="44" xfId="3" applyNumberFormat="1" applyFont="1" applyFill="1" applyBorder="1"/>
    <xf numFmtId="44" fontId="2" fillId="16" borderId="44" xfId="3" applyNumberFormat="1" applyFont="1" applyFill="1" applyBorder="1"/>
    <xf numFmtId="172" fontId="22" fillId="16" borderId="28" xfId="3" applyNumberFormat="1" applyFont="1" applyFill="1" applyBorder="1"/>
    <xf numFmtId="172" fontId="22" fillId="16" borderId="46" xfId="3" applyNumberFormat="1" applyFont="1" applyFill="1" applyBorder="1"/>
    <xf numFmtId="41" fontId="2" fillId="17" borderId="27" xfId="37" applyNumberFormat="1" applyFont="1" applyFill="1" applyBorder="1"/>
    <xf numFmtId="164" fontId="2" fillId="16" borderId="0" xfId="3" applyNumberFormat="1" applyFont="1" applyFill="1" applyBorder="1" applyAlignment="1">
      <alignment horizontal="right"/>
    </xf>
    <xf numFmtId="165" fontId="2" fillId="17" borderId="0" xfId="3" applyNumberFormat="1" applyFont="1" applyFill="1" applyBorder="1" applyAlignment="1">
      <alignment horizontal="right"/>
    </xf>
    <xf numFmtId="164" fontId="2" fillId="17" borderId="0" xfId="3" applyNumberFormat="1" applyFont="1" applyFill="1" applyBorder="1"/>
    <xf numFmtId="0" fontId="10" fillId="16" borderId="135" xfId="3" applyFont="1" applyFill="1" applyBorder="1"/>
    <xf numFmtId="5" fontId="2" fillId="16" borderId="27" xfId="37" applyNumberFormat="1" applyFont="1" applyFill="1" applyBorder="1" applyAlignment="1"/>
    <xf numFmtId="5" fontId="2" fillId="16" borderId="0" xfId="38" applyNumberFormat="1" applyFont="1" applyFill="1" applyBorder="1" applyAlignment="1"/>
    <xf numFmtId="5" fontId="2" fillId="16" borderId="27" xfId="38" applyNumberFormat="1" applyFont="1" applyFill="1" applyBorder="1" applyAlignment="1"/>
    <xf numFmtId="5" fontId="70" fillId="16" borderId="0" xfId="37" applyNumberFormat="1" applyFont="1" applyFill="1" applyBorder="1" applyAlignment="1"/>
    <xf numFmtId="5" fontId="2" fillId="16" borderId="0" xfId="37" applyNumberFormat="1" applyFont="1" applyFill="1" applyBorder="1" applyAlignment="1"/>
    <xf numFmtId="5" fontId="2" fillId="17" borderId="27" xfId="37" applyNumberFormat="1" applyFont="1" applyFill="1" applyBorder="1" applyAlignment="1"/>
    <xf numFmtId="5" fontId="2" fillId="17" borderId="0" xfId="37" applyNumberFormat="1" applyFont="1" applyFill="1" applyBorder="1" applyAlignment="1"/>
    <xf numFmtId="5" fontId="2" fillId="16" borderId="96" xfId="37" applyNumberFormat="1" applyFont="1" applyFill="1" applyBorder="1" applyAlignment="1"/>
    <xf numFmtId="5" fontId="4" fillId="16" borderId="0" xfId="37" applyNumberFormat="1" applyFont="1" applyFill="1" applyBorder="1" applyAlignment="1"/>
    <xf numFmtId="5" fontId="4" fillId="16" borderId="27" xfId="37" applyNumberFormat="1" applyFont="1" applyFill="1" applyBorder="1" applyAlignment="1"/>
    <xf numFmtId="37" fontId="2" fillId="16" borderId="27" xfId="3" applyNumberFormat="1" applyFont="1" applyFill="1" applyBorder="1" applyAlignment="1"/>
    <xf numFmtId="37" fontId="2" fillId="16" borderId="0" xfId="4" applyNumberFormat="1" applyFont="1" applyFill="1" applyBorder="1" applyAlignment="1"/>
    <xf numFmtId="37" fontId="2" fillId="16" borderId="27" xfId="4" applyNumberFormat="1" applyFont="1" applyFill="1" applyBorder="1" applyAlignment="1"/>
    <xf numFmtId="37" fontId="70" fillId="16" borderId="0" xfId="3" applyNumberFormat="1" applyFont="1" applyFill="1" applyBorder="1" applyAlignment="1"/>
    <xf numFmtId="37" fontId="2" fillId="16" borderId="0" xfId="3" applyNumberFormat="1" applyFont="1" applyFill="1" applyBorder="1" applyAlignment="1"/>
    <xf numFmtId="37" fontId="2" fillId="17" borderId="44" xfId="37" applyNumberFormat="1" applyFont="1" applyFill="1" applyBorder="1" applyAlignment="1"/>
    <xf numFmtId="37" fontId="2" fillId="17" borderId="0" xfId="3" applyNumberFormat="1" applyFont="1" applyFill="1" applyBorder="1" applyAlignment="1"/>
    <xf numFmtId="37" fontId="4" fillId="16" borderId="0" xfId="3" applyNumberFormat="1" applyFont="1" applyFill="1" applyBorder="1" applyAlignment="1"/>
    <xf numFmtId="37" fontId="4" fillId="16" borderId="27" xfId="3" applyNumberFormat="1" applyFont="1" applyFill="1" applyBorder="1" applyAlignment="1"/>
    <xf numFmtId="5" fontId="10" fillId="16" borderId="27" xfId="3" applyNumberFormat="1" applyFont="1" applyFill="1" applyBorder="1" applyAlignment="1"/>
    <xf numFmtId="5" fontId="10" fillId="16" borderId="0" xfId="4" applyNumberFormat="1" applyFont="1" applyFill="1" applyBorder="1" applyAlignment="1"/>
    <xf numFmtId="5" fontId="2" fillId="17" borderId="44" xfId="37" applyNumberFormat="1" applyFont="1" applyFill="1" applyBorder="1" applyAlignment="1"/>
    <xf numFmtId="5" fontId="71" fillId="16" borderId="0" xfId="3" applyNumberFormat="1" applyFont="1" applyFill="1" applyBorder="1" applyAlignment="1"/>
    <xf numFmtId="5" fontId="10" fillId="16" borderId="0" xfId="3" applyNumberFormat="1" applyFont="1" applyFill="1" applyBorder="1" applyAlignment="1"/>
    <xf numFmtId="5" fontId="16" fillId="16" borderId="27" xfId="3" applyNumberFormat="1" applyFont="1" applyFill="1" applyBorder="1" applyAlignment="1"/>
    <xf numFmtId="5" fontId="10" fillId="17" borderId="0" xfId="3" applyNumberFormat="1" applyFont="1" applyFill="1" applyBorder="1" applyAlignment="1"/>
    <xf numFmtId="5" fontId="16" fillId="16" borderId="0" xfId="3" applyNumberFormat="1" applyFont="1" applyFill="1" applyBorder="1" applyAlignment="1"/>
    <xf numFmtId="7" fontId="10" fillId="16" borderId="26" xfId="3" applyNumberFormat="1" applyFont="1" applyFill="1" applyBorder="1" applyAlignment="1">
      <alignment horizontal="center"/>
    </xf>
    <xf numFmtId="166" fontId="2" fillId="0" borderId="44" xfId="61" applyNumberFormat="1" applyFont="1" applyFill="1" applyBorder="1"/>
    <xf numFmtId="166" fontId="2" fillId="0" borderId="0" xfId="61" applyNumberFormat="1" applyFont="1" applyFill="1" applyBorder="1"/>
    <xf numFmtId="165" fontId="10" fillId="16" borderId="27" xfId="3" applyNumberFormat="1" applyFont="1" applyFill="1" applyBorder="1" applyAlignment="1"/>
    <xf numFmtId="0" fontId="22" fillId="16" borderId="125" xfId="3" applyFont="1" applyFill="1" applyBorder="1"/>
    <xf numFmtId="7" fontId="22" fillId="16" borderId="132" xfId="3" applyNumberFormat="1" applyFont="1" applyFill="1" applyBorder="1" applyAlignment="1">
      <alignment horizontal="center"/>
    </xf>
    <xf numFmtId="7" fontId="22" fillId="16" borderId="0" xfId="3" applyNumberFormat="1" applyFont="1" applyFill="1" applyBorder="1"/>
    <xf numFmtId="7" fontId="27" fillId="16" borderId="0" xfId="3" applyNumberFormat="1" applyFont="1" applyFill="1" applyBorder="1"/>
    <xf numFmtId="7" fontId="25" fillId="16" borderId="0" xfId="3" applyNumberFormat="1" applyFont="1" applyFill="1" applyBorder="1"/>
    <xf numFmtId="7" fontId="25" fillId="17" borderId="132" xfId="3" applyNumberFormat="1" applyFont="1" applyFill="1" applyBorder="1" applyAlignment="1">
      <alignment horizontal="center"/>
    </xf>
    <xf numFmtId="7" fontId="22" fillId="17" borderId="124" xfId="3" applyNumberFormat="1" applyFont="1" applyFill="1" applyBorder="1"/>
    <xf numFmtId="7" fontId="22" fillId="17" borderId="83" xfId="3" applyNumberFormat="1" applyFont="1" applyFill="1" applyBorder="1"/>
    <xf numFmtId="7" fontId="22" fillId="16" borderId="132" xfId="61" applyNumberFormat="1" applyFont="1" applyFill="1" applyBorder="1" applyAlignment="1">
      <alignment horizontal="center"/>
    </xf>
    <xf numFmtId="7" fontId="22" fillId="16" borderId="83" xfId="61" applyNumberFormat="1" applyFont="1" applyFill="1" applyBorder="1" applyAlignment="1">
      <alignment horizontal="center"/>
    </xf>
    <xf numFmtId="7" fontId="22" fillId="16" borderId="132" xfId="37" applyNumberFormat="1" applyFont="1" applyFill="1" applyBorder="1" applyAlignment="1">
      <alignment horizontal="center"/>
    </xf>
    <xf numFmtId="7" fontId="25" fillId="16" borderId="83" xfId="61" applyNumberFormat="1" applyFont="1" applyFill="1" applyBorder="1" applyAlignment="1">
      <alignment horizontal="center"/>
    </xf>
    <xf numFmtId="7" fontId="25" fillId="16" borderId="132" xfId="37" applyNumberFormat="1" applyFont="1" applyFill="1" applyBorder="1" applyAlignment="1">
      <alignment horizontal="center"/>
    </xf>
    <xf numFmtId="0" fontId="28" fillId="0" borderId="42" xfId="3" applyFont="1" applyFill="1" applyBorder="1"/>
    <xf numFmtId="0" fontId="28" fillId="0" borderId="27" xfId="4" applyFont="1" applyFill="1" applyBorder="1"/>
    <xf numFmtId="166" fontId="28" fillId="0" borderId="0" xfId="74" applyNumberFormat="1" applyFont="1" applyFill="1" applyBorder="1"/>
    <xf numFmtId="166" fontId="28" fillId="0" borderId="27" xfId="74" applyNumberFormat="1" applyFont="1" applyFill="1" applyBorder="1"/>
    <xf numFmtId="166" fontId="28" fillId="0" borderId="44" xfId="74" applyNumberFormat="1" applyFont="1" applyFill="1" applyBorder="1"/>
    <xf numFmtId="166" fontId="28" fillId="0" borderId="116" xfId="74" applyNumberFormat="1" applyFont="1" applyFill="1" applyBorder="1"/>
    <xf numFmtId="166" fontId="29" fillId="0" borderId="0" xfId="74" applyNumberFormat="1" applyFont="1" applyFill="1" applyBorder="1"/>
    <xf numFmtId="166" fontId="28" fillId="0" borderId="115" xfId="74" applyNumberFormat="1" applyFont="1" applyFill="1" applyBorder="1"/>
    <xf numFmtId="166" fontId="76" fillId="0" borderId="0" xfId="61" applyNumberFormat="1" applyFont="1" applyFill="1" applyBorder="1"/>
    <xf numFmtId="166" fontId="28" fillId="0" borderId="96" xfId="61" applyNumberFormat="1" applyFont="1" applyFill="1" applyBorder="1"/>
    <xf numFmtId="166" fontId="28" fillId="0" borderId="44" xfId="61" applyNumberFormat="1" applyFont="1" applyFill="1" applyBorder="1"/>
    <xf numFmtId="0" fontId="28" fillId="0" borderId="0" xfId="3" applyFont="1" applyFill="1"/>
    <xf numFmtId="166" fontId="28" fillId="0" borderId="0" xfId="61" applyNumberFormat="1" applyFont="1" applyFill="1" applyBorder="1" applyAlignment="1">
      <alignment horizontal="center"/>
    </xf>
    <xf numFmtId="166" fontId="28" fillId="0" borderId="27" xfId="61" applyNumberFormat="1" applyFont="1" applyFill="1" applyBorder="1" applyAlignment="1">
      <alignment horizontal="center"/>
    </xf>
    <xf numFmtId="166" fontId="28" fillId="0" borderId="5" xfId="61" applyNumberFormat="1" applyFont="1" applyFill="1" applyBorder="1" applyAlignment="1">
      <alignment horizontal="center"/>
    </xf>
    <xf numFmtId="0" fontId="28" fillId="0" borderId="0" xfId="3" applyFont="1" applyFill="1" applyBorder="1"/>
    <xf numFmtId="0" fontId="49" fillId="0" borderId="0" xfId="0" applyFont="1" applyFill="1"/>
    <xf numFmtId="0" fontId="3" fillId="23" borderId="0" xfId="78" applyFont="1" applyFill="1" applyAlignment="1">
      <alignment vertical="top"/>
    </xf>
    <xf numFmtId="0" fontId="3" fillId="23" borderId="0" xfId="1" applyFill="1" applyAlignment="1">
      <alignment vertical="top"/>
    </xf>
    <xf numFmtId="0" fontId="3" fillId="23" borderId="0" xfId="1" applyFill="1"/>
    <xf numFmtId="0" fontId="39" fillId="23" borderId="0" xfId="78" applyFont="1" applyFill="1" applyAlignment="1">
      <alignment horizontal="left" vertical="top"/>
    </xf>
    <xf numFmtId="0" fontId="3" fillId="23" borderId="0" xfId="1" applyFont="1" applyFill="1" applyAlignment="1">
      <alignment vertical="top"/>
    </xf>
    <xf numFmtId="0" fontId="49" fillId="23" borderId="0" xfId="78" applyFont="1" applyFill="1" applyAlignment="1">
      <alignment vertical="top"/>
    </xf>
    <xf numFmtId="0" fontId="0" fillId="23" borderId="0" xfId="0" applyFill="1" applyAlignment="1">
      <alignment vertical="top"/>
    </xf>
    <xf numFmtId="0" fontId="91" fillId="23" borderId="0" xfId="0" applyFont="1" applyFill="1" applyAlignment="1">
      <alignment vertical="top"/>
    </xf>
    <xf numFmtId="0" fontId="92" fillId="23" borderId="0" xfId="0" applyFont="1" applyFill="1" applyAlignment="1">
      <alignment vertical="top"/>
    </xf>
    <xf numFmtId="0" fontId="92" fillId="23" borderId="0" xfId="0" applyFont="1" applyFill="1" applyAlignment="1">
      <alignment vertical="top"/>
    </xf>
    <xf numFmtId="0" fontId="91" fillId="23" borderId="0" xfId="0" applyFont="1" applyFill="1" applyAlignment="1">
      <alignment vertical="top"/>
    </xf>
    <xf numFmtId="0" fontId="0" fillId="23" borderId="0" xfId="0" applyFill="1" applyAlignment="1">
      <alignment vertical="top"/>
    </xf>
    <xf numFmtId="0" fontId="0" fillId="23" borderId="140" xfId="0" applyFill="1" applyBorder="1" applyAlignment="1">
      <alignment vertical="top"/>
    </xf>
    <xf numFmtId="0" fontId="91" fillId="23" borderId="136" xfId="0" applyFont="1" applyFill="1" applyBorder="1" applyAlignment="1">
      <alignment vertical="top"/>
    </xf>
    <xf numFmtId="0" fontId="91" fillId="23" borderId="137" xfId="0" applyFont="1" applyFill="1" applyBorder="1" applyAlignment="1">
      <alignment vertical="top"/>
    </xf>
    <xf numFmtId="0" fontId="91" fillId="23" borderId="138" xfId="0" applyFont="1" applyFill="1" applyBorder="1" applyAlignment="1">
      <alignment vertical="top"/>
    </xf>
    <xf numFmtId="0" fontId="91" fillId="23" borderId="139" xfId="0" applyFont="1" applyFill="1" applyBorder="1" applyAlignment="1">
      <alignment vertical="top"/>
    </xf>
    <xf numFmtId="9" fontId="91" fillId="23" borderId="136" xfId="0" applyNumberFormat="1" applyFont="1" applyFill="1" applyBorder="1" applyAlignment="1">
      <alignment vertical="top"/>
    </xf>
    <xf numFmtId="3" fontId="91" fillId="23" borderId="136" xfId="0" applyNumberFormat="1" applyFont="1" applyFill="1" applyBorder="1" applyAlignment="1">
      <alignment vertical="top"/>
    </xf>
    <xf numFmtId="0" fontId="0" fillId="23" borderId="141" xfId="0" applyFill="1" applyBorder="1" applyAlignment="1">
      <alignment vertical="top"/>
    </xf>
    <xf numFmtId="2" fontId="3" fillId="0" borderId="0" xfId="1" applyNumberFormat="1" applyAlignment="1">
      <alignment horizontal="left"/>
    </xf>
    <xf numFmtId="0" fontId="3" fillId="0" borderId="0" xfId="1" applyNumberFormat="1" applyAlignment="1">
      <alignment horizontal="left"/>
    </xf>
    <xf numFmtId="1" fontId="3" fillId="0" borderId="0" xfId="1" applyNumberFormat="1" applyAlignment="1">
      <alignment horizontal="left"/>
    </xf>
    <xf numFmtId="0" fontId="3" fillId="0" borderId="0" xfId="1" applyFont="1"/>
    <xf numFmtId="220" fontId="3" fillId="0" borderId="0" xfId="1" applyNumberFormat="1" applyAlignment="1">
      <alignment horizontal="left"/>
    </xf>
    <xf numFmtId="49" fontId="3" fillId="0" borderId="0" xfId="1" applyNumberFormat="1"/>
  </cellXfs>
  <cellStyles count="79">
    <cellStyle name=" 1" xfId="2"/>
    <cellStyle name="_x000a_386grabber=M" xfId="3"/>
    <cellStyle name="_x000a_386grabber=M 2" xfId="4"/>
    <cellStyle name="_SUMMARY " xfId="6"/>
    <cellStyle name="0_Capex &amp; Depreciation " xfId="7"/>
    <cellStyle name="0_Valuing BP " xfId="8"/>
    <cellStyle name="20% - Accent1" xfId="9" builtinId="30" customBuiltin="1"/>
    <cellStyle name="20% - Accent2" xfId="10" builtinId="34" customBuiltin="1"/>
    <cellStyle name="20% - Accent3" xfId="11" builtinId="38" customBuiltin="1"/>
    <cellStyle name="20% - Accent4" xfId="12" builtinId="42" customBuiltin="1"/>
    <cellStyle name="20% - Accent5" xfId="13" builtinId="46" customBuiltin="1"/>
    <cellStyle name="20% - Accent6" xfId="14" builtinId="50" customBuiltin="1"/>
    <cellStyle name="40% - Accent1" xfId="15" builtinId="31" customBuiltin="1"/>
    <cellStyle name="40% - Accent2" xfId="16" builtinId="35" customBuiltin="1"/>
    <cellStyle name="40% - Accent3" xfId="17" builtinId="39" customBuiltin="1"/>
    <cellStyle name="40% - Accent4" xfId="18" builtinId="43" customBuiltin="1"/>
    <cellStyle name="40% - Accent5" xfId="19" builtinId="47" customBuiltin="1"/>
    <cellStyle name="40% - Accent6" xfId="20" builtinId="51" customBuiltin="1"/>
    <cellStyle name="60% - Accent1" xfId="21" builtinId="32" customBuiltin="1"/>
    <cellStyle name="60% - Accent2" xfId="22" builtinId="36" customBuiltin="1"/>
    <cellStyle name="60% - Accent3" xfId="23" builtinId="40" customBuiltin="1"/>
    <cellStyle name="60% - Accent4" xfId="24" builtinId="44" customBuiltin="1"/>
    <cellStyle name="60% - Accent5" xfId="25" builtinId="48" customBuiltin="1"/>
    <cellStyle name="60% - Accent6" xfId="26" builtinId="52" customBuiltin="1"/>
    <cellStyle name="Accent1" xfId="27" builtinId="29" customBuiltin="1"/>
    <cellStyle name="Accent2" xfId="28" builtinId="33" customBuiltin="1"/>
    <cellStyle name="Accent3" xfId="29" builtinId="37" customBuiltin="1"/>
    <cellStyle name="Accent4" xfId="30" builtinId="41" customBuiltin="1"/>
    <cellStyle name="Accent5" xfId="31" builtinId="45" customBuiltin="1"/>
    <cellStyle name="Accent6" xfId="32" builtinId="49" customBuiltin="1"/>
    <cellStyle name="Bad" xfId="33" builtinId="27" customBuiltin="1"/>
    <cellStyle name="c_HardInc " xfId="34"/>
    <cellStyle name="Calculation" xfId="35" builtinId="22" customBuiltin="1"/>
    <cellStyle name="Check Cell" xfId="36" builtinId="23" customBuiltin="1"/>
    <cellStyle name="Comma" xfId="37" builtinId="3"/>
    <cellStyle name="Comma 10" xfId="73"/>
    <cellStyle name="Comma 2" xfId="38"/>
    <cellStyle name="Comma 5" xfId="76"/>
    <cellStyle name="Comma 8" xfId="72"/>
    <cellStyle name="Currency" xfId="39" builtinId="4"/>
    <cellStyle name="Currency 10" xfId="75"/>
    <cellStyle name="Currency 2" xfId="40"/>
    <cellStyle name="Dezimal [0]_Bayer Kennz. 2_Tabelle1 " xfId="41"/>
    <cellStyle name="Dezimal_Bayer Kennz. 2_Tabelle1 " xfId="42"/>
    <cellStyle name="Explanatory Text" xfId="43" builtinId="53" customBuiltin="1"/>
    <cellStyle name="Good" xfId="44" builtinId="26" customBuiltin="1"/>
    <cellStyle name="Heading 1" xfId="45" builtinId="16" customBuiltin="1"/>
    <cellStyle name="Heading 2" xfId="46" builtinId="17" customBuiltin="1"/>
    <cellStyle name="Heading 3" xfId="47" builtinId="18" customBuiltin="1"/>
    <cellStyle name="Heading 4" xfId="48" builtinId="19" customBuiltin="1"/>
    <cellStyle name="Hyperlink" xfId="77" builtinId="8"/>
    <cellStyle name="Hyperlink_DPZ" xfId="49"/>
    <cellStyle name="Input" xfId="50" builtinId="20" customBuiltin="1"/>
    <cellStyle name="Linked Cell" xfId="51" builtinId="24" customBuiltin="1"/>
    <cellStyle name="Neutral" xfId="52" builtinId="28" customBuiltin="1"/>
    <cellStyle name="Normal" xfId="0" builtinId="0"/>
    <cellStyle name="Normal 2" xfId="1"/>
    <cellStyle name="Normal_BKC modelware upgrade" xfId="53"/>
    <cellStyle name="Normal_DisclaimerSheet Samples" xfId="78"/>
    <cellStyle name="Normal_Master Mature ROIC 1" xfId="54"/>
    <cellStyle name="Normal_MCDmodelware_Dana" xfId="55"/>
    <cellStyle name="Normal_SBUX" xfId="56"/>
    <cellStyle name="Normal_YUM-10-K-03-06-2000" xfId="57"/>
    <cellStyle name="Normal_YUM-10-K-03-06-2000 2" xfId="71"/>
    <cellStyle name="Note" xfId="58" builtinId="10" customBuiltin="1"/>
    <cellStyle name="Output" xfId="59" builtinId="21" customBuiltin="1"/>
    <cellStyle name="p " xfId="60"/>
    <cellStyle name="Percent" xfId="61" builtinId="5"/>
    <cellStyle name="Percent 10" xfId="74"/>
    <cellStyle name="Percent 2" xfId="62"/>
    <cellStyle name="RRSInstruction" xfId="5"/>
    <cellStyle name="s_HardInc " xfId="63"/>
    <cellStyle name="s_Valuation " xfId="64"/>
    <cellStyle name="ssp " xfId="65"/>
    <cellStyle name="Title" xfId="66" builtinId="15" customBuiltin="1"/>
    <cellStyle name="Total" xfId="67" builtinId="25" customBuiltin="1"/>
    <cellStyle name="Währung [0]_Bayer Kennz. 2_Tabelle1 " xfId="68"/>
    <cellStyle name="Währung_Bayer Kennz. 2_Tabelle1 " xfId="69"/>
    <cellStyle name="Warning Text" xfId="70"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83C3"/>
      <rgbColor rgb="00F5C54C"/>
      <rgbColor rgb="0032C464"/>
      <rgbColor rgb="009DDEED"/>
      <rgbColor rgb="00F37B53"/>
      <rgbColor rgb="00B9F391"/>
      <rgbColor rgb="00FF9B9D"/>
      <rgbColor rgb="00993D66"/>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theme/theme1.xml" Type="http://schemas.openxmlformats.org/officeDocument/2006/relationships/theme"/>
<Relationship Id="rId13" Target="styles.xml" Type="http://schemas.openxmlformats.org/officeDocument/2006/relationships/styles"/>
<Relationship Id="rId14" Target="sharedStrings.xml" Type="http://schemas.openxmlformats.org/officeDocument/2006/relationships/sharedStrings"/>
<Relationship Id="rId15" Target="calcChain.xml" Type="http://schemas.openxmlformats.org/officeDocument/2006/relationships/calcChain"/>
<Relationship Id="rId16" Target="../customXml/item1.xml" Type="http://schemas.openxmlformats.org/officeDocument/2006/relationships/customXml"/>
<Relationship Id="rId17" Target="../customXml/item2.xml" Type="http://schemas.openxmlformats.org/officeDocument/2006/relationships/customXml"/>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3.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6.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5340161" name="Picture 1" descr="C:\Users\carrichr\AppData\Local\Temp\MercuryPriceRatingHistoryChart\YUM.N_2018_04_15_18_42_0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55245</xdr:colOff>
      <xdr:row>22</xdr:row>
      <xdr:rowOff>9525</xdr:rowOff>
    </xdr:from>
    <xdr:to>
      <xdr:col>0</xdr:col>
      <xdr:colOff>2097525</xdr:colOff>
      <xdr:row>36</xdr:row>
      <xdr:rowOff>146657</xdr:rowOff>
    </xdr:to>
    <xdr:sp macro="" textlink="">
      <xdr:nvSpPr>
        <xdr:cNvPr id="2" name="Text Box 3"/>
        <xdr:cNvSpPr txBox="1">
          <a:spLocks noChangeArrowheads="1"/>
        </xdr:cNvSpPr>
      </xdr:nvSpPr>
      <xdr:spPr bwMode="auto">
        <a:xfrm>
          <a:off x="55245" y="3943350"/>
          <a:ext cx="2042280" cy="2404082"/>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en-US" sz="800" b="1" i="1" u="none" strike="noStrike" baseline="0">
              <a:solidFill>
                <a:srgbClr val="000000"/>
              </a:solidFill>
              <a:latin typeface="Arial"/>
              <a:cs typeface="Arial"/>
            </a:rPr>
            <a:t>HOW TO USE THIS MODEL:</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The YUM earnings model is driven by unit growth, system-wide same-store sales (SSS) growth &amp; margin expansion. Hence, the most important inputs to this model are found on the 'Units', 'Rev Drivers', 'SSS' and 'Sales &amp; Profits by Region' tabs. </a:t>
          </a:r>
        </a:p>
        <a:p>
          <a:pPr algn="l" rtl="0">
            <a:defRPr sz="1000"/>
          </a:pPr>
          <a:r>
            <a:rPr lang="en-US" sz="800" b="0" i="0" u="none" strike="noStrike" baseline="0">
              <a:solidFill>
                <a:srgbClr val="000000"/>
              </a:solidFill>
              <a:latin typeface="Arial"/>
              <a:cs typeface="Arial"/>
            </a:rPr>
            <a:t>Specifically, the</a:t>
          </a:r>
          <a:r>
            <a:rPr lang="en-US" sz="800" b="0" i="0" u="none" strike="noStrike" baseline="0">
              <a:solidFill>
                <a:srgbClr val="0000FF"/>
              </a:solidFill>
              <a:latin typeface="Arial"/>
              <a:cs typeface="Arial"/>
            </a:rPr>
            <a:t> numbers in blue are our assumptions. </a:t>
          </a:r>
          <a:r>
            <a:rPr lang="en-US" sz="800" b="0" i="0" u="none" strike="noStrike" baseline="0">
              <a:solidFill>
                <a:srgbClr val="000000"/>
              </a:solidFill>
              <a:latin typeface="Arial"/>
              <a:cs typeface="Arial"/>
            </a:rPr>
            <a:t>Anything not in blue is driven by another part of the model. Therefore, to have this model function properly, </a:t>
          </a:r>
          <a:r>
            <a:rPr lang="en-US" sz="800" b="0" i="0" u="none" strike="noStrike" baseline="0">
              <a:solidFill>
                <a:srgbClr val="0000FF"/>
              </a:solidFill>
              <a:latin typeface="Arial"/>
              <a:cs typeface="Arial"/>
            </a:rPr>
            <a:t>only adjust the numbers coded in blue.</a:t>
          </a:r>
          <a:endParaRPr lang="en-US" sz="800" b="0" i="0" u="none" strike="noStrike" baseline="0">
            <a:solidFill>
              <a:srgbClr val="000000"/>
            </a:solidFill>
            <a:latin typeface="Arial"/>
            <a:cs typeface="Arial"/>
          </a:endParaRP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Should you have any questions, please feel free to call us at any of the numbers above.</a:t>
          </a:r>
        </a:p>
        <a:p>
          <a:pPr algn="l" rtl="0">
            <a:defRPr sz="1000"/>
          </a:pPr>
          <a:endParaRPr lang="en-US" sz="800" b="0" i="0" u="none" strike="noStrike" baseline="0">
            <a:solidFill>
              <a:srgbClr val="000000"/>
            </a:solidFill>
            <a:latin typeface="Arial"/>
            <a:cs typeface="Arial"/>
          </a:endParaRPr>
        </a:p>
      </xdr:txBody>
    </xdr:sp>
    <xdr:clientData/>
  </xdr:twoCellAnchor>
  <xdr:twoCellAnchor>
    <xdr:from>
      <xdr:col>0</xdr:col>
      <xdr:colOff>57150</xdr:colOff>
      <xdr:row>0</xdr:row>
      <xdr:rowOff>38100</xdr:rowOff>
    </xdr:from>
    <xdr:to>
      <xdr:col>0</xdr:col>
      <xdr:colOff>1790700</xdr:colOff>
      <xdr:row>2</xdr:row>
      <xdr:rowOff>19050</xdr:rowOff>
    </xdr:to>
    <xdr:pic>
      <xdr:nvPicPr>
        <xdr:cNvPr id="3" name="Picture 4"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38100"/>
          <a:ext cx="1733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28575</xdr:rowOff>
    </xdr:from>
    <xdr:to>
      <xdr:col>0</xdr:col>
      <xdr:colOff>1762125</xdr:colOff>
      <xdr:row>0</xdr:row>
      <xdr:rowOff>361950</xdr:rowOff>
    </xdr:to>
    <xdr:pic>
      <xdr:nvPicPr>
        <xdr:cNvPr id="423780" name="Picture 794"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8575"/>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85</xdr:col>
      <xdr:colOff>180974</xdr:colOff>
      <xdr:row>0</xdr:row>
      <xdr:rowOff>152401</xdr:rowOff>
    </xdr:from>
    <xdr:to>
      <xdr:col>99</xdr:col>
      <xdr:colOff>561975</xdr:colOff>
      <xdr:row>1</xdr:row>
      <xdr:rowOff>133351</xdr:rowOff>
    </xdr:to>
    <xdr:sp macro="" textlink="">
      <xdr:nvSpPr>
        <xdr:cNvPr id="2" name="TextBox 1"/>
        <xdr:cNvSpPr txBox="1"/>
      </xdr:nvSpPr>
      <xdr:spPr>
        <a:xfrm>
          <a:off x="2781299" y="152401"/>
          <a:ext cx="3810001" cy="62865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baseline="0" smtClean="0">
              <a:solidFill>
                <a:schemeClr val="dk1"/>
              </a:solidFill>
              <a:latin typeface="+mn-lt"/>
              <a:ea typeface="+mn-ea"/>
              <a:cs typeface="+mn-cs"/>
            </a:rPr>
            <a:t>2019 targets: reducing G&amp;A to 1.7% of system sales, increasing free cash flow conversion to 100% &amp; increasing franchise mix to at least 98%.</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0</xdr:row>
      <xdr:rowOff>123825</xdr:rowOff>
    </xdr:from>
    <xdr:to>
      <xdr:col>0</xdr:col>
      <xdr:colOff>1847850</xdr:colOff>
      <xdr:row>0</xdr:row>
      <xdr:rowOff>457200</xdr:rowOff>
    </xdr:to>
    <xdr:pic>
      <xdr:nvPicPr>
        <xdr:cNvPr id="4936757" name="Picture 21"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23825"/>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0</xdr:row>
      <xdr:rowOff>190500</xdr:rowOff>
    </xdr:from>
    <xdr:to>
      <xdr:col>0</xdr:col>
      <xdr:colOff>1828800</xdr:colOff>
      <xdr:row>0</xdr:row>
      <xdr:rowOff>523875</xdr:rowOff>
    </xdr:to>
    <xdr:pic>
      <xdr:nvPicPr>
        <xdr:cNvPr id="2" name="Picture 920" descr="Larg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90500"/>
          <a:ext cx="17430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Balance Sheet"/>
      <sheetName val="Rate Case"/>
      <sheetName val="Sheet9"/>
      <sheetName val="Leases"/>
      <sheetName val="Graph"/>
      <sheetName val="Income"/>
      <sheetName val="Financial Summary"/>
      <sheetName val="Exclusion List"/>
      <sheetName val="c1"/>
      <sheetName val="Cash flow"/>
      <sheetName val="Profit &amp; Loss"/>
      <sheetName val="Inputs, sensitivity &amp; val"/>
      <sheetName val="CFOld"/>
      <sheetName val="PLOld"/>
      <sheetName val="Headline"/>
      <sheetName val="MTT old"/>
      <sheetName val="BizJet Deliveries"/>
      <sheetName val="CENMODEL"/>
      <sheetName val="Monthly figures"/>
      <sheetName val="Consolidated"/>
      <sheetName val="Customize Your Statement"/>
      <sheetName val="KQ"/>
      <sheetName val="DOMNETREV1002B"/>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file://///MSAD/KEY%20SPREADSHEETS%20(MS%20universe%20sheet,%20valuation,%20stock%20performance,%20knapp)/Restaurant%20Valuation/a&#328;(" TargetMode="External" Type="http://schemas.openxmlformats.org/officeDocument/2006/relationships/hyperlink"/>
<Relationship Id="rId2" Target="file://///MSAD/KEY%20SPREADSHEETS%20(MS%20universe%20sheet,%20valuation,%20stock%20performance,%20knapp)/Restaurant%20Valuation/eet%20(*.xml)" TargetMode="External" Type="http://schemas.openxmlformats.org/officeDocument/2006/relationships/hyperlink"/>
<Relationship Id="rId3" Target="file://///MSAD/KEY%20SPREADSHEETS%20(MS%20universe%20sheet,%20valuation,%20stock%20performance,%20knapp)/Restaurant%20Valuation/&#18584;%0c&#6060;&#12478;&#6120;&#268;6" TargetMode="External" Type="http://schemas.openxmlformats.org/officeDocument/2006/relationships/hyperlink"/>
<Relationship Id="rId4" Target="file://///MSAD/KEY%20SPREADSHEETS%20(MS%20universe%20sheet,%20valuation,%20stock%20performance,%20knapp)/Restaurant%20Valuation/fice%20Excel%20Workbook%20(*.xls)" TargetMode="External" Type="http://schemas.openxmlformats.org/officeDocument/2006/relationships/hyperlink"/>
<Relationship Id="rId5" Target="file://///MSAD/KEY%20SPREADSHEETS%20(MS%20universe%20sheet,%20valuation,%20stock%20performance,%20knapp)/Restaurant%20Valuation/V" TargetMode="External" Type="http://schemas.openxmlformats.org/officeDocument/2006/relationships/hyperlink"/>
<Relationship Id="rId6" Target="mailto:John.glass@morganstanley.com" TargetMode="External" Type="http://schemas.openxmlformats.org/officeDocument/2006/relationships/hyperlink"/>
<Relationship Id="rId7" Target="mailto:christopher.carril@morganstanley.com" TargetMode="External" Type="http://schemas.openxmlformats.org/officeDocument/2006/relationships/hyperlink"/>
<Relationship Id="rId8" Target="../printerSettings/printerSettings3.bin" Type="http://schemas.openxmlformats.org/officeDocument/2006/relationships/printerSettings"/>
<Relationship Id="rId9"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c r="A1" s="594"/>
      <c r="B1" t="s">
        <v>37</v>
      </c>
    </row>
  </sheetData>
  <phoneticPr fontId="9"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97"/>
  <sheetViews>
    <sheetView showGridLines="0" tabSelected="1" workbookViewId="0">
      <selection activeCell="Z1" sqref="Z1"/>
    </sheetView>
  </sheetViews>
  <sheetFormatPr defaultRowHeight="12.75" x14ac:dyDescent="0.2"/>
  <cols>
    <col min="1" max="1" width="25.7109375" style="2442" customWidth="1"/>
    <col min="2" max="5" width="9.140625" style="2442"/>
    <col min="6" max="6" width="18.7109375" style="2442" customWidth="1"/>
    <col min="7" max="256" width="9.140625" style="2442"/>
    <col min="257" max="257" width="100.7109375" style="2442" customWidth="1"/>
    <col min="258" max="512" width="9.140625" style="2442"/>
    <col min="513" max="513" width="100.7109375" style="2442" customWidth="1"/>
    <col min="514" max="768" width="9.140625" style="2442"/>
    <col min="769" max="769" width="100.7109375" style="2442" customWidth="1"/>
    <col min="770" max="1024" width="9.140625" style="2442"/>
    <col min="1025" max="1025" width="100.7109375" style="2442" customWidth="1"/>
    <col min="1026" max="1280" width="9.140625" style="2442"/>
    <col min="1281" max="1281" width="100.7109375" style="2442" customWidth="1"/>
    <col min="1282" max="1536" width="9.140625" style="2442"/>
    <col min="1537" max="1537" width="100.7109375" style="2442" customWidth="1"/>
    <col min="1538" max="1792" width="9.140625" style="2442"/>
    <col min="1793" max="1793" width="100.7109375" style="2442" customWidth="1"/>
    <col min="1794" max="2048" width="9.140625" style="2442"/>
    <col min="2049" max="2049" width="100.7109375" style="2442" customWidth="1"/>
    <col min="2050" max="2304" width="9.140625" style="2442"/>
    <col min="2305" max="2305" width="100.7109375" style="2442" customWidth="1"/>
    <col min="2306" max="2560" width="9.140625" style="2442"/>
    <col min="2561" max="2561" width="100.7109375" style="2442" customWidth="1"/>
    <col min="2562" max="2816" width="9.140625" style="2442"/>
    <col min="2817" max="2817" width="100.7109375" style="2442" customWidth="1"/>
    <col min="2818" max="3072" width="9.140625" style="2442"/>
    <col min="3073" max="3073" width="100.7109375" style="2442" customWidth="1"/>
    <col min="3074" max="3328" width="9.140625" style="2442"/>
    <col min="3329" max="3329" width="100.7109375" style="2442" customWidth="1"/>
    <col min="3330" max="3584" width="9.140625" style="2442"/>
    <col min="3585" max="3585" width="100.7109375" style="2442" customWidth="1"/>
    <col min="3586" max="3840" width="9.140625" style="2442"/>
    <col min="3841" max="3841" width="100.7109375" style="2442" customWidth="1"/>
    <col min="3842" max="4096" width="9.140625" style="2442"/>
    <col min="4097" max="4097" width="100.7109375" style="2442" customWidth="1"/>
    <col min="4098" max="4352" width="9.140625" style="2442"/>
    <col min="4353" max="4353" width="100.7109375" style="2442" customWidth="1"/>
    <col min="4354" max="4608" width="9.140625" style="2442"/>
    <col min="4609" max="4609" width="100.7109375" style="2442" customWidth="1"/>
    <col min="4610" max="4864" width="9.140625" style="2442"/>
    <col min="4865" max="4865" width="100.7109375" style="2442" customWidth="1"/>
    <col min="4866" max="5120" width="9.140625" style="2442"/>
    <col min="5121" max="5121" width="100.7109375" style="2442" customWidth="1"/>
    <col min="5122" max="5376" width="9.140625" style="2442"/>
    <col min="5377" max="5377" width="100.7109375" style="2442" customWidth="1"/>
    <col min="5378" max="5632" width="9.140625" style="2442"/>
    <col min="5633" max="5633" width="100.7109375" style="2442" customWidth="1"/>
    <col min="5634" max="5888" width="9.140625" style="2442"/>
    <col min="5889" max="5889" width="100.7109375" style="2442" customWidth="1"/>
    <col min="5890" max="6144" width="9.140625" style="2442"/>
    <col min="6145" max="6145" width="100.7109375" style="2442" customWidth="1"/>
    <col min="6146" max="6400" width="9.140625" style="2442"/>
    <col min="6401" max="6401" width="100.7109375" style="2442" customWidth="1"/>
    <col min="6402" max="6656" width="9.140625" style="2442"/>
    <col min="6657" max="6657" width="100.7109375" style="2442" customWidth="1"/>
    <col min="6658" max="6912" width="9.140625" style="2442"/>
    <col min="6913" max="6913" width="100.7109375" style="2442" customWidth="1"/>
    <col min="6914" max="7168" width="9.140625" style="2442"/>
    <col min="7169" max="7169" width="100.7109375" style="2442" customWidth="1"/>
    <col min="7170" max="7424" width="9.140625" style="2442"/>
    <col min="7425" max="7425" width="100.7109375" style="2442" customWidth="1"/>
    <col min="7426" max="7680" width="9.140625" style="2442"/>
    <col min="7681" max="7681" width="100.7109375" style="2442" customWidth="1"/>
    <col min="7682" max="7936" width="9.140625" style="2442"/>
    <col min="7937" max="7937" width="100.7109375" style="2442" customWidth="1"/>
    <col min="7938" max="8192" width="9.140625" style="2442"/>
    <col min="8193" max="8193" width="100.7109375" style="2442" customWidth="1"/>
    <col min="8194" max="8448" width="9.140625" style="2442"/>
    <col min="8449" max="8449" width="100.7109375" style="2442" customWidth="1"/>
    <col min="8450" max="8704" width="9.140625" style="2442"/>
    <col min="8705" max="8705" width="100.7109375" style="2442" customWidth="1"/>
    <col min="8706" max="8960" width="9.140625" style="2442"/>
    <col min="8961" max="8961" width="100.7109375" style="2442" customWidth="1"/>
    <col min="8962" max="9216" width="9.140625" style="2442"/>
    <col min="9217" max="9217" width="100.7109375" style="2442" customWidth="1"/>
    <col min="9218" max="9472" width="9.140625" style="2442"/>
    <col min="9473" max="9473" width="100.7109375" style="2442" customWidth="1"/>
    <col min="9474" max="9728" width="9.140625" style="2442"/>
    <col min="9729" max="9729" width="100.7109375" style="2442" customWidth="1"/>
    <col min="9730" max="9984" width="9.140625" style="2442"/>
    <col min="9985" max="9985" width="100.7109375" style="2442" customWidth="1"/>
    <col min="9986" max="10240" width="9.140625" style="2442"/>
    <col min="10241" max="10241" width="100.7109375" style="2442" customWidth="1"/>
    <col min="10242" max="10496" width="9.140625" style="2442"/>
    <col min="10497" max="10497" width="100.7109375" style="2442" customWidth="1"/>
    <col min="10498" max="10752" width="9.140625" style="2442"/>
    <col min="10753" max="10753" width="100.7109375" style="2442" customWidth="1"/>
    <col min="10754" max="11008" width="9.140625" style="2442"/>
    <col min="11009" max="11009" width="100.7109375" style="2442" customWidth="1"/>
    <col min="11010" max="11264" width="9.140625" style="2442"/>
    <col min="11265" max="11265" width="100.7109375" style="2442" customWidth="1"/>
    <col min="11266" max="11520" width="9.140625" style="2442"/>
    <col min="11521" max="11521" width="100.7109375" style="2442" customWidth="1"/>
    <col min="11522" max="11776" width="9.140625" style="2442"/>
    <col min="11777" max="11777" width="100.7109375" style="2442" customWidth="1"/>
    <col min="11778" max="12032" width="9.140625" style="2442"/>
    <col min="12033" max="12033" width="100.7109375" style="2442" customWidth="1"/>
    <col min="12034" max="12288" width="9.140625" style="2442"/>
    <col min="12289" max="12289" width="100.7109375" style="2442" customWidth="1"/>
    <col min="12290" max="12544" width="9.140625" style="2442"/>
    <col min="12545" max="12545" width="100.7109375" style="2442" customWidth="1"/>
    <col min="12546" max="12800" width="9.140625" style="2442"/>
    <col min="12801" max="12801" width="100.7109375" style="2442" customWidth="1"/>
    <col min="12802" max="13056" width="9.140625" style="2442"/>
    <col min="13057" max="13057" width="100.7109375" style="2442" customWidth="1"/>
    <col min="13058" max="13312" width="9.140625" style="2442"/>
    <col min="13313" max="13313" width="100.7109375" style="2442" customWidth="1"/>
    <col min="13314" max="13568" width="9.140625" style="2442"/>
    <col min="13569" max="13569" width="100.7109375" style="2442" customWidth="1"/>
    <col min="13570" max="13824" width="9.140625" style="2442"/>
    <col min="13825" max="13825" width="100.7109375" style="2442" customWidth="1"/>
    <col min="13826" max="14080" width="9.140625" style="2442"/>
    <col min="14081" max="14081" width="100.7109375" style="2442" customWidth="1"/>
    <col min="14082" max="14336" width="9.140625" style="2442"/>
    <col min="14337" max="14337" width="100.7109375" style="2442" customWidth="1"/>
    <col min="14338" max="14592" width="9.140625" style="2442"/>
    <col min="14593" max="14593" width="100.7109375" style="2442" customWidth="1"/>
    <col min="14594" max="14848" width="9.140625" style="2442"/>
    <col min="14849" max="14849" width="100.7109375" style="2442" customWidth="1"/>
    <col min="14850" max="15104" width="9.140625" style="2442"/>
    <col min="15105" max="15105" width="100.7109375" style="2442" customWidth="1"/>
    <col min="15106" max="15360" width="9.140625" style="2442"/>
    <col min="15361" max="15361" width="100.7109375" style="2442" customWidth="1"/>
    <col min="15362" max="15616" width="9.140625" style="2442"/>
    <col min="15617" max="15617" width="100.7109375" style="2442" customWidth="1"/>
    <col min="15618" max="15872" width="9.140625" style="2442"/>
    <col min="15873" max="15873" width="100.7109375" style="2442" customWidth="1"/>
    <col min="15874" max="16128" width="9.140625" style="2442"/>
    <col min="16129" max="16129" width="100.7109375" style="2442" customWidth="1"/>
    <col min="16130" max="16384" width="9.140625" style="2442"/>
  </cols>
  <sheetData>
    <row r="1" spans="1:8" ht="30" customHeight="1" x14ac:dyDescent="0.2">
      <c r="A1" s="2440"/>
      <c r="B1" s="2441"/>
      <c r="C1" s="2441"/>
      <c r="D1" s="2441"/>
      <c r="E1" s="2441"/>
      <c r="F1" s="2441"/>
      <c r="G1" s="2441"/>
      <c r="H1" s="2441"/>
    </row>
    <row r="2" spans="1:8" ht="14.25" x14ac:dyDescent="0.2">
      <c r="A2" s="2443" t="s">
        <v>737</v>
      </c>
      <c r="B2" s="2441"/>
      <c r="C2" s="2441"/>
      <c r="D2" s="2441"/>
      <c r="E2" s="2441"/>
      <c r="F2" s="2441"/>
      <c r="G2" s="2441"/>
      <c r="H2" s="2441"/>
    </row>
    <row r="3" spans="1:8" ht="14.25" x14ac:dyDescent="0.2">
      <c r="A3" s="2443" t="s">
        <v>738</v>
      </c>
      <c r="B3" s="2441"/>
      <c r="C3" s="2441"/>
      <c r="D3" s="2441"/>
      <c r="E3" s="2441"/>
      <c r="F3" s="2441"/>
      <c r="G3" s="2441"/>
      <c r="H3" s="2441"/>
    </row>
    <row r="4" spans="1:8" ht="14.25" x14ac:dyDescent="0.2">
      <c r="A4" s="2443" t="s">
        <v>677</v>
      </c>
      <c r="B4" s="2441"/>
      <c r="C4" s="2441"/>
      <c r="D4" s="2441"/>
      <c r="E4" s="2441"/>
      <c r="F4" s="2441"/>
      <c r="G4" s="2441"/>
      <c r="H4" s="2441"/>
    </row>
    <row r="5" spans="1:8" ht="14.25" x14ac:dyDescent="0.2">
      <c r="A5" s="2443" t="s">
        <v>739</v>
      </c>
      <c r="B5" s="2441"/>
      <c r="C5" s="2441"/>
      <c r="D5" s="2441"/>
      <c r="E5" s="2441"/>
      <c r="F5" s="2441"/>
      <c r="G5" s="2441"/>
      <c r="H5" s="2441"/>
    </row>
    <row r="6" spans="1:8" ht="14.25" x14ac:dyDescent="0.2">
      <c r="A6" s="2443"/>
      <c r="B6" s="2441"/>
      <c r="C6" s="2441"/>
      <c r="D6" s="2441"/>
      <c r="E6" s="2441"/>
      <c r="F6" s="2441"/>
      <c r="G6" s="2441"/>
      <c r="H6" s="2441"/>
    </row>
    <row r="7" spans="1:8" x14ac:dyDescent="0.2">
      <c r="A7" s="2440" t="s">
        <v>740</v>
      </c>
      <c r="B7" s="2441"/>
      <c r="C7" s="2441"/>
      <c r="D7" s="2441"/>
      <c r="E7" s="2441"/>
      <c r="F7" s="2441"/>
      <c r="G7" s="2441"/>
      <c r="H7" s="2441"/>
    </row>
    <row r="8" spans="1:8" x14ac:dyDescent="0.2">
      <c r="A8" s="2440" t="s">
        <v>741</v>
      </c>
      <c r="B8" s="2441"/>
      <c r="C8" s="2441"/>
      <c r="D8" s="2441"/>
      <c r="E8" s="2441"/>
      <c r="F8" s="2441"/>
      <c r="G8" s="2441"/>
      <c r="H8" s="2441"/>
    </row>
    <row r="9" spans="1:8" x14ac:dyDescent="0.2">
      <c r="A9" s="2440"/>
      <c r="B9" s="2441"/>
      <c r="C9" s="2441"/>
      <c r="D9" s="2441"/>
      <c r="E9" s="2441"/>
      <c r="F9" s="2441"/>
      <c r="G9" s="2441"/>
      <c r="H9" s="2441"/>
    </row>
    <row r="10" spans="1:8" x14ac:dyDescent="0.2">
      <c r="A10" s="2444" t="s">
        <v>742</v>
      </c>
      <c r="B10" s="2441"/>
      <c r="C10" s="2441"/>
      <c r="D10" s="2441"/>
      <c r="E10" s="2441"/>
      <c r="F10" s="2441"/>
      <c r="G10" s="2441"/>
      <c r="H10" s="2441"/>
    </row>
    <row r="11" spans="1:8" x14ac:dyDescent="0.2">
      <c r="A11" s="2444" t="s">
        <v>743</v>
      </c>
      <c r="B11" s="2441"/>
      <c r="C11" s="2441"/>
      <c r="D11" s="2441"/>
      <c r="E11" s="2441"/>
      <c r="F11" s="2441"/>
      <c r="G11" s="2441"/>
      <c r="H11" s="2441"/>
    </row>
    <row r="12" spans="1:8" x14ac:dyDescent="0.2">
      <c r="A12" s="2444" t="s">
        <v>744</v>
      </c>
      <c r="B12" s="2441"/>
      <c r="C12" s="2441"/>
      <c r="D12" s="2441"/>
      <c r="E12" s="2441"/>
      <c r="F12" s="2441"/>
      <c r="G12" s="2441"/>
      <c r="H12" s="2441"/>
    </row>
    <row r="13" spans="1:8" x14ac:dyDescent="0.2">
      <c r="A13" s="2444" t="s">
        <v>745</v>
      </c>
      <c r="B13" s="2441"/>
      <c r="C13" s="2441"/>
      <c r="D13" s="2441"/>
      <c r="E13" s="2441"/>
      <c r="F13" s="2441"/>
      <c r="G13" s="2441"/>
      <c r="H13" s="2441"/>
    </row>
    <row r="14" spans="1:8" x14ac:dyDescent="0.2">
      <c r="A14" s="2444" t="s">
        <v>746</v>
      </c>
      <c r="B14" s="2441"/>
      <c r="C14" s="2441"/>
      <c r="D14" s="2441"/>
      <c r="E14" s="2441"/>
      <c r="F14" s="2441"/>
      <c r="G14" s="2441"/>
      <c r="H14" s="2441"/>
    </row>
    <row r="15" spans="1:8" x14ac:dyDescent="0.2">
      <c r="A15" s="2444" t="s">
        <v>747</v>
      </c>
      <c r="B15" s="2441"/>
      <c r="C15" s="2441"/>
      <c r="D15" s="2441"/>
      <c r="E15" s="2441"/>
      <c r="F15" s="2441"/>
      <c r="G15" s="2441"/>
      <c r="H15" s="2441"/>
    </row>
    <row r="16" spans="1:8" x14ac:dyDescent="0.2">
      <c r="A16" s="2444"/>
      <c r="B16" s="2441"/>
      <c r="C16" s="2441"/>
      <c r="D16" s="2441"/>
      <c r="E16" s="2441"/>
      <c r="F16" s="2441"/>
      <c r="G16" s="2441"/>
      <c r="H16" s="2441"/>
    </row>
    <row r="17" spans="1:8" x14ac:dyDescent="0.2">
      <c r="A17" s="2444" t="s">
        <v>734</v>
      </c>
      <c r="B17" s="2441"/>
      <c r="C17" s="2441"/>
      <c r="D17" s="2441"/>
      <c r="E17" s="2441"/>
      <c r="F17" s="2441"/>
      <c r="G17" s="2441"/>
      <c r="H17" s="2441"/>
    </row>
    <row r="18" spans="1:8" x14ac:dyDescent="0.2">
      <c r="A18" s="2444"/>
      <c r="B18" s="2441"/>
      <c r="C18" s="2441"/>
      <c r="D18" s="2441"/>
      <c r="E18" s="2441"/>
      <c r="F18" s="2441"/>
      <c r="G18" s="2441"/>
      <c r="H18" s="2441"/>
    </row>
    <row r="19" spans="1:8" x14ac:dyDescent="0.2">
      <c r="A19" s="2444" t="s">
        <v>735</v>
      </c>
      <c r="B19" s="2441"/>
      <c r="C19" s="2441"/>
      <c r="D19" s="2441"/>
      <c r="E19" s="2441"/>
      <c r="F19" s="2441"/>
      <c r="G19" s="2441"/>
      <c r="H19" s="2441"/>
    </row>
    <row r="20" spans="1:8" x14ac:dyDescent="0.2">
      <c r="A20" s="2440"/>
      <c r="B20" s="2441"/>
      <c r="C20" s="2441"/>
      <c r="D20" s="2441"/>
      <c r="E20" s="2441"/>
      <c r="F20" s="2441"/>
      <c r="G20" s="2441"/>
      <c r="H20" s="2441"/>
    </row>
    <row r="21" spans="1:8" x14ac:dyDescent="0.2">
      <c r="A21" s="2445" t="s">
        <v>736</v>
      </c>
      <c r="B21" s="2441"/>
      <c r="C21" s="2441"/>
      <c r="D21" s="2441"/>
      <c r="E21" s="2441"/>
      <c r="F21" s="2441"/>
      <c r="G21" s="2441"/>
      <c r="H21" s="2441"/>
    </row>
    <row r="22" spans="1:8" x14ac:dyDescent="0.2">
      <c r="A22" s="2446"/>
      <c r="B22" s="2446"/>
      <c r="C22" s="2446"/>
      <c r="D22" s="2446"/>
      <c r="E22" s="2446"/>
      <c r="F22" s="2446"/>
      <c r="G22" s="2446"/>
      <c r="H22" s="2446"/>
    </row>
    <row r="23" spans="1:8" x14ac:dyDescent="0.2">
      <c r="A23" s="2447" t="s">
        <v>1030</v>
      </c>
      <c r="B23" s="2446"/>
      <c r="C23" s="2446"/>
      <c r="D23" s="2446"/>
      <c r="E23" s="2446"/>
      <c r="F23" s="2446"/>
      <c r="G23" s="2446"/>
      <c r="H23" s="2446"/>
    </row>
    <row r="24" spans="1:8" x14ac:dyDescent="0.2">
      <c r="A24" s="2447" t="s">
        <v>1031</v>
      </c>
      <c r="B24" s="2446"/>
      <c r="C24" s="2446"/>
      <c r="D24" s="2446"/>
      <c r="E24" s="2446"/>
      <c r="F24" s="2446"/>
      <c r="G24" s="2446"/>
      <c r="H24" s="2446"/>
    </row>
    <row r="25" spans="1:8" x14ac:dyDescent="0.2">
      <c r="A25" s="2447" t="s">
        <v>1032</v>
      </c>
      <c r="B25" s="2446"/>
      <c r="C25" s="2446"/>
      <c r="D25" s="2446"/>
      <c r="E25" s="2446"/>
      <c r="F25" s="2446"/>
      <c r="G25" s="2446"/>
      <c r="H25" s="2446"/>
    </row>
    <row r="26" spans="1:8" x14ac:dyDescent="0.2">
      <c r="A26" s="2447" t="s">
        <v>1033</v>
      </c>
      <c r="B26" s="2446"/>
      <c r="C26" s="2446"/>
      <c r="D26" s="2446"/>
      <c r="E26" s="2446"/>
      <c r="F26" s="2446"/>
      <c r="G26" s="2446"/>
      <c r="H26" s="2446"/>
    </row>
    <row r="27" spans="1:8" x14ac:dyDescent="0.2">
      <c r="A27" s="2446"/>
      <c r="B27" s="2446"/>
      <c r="C27" s="2446"/>
      <c r="D27" s="2446"/>
      <c r="E27" s="2446"/>
      <c r="F27" s="2446"/>
      <c r="G27" s="2446"/>
      <c r="H27" s="2446"/>
    </row>
    <row r="28" spans="1:8" x14ac:dyDescent="0.2">
      <c r="A28" s="2446"/>
      <c r="B28" s="2446"/>
      <c r="C28" s="2446"/>
      <c r="D28" s="2446"/>
      <c r="E28" s="2446"/>
      <c r="F28" s="2446"/>
      <c r="G28" s="2446"/>
      <c r="H28" s="2446"/>
    </row>
    <row r="29" spans="1:8" x14ac:dyDescent="0.2">
      <c r="A29" s="2447" t="s">
        <v>1025</v>
      </c>
      <c r="B29" s="2446"/>
      <c r="C29" s="2446"/>
      <c r="D29" s="2446"/>
      <c r="E29" s="2446"/>
      <c r="F29" s="2446"/>
      <c r="G29" s="2446"/>
      <c r="H29" s="2446"/>
    </row>
    <row r="30" spans="1:8" x14ac:dyDescent="0.2">
      <c r="A30" s="2447" t="s">
        <v>1026</v>
      </c>
      <c r="B30" s="2446"/>
      <c r="C30" s="2446"/>
      <c r="D30" s="2446"/>
      <c r="E30" s="2446"/>
      <c r="F30" s="2446"/>
      <c r="G30" s="2446"/>
      <c r="H30" s="2446"/>
    </row>
    <row r="31" spans="1:8" x14ac:dyDescent="0.2">
      <c r="A31" s="2447" t="s">
        <v>1027</v>
      </c>
      <c r="B31" s="2446"/>
      <c r="C31" s="2446"/>
      <c r="D31" s="2446"/>
      <c r="E31" s="2446"/>
      <c r="F31" s="2446"/>
      <c r="G31" s="2446"/>
      <c r="H31" s="2446"/>
    </row>
    <row r="32" spans="1:8" x14ac:dyDescent="0.2">
      <c r="A32" s="2447" t="s">
        <v>1028</v>
      </c>
      <c r="B32" s="2446"/>
      <c r="C32" s="2446"/>
      <c r="D32" s="2446"/>
      <c r="E32" s="2446"/>
      <c r="F32" s="2446"/>
      <c r="G32" s="2446"/>
      <c r="H32" s="2446"/>
    </row>
    <row r="33" spans="1:8" x14ac:dyDescent="0.2">
      <c r="A33" s="2447" t="s">
        <v>1029</v>
      </c>
      <c r="B33" s="2446"/>
      <c r="C33" s="2446"/>
      <c r="D33" s="2446"/>
      <c r="E33" s="2446"/>
      <c r="F33" s="2446"/>
      <c r="G33" s="2446"/>
      <c r="H33" s="2446"/>
    </row>
    <row r="34" spans="1:8" x14ac:dyDescent="0.2">
      <c r="A34" s="2446"/>
      <c r="B34" s="2446"/>
      <c r="C34" s="2446"/>
      <c r="D34" s="2446"/>
      <c r="E34" s="2446"/>
      <c r="F34" s="2446"/>
      <c r="G34" s="2446"/>
      <c r="H34" s="2446"/>
    </row>
    <row r="35" spans="1:8" x14ac:dyDescent="0.2">
      <c r="A35" s="2447" t="s">
        <v>1021</v>
      </c>
      <c r="B35" s="2446"/>
      <c r="C35" s="2446"/>
      <c r="D35" s="2446"/>
      <c r="E35" s="2446"/>
      <c r="F35" s="2446"/>
      <c r="G35" s="2446"/>
      <c r="H35" s="2446"/>
    </row>
    <row r="36" spans="1:8" x14ac:dyDescent="0.2">
      <c r="A36" s="2447" t="s">
        <v>1022</v>
      </c>
      <c r="B36" s="2446"/>
      <c r="C36" s="2446"/>
      <c r="D36" s="2446"/>
      <c r="E36" s="2446"/>
      <c r="F36" s="2446"/>
      <c r="G36" s="2446"/>
      <c r="H36" s="2446"/>
    </row>
    <row r="37" spans="1:8" x14ac:dyDescent="0.2">
      <c r="A37" s="2447" t="s">
        <v>1023</v>
      </c>
      <c r="B37" s="2446"/>
      <c r="C37" s="2446"/>
      <c r="D37" s="2446"/>
      <c r="E37" s="2446"/>
      <c r="F37" s="2446"/>
      <c r="G37" s="2446"/>
      <c r="H37" s="2446"/>
    </row>
    <row r="38" spans="1:8" x14ac:dyDescent="0.2">
      <c r="A38" s="2447" t="s">
        <v>1024</v>
      </c>
      <c r="B38" s="2446"/>
      <c r="C38" s="2446"/>
      <c r="D38" s="2446"/>
      <c r="E38" s="2446"/>
      <c r="F38" s="2446"/>
      <c r="G38" s="2446"/>
      <c r="H38" s="2446"/>
    </row>
    <row r="39" spans="1:8" x14ac:dyDescent="0.2">
      <c r="A39" s="2446"/>
      <c r="B39" s="2446"/>
      <c r="C39" s="2446"/>
      <c r="D39" s="2446"/>
      <c r="E39" s="2446"/>
      <c r="F39" s="2446"/>
      <c r="G39" s="2446"/>
      <c r="H39" s="2446"/>
    </row>
    <row r="40" spans="1:8" x14ac:dyDescent="0.2">
      <c r="A40" s="2447" t="s">
        <v>1015</v>
      </c>
      <c r="B40" s="2446"/>
      <c r="C40" s="2446"/>
      <c r="D40" s="2446"/>
      <c r="E40" s="2446"/>
      <c r="F40" s="2446"/>
      <c r="G40" s="2446"/>
      <c r="H40" s="2446"/>
    </row>
    <row r="41" spans="1:8" x14ac:dyDescent="0.2">
      <c r="A41" s="2447" t="s">
        <v>1016</v>
      </c>
      <c r="B41" s="2446"/>
      <c r="C41" s="2446"/>
      <c r="D41" s="2446"/>
      <c r="E41" s="2446"/>
      <c r="F41" s="2446"/>
      <c r="G41" s="2446"/>
      <c r="H41" s="2446"/>
    </row>
    <row r="42" spans="1:8" x14ac:dyDescent="0.2">
      <c r="A42" s="2447" t="s">
        <v>1017</v>
      </c>
      <c r="B42" s="2446"/>
      <c r="C42" s="2446"/>
      <c r="D42" s="2446"/>
      <c r="E42" s="2446"/>
      <c r="F42" s="2446"/>
      <c r="G42" s="2446"/>
      <c r="H42" s="2446"/>
    </row>
    <row r="43" spans="1:8" x14ac:dyDescent="0.2">
      <c r="A43" s="2447" t="s">
        <v>1018</v>
      </c>
      <c r="B43" s="2446"/>
      <c r="C43" s="2446"/>
      <c r="D43" s="2446"/>
      <c r="E43" s="2446"/>
      <c r="F43" s="2446"/>
      <c r="G43" s="2446"/>
      <c r="H43" s="2446"/>
    </row>
    <row r="44" spans="1:8" x14ac:dyDescent="0.2">
      <c r="A44" s="2447" t="s">
        <v>1019</v>
      </c>
      <c r="B44" s="2446"/>
      <c r="C44" s="2446"/>
      <c r="D44" s="2446"/>
      <c r="E44" s="2446"/>
      <c r="F44" s="2446"/>
      <c r="G44" s="2446"/>
      <c r="H44" s="2446"/>
    </row>
    <row r="45" spans="1:8" x14ac:dyDescent="0.2">
      <c r="A45" s="2447" t="s">
        <v>1020</v>
      </c>
      <c r="B45" s="2446"/>
      <c r="C45" s="2446"/>
      <c r="D45" s="2446"/>
      <c r="E45" s="2446"/>
      <c r="F45" s="2446"/>
      <c r="G45" s="2446"/>
      <c r="H45" s="2446"/>
    </row>
    <row r="46" spans="1:8" x14ac:dyDescent="0.2">
      <c r="A46" s="2446"/>
      <c r="B46" s="2446"/>
      <c r="C46" s="2446"/>
      <c r="D46" s="2446"/>
      <c r="E46" s="2446"/>
      <c r="F46" s="2446"/>
      <c r="G46" s="2446"/>
      <c r="H46" s="2446"/>
    </row>
    <row r="47" spans="1:8" ht="15.75" x14ac:dyDescent="0.2">
      <c r="A47" s="2448" t="s">
        <v>748</v>
      </c>
      <c r="B47" s="2446"/>
      <c r="C47" s="2446"/>
      <c r="D47" s="2446"/>
      <c r="E47" s="2446"/>
      <c r="F47" s="2446"/>
      <c r="G47" s="2446"/>
      <c r="H47" s="2446"/>
    </row>
    <row r="48" spans="1:8" x14ac:dyDescent="0.2">
      <c r="A48" s="2446"/>
      <c r="B48" s="2446"/>
      <c r="C48" s="2446"/>
      <c r="D48" s="2446"/>
      <c r="E48" s="2446"/>
      <c r="F48" s="2446"/>
      <c r="G48" s="2446"/>
      <c r="H48" s="2446"/>
    </row>
    <row r="49" spans="1:8" x14ac:dyDescent="0.2">
      <c r="A49" s="2447" t="s">
        <v>1011</v>
      </c>
      <c r="B49" s="2446"/>
      <c r="C49" s="2446"/>
      <c r="D49" s="2446"/>
      <c r="E49" s="2446"/>
      <c r="F49" s="2446"/>
      <c r="G49" s="2446"/>
      <c r="H49" s="2446"/>
    </row>
    <row r="50" spans="1:8" x14ac:dyDescent="0.2">
      <c r="A50" s="2447" t="s">
        <v>1012</v>
      </c>
      <c r="B50" s="2446"/>
      <c r="C50" s="2446"/>
      <c r="D50" s="2446"/>
      <c r="E50" s="2446"/>
      <c r="F50" s="2446"/>
      <c r="G50" s="2446"/>
      <c r="H50" s="2446"/>
    </row>
    <row r="51" spans="1:8" x14ac:dyDescent="0.2">
      <c r="A51" s="2447" t="s">
        <v>1013</v>
      </c>
      <c r="B51" s="2446"/>
      <c r="C51" s="2446"/>
      <c r="D51" s="2446"/>
      <c r="E51" s="2446"/>
      <c r="F51" s="2446"/>
      <c r="G51" s="2446"/>
      <c r="H51" s="2446"/>
    </row>
    <row r="52" spans="1:8" x14ac:dyDescent="0.2">
      <c r="A52" s="2447" t="s">
        <v>1014</v>
      </c>
      <c r="B52" s="2446"/>
      <c r="C52" s="2446"/>
      <c r="D52" s="2446"/>
      <c r="E52" s="2446"/>
      <c r="F52" s="2446"/>
      <c r="G52" s="2446"/>
      <c r="H52" s="2446"/>
    </row>
    <row r="53" spans="1:8" x14ac:dyDescent="0.2">
      <c r="A53" s="2446"/>
      <c r="B53" s="2446"/>
      <c r="C53" s="2446"/>
      <c r="D53" s="2446"/>
      <c r="E53" s="2446"/>
      <c r="F53" s="2446"/>
      <c r="G53" s="2446"/>
      <c r="H53" s="2446"/>
    </row>
    <row r="54" spans="1:8" x14ac:dyDescent="0.2">
      <c r="A54" s="2447" t="s">
        <v>749</v>
      </c>
      <c r="B54" s="2446"/>
      <c r="C54" s="2446"/>
      <c r="D54" s="2446"/>
      <c r="E54" s="2446"/>
      <c r="F54" s="2446"/>
      <c r="G54" s="2446"/>
      <c r="H54" s="2446"/>
    </row>
    <row r="55" spans="1:8" x14ac:dyDescent="0.2">
      <c r="A55" s="2446"/>
      <c r="B55" s="2446"/>
      <c r="C55" s="2446"/>
      <c r="D55" s="2446"/>
      <c r="E55" s="2446"/>
      <c r="F55" s="2446"/>
      <c r="G55" s="2446"/>
      <c r="H55" s="2446"/>
    </row>
    <row r="56" spans="1:8" ht="15.75" x14ac:dyDescent="0.2">
      <c r="A56" s="2448" t="s">
        <v>750</v>
      </c>
      <c r="B56" s="2446"/>
      <c r="C56" s="2446"/>
      <c r="D56" s="2446"/>
      <c r="E56" s="2446"/>
      <c r="F56" s="2446"/>
      <c r="G56" s="2446"/>
      <c r="H56" s="2446"/>
    </row>
    <row r="57" spans="1:8" x14ac:dyDescent="0.2">
      <c r="A57" s="2446"/>
      <c r="B57" s="2446"/>
      <c r="C57" s="2446"/>
      <c r="D57" s="2446"/>
      <c r="E57" s="2446"/>
      <c r="F57" s="2446"/>
      <c r="G57" s="2446"/>
      <c r="H57" s="2446"/>
    </row>
    <row r="58" spans="1:8" x14ac:dyDescent="0.2">
      <c r="A58" s="2447" t="s">
        <v>1009</v>
      </c>
      <c r="B58" s="2446"/>
      <c r="C58" s="2446"/>
      <c r="D58" s="2446"/>
      <c r="E58" s="2446"/>
      <c r="F58" s="2446"/>
      <c r="G58" s="2446"/>
      <c r="H58" s="2446"/>
    </row>
    <row r="59" spans="1:8" x14ac:dyDescent="0.2">
      <c r="A59" s="2447" t="s">
        <v>1010</v>
      </c>
      <c r="B59" s="2446"/>
      <c r="C59" s="2446"/>
      <c r="D59" s="2446"/>
      <c r="E59" s="2446"/>
      <c r="F59" s="2446"/>
      <c r="G59" s="2446"/>
      <c r="H59" s="2446"/>
    </row>
    <row r="60" spans="1:8" x14ac:dyDescent="0.2">
      <c r="A60" s="2446"/>
      <c r="B60" s="2446"/>
      <c r="C60" s="2446"/>
      <c r="D60" s="2446"/>
      <c r="E60" s="2446"/>
      <c r="F60" s="2446"/>
      <c r="G60" s="2446"/>
      <c r="H60" s="2446"/>
    </row>
    <row r="61" spans="1:8" ht="15.75" x14ac:dyDescent="0.2">
      <c r="A61" s="2448" t="s">
        <v>751</v>
      </c>
      <c r="B61" s="2446"/>
      <c r="C61" s="2446"/>
      <c r="D61" s="2446"/>
      <c r="E61" s="2446"/>
      <c r="F61" s="2446"/>
      <c r="G61" s="2446"/>
      <c r="H61" s="2446"/>
    </row>
    <row r="62" spans="1:8" x14ac:dyDescent="0.2">
      <c r="A62" s="2446"/>
      <c r="B62" s="2446"/>
      <c r="C62" s="2446"/>
      <c r="D62" s="2446"/>
      <c r="E62" s="2446"/>
      <c r="F62" s="2446"/>
      <c r="G62" s="2446"/>
      <c r="H62" s="2446"/>
    </row>
    <row r="63" spans="1:8" x14ac:dyDescent="0.2">
      <c r="A63" s="2447" t="s">
        <v>1007</v>
      </c>
      <c r="B63" s="2446"/>
      <c r="C63" s="2446"/>
      <c r="D63" s="2446"/>
      <c r="E63" s="2446"/>
      <c r="F63" s="2446"/>
      <c r="G63" s="2446"/>
      <c r="H63" s="2446"/>
    </row>
    <row r="64" spans="1:8" x14ac:dyDescent="0.2">
      <c r="A64" s="2447" t="s">
        <v>1008</v>
      </c>
      <c r="B64" s="2446"/>
      <c r="C64" s="2446"/>
      <c r="D64" s="2446"/>
      <c r="E64" s="2446"/>
      <c r="F64" s="2446"/>
      <c r="G64" s="2446"/>
      <c r="H64" s="2446"/>
    </row>
    <row r="65" spans="1:8" x14ac:dyDescent="0.2">
      <c r="A65" s="2446"/>
      <c r="B65" s="2446"/>
      <c r="C65" s="2446"/>
      <c r="D65" s="2446"/>
      <c r="E65" s="2446"/>
      <c r="F65" s="2446"/>
      <c r="G65" s="2446"/>
      <c r="H65" s="2446"/>
    </row>
    <row r="66" spans="1:8" x14ac:dyDescent="0.2">
      <c r="A66" s="2447" t="s">
        <v>1005</v>
      </c>
      <c r="B66" s="2446"/>
      <c r="C66" s="2446"/>
      <c r="D66" s="2446"/>
      <c r="E66" s="2446"/>
      <c r="F66" s="2446"/>
      <c r="G66" s="2446"/>
      <c r="H66" s="2446"/>
    </row>
    <row r="67" spans="1:8" x14ac:dyDescent="0.2">
      <c r="A67" s="2447" t="s">
        <v>1006</v>
      </c>
      <c r="B67" s="2446"/>
      <c r="C67" s="2446"/>
      <c r="D67" s="2446"/>
      <c r="E67" s="2446"/>
      <c r="F67" s="2446"/>
      <c r="G67" s="2446"/>
      <c r="H67" s="2446"/>
    </row>
    <row r="68" spans="1:8" x14ac:dyDescent="0.2">
      <c r="A68" s="2446"/>
      <c r="B68" s="2446"/>
      <c r="C68" s="2446"/>
      <c r="D68" s="2446"/>
      <c r="E68" s="2446"/>
      <c r="F68" s="2446"/>
      <c r="G68" s="2446"/>
      <c r="H68" s="2446"/>
    </row>
    <row r="69" spans="1:8" x14ac:dyDescent="0.2">
      <c r="A69" s="2447" t="s">
        <v>1003</v>
      </c>
      <c r="B69" s="2446"/>
      <c r="C69" s="2446"/>
      <c r="D69" s="2446"/>
      <c r="E69" s="2446"/>
      <c r="F69" s="2446"/>
      <c r="G69" s="2446"/>
      <c r="H69" s="2446"/>
    </row>
    <row r="70" spans="1:8" x14ac:dyDescent="0.2">
      <c r="A70" s="2447" t="s">
        <v>1004</v>
      </c>
      <c r="B70" s="2446"/>
      <c r="C70" s="2446"/>
      <c r="D70" s="2446"/>
      <c r="E70" s="2446"/>
      <c r="F70" s="2446"/>
      <c r="G70" s="2446"/>
      <c r="H70" s="2446"/>
    </row>
    <row r="71" spans="1:8" x14ac:dyDescent="0.2">
      <c r="A71" s="2446"/>
      <c r="B71" s="2446"/>
      <c r="C71" s="2446"/>
      <c r="D71" s="2446"/>
      <c r="E71" s="2446"/>
      <c r="F71" s="2446"/>
      <c r="G71" s="2446"/>
      <c r="H71" s="2446"/>
    </row>
    <row r="72" spans="1:8" x14ac:dyDescent="0.2">
      <c r="A72" s="2447" t="s">
        <v>1001</v>
      </c>
      <c r="B72" s="2446"/>
      <c r="C72" s="2446"/>
      <c r="D72" s="2446"/>
      <c r="E72" s="2446"/>
      <c r="F72" s="2446"/>
      <c r="G72" s="2446"/>
      <c r="H72" s="2446"/>
    </row>
    <row r="73" spans="1:8" x14ac:dyDescent="0.2">
      <c r="A73" s="2447" t="s">
        <v>1002</v>
      </c>
      <c r="B73" s="2446"/>
      <c r="C73" s="2446"/>
      <c r="D73" s="2446"/>
      <c r="E73" s="2446"/>
      <c r="F73" s="2446"/>
      <c r="G73" s="2446"/>
      <c r="H73" s="2446"/>
    </row>
    <row r="74" spans="1:8" x14ac:dyDescent="0.2">
      <c r="A74" s="2446"/>
      <c r="B74" s="2446"/>
      <c r="C74" s="2446"/>
      <c r="D74" s="2446"/>
      <c r="E74" s="2446"/>
      <c r="F74" s="2446"/>
      <c r="G74" s="2446"/>
      <c r="H74" s="2446"/>
    </row>
    <row r="75" spans="1:8" x14ac:dyDescent="0.2">
      <c r="A75" s="2447" t="s">
        <v>999</v>
      </c>
      <c r="B75" s="2446"/>
      <c r="C75" s="2446"/>
      <c r="D75" s="2446"/>
      <c r="E75" s="2446"/>
      <c r="F75" s="2446"/>
      <c r="G75" s="2446"/>
      <c r="H75" s="2446"/>
    </row>
    <row r="76" spans="1:8" x14ac:dyDescent="0.2">
      <c r="A76" s="2447" t="s">
        <v>1000</v>
      </c>
      <c r="B76" s="2446"/>
      <c r="C76" s="2446"/>
      <c r="D76" s="2446"/>
      <c r="E76" s="2446"/>
      <c r="F76" s="2446"/>
      <c r="G76" s="2446"/>
      <c r="H76" s="2446"/>
    </row>
    <row r="77" spans="1:8" x14ac:dyDescent="0.2">
      <c r="A77" s="2446"/>
      <c r="B77" s="2446"/>
      <c r="C77" s="2446"/>
      <c r="D77" s="2446"/>
      <c r="E77" s="2446"/>
      <c r="F77" s="2446"/>
      <c r="G77" s="2446"/>
      <c r="H77" s="2446"/>
    </row>
    <row r="78" spans="1:8" x14ac:dyDescent="0.2">
      <c r="A78" s="2447" t="s">
        <v>996</v>
      </c>
      <c r="B78" s="2446"/>
      <c r="C78" s="2446"/>
      <c r="D78" s="2446"/>
      <c r="E78" s="2446"/>
      <c r="F78" s="2446"/>
      <c r="G78" s="2446"/>
      <c r="H78" s="2446"/>
    </row>
    <row r="79" spans="1:8" x14ac:dyDescent="0.2">
      <c r="A79" s="2447" t="s">
        <v>997</v>
      </c>
      <c r="B79" s="2446"/>
      <c r="C79" s="2446"/>
      <c r="D79" s="2446"/>
      <c r="E79" s="2446"/>
      <c r="F79" s="2446"/>
      <c r="G79" s="2446"/>
      <c r="H79" s="2446"/>
    </row>
    <row r="80" spans="1:8" x14ac:dyDescent="0.2">
      <c r="A80" s="2447" t="s">
        <v>998</v>
      </c>
      <c r="B80" s="2446"/>
      <c r="C80" s="2446"/>
      <c r="D80" s="2446"/>
      <c r="E80" s="2446"/>
      <c r="F80" s="2446"/>
      <c r="G80" s="2446"/>
      <c r="H80" s="2446"/>
    </row>
    <row r="81" spans="1:8" x14ac:dyDescent="0.2">
      <c r="A81" s="2446"/>
      <c r="B81" s="2446"/>
      <c r="C81" s="2446"/>
      <c r="D81" s="2446"/>
      <c r="E81" s="2446"/>
      <c r="F81" s="2446"/>
      <c r="G81" s="2446"/>
      <c r="H81" s="2446"/>
    </row>
    <row r="82" spans="1:8" x14ac:dyDescent="0.2">
      <c r="A82" s="2447" t="s">
        <v>752</v>
      </c>
      <c r="B82" s="2446"/>
      <c r="C82" s="2446"/>
      <c r="D82" s="2446"/>
      <c r="E82" s="2446"/>
      <c r="F82" s="2446"/>
      <c r="G82" s="2446"/>
      <c r="H82" s="2446"/>
    </row>
    <row r="83" spans="1:8" x14ac:dyDescent="0.2">
      <c r="A83" s="2446"/>
      <c r="B83" s="2446"/>
      <c r="C83" s="2446"/>
      <c r="D83" s="2446"/>
      <c r="E83" s="2446"/>
      <c r="F83" s="2446"/>
      <c r="G83" s="2446"/>
      <c r="H83" s="2446"/>
    </row>
    <row r="84" spans="1:8" x14ac:dyDescent="0.2">
      <c r="A84" s="2447" t="s">
        <v>991</v>
      </c>
      <c r="B84" s="2446"/>
      <c r="C84" s="2446"/>
      <c r="D84" s="2446"/>
      <c r="E84" s="2446"/>
      <c r="F84" s="2446"/>
      <c r="G84" s="2446"/>
      <c r="H84" s="2446"/>
    </row>
    <row r="85" spans="1:8" x14ac:dyDescent="0.2">
      <c r="A85" s="2447" t="s">
        <v>992</v>
      </c>
      <c r="B85" s="2446"/>
      <c r="C85" s="2446"/>
      <c r="D85" s="2446"/>
      <c r="E85" s="2446"/>
      <c r="F85" s="2446"/>
      <c r="G85" s="2446"/>
      <c r="H85" s="2446"/>
    </row>
    <row r="86" spans="1:8" x14ac:dyDescent="0.2">
      <c r="A86" s="2447" t="s">
        <v>993</v>
      </c>
      <c r="B86" s="2446"/>
      <c r="C86" s="2446"/>
      <c r="D86" s="2446"/>
      <c r="E86" s="2446"/>
      <c r="F86" s="2446"/>
      <c r="G86" s="2446"/>
      <c r="H86" s="2446"/>
    </row>
    <row r="87" spans="1:8" x14ac:dyDescent="0.2">
      <c r="A87" s="2447" t="s">
        <v>994</v>
      </c>
      <c r="B87" s="2446"/>
      <c r="C87" s="2446"/>
      <c r="D87" s="2446"/>
      <c r="E87" s="2446"/>
      <c r="F87" s="2446"/>
      <c r="G87" s="2446"/>
      <c r="H87" s="2446"/>
    </row>
    <row r="88" spans="1:8" x14ac:dyDescent="0.2">
      <c r="A88" s="2447" t="s">
        <v>995</v>
      </c>
      <c r="B88" s="2446"/>
      <c r="C88" s="2446"/>
      <c r="D88" s="2446"/>
      <c r="E88" s="2446"/>
      <c r="F88" s="2446"/>
      <c r="G88" s="2446"/>
      <c r="H88" s="2446"/>
    </row>
    <row r="89" spans="1:8" x14ac:dyDescent="0.2">
      <c r="A89" s="2447" t="s">
        <v>878</v>
      </c>
      <c r="B89" s="2446"/>
      <c r="C89" s="2446"/>
      <c r="D89" s="2446"/>
      <c r="E89" s="2446"/>
      <c r="F89" s="2446"/>
      <c r="G89" s="2446"/>
      <c r="H89" s="2446"/>
    </row>
    <row r="90" spans="1:8" x14ac:dyDescent="0.2">
      <c r="A90" s="2446"/>
      <c r="B90" s="2446"/>
      <c r="C90" s="2446"/>
      <c r="D90" s="2446"/>
      <c r="E90" s="2446"/>
      <c r="F90" s="2446"/>
      <c r="G90" s="2446"/>
      <c r="H90" s="2446"/>
    </row>
    <row r="91" spans="1:8" x14ac:dyDescent="0.2">
      <c r="A91" s="2447" t="s">
        <v>984</v>
      </c>
      <c r="B91" s="2446"/>
      <c r="C91" s="2446"/>
      <c r="D91" s="2446"/>
      <c r="E91" s="2446"/>
      <c r="F91" s="2446"/>
      <c r="G91" s="2446"/>
      <c r="H91" s="2446"/>
    </row>
    <row r="92" spans="1:8" x14ac:dyDescent="0.2">
      <c r="A92" s="2447" t="s">
        <v>985</v>
      </c>
      <c r="B92" s="2446"/>
      <c r="C92" s="2446"/>
      <c r="D92" s="2446"/>
      <c r="E92" s="2446"/>
      <c r="F92" s="2446"/>
      <c r="G92" s="2446"/>
      <c r="H92" s="2446"/>
    </row>
    <row r="93" spans="1:8" x14ac:dyDescent="0.2">
      <c r="A93" s="2447" t="s">
        <v>986</v>
      </c>
      <c r="B93" s="2446"/>
      <c r="C93" s="2446"/>
      <c r="D93" s="2446"/>
      <c r="E93" s="2446"/>
      <c r="F93" s="2446"/>
      <c r="G93" s="2446"/>
      <c r="H93" s="2446"/>
    </row>
    <row r="94" spans="1:8" x14ac:dyDescent="0.2">
      <c r="A94" s="2447" t="s">
        <v>987</v>
      </c>
      <c r="B94" s="2446"/>
      <c r="C94" s="2446"/>
      <c r="D94" s="2446"/>
      <c r="E94" s="2446"/>
      <c r="F94" s="2446"/>
      <c r="G94" s="2446"/>
      <c r="H94" s="2446"/>
    </row>
    <row r="95" spans="1:8" x14ac:dyDescent="0.2">
      <c r="A95" s="2447" t="s">
        <v>988</v>
      </c>
      <c r="B95" s="2446"/>
      <c r="C95" s="2446"/>
      <c r="D95" s="2446"/>
      <c r="E95" s="2446"/>
      <c r="F95" s="2446"/>
      <c r="G95" s="2446"/>
      <c r="H95" s="2446"/>
    </row>
    <row r="96" spans="1:8" x14ac:dyDescent="0.2">
      <c r="A96" s="2447" t="s">
        <v>989</v>
      </c>
      <c r="B96" s="2446"/>
      <c r="C96" s="2446"/>
      <c r="D96" s="2446"/>
      <c r="E96" s="2446"/>
      <c r="F96" s="2446"/>
      <c r="G96" s="2446"/>
      <c r="H96" s="2446"/>
    </row>
    <row r="97" spans="1:8" x14ac:dyDescent="0.2">
      <c r="A97" s="2447" t="s">
        <v>990</v>
      </c>
      <c r="B97" s="2446"/>
      <c r="C97" s="2446"/>
      <c r="D97" s="2446"/>
      <c r="E97" s="2446"/>
      <c r="F97" s="2446"/>
      <c r="G97" s="2446"/>
      <c r="H97" s="2446"/>
    </row>
    <row r="98" spans="1:8" x14ac:dyDescent="0.2">
      <c r="A98" s="2446"/>
      <c r="B98" s="2446"/>
      <c r="C98" s="2446"/>
      <c r="D98" s="2446"/>
      <c r="E98" s="2446"/>
      <c r="F98" s="2446"/>
      <c r="G98" s="2446"/>
      <c r="H98" s="2446"/>
    </row>
    <row r="99" spans="1:8" x14ac:dyDescent="0.2">
      <c r="A99" s="2447" t="s">
        <v>982</v>
      </c>
      <c r="B99" s="2446"/>
      <c r="C99" s="2446"/>
      <c r="D99" s="2446"/>
      <c r="E99" s="2446"/>
      <c r="F99" s="2446"/>
      <c r="G99" s="2446"/>
      <c r="H99" s="2446"/>
    </row>
    <row r="100" spans="1:8" x14ac:dyDescent="0.2">
      <c r="A100" s="2447" t="s">
        <v>983</v>
      </c>
      <c r="B100" s="2446"/>
      <c r="C100" s="2446"/>
      <c r="D100" s="2446"/>
      <c r="E100" s="2446"/>
      <c r="F100" s="2446"/>
      <c r="G100" s="2446"/>
      <c r="H100" s="2446"/>
    </row>
    <row r="101" spans="1:8" x14ac:dyDescent="0.2">
      <c r="A101" s="2446"/>
      <c r="B101" s="2446"/>
      <c r="C101" s="2446"/>
      <c r="D101" s="2446"/>
      <c r="E101" s="2446"/>
      <c r="F101" s="2446"/>
      <c r="G101" s="2446"/>
      <c r="H101" s="2446"/>
    </row>
    <row r="102" spans="1:8" ht="15.75" x14ac:dyDescent="0.2">
      <c r="A102" s="2448" t="s">
        <v>753</v>
      </c>
      <c r="B102" s="2446"/>
      <c r="C102" s="2446"/>
      <c r="D102" s="2446"/>
      <c r="E102" s="2446"/>
      <c r="F102" s="2446"/>
      <c r="G102" s="2446"/>
      <c r="H102" s="2446"/>
    </row>
    <row r="103" spans="1:8" x14ac:dyDescent="0.2">
      <c r="A103" s="2446"/>
      <c r="B103" s="2446"/>
      <c r="C103" s="2446"/>
      <c r="D103" s="2446"/>
      <c r="E103" s="2446"/>
      <c r="F103" s="2446"/>
      <c r="G103" s="2446"/>
      <c r="H103" s="2446"/>
    </row>
    <row r="104" spans="1:8" x14ac:dyDescent="0.2">
      <c r="A104" s="2447" t="s">
        <v>973</v>
      </c>
      <c r="B104" s="2446"/>
      <c r="C104" s="2446"/>
      <c r="D104" s="2446"/>
      <c r="E104" s="2446"/>
      <c r="F104" s="2446"/>
      <c r="G104" s="2446"/>
      <c r="H104" s="2446"/>
    </row>
    <row r="105" spans="1:8" x14ac:dyDescent="0.2">
      <c r="A105" s="2447" t="s">
        <v>974</v>
      </c>
      <c r="B105" s="2446"/>
      <c r="C105" s="2446"/>
      <c r="D105" s="2446"/>
      <c r="E105" s="2446"/>
      <c r="F105" s="2446"/>
      <c r="G105" s="2446"/>
      <c r="H105" s="2446"/>
    </row>
    <row r="106" spans="1:8" x14ac:dyDescent="0.2">
      <c r="A106" s="2447" t="s">
        <v>975</v>
      </c>
      <c r="B106" s="2446"/>
      <c r="C106" s="2446"/>
      <c r="D106" s="2446"/>
      <c r="E106" s="2446"/>
      <c r="F106" s="2446"/>
      <c r="G106" s="2446"/>
      <c r="H106" s="2446"/>
    </row>
    <row r="107" spans="1:8" x14ac:dyDescent="0.2">
      <c r="A107" s="2447" t="s">
        <v>976</v>
      </c>
      <c r="B107" s="2446"/>
      <c r="C107" s="2446"/>
      <c r="D107" s="2446"/>
      <c r="E107" s="2446"/>
      <c r="F107" s="2446"/>
      <c r="G107" s="2446"/>
      <c r="H107" s="2446"/>
    </row>
    <row r="108" spans="1:8" x14ac:dyDescent="0.2">
      <c r="A108" s="2447" t="s">
        <v>977</v>
      </c>
      <c r="B108" s="2446"/>
      <c r="C108" s="2446"/>
      <c r="D108" s="2446"/>
      <c r="E108" s="2446"/>
      <c r="F108" s="2446"/>
      <c r="G108" s="2446"/>
      <c r="H108" s="2446"/>
    </row>
    <row r="109" spans="1:8" x14ac:dyDescent="0.2">
      <c r="A109" s="2447" t="s">
        <v>978</v>
      </c>
      <c r="B109" s="2446"/>
      <c r="C109" s="2446"/>
      <c r="D109" s="2446"/>
      <c r="E109" s="2446"/>
      <c r="F109" s="2446"/>
      <c r="G109" s="2446"/>
      <c r="H109" s="2446"/>
    </row>
    <row r="110" spans="1:8" x14ac:dyDescent="0.2">
      <c r="A110" s="2447" t="s">
        <v>979</v>
      </c>
      <c r="B110" s="2446"/>
      <c r="C110" s="2446"/>
      <c r="D110" s="2446"/>
      <c r="E110" s="2446"/>
      <c r="F110" s="2446"/>
      <c r="G110" s="2446"/>
      <c r="H110" s="2446"/>
    </row>
    <row r="111" spans="1:8" x14ac:dyDescent="0.2">
      <c r="A111" s="2447" t="s">
        <v>980</v>
      </c>
      <c r="B111" s="2446"/>
      <c r="C111" s="2446"/>
      <c r="D111" s="2446"/>
      <c r="E111" s="2446"/>
      <c r="F111" s="2446"/>
      <c r="G111" s="2446"/>
      <c r="H111" s="2446"/>
    </row>
    <row r="112" spans="1:8" x14ac:dyDescent="0.2">
      <c r="A112" s="2447" t="s">
        <v>981</v>
      </c>
      <c r="B112" s="2446"/>
      <c r="C112" s="2446"/>
      <c r="D112" s="2446"/>
      <c r="E112" s="2446"/>
      <c r="F112" s="2446"/>
      <c r="G112" s="2446"/>
      <c r="H112" s="2446"/>
    </row>
    <row r="113" spans="1:8" x14ac:dyDescent="0.2">
      <c r="A113" s="2446"/>
      <c r="B113" s="2446"/>
      <c r="C113" s="2446"/>
      <c r="D113" s="2446"/>
      <c r="E113" s="2446"/>
      <c r="F113" s="2446"/>
      <c r="G113" s="2446"/>
      <c r="H113" s="2446"/>
    </row>
    <row r="114" spans="1:8" ht="15.75" x14ac:dyDescent="0.2">
      <c r="A114" s="2449" t="s">
        <v>754</v>
      </c>
      <c r="B114" s="2449"/>
      <c r="C114" s="2449"/>
      <c r="D114" s="2449"/>
      <c r="E114" s="2449"/>
      <c r="F114" s="2449"/>
      <c r="G114" s="2449"/>
      <c r="H114" s="2449"/>
    </row>
    <row r="115" spans="1:8" x14ac:dyDescent="0.2">
      <c r="A115" s="2450" t="s">
        <v>755</v>
      </c>
      <c r="B115" s="2450"/>
      <c r="C115" s="2450"/>
      <c r="D115" s="2450"/>
      <c r="E115" s="2450"/>
      <c r="F115" s="2450"/>
      <c r="G115" s="2450"/>
      <c r="H115" s="2450"/>
    </row>
    <row r="116" spans="1:8" x14ac:dyDescent="0.2">
      <c r="A116" s="2451"/>
      <c r="B116" s="2451"/>
      <c r="C116" s="2451"/>
      <c r="D116" s="2451"/>
      <c r="E116" s="2451"/>
      <c r="F116" s="2451"/>
      <c r="G116" s="2451"/>
      <c r="H116" s="2451"/>
    </row>
    <row r="117" spans="1:8" x14ac:dyDescent="0.2">
      <c r="A117" s="2450" t="s">
        <v>971</v>
      </c>
      <c r="B117" s="2450"/>
      <c r="C117" s="2450"/>
      <c r="D117" s="2450"/>
      <c r="E117" s="2450"/>
      <c r="F117" s="2450"/>
      <c r="G117" s="2450"/>
      <c r="H117" s="2450"/>
    </row>
    <row r="118" spans="1:8" x14ac:dyDescent="0.2">
      <c r="A118" s="2447" t="s">
        <v>972</v>
      </c>
      <c r="B118" s="2447"/>
      <c r="C118" s="2447"/>
      <c r="D118" s="2447"/>
      <c r="E118" s="2447"/>
      <c r="F118" s="2447"/>
      <c r="G118" s="2447"/>
      <c r="H118" s="2447"/>
    </row>
    <row r="119" spans="1:8" x14ac:dyDescent="0.2">
      <c r="A119" s="2451"/>
      <c r="B119" s="2451"/>
      <c r="C119" s="2451"/>
      <c r="D119" s="2451"/>
      <c r="E119" s="2451"/>
      <c r="F119" s="2451"/>
      <c r="G119" s="2451"/>
      <c r="H119" s="2451"/>
    </row>
    <row r="120" spans="1:8" x14ac:dyDescent="0.2">
      <c r="A120" s="2450" t="s">
        <v>964</v>
      </c>
      <c r="B120" s="2450"/>
      <c r="C120" s="2450"/>
      <c r="D120" s="2450"/>
      <c r="E120" s="2450"/>
      <c r="F120" s="2450"/>
      <c r="G120" s="2450"/>
      <c r="H120" s="2450"/>
    </row>
    <row r="121" spans="1:8" x14ac:dyDescent="0.2">
      <c r="A121" s="2447" t="s">
        <v>965</v>
      </c>
      <c r="B121" s="2447"/>
      <c r="C121" s="2447"/>
      <c r="D121" s="2447"/>
      <c r="E121" s="2447"/>
      <c r="F121" s="2447"/>
      <c r="G121" s="2447"/>
      <c r="H121" s="2447"/>
    </row>
    <row r="122" spans="1:8" x14ac:dyDescent="0.2">
      <c r="A122" s="2447" t="s">
        <v>966</v>
      </c>
      <c r="B122" s="2447"/>
      <c r="C122" s="2447"/>
      <c r="D122" s="2447"/>
      <c r="E122" s="2447"/>
      <c r="F122" s="2447"/>
      <c r="G122" s="2447"/>
      <c r="H122" s="2447"/>
    </row>
    <row r="123" spans="1:8" x14ac:dyDescent="0.2">
      <c r="A123" s="2447" t="s">
        <v>967</v>
      </c>
      <c r="B123" s="2447"/>
      <c r="C123" s="2447"/>
      <c r="D123" s="2447"/>
      <c r="E123" s="2447"/>
      <c r="F123" s="2447"/>
      <c r="G123" s="2447"/>
      <c r="H123" s="2447"/>
    </row>
    <row r="124" spans="1:8" x14ac:dyDescent="0.2">
      <c r="A124" s="2447" t="s">
        <v>968</v>
      </c>
      <c r="B124" s="2447"/>
      <c r="C124" s="2447"/>
      <c r="D124" s="2447"/>
      <c r="E124" s="2447"/>
      <c r="F124" s="2447"/>
      <c r="G124" s="2447"/>
      <c r="H124" s="2447"/>
    </row>
    <row r="125" spans="1:8" x14ac:dyDescent="0.2">
      <c r="A125" s="2447" t="s">
        <v>969</v>
      </c>
      <c r="B125" s="2447"/>
      <c r="C125" s="2447"/>
      <c r="D125" s="2447"/>
      <c r="E125" s="2447"/>
      <c r="F125" s="2447"/>
      <c r="G125" s="2447"/>
      <c r="H125" s="2447"/>
    </row>
    <row r="126" spans="1:8" x14ac:dyDescent="0.2">
      <c r="A126" s="2447" t="s">
        <v>970</v>
      </c>
      <c r="B126" s="2447"/>
      <c r="C126" s="2447"/>
      <c r="D126" s="2447"/>
      <c r="E126" s="2447"/>
      <c r="F126" s="2447"/>
      <c r="G126" s="2447"/>
      <c r="H126" s="2447"/>
    </row>
    <row r="127" spans="1:8" x14ac:dyDescent="0.2">
      <c r="A127" s="2452"/>
      <c r="B127" s="2452"/>
      <c r="C127" s="2452"/>
      <c r="D127" s="2452"/>
      <c r="E127" s="2452"/>
      <c r="F127" s="2452"/>
      <c r="G127" s="2452"/>
      <c r="H127" s="2452"/>
    </row>
    <row r="128" spans="1:8" x14ac:dyDescent="0.2">
      <c r="A128" s="2453"/>
      <c r="B128" s="2454" t="s">
        <v>756</v>
      </c>
      <c r="C128" s="2455"/>
      <c r="D128" s="2454" t="s">
        <v>757</v>
      </c>
      <c r="E128" s="2456"/>
      <c r="F128" s="2455"/>
      <c r="G128" s="2454" t="s">
        <v>758</v>
      </c>
      <c r="H128" s="2455"/>
    </row>
    <row r="129" spans="1:8" x14ac:dyDescent="0.2">
      <c r="A129" s="2453" t="s">
        <v>759</v>
      </c>
      <c r="B129" s="2453" t="s">
        <v>540</v>
      </c>
      <c r="C129" s="2453" t="s">
        <v>760</v>
      </c>
      <c r="D129" s="2453" t="s">
        <v>540</v>
      </c>
      <c r="E129" s="2453" t="s">
        <v>761</v>
      </c>
      <c r="F129" s="2453" t="s">
        <v>762</v>
      </c>
      <c r="G129" s="2453" t="s">
        <v>540</v>
      </c>
      <c r="H129" s="2453" t="s">
        <v>763</v>
      </c>
    </row>
    <row r="130" spans="1:8" x14ac:dyDescent="0.2">
      <c r="A130" s="2453" t="s">
        <v>764</v>
      </c>
      <c r="B130" s="2453">
        <v>1189</v>
      </c>
      <c r="C130" s="2457">
        <v>0.38</v>
      </c>
      <c r="D130" s="2453">
        <v>315</v>
      </c>
      <c r="E130" s="2457">
        <v>0.41</v>
      </c>
      <c r="F130" s="2457">
        <v>0.26</v>
      </c>
      <c r="G130" s="2453">
        <v>555</v>
      </c>
      <c r="H130" s="2457">
        <v>0.39</v>
      </c>
    </row>
    <row r="131" spans="1:8" x14ac:dyDescent="0.2">
      <c r="A131" s="2453" t="s">
        <v>765</v>
      </c>
      <c r="B131" s="2453">
        <v>1355</v>
      </c>
      <c r="C131" s="2457">
        <v>0.43</v>
      </c>
      <c r="D131" s="2453">
        <v>364</v>
      </c>
      <c r="E131" s="2457">
        <v>0.47</v>
      </c>
      <c r="F131" s="2457">
        <v>0.27</v>
      </c>
      <c r="G131" s="2453">
        <v>644</v>
      </c>
      <c r="H131" s="2457">
        <v>0.45</v>
      </c>
    </row>
    <row r="132" spans="1:8" x14ac:dyDescent="0.2">
      <c r="A132" s="2453" t="s">
        <v>766</v>
      </c>
      <c r="B132" s="2453">
        <v>53</v>
      </c>
      <c r="C132" s="2457">
        <v>0.02</v>
      </c>
      <c r="D132" s="2453">
        <v>4</v>
      </c>
      <c r="E132" s="2457">
        <v>0.01</v>
      </c>
      <c r="F132" s="2457">
        <v>0.08</v>
      </c>
      <c r="G132" s="2453">
        <v>7</v>
      </c>
      <c r="H132" s="2457">
        <v>0</v>
      </c>
    </row>
    <row r="133" spans="1:8" x14ac:dyDescent="0.2">
      <c r="A133" s="2453" t="s">
        <v>767</v>
      </c>
      <c r="B133" s="2453">
        <v>545</v>
      </c>
      <c r="C133" s="2457">
        <v>0.17</v>
      </c>
      <c r="D133" s="2453">
        <v>84</v>
      </c>
      <c r="E133" s="2457">
        <v>0.11</v>
      </c>
      <c r="F133" s="2457">
        <v>0.15</v>
      </c>
      <c r="G133" s="2453">
        <v>214</v>
      </c>
      <c r="H133" s="2457">
        <v>0.15</v>
      </c>
    </row>
    <row r="134" spans="1:8" x14ac:dyDescent="0.2">
      <c r="A134" s="2453" t="s">
        <v>526</v>
      </c>
      <c r="B134" s="2458">
        <v>3142</v>
      </c>
      <c r="C134" s="2453"/>
      <c r="D134" s="2453">
        <v>767</v>
      </c>
      <c r="E134" s="2453"/>
      <c r="F134" s="2453"/>
      <c r="G134" s="2453">
        <v>1420</v>
      </c>
      <c r="H134" s="2453"/>
    </row>
    <row r="135" spans="1:8" x14ac:dyDescent="0.2">
      <c r="A135" s="2459"/>
      <c r="B135" s="2459"/>
      <c r="C135" s="2459"/>
      <c r="D135" s="2459"/>
      <c r="E135" s="2459"/>
      <c r="F135" s="2459"/>
      <c r="G135" s="2459"/>
      <c r="H135" s="2459"/>
    </row>
    <row r="136" spans="1:8" x14ac:dyDescent="0.2">
      <c r="A136" s="2450" t="s">
        <v>960</v>
      </c>
      <c r="B136" s="2450"/>
      <c r="C136" s="2450"/>
      <c r="D136" s="2450"/>
      <c r="E136" s="2450"/>
      <c r="F136" s="2450"/>
      <c r="G136" s="2450"/>
      <c r="H136" s="2450"/>
    </row>
    <row r="137" spans="1:8" x14ac:dyDescent="0.2">
      <c r="A137" s="2447" t="s">
        <v>961</v>
      </c>
      <c r="B137" s="2447"/>
      <c r="C137" s="2447"/>
      <c r="D137" s="2447"/>
      <c r="E137" s="2447"/>
      <c r="F137" s="2447"/>
      <c r="G137" s="2447"/>
      <c r="H137" s="2447"/>
    </row>
    <row r="138" spans="1:8" x14ac:dyDescent="0.2">
      <c r="A138" s="2447" t="s">
        <v>962</v>
      </c>
      <c r="B138" s="2447"/>
      <c r="C138" s="2447"/>
      <c r="D138" s="2447"/>
      <c r="E138" s="2447"/>
      <c r="F138" s="2447"/>
      <c r="G138" s="2447"/>
      <c r="H138" s="2447"/>
    </row>
    <row r="139" spans="1:8" x14ac:dyDescent="0.2">
      <c r="A139" s="2447" t="s">
        <v>963</v>
      </c>
      <c r="B139" s="2447"/>
      <c r="C139" s="2447"/>
      <c r="D139" s="2447"/>
      <c r="E139" s="2447"/>
      <c r="F139" s="2447"/>
      <c r="G139" s="2447"/>
      <c r="H139" s="2447"/>
    </row>
    <row r="140" spans="1:8" x14ac:dyDescent="0.2">
      <c r="A140" s="2446"/>
      <c r="B140" s="2446"/>
      <c r="C140" s="2446"/>
      <c r="D140" s="2446"/>
      <c r="E140" s="2446"/>
      <c r="F140" s="2446"/>
      <c r="G140" s="2446"/>
      <c r="H140" s="2446"/>
    </row>
    <row r="141" spans="1:8" ht="15.75" x14ac:dyDescent="0.2">
      <c r="A141" s="2448" t="s">
        <v>768</v>
      </c>
      <c r="B141" s="2446"/>
      <c r="C141" s="2446"/>
      <c r="D141" s="2446"/>
      <c r="E141" s="2446"/>
      <c r="F141" s="2446"/>
      <c r="G141" s="2446"/>
      <c r="H141" s="2446"/>
    </row>
    <row r="142" spans="1:8" x14ac:dyDescent="0.2">
      <c r="A142" s="2446"/>
      <c r="B142" s="2446"/>
      <c r="C142" s="2446"/>
      <c r="D142" s="2446"/>
      <c r="E142" s="2446"/>
      <c r="F142" s="2446"/>
      <c r="G142" s="2446"/>
      <c r="H142" s="2446"/>
    </row>
    <row r="143" spans="1:8" x14ac:dyDescent="0.2">
      <c r="A143" s="2447" t="s">
        <v>958</v>
      </c>
      <c r="B143" s="2446"/>
      <c r="C143" s="2446"/>
      <c r="D143" s="2446"/>
      <c r="E143" s="2446"/>
      <c r="F143" s="2446"/>
      <c r="G143" s="2446"/>
      <c r="H143" s="2446"/>
    </row>
    <row r="144" spans="1:8" x14ac:dyDescent="0.2">
      <c r="A144" s="2447" t="s">
        <v>959</v>
      </c>
      <c r="B144" s="2446"/>
      <c r="C144" s="2446"/>
      <c r="D144" s="2446"/>
      <c r="E144" s="2446"/>
      <c r="F144" s="2446"/>
      <c r="G144" s="2446"/>
      <c r="H144" s="2446"/>
    </row>
    <row r="145" spans="1:8" x14ac:dyDescent="0.2">
      <c r="A145" s="2446"/>
      <c r="B145" s="2446"/>
      <c r="C145" s="2446"/>
      <c r="D145" s="2446"/>
      <c r="E145" s="2446"/>
      <c r="F145" s="2446"/>
      <c r="G145" s="2446"/>
      <c r="H145" s="2446"/>
    </row>
    <row r="146" spans="1:8" x14ac:dyDescent="0.2">
      <c r="A146" s="2447" t="s">
        <v>955</v>
      </c>
      <c r="B146" s="2446"/>
      <c r="C146" s="2446"/>
      <c r="D146" s="2446"/>
      <c r="E146" s="2446"/>
      <c r="F146" s="2446"/>
      <c r="G146" s="2446"/>
      <c r="H146" s="2446"/>
    </row>
    <row r="147" spans="1:8" x14ac:dyDescent="0.2">
      <c r="A147" s="2447" t="s">
        <v>956</v>
      </c>
      <c r="B147" s="2446"/>
      <c r="C147" s="2446"/>
      <c r="D147" s="2446"/>
      <c r="E147" s="2446"/>
      <c r="F147" s="2446"/>
      <c r="G147" s="2446"/>
      <c r="H147" s="2446"/>
    </row>
    <row r="148" spans="1:8" x14ac:dyDescent="0.2">
      <c r="A148" s="2447" t="s">
        <v>957</v>
      </c>
      <c r="B148" s="2446"/>
      <c r="C148" s="2446"/>
      <c r="D148" s="2446"/>
      <c r="E148" s="2446"/>
      <c r="F148" s="2446"/>
      <c r="G148" s="2446"/>
      <c r="H148" s="2446"/>
    </row>
    <row r="149" spans="1:8" x14ac:dyDescent="0.2">
      <c r="A149" s="2446"/>
      <c r="B149" s="2446"/>
      <c r="C149" s="2446"/>
      <c r="D149" s="2446"/>
      <c r="E149" s="2446"/>
      <c r="F149" s="2446"/>
      <c r="G149" s="2446"/>
      <c r="H149" s="2446"/>
    </row>
    <row r="150" spans="1:8" x14ac:dyDescent="0.2">
      <c r="A150" s="2447" t="s">
        <v>952</v>
      </c>
      <c r="B150" s="2446"/>
      <c r="C150" s="2446"/>
      <c r="D150" s="2446"/>
      <c r="E150" s="2446"/>
      <c r="F150" s="2446"/>
      <c r="G150" s="2446"/>
      <c r="H150" s="2446"/>
    </row>
    <row r="151" spans="1:8" x14ac:dyDescent="0.2">
      <c r="A151" s="2447" t="s">
        <v>953</v>
      </c>
      <c r="B151" s="2446"/>
      <c r="C151" s="2446"/>
      <c r="D151" s="2446"/>
      <c r="E151" s="2446"/>
      <c r="F151" s="2446"/>
      <c r="G151" s="2446"/>
      <c r="H151" s="2446"/>
    </row>
    <row r="152" spans="1:8" x14ac:dyDescent="0.2">
      <c r="A152" s="2447" t="s">
        <v>954</v>
      </c>
      <c r="B152" s="2446"/>
      <c r="C152" s="2446"/>
      <c r="D152" s="2446"/>
      <c r="E152" s="2446"/>
      <c r="F152" s="2446"/>
      <c r="G152" s="2446"/>
      <c r="H152" s="2446"/>
    </row>
    <row r="153" spans="1:8" x14ac:dyDescent="0.2">
      <c r="A153" s="2446"/>
      <c r="B153" s="2446"/>
      <c r="C153" s="2446"/>
      <c r="D153" s="2446"/>
      <c r="E153" s="2446"/>
      <c r="F153" s="2446"/>
      <c r="G153" s="2446"/>
      <c r="H153" s="2446"/>
    </row>
    <row r="154" spans="1:8" x14ac:dyDescent="0.2">
      <c r="A154" s="2447" t="s">
        <v>949</v>
      </c>
      <c r="B154" s="2446"/>
      <c r="C154" s="2446"/>
      <c r="D154" s="2446"/>
      <c r="E154" s="2446"/>
      <c r="F154" s="2446"/>
      <c r="G154" s="2446"/>
      <c r="H154" s="2446"/>
    </row>
    <row r="155" spans="1:8" x14ac:dyDescent="0.2">
      <c r="A155" s="2447" t="s">
        <v>950</v>
      </c>
      <c r="B155" s="2446"/>
      <c r="C155" s="2446"/>
      <c r="D155" s="2446"/>
      <c r="E155" s="2446"/>
      <c r="F155" s="2446"/>
      <c r="G155" s="2446"/>
      <c r="H155" s="2446"/>
    </row>
    <row r="156" spans="1:8" x14ac:dyDescent="0.2">
      <c r="A156" s="2447" t="s">
        <v>951</v>
      </c>
      <c r="B156" s="2446"/>
      <c r="C156" s="2446"/>
      <c r="D156" s="2446"/>
      <c r="E156" s="2446"/>
      <c r="F156" s="2446"/>
      <c r="G156" s="2446"/>
      <c r="H156" s="2446"/>
    </row>
    <row r="157" spans="1:8" x14ac:dyDescent="0.2">
      <c r="A157" s="2446"/>
      <c r="B157" s="2446"/>
      <c r="C157" s="2446"/>
      <c r="D157" s="2446"/>
      <c r="E157" s="2446"/>
      <c r="F157" s="2446"/>
      <c r="G157" s="2446"/>
      <c r="H157" s="2446"/>
    </row>
    <row r="158" spans="1:8" x14ac:dyDescent="0.2">
      <c r="A158" s="2447" t="s">
        <v>947</v>
      </c>
      <c r="B158" s="2446"/>
      <c r="C158" s="2446"/>
      <c r="D158" s="2446"/>
      <c r="E158" s="2446"/>
      <c r="F158" s="2446"/>
      <c r="G158" s="2446"/>
      <c r="H158" s="2446"/>
    </row>
    <row r="159" spans="1:8" x14ac:dyDescent="0.2">
      <c r="A159" s="2447" t="s">
        <v>948</v>
      </c>
      <c r="B159" s="2446"/>
      <c r="C159" s="2446"/>
      <c r="D159" s="2446"/>
      <c r="E159" s="2446"/>
      <c r="F159" s="2446"/>
      <c r="G159" s="2446"/>
      <c r="H159" s="2446"/>
    </row>
    <row r="160" spans="1:8" x14ac:dyDescent="0.2">
      <c r="A160" s="2446"/>
      <c r="B160" s="2446"/>
      <c r="C160" s="2446"/>
      <c r="D160" s="2446"/>
      <c r="E160" s="2446"/>
      <c r="F160" s="2446"/>
      <c r="G160" s="2446"/>
      <c r="H160" s="2446"/>
    </row>
    <row r="161" spans="1:8" ht="15.75" x14ac:dyDescent="0.2">
      <c r="A161" s="2448" t="s">
        <v>769</v>
      </c>
      <c r="B161" s="2446"/>
      <c r="C161" s="2446"/>
      <c r="D161" s="2446"/>
      <c r="E161" s="2446"/>
      <c r="F161" s="2446"/>
      <c r="G161" s="2446"/>
      <c r="H161" s="2446"/>
    </row>
    <row r="162" spans="1:8" x14ac:dyDescent="0.2">
      <c r="A162" s="2446"/>
      <c r="B162" s="2446"/>
      <c r="C162" s="2446"/>
      <c r="D162" s="2446"/>
      <c r="E162" s="2446"/>
      <c r="F162" s="2446"/>
      <c r="G162" s="2446"/>
      <c r="H162" s="2446"/>
    </row>
    <row r="163" spans="1:8" x14ac:dyDescent="0.2">
      <c r="A163" s="2447" t="s">
        <v>945</v>
      </c>
      <c r="B163" s="2446"/>
      <c r="C163" s="2446"/>
      <c r="D163" s="2446"/>
      <c r="E163" s="2446"/>
      <c r="F163" s="2446"/>
      <c r="G163" s="2446"/>
      <c r="H163" s="2446"/>
    </row>
    <row r="164" spans="1:8" x14ac:dyDescent="0.2">
      <c r="A164" s="2447" t="s">
        <v>946</v>
      </c>
      <c r="B164" s="2446"/>
      <c r="C164" s="2446"/>
      <c r="D164" s="2446"/>
      <c r="E164" s="2446"/>
      <c r="F164" s="2446"/>
      <c r="G164" s="2446"/>
      <c r="H164" s="2446"/>
    </row>
    <row r="165" spans="1:8" x14ac:dyDescent="0.2">
      <c r="A165" s="2446"/>
      <c r="B165" s="2446"/>
      <c r="C165" s="2446"/>
      <c r="D165" s="2446"/>
      <c r="E165" s="2446"/>
      <c r="F165" s="2446"/>
      <c r="G165" s="2446"/>
      <c r="H165" s="2446"/>
    </row>
    <row r="166" spans="1:8" x14ac:dyDescent="0.2">
      <c r="A166" s="2447" t="s">
        <v>943</v>
      </c>
      <c r="B166" s="2446"/>
      <c r="C166" s="2446"/>
      <c r="D166" s="2446"/>
      <c r="E166" s="2446"/>
      <c r="F166" s="2446"/>
      <c r="G166" s="2446"/>
      <c r="H166" s="2446"/>
    </row>
    <row r="167" spans="1:8" x14ac:dyDescent="0.2">
      <c r="A167" s="2447" t="s">
        <v>944</v>
      </c>
      <c r="B167" s="2446"/>
      <c r="C167" s="2446"/>
      <c r="D167" s="2446"/>
      <c r="E167" s="2446"/>
      <c r="F167" s="2446"/>
      <c r="G167" s="2446"/>
      <c r="H167" s="2446"/>
    </row>
    <row r="168" spans="1:8" x14ac:dyDescent="0.2">
      <c r="A168" s="2446"/>
      <c r="B168" s="2446"/>
      <c r="C168" s="2446"/>
      <c r="D168" s="2446"/>
      <c r="E168" s="2446"/>
      <c r="F168" s="2446"/>
      <c r="G168" s="2446"/>
      <c r="H168" s="2446"/>
    </row>
    <row r="169" spans="1:8" x14ac:dyDescent="0.2">
      <c r="A169" s="2447" t="s">
        <v>941</v>
      </c>
      <c r="B169" s="2446"/>
      <c r="C169" s="2446"/>
      <c r="D169" s="2446"/>
      <c r="E169" s="2446"/>
      <c r="F169" s="2446"/>
      <c r="G169" s="2446"/>
      <c r="H169" s="2446"/>
    </row>
    <row r="170" spans="1:8" x14ac:dyDescent="0.2">
      <c r="A170" s="2447" t="s">
        <v>942</v>
      </c>
      <c r="B170" s="2446"/>
      <c r="C170" s="2446"/>
      <c r="D170" s="2446"/>
      <c r="E170" s="2446"/>
      <c r="F170" s="2446"/>
      <c r="G170" s="2446"/>
      <c r="H170" s="2446"/>
    </row>
    <row r="171" spans="1:8" x14ac:dyDescent="0.2">
      <c r="A171" s="2446"/>
      <c r="B171" s="2446"/>
      <c r="C171" s="2446"/>
      <c r="D171" s="2446"/>
      <c r="E171" s="2446"/>
      <c r="F171" s="2446"/>
      <c r="G171" s="2446"/>
      <c r="H171" s="2446"/>
    </row>
    <row r="172" spans="1:8" x14ac:dyDescent="0.2">
      <c r="A172" s="2447" t="s">
        <v>938</v>
      </c>
      <c r="B172" s="2446"/>
      <c r="C172" s="2446"/>
      <c r="D172" s="2446"/>
      <c r="E172" s="2446"/>
      <c r="F172" s="2446"/>
      <c r="G172" s="2446"/>
      <c r="H172" s="2446"/>
    </row>
    <row r="173" spans="1:8" x14ac:dyDescent="0.2">
      <c r="A173" s="2447" t="s">
        <v>939</v>
      </c>
      <c r="B173" s="2446"/>
      <c r="C173" s="2446"/>
      <c r="D173" s="2446"/>
      <c r="E173" s="2446"/>
      <c r="F173" s="2446"/>
      <c r="G173" s="2446"/>
      <c r="H173" s="2446"/>
    </row>
    <row r="174" spans="1:8" x14ac:dyDescent="0.2">
      <c r="A174" s="2447" t="s">
        <v>940</v>
      </c>
      <c r="B174" s="2446"/>
      <c r="C174" s="2446"/>
      <c r="D174" s="2446"/>
      <c r="E174" s="2446"/>
      <c r="F174" s="2446"/>
      <c r="G174" s="2446"/>
      <c r="H174" s="2446"/>
    </row>
    <row r="175" spans="1:8" x14ac:dyDescent="0.2">
      <c r="A175" s="2446"/>
      <c r="B175" s="2446"/>
      <c r="C175" s="2446"/>
      <c r="D175" s="2446"/>
      <c r="E175" s="2446"/>
      <c r="F175" s="2446"/>
      <c r="G175" s="2446"/>
      <c r="H175" s="2446"/>
    </row>
    <row r="176" spans="1:8" x14ac:dyDescent="0.2">
      <c r="A176" s="2446"/>
      <c r="B176" s="2446"/>
      <c r="C176" s="2446"/>
      <c r="D176" s="2446"/>
      <c r="E176" s="2446"/>
      <c r="F176" s="2446"/>
      <c r="G176" s="2446"/>
      <c r="H176" s="2446"/>
    </row>
    <row r="177" spans="1:8" x14ac:dyDescent="0.2">
      <c r="A177" s="2447" t="s">
        <v>770</v>
      </c>
      <c r="B177" s="2446"/>
      <c r="C177" s="2446"/>
      <c r="D177" s="2446"/>
      <c r="E177" s="2446"/>
      <c r="F177" s="2446"/>
      <c r="G177" s="2446"/>
      <c r="H177" s="2446"/>
    </row>
    <row r="178" spans="1:8" x14ac:dyDescent="0.2">
      <c r="A178" s="2446"/>
      <c r="B178" s="2446"/>
      <c r="C178" s="2446"/>
      <c r="D178" s="2446"/>
      <c r="E178" s="2446"/>
      <c r="F178" s="2446"/>
      <c r="G178" s="2446"/>
      <c r="H178" s="2446"/>
    </row>
    <row r="179" spans="1:8" ht="15.75" x14ac:dyDescent="0.2">
      <c r="A179" s="2448" t="s">
        <v>771</v>
      </c>
      <c r="B179" s="2446"/>
      <c r="C179" s="2446"/>
      <c r="D179" s="2446"/>
      <c r="E179" s="2446"/>
      <c r="F179" s="2446"/>
      <c r="G179" s="2446"/>
      <c r="H179" s="2446"/>
    </row>
    <row r="180" spans="1:8" x14ac:dyDescent="0.2">
      <c r="A180" s="2446"/>
      <c r="B180" s="2446"/>
      <c r="C180" s="2446"/>
      <c r="D180" s="2446"/>
      <c r="E180" s="2446"/>
      <c r="F180" s="2446"/>
      <c r="G180" s="2446"/>
      <c r="H180" s="2446"/>
    </row>
    <row r="181" spans="1:8" x14ac:dyDescent="0.2">
      <c r="A181" s="2446"/>
      <c r="B181" s="2446"/>
      <c r="C181" s="2446"/>
      <c r="D181" s="2446"/>
      <c r="E181" s="2446"/>
      <c r="F181" s="2446"/>
      <c r="G181" s="2446"/>
      <c r="H181" s="2446"/>
    </row>
    <row r="182" spans="1:8" x14ac:dyDescent="0.2">
      <c r="A182" s="2446"/>
      <c r="B182" s="2446"/>
      <c r="C182" s="2446"/>
      <c r="D182" s="2446"/>
      <c r="E182" s="2446"/>
      <c r="F182" s="2446"/>
      <c r="G182" s="2446"/>
      <c r="H182" s="2446"/>
    </row>
    <row r="183" spans="1:8" x14ac:dyDescent="0.2">
      <c r="A183" s="2446"/>
      <c r="B183" s="2446"/>
      <c r="C183" s="2446"/>
      <c r="D183" s="2446"/>
      <c r="E183" s="2446"/>
      <c r="F183" s="2446"/>
      <c r="G183" s="2446"/>
      <c r="H183" s="2446"/>
    </row>
    <row r="184" spans="1:8" x14ac:dyDescent="0.2">
      <c r="A184" s="2446"/>
      <c r="B184" s="2446"/>
      <c r="C184" s="2446"/>
      <c r="D184" s="2446"/>
      <c r="E184" s="2446"/>
      <c r="F184" s="2446"/>
      <c r="G184" s="2446"/>
      <c r="H184" s="2446"/>
    </row>
    <row r="185" spans="1:8" x14ac:dyDescent="0.2">
      <c r="A185" s="2446"/>
      <c r="B185" s="2446"/>
      <c r="C185" s="2446"/>
      <c r="D185" s="2446"/>
      <c r="E185" s="2446"/>
      <c r="F185" s="2446"/>
      <c r="G185" s="2446"/>
      <c r="H185" s="2446"/>
    </row>
    <row r="186" spans="1:8" x14ac:dyDescent="0.2">
      <c r="A186" s="2446"/>
      <c r="B186" s="2446"/>
      <c r="C186" s="2446"/>
      <c r="D186" s="2446"/>
      <c r="E186" s="2446"/>
      <c r="F186" s="2446"/>
      <c r="G186" s="2446"/>
      <c r="H186" s="2446"/>
    </row>
    <row r="187" spans="1:8" x14ac:dyDescent="0.2">
      <c r="A187" s="2446"/>
      <c r="B187" s="2446"/>
      <c r="C187" s="2446"/>
      <c r="D187" s="2446"/>
      <c r="E187" s="2446"/>
      <c r="F187" s="2446"/>
      <c r="G187" s="2446"/>
      <c r="H187" s="2446"/>
    </row>
    <row r="188" spans="1:8" x14ac:dyDescent="0.2">
      <c r="A188" s="2446"/>
      <c r="B188" s="2446"/>
      <c r="C188" s="2446"/>
      <c r="D188" s="2446"/>
      <c r="E188" s="2446"/>
      <c r="F188" s="2446"/>
      <c r="G188" s="2446"/>
      <c r="H188" s="2446"/>
    </row>
    <row r="189" spans="1:8" x14ac:dyDescent="0.2">
      <c r="A189" s="2446"/>
      <c r="B189" s="2446"/>
      <c r="C189" s="2446"/>
      <c r="D189" s="2446"/>
      <c r="E189" s="2446"/>
      <c r="F189" s="2446"/>
      <c r="G189" s="2446"/>
      <c r="H189" s="2446"/>
    </row>
    <row r="190" spans="1:8" x14ac:dyDescent="0.2">
      <c r="A190" s="2446"/>
      <c r="B190" s="2446"/>
      <c r="C190" s="2446"/>
      <c r="D190" s="2446"/>
      <c r="E190" s="2446"/>
      <c r="F190" s="2446"/>
      <c r="G190" s="2446"/>
      <c r="H190" s="2446"/>
    </row>
    <row r="191" spans="1:8" x14ac:dyDescent="0.2">
      <c r="A191" s="2446"/>
      <c r="B191" s="2446"/>
      <c r="C191" s="2446"/>
      <c r="D191" s="2446"/>
      <c r="E191" s="2446"/>
      <c r="F191" s="2446"/>
      <c r="G191" s="2446"/>
      <c r="H191" s="2446"/>
    </row>
    <row r="192" spans="1:8" x14ac:dyDescent="0.2">
      <c r="A192" s="2446"/>
      <c r="B192" s="2446"/>
      <c r="C192" s="2446"/>
      <c r="D192" s="2446"/>
      <c r="E192" s="2446"/>
      <c r="F192" s="2446"/>
      <c r="G192" s="2446"/>
      <c r="H192" s="2446"/>
    </row>
    <row r="193" spans="1:8" x14ac:dyDescent="0.2">
      <c r="A193" s="2446"/>
      <c r="B193" s="2446"/>
      <c r="C193" s="2446"/>
      <c r="D193" s="2446"/>
      <c r="E193" s="2446"/>
      <c r="F193" s="2446"/>
      <c r="G193" s="2446"/>
      <c r="H193" s="2446"/>
    </row>
    <row r="194" spans="1:8" x14ac:dyDescent="0.2">
      <c r="A194" s="2446"/>
      <c r="B194" s="2446"/>
      <c r="C194" s="2446"/>
      <c r="D194" s="2446"/>
      <c r="E194" s="2446"/>
      <c r="F194" s="2446"/>
      <c r="G194" s="2446"/>
      <c r="H194" s="2446"/>
    </row>
    <row r="195" spans="1:8" x14ac:dyDescent="0.2">
      <c r="A195" s="2446"/>
      <c r="B195" s="2446"/>
      <c r="C195" s="2446"/>
      <c r="D195" s="2446"/>
      <c r="E195" s="2446"/>
      <c r="F195" s="2446"/>
      <c r="G195" s="2446"/>
      <c r="H195" s="2446"/>
    </row>
    <row r="196" spans="1:8" x14ac:dyDescent="0.2">
      <c r="A196" s="2446"/>
      <c r="B196" s="2446"/>
      <c r="C196" s="2446"/>
      <c r="D196" s="2446"/>
      <c r="E196" s="2446"/>
      <c r="F196" s="2446"/>
      <c r="G196" s="2446"/>
      <c r="H196" s="2446"/>
    </row>
    <row r="197" spans="1:8" x14ac:dyDescent="0.2">
      <c r="A197" s="2446"/>
      <c r="B197" s="2446"/>
      <c r="C197" s="2446"/>
      <c r="D197" s="2446"/>
      <c r="E197" s="2446"/>
      <c r="F197" s="2446"/>
      <c r="G197" s="2446"/>
      <c r="H197" s="2446"/>
    </row>
    <row r="198" spans="1:8" x14ac:dyDescent="0.2">
      <c r="A198" s="2446"/>
      <c r="B198" s="2446"/>
      <c r="C198" s="2446"/>
      <c r="D198" s="2446"/>
      <c r="E198" s="2446"/>
      <c r="F198" s="2446"/>
      <c r="G198" s="2446"/>
      <c r="H198" s="2446"/>
    </row>
    <row r="199" spans="1:8" x14ac:dyDescent="0.2">
      <c r="A199" s="2446"/>
      <c r="B199" s="2446"/>
      <c r="C199" s="2446"/>
      <c r="D199" s="2446"/>
      <c r="E199" s="2446"/>
      <c r="F199" s="2446"/>
      <c r="G199" s="2446"/>
      <c r="H199" s="2446"/>
    </row>
    <row r="200" spans="1:8" x14ac:dyDescent="0.2">
      <c r="A200" s="2446"/>
      <c r="B200" s="2446"/>
      <c r="C200" s="2446"/>
      <c r="D200" s="2446"/>
      <c r="E200" s="2446"/>
      <c r="F200" s="2446"/>
      <c r="G200" s="2446"/>
      <c r="H200" s="2446"/>
    </row>
    <row r="201" spans="1:8" x14ac:dyDescent="0.2">
      <c r="A201" s="2446"/>
      <c r="B201" s="2446"/>
      <c r="C201" s="2446"/>
      <c r="D201" s="2446"/>
      <c r="E201" s="2446"/>
      <c r="F201" s="2446"/>
      <c r="G201" s="2446"/>
      <c r="H201" s="2446"/>
    </row>
    <row r="202" spans="1:8" x14ac:dyDescent="0.2">
      <c r="A202" s="2446"/>
      <c r="B202" s="2446"/>
      <c r="C202" s="2446"/>
      <c r="D202" s="2446"/>
      <c r="E202" s="2446"/>
      <c r="F202" s="2446"/>
      <c r="G202" s="2446"/>
      <c r="H202" s="2446"/>
    </row>
    <row r="203" spans="1:8" x14ac:dyDescent="0.2">
      <c r="A203" s="2446"/>
      <c r="B203" s="2446"/>
      <c r="C203" s="2446"/>
      <c r="D203" s="2446"/>
      <c r="E203" s="2446"/>
      <c r="F203" s="2446"/>
      <c r="G203" s="2446"/>
      <c r="H203" s="2446"/>
    </row>
    <row r="204" spans="1:8" x14ac:dyDescent="0.2">
      <c r="A204" s="2446"/>
      <c r="B204" s="2446"/>
      <c r="C204" s="2446"/>
      <c r="D204" s="2446"/>
      <c r="E204" s="2446"/>
      <c r="F204" s="2446"/>
      <c r="G204" s="2446"/>
      <c r="H204" s="2446"/>
    </row>
    <row r="205" spans="1:8" x14ac:dyDescent="0.2">
      <c r="A205" s="2446"/>
      <c r="B205" s="2446"/>
      <c r="C205" s="2446"/>
      <c r="D205" s="2446"/>
      <c r="E205" s="2446"/>
      <c r="F205" s="2446"/>
      <c r="G205" s="2446"/>
      <c r="H205" s="2446"/>
    </row>
    <row r="206" spans="1:8" ht="15.75" x14ac:dyDescent="0.2">
      <c r="A206" s="2448" t="s">
        <v>772</v>
      </c>
      <c r="B206" s="2446"/>
      <c r="C206" s="2446"/>
      <c r="D206" s="2446"/>
      <c r="E206" s="2446"/>
      <c r="F206" s="2446"/>
      <c r="G206" s="2446"/>
      <c r="H206" s="2446"/>
    </row>
    <row r="207" spans="1:8" x14ac:dyDescent="0.2">
      <c r="A207" s="2446"/>
      <c r="B207" s="2446"/>
      <c r="C207" s="2446"/>
      <c r="D207" s="2446"/>
      <c r="E207" s="2446"/>
      <c r="F207" s="2446"/>
      <c r="G207" s="2446"/>
      <c r="H207" s="2446"/>
    </row>
    <row r="208" spans="1:8" x14ac:dyDescent="0.2">
      <c r="A208" s="2447" t="s">
        <v>933</v>
      </c>
      <c r="B208" s="2446"/>
      <c r="C208" s="2446"/>
      <c r="D208" s="2446"/>
      <c r="E208" s="2446"/>
      <c r="F208" s="2446"/>
      <c r="G208" s="2446"/>
      <c r="H208" s="2446"/>
    </row>
    <row r="209" spans="1:8" x14ac:dyDescent="0.2">
      <c r="A209" s="2447" t="s">
        <v>934</v>
      </c>
      <c r="B209" s="2446"/>
      <c r="C209" s="2446"/>
      <c r="D209" s="2446"/>
      <c r="E209" s="2446"/>
      <c r="F209" s="2446"/>
      <c r="G209" s="2446"/>
      <c r="H209" s="2446"/>
    </row>
    <row r="210" spans="1:8" x14ac:dyDescent="0.2">
      <c r="A210" s="2447" t="s">
        <v>935</v>
      </c>
      <c r="B210" s="2446"/>
      <c r="C210" s="2446"/>
      <c r="D210" s="2446"/>
      <c r="E210" s="2446"/>
      <c r="F210" s="2446"/>
      <c r="G210" s="2446"/>
      <c r="H210" s="2446"/>
    </row>
    <row r="211" spans="1:8" x14ac:dyDescent="0.2">
      <c r="A211" s="2447" t="s">
        <v>936</v>
      </c>
      <c r="B211" s="2446"/>
      <c r="C211" s="2446"/>
      <c r="D211" s="2446"/>
      <c r="E211" s="2446"/>
      <c r="F211" s="2446"/>
      <c r="G211" s="2446"/>
      <c r="H211" s="2446"/>
    </row>
    <row r="212" spans="1:8" x14ac:dyDescent="0.2">
      <c r="A212" s="2447" t="s">
        <v>937</v>
      </c>
      <c r="B212" s="2446"/>
      <c r="C212" s="2446"/>
      <c r="D212" s="2446"/>
      <c r="E212" s="2446"/>
      <c r="F212" s="2446"/>
      <c r="G212" s="2446"/>
      <c r="H212" s="2446"/>
    </row>
    <row r="213" spans="1:8" x14ac:dyDescent="0.2">
      <c r="A213" s="2446"/>
      <c r="B213" s="2446"/>
      <c r="C213" s="2446"/>
      <c r="D213" s="2446"/>
      <c r="E213" s="2446"/>
      <c r="F213" s="2446"/>
      <c r="G213" s="2446"/>
      <c r="H213" s="2446"/>
    </row>
    <row r="214" spans="1:8" x14ac:dyDescent="0.2">
      <c r="A214" s="2447" t="s">
        <v>930</v>
      </c>
      <c r="B214" s="2446"/>
      <c r="C214" s="2446"/>
      <c r="D214" s="2446"/>
      <c r="E214" s="2446"/>
      <c r="F214" s="2446"/>
      <c r="G214" s="2446"/>
      <c r="H214" s="2446"/>
    </row>
    <row r="215" spans="1:8" x14ac:dyDescent="0.2">
      <c r="A215" s="2447" t="s">
        <v>931</v>
      </c>
      <c r="B215" s="2446"/>
      <c r="C215" s="2446"/>
      <c r="D215" s="2446"/>
      <c r="E215" s="2446"/>
      <c r="F215" s="2446"/>
      <c r="G215" s="2446"/>
      <c r="H215" s="2446"/>
    </row>
    <row r="216" spans="1:8" x14ac:dyDescent="0.2">
      <c r="A216" s="2447" t="s">
        <v>932</v>
      </c>
      <c r="B216" s="2446"/>
      <c r="C216" s="2446"/>
      <c r="D216" s="2446"/>
      <c r="E216" s="2446"/>
      <c r="F216" s="2446"/>
      <c r="G216" s="2446"/>
      <c r="H216" s="2446"/>
    </row>
    <row r="217" spans="1:8" ht="15.75" x14ac:dyDescent="0.2">
      <c r="A217" s="2448" t="s">
        <v>773</v>
      </c>
      <c r="B217" s="2446"/>
      <c r="C217" s="2446"/>
      <c r="D217" s="2446"/>
      <c r="E217" s="2446"/>
      <c r="F217" s="2446"/>
      <c r="G217" s="2446"/>
      <c r="H217" s="2446"/>
    </row>
    <row r="218" spans="1:8" x14ac:dyDescent="0.2">
      <c r="A218" s="2446"/>
      <c r="B218" s="2446"/>
      <c r="C218" s="2446"/>
      <c r="D218" s="2446"/>
      <c r="E218" s="2446"/>
      <c r="F218" s="2446"/>
      <c r="G218" s="2446"/>
      <c r="H218" s="2446"/>
    </row>
    <row r="219" spans="1:8" x14ac:dyDescent="0.2">
      <c r="A219" s="2447" t="s">
        <v>928</v>
      </c>
      <c r="B219" s="2446"/>
      <c r="C219" s="2446"/>
      <c r="D219" s="2446"/>
      <c r="E219" s="2446"/>
      <c r="F219" s="2446"/>
      <c r="G219" s="2446"/>
      <c r="H219" s="2446"/>
    </row>
    <row r="220" spans="1:8" x14ac:dyDescent="0.2">
      <c r="A220" s="2447" t="s">
        <v>929</v>
      </c>
      <c r="B220" s="2446"/>
      <c r="C220" s="2446"/>
      <c r="D220" s="2446"/>
      <c r="E220" s="2446"/>
      <c r="F220" s="2446"/>
      <c r="G220" s="2446"/>
      <c r="H220" s="2446"/>
    </row>
    <row r="221" spans="1:8" x14ac:dyDescent="0.2">
      <c r="A221" s="2446"/>
      <c r="B221" s="2446"/>
      <c r="C221" s="2446"/>
      <c r="D221" s="2446"/>
      <c r="E221" s="2446"/>
      <c r="F221" s="2446"/>
      <c r="G221" s="2446"/>
      <c r="H221" s="2446"/>
    </row>
    <row r="222" spans="1:8" x14ac:dyDescent="0.2">
      <c r="A222" s="2447" t="s">
        <v>921</v>
      </c>
      <c r="B222" s="2446"/>
      <c r="C222" s="2446"/>
      <c r="D222" s="2446"/>
      <c r="E222" s="2446"/>
      <c r="F222" s="2446"/>
      <c r="G222" s="2446"/>
      <c r="H222" s="2446"/>
    </row>
    <row r="223" spans="1:8" x14ac:dyDescent="0.2">
      <c r="A223" s="2447" t="s">
        <v>922</v>
      </c>
      <c r="B223" s="2446"/>
      <c r="C223" s="2446"/>
      <c r="D223" s="2446"/>
      <c r="E223" s="2446"/>
      <c r="F223" s="2446"/>
      <c r="G223" s="2446"/>
      <c r="H223" s="2446"/>
    </row>
    <row r="224" spans="1:8" x14ac:dyDescent="0.2">
      <c r="A224" s="2447" t="s">
        <v>923</v>
      </c>
      <c r="B224" s="2446"/>
      <c r="C224" s="2446"/>
      <c r="D224" s="2446"/>
      <c r="E224" s="2446"/>
      <c r="F224" s="2446"/>
      <c r="G224" s="2446"/>
      <c r="H224" s="2446"/>
    </row>
    <row r="225" spans="1:8" x14ac:dyDescent="0.2">
      <c r="A225" s="2447" t="s">
        <v>924</v>
      </c>
      <c r="B225" s="2446"/>
      <c r="C225" s="2446"/>
      <c r="D225" s="2446"/>
      <c r="E225" s="2446"/>
      <c r="F225" s="2446"/>
      <c r="G225" s="2446"/>
      <c r="H225" s="2446"/>
    </row>
    <row r="226" spans="1:8" x14ac:dyDescent="0.2">
      <c r="A226" s="2447" t="s">
        <v>925</v>
      </c>
      <c r="B226" s="2446"/>
      <c r="C226" s="2446"/>
      <c r="D226" s="2446"/>
      <c r="E226" s="2446"/>
      <c r="F226" s="2446"/>
      <c r="G226" s="2446"/>
      <c r="H226" s="2446"/>
    </row>
    <row r="227" spans="1:8" x14ac:dyDescent="0.2">
      <c r="A227" s="2447" t="s">
        <v>926</v>
      </c>
      <c r="B227" s="2446"/>
      <c r="C227" s="2446"/>
      <c r="D227" s="2446"/>
      <c r="E227" s="2446"/>
      <c r="F227" s="2446"/>
      <c r="G227" s="2446"/>
      <c r="H227" s="2446"/>
    </row>
    <row r="228" spans="1:8" x14ac:dyDescent="0.2">
      <c r="A228" s="2447" t="s">
        <v>927</v>
      </c>
      <c r="B228" s="2446"/>
      <c r="C228" s="2446"/>
      <c r="D228" s="2446"/>
      <c r="E228" s="2446"/>
      <c r="F228" s="2446"/>
      <c r="G228" s="2446"/>
      <c r="H228" s="2446"/>
    </row>
    <row r="229" spans="1:8" x14ac:dyDescent="0.2">
      <c r="A229" s="2446"/>
      <c r="B229" s="2446"/>
      <c r="C229" s="2446"/>
      <c r="D229" s="2446"/>
      <c r="E229" s="2446"/>
      <c r="F229" s="2446"/>
      <c r="G229" s="2446"/>
      <c r="H229" s="2446"/>
    </row>
    <row r="230" spans="1:8" x14ac:dyDescent="0.2">
      <c r="A230" s="2447" t="s">
        <v>918</v>
      </c>
      <c r="B230" s="2446"/>
      <c r="C230" s="2446"/>
      <c r="D230" s="2446"/>
      <c r="E230" s="2446"/>
      <c r="F230" s="2446"/>
      <c r="G230" s="2446"/>
      <c r="H230" s="2446"/>
    </row>
    <row r="231" spans="1:8" x14ac:dyDescent="0.2">
      <c r="A231" s="2447" t="s">
        <v>919</v>
      </c>
      <c r="B231" s="2446"/>
      <c r="C231" s="2446"/>
      <c r="D231" s="2446"/>
      <c r="E231" s="2446"/>
      <c r="F231" s="2446"/>
      <c r="G231" s="2446"/>
      <c r="H231" s="2446"/>
    </row>
    <row r="232" spans="1:8" x14ac:dyDescent="0.2">
      <c r="A232" s="2447" t="s">
        <v>920</v>
      </c>
      <c r="B232" s="2446"/>
      <c r="C232" s="2446"/>
      <c r="D232" s="2446"/>
      <c r="E232" s="2446"/>
      <c r="F232" s="2446"/>
      <c r="G232" s="2446"/>
      <c r="H232" s="2446"/>
    </row>
    <row r="233" spans="1:8" x14ac:dyDescent="0.2">
      <c r="A233" s="2446"/>
      <c r="B233" s="2446"/>
      <c r="C233" s="2446"/>
      <c r="D233" s="2446"/>
      <c r="E233" s="2446"/>
      <c r="F233" s="2446"/>
      <c r="G233" s="2446"/>
      <c r="H233" s="2446"/>
    </row>
    <row r="234" spans="1:8" x14ac:dyDescent="0.2">
      <c r="A234" s="2447" t="s">
        <v>913</v>
      </c>
      <c r="B234" s="2446"/>
      <c r="C234" s="2446"/>
      <c r="D234" s="2446"/>
      <c r="E234" s="2446"/>
      <c r="F234" s="2446"/>
      <c r="G234" s="2446"/>
      <c r="H234" s="2446"/>
    </row>
    <row r="235" spans="1:8" x14ac:dyDescent="0.2">
      <c r="A235" s="2447" t="s">
        <v>914</v>
      </c>
      <c r="B235" s="2446"/>
      <c r="C235" s="2446"/>
      <c r="D235" s="2446"/>
      <c r="E235" s="2446"/>
      <c r="F235" s="2446"/>
      <c r="G235" s="2446"/>
      <c r="H235" s="2446"/>
    </row>
    <row r="236" spans="1:8" x14ac:dyDescent="0.2">
      <c r="A236" s="2447" t="s">
        <v>915</v>
      </c>
      <c r="B236" s="2446"/>
      <c r="C236" s="2446"/>
      <c r="D236" s="2446"/>
      <c r="E236" s="2446"/>
      <c r="F236" s="2446"/>
      <c r="G236" s="2446"/>
      <c r="H236" s="2446"/>
    </row>
    <row r="237" spans="1:8" x14ac:dyDescent="0.2">
      <c r="A237" s="2447" t="s">
        <v>916</v>
      </c>
      <c r="B237" s="2446"/>
      <c r="C237" s="2446"/>
      <c r="D237" s="2446"/>
      <c r="E237" s="2446"/>
      <c r="F237" s="2446"/>
      <c r="G237" s="2446"/>
      <c r="H237" s="2446"/>
    </row>
    <row r="238" spans="1:8" x14ac:dyDescent="0.2">
      <c r="A238" s="2447" t="s">
        <v>917</v>
      </c>
      <c r="B238" s="2446"/>
      <c r="C238" s="2446"/>
      <c r="D238" s="2446"/>
      <c r="E238" s="2446"/>
      <c r="F238" s="2446"/>
      <c r="G238" s="2446"/>
      <c r="H238" s="2446"/>
    </row>
    <row r="239" spans="1:8" x14ac:dyDescent="0.2">
      <c r="A239" s="2446"/>
      <c r="B239" s="2446"/>
      <c r="C239" s="2446"/>
      <c r="D239" s="2446"/>
      <c r="E239" s="2446"/>
      <c r="F239" s="2446"/>
      <c r="G239" s="2446"/>
      <c r="H239" s="2446"/>
    </row>
    <row r="240" spans="1:8" x14ac:dyDescent="0.2">
      <c r="A240" s="2447" t="s">
        <v>907</v>
      </c>
      <c r="B240" s="2446"/>
      <c r="C240" s="2446"/>
      <c r="D240" s="2446"/>
      <c r="E240" s="2446"/>
      <c r="F240" s="2446"/>
      <c r="G240" s="2446"/>
      <c r="H240" s="2446"/>
    </row>
    <row r="241" spans="1:8" x14ac:dyDescent="0.2">
      <c r="A241" s="2447" t="s">
        <v>908</v>
      </c>
      <c r="B241" s="2446"/>
      <c r="C241" s="2446"/>
      <c r="D241" s="2446"/>
      <c r="E241" s="2446"/>
      <c r="F241" s="2446"/>
      <c r="G241" s="2446"/>
      <c r="H241" s="2446"/>
    </row>
    <row r="242" spans="1:8" x14ac:dyDescent="0.2">
      <c r="A242" s="2447" t="s">
        <v>909</v>
      </c>
      <c r="B242" s="2446"/>
      <c r="C242" s="2446"/>
      <c r="D242" s="2446"/>
      <c r="E242" s="2446"/>
      <c r="F242" s="2446"/>
      <c r="G242" s="2446"/>
      <c r="H242" s="2446"/>
    </row>
    <row r="243" spans="1:8" x14ac:dyDescent="0.2">
      <c r="A243" s="2447" t="s">
        <v>910</v>
      </c>
      <c r="B243" s="2446"/>
      <c r="C243" s="2446"/>
      <c r="D243" s="2446"/>
      <c r="E243" s="2446"/>
      <c r="F243" s="2446"/>
      <c r="G243" s="2446"/>
      <c r="H243" s="2446"/>
    </row>
    <row r="244" spans="1:8" x14ac:dyDescent="0.2">
      <c r="A244" s="2447" t="s">
        <v>911</v>
      </c>
      <c r="B244" s="2446"/>
      <c r="C244" s="2446"/>
      <c r="D244" s="2446"/>
      <c r="E244" s="2446"/>
      <c r="F244" s="2446"/>
      <c r="G244" s="2446"/>
      <c r="H244" s="2446"/>
    </row>
    <row r="245" spans="1:8" x14ac:dyDescent="0.2">
      <c r="A245" s="2447" t="s">
        <v>912</v>
      </c>
      <c r="B245" s="2446"/>
      <c r="C245" s="2446"/>
      <c r="D245" s="2446"/>
      <c r="E245" s="2446"/>
      <c r="F245" s="2446"/>
      <c r="G245" s="2446"/>
      <c r="H245" s="2446"/>
    </row>
    <row r="246" spans="1:8" x14ac:dyDescent="0.2">
      <c r="A246" s="2446"/>
      <c r="B246" s="2446"/>
      <c r="C246" s="2446"/>
      <c r="D246" s="2446"/>
      <c r="E246" s="2446"/>
      <c r="F246" s="2446"/>
      <c r="G246" s="2446"/>
      <c r="H246" s="2446"/>
    </row>
    <row r="247" spans="1:8" x14ac:dyDescent="0.2">
      <c r="A247" s="2447" t="s">
        <v>897</v>
      </c>
      <c r="B247" s="2446"/>
      <c r="C247" s="2446"/>
      <c r="D247" s="2446"/>
      <c r="E247" s="2446"/>
      <c r="F247" s="2446"/>
      <c r="G247" s="2446"/>
      <c r="H247" s="2446"/>
    </row>
    <row r="248" spans="1:8" x14ac:dyDescent="0.2">
      <c r="A248" s="2447" t="s">
        <v>898</v>
      </c>
      <c r="B248" s="2446"/>
      <c r="C248" s="2446"/>
      <c r="D248" s="2446"/>
      <c r="E248" s="2446"/>
      <c r="F248" s="2446"/>
      <c r="G248" s="2446"/>
      <c r="H248" s="2446"/>
    </row>
    <row r="249" spans="1:8" x14ac:dyDescent="0.2">
      <c r="A249" s="2447" t="s">
        <v>899</v>
      </c>
      <c r="B249" s="2446"/>
      <c r="C249" s="2446"/>
      <c r="D249" s="2446"/>
      <c r="E249" s="2446"/>
      <c r="F249" s="2446"/>
      <c r="G249" s="2446"/>
      <c r="H249" s="2446"/>
    </row>
    <row r="250" spans="1:8" x14ac:dyDescent="0.2">
      <c r="A250" s="2447" t="s">
        <v>900</v>
      </c>
      <c r="B250" s="2446"/>
      <c r="C250" s="2446"/>
      <c r="D250" s="2446"/>
      <c r="E250" s="2446"/>
      <c r="F250" s="2446"/>
      <c r="G250" s="2446"/>
      <c r="H250" s="2446"/>
    </row>
    <row r="251" spans="1:8" x14ac:dyDescent="0.2">
      <c r="A251" s="2447" t="s">
        <v>901</v>
      </c>
      <c r="B251" s="2446"/>
      <c r="C251" s="2446"/>
      <c r="D251" s="2446"/>
      <c r="E251" s="2446"/>
      <c r="F251" s="2446"/>
      <c r="G251" s="2446"/>
      <c r="H251" s="2446"/>
    </row>
    <row r="252" spans="1:8" x14ac:dyDescent="0.2">
      <c r="A252" s="2447" t="s">
        <v>902</v>
      </c>
      <c r="B252" s="2446"/>
      <c r="C252" s="2446"/>
      <c r="D252" s="2446"/>
      <c r="E252" s="2446"/>
      <c r="F252" s="2446"/>
      <c r="G252" s="2446"/>
      <c r="H252" s="2446"/>
    </row>
    <row r="253" spans="1:8" x14ac:dyDescent="0.2">
      <c r="A253" s="2447" t="s">
        <v>903</v>
      </c>
      <c r="B253" s="2446"/>
      <c r="C253" s="2446"/>
      <c r="D253" s="2446"/>
      <c r="E253" s="2446"/>
      <c r="F253" s="2446"/>
      <c r="G253" s="2446"/>
      <c r="H253" s="2446"/>
    </row>
    <row r="254" spans="1:8" x14ac:dyDescent="0.2">
      <c r="A254" s="2447" t="s">
        <v>904</v>
      </c>
      <c r="B254" s="2446"/>
      <c r="C254" s="2446"/>
      <c r="D254" s="2446"/>
      <c r="E254" s="2446"/>
      <c r="F254" s="2446"/>
      <c r="G254" s="2446"/>
      <c r="H254" s="2446"/>
    </row>
    <row r="255" spans="1:8" x14ac:dyDescent="0.2">
      <c r="A255" s="2447" t="s">
        <v>905</v>
      </c>
      <c r="B255" s="2446"/>
      <c r="C255" s="2446"/>
      <c r="D255" s="2446"/>
      <c r="E255" s="2446"/>
      <c r="F255" s="2446"/>
      <c r="G255" s="2446"/>
      <c r="H255" s="2446"/>
    </row>
    <row r="256" spans="1:8" x14ac:dyDescent="0.2">
      <c r="A256" s="2447" t="s">
        <v>906</v>
      </c>
      <c r="B256" s="2446"/>
      <c r="C256" s="2446"/>
      <c r="D256" s="2446"/>
      <c r="E256" s="2446"/>
      <c r="F256" s="2446"/>
      <c r="G256" s="2446"/>
      <c r="H256" s="2446"/>
    </row>
    <row r="257" spans="1:8" x14ac:dyDescent="0.2">
      <c r="A257" s="2446"/>
      <c r="B257" s="2446"/>
      <c r="C257" s="2446"/>
      <c r="D257" s="2446"/>
      <c r="E257" s="2446"/>
      <c r="F257" s="2446"/>
      <c r="G257" s="2446"/>
      <c r="H257" s="2446"/>
    </row>
    <row r="258" spans="1:8" x14ac:dyDescent="0.2">
      <c r="A258" s="2447" t="s">
        <v>895</v>
      </c>
      <c r="B258" s="2446"/>
      <c r="C258" s="2446"/>
      <c r="D258" s="2446"/>
      <c r="E258" s="2446"/>
      <c r="F258" s="2446"/>
      <c r="G258" s="2446"/>
      <c r="H258" s="2446"/>
    </row>
    <row r="259" spans="1:8" x14ac:dyDescent="0.2">
      <c r="A259" s="2447" t="s">
        <v>896</v>
      </c>
      <c r="B259" s="2446"/>
      <c r="C259" s="2446"/>
      <c r="D259" s="2446"/>
      <c r="E259" s="2446"/>
      <c r="F259" s="2446"/>
      <c r="G259" s="2446"/>
      <c r="H259" s="2446"/>
    </row>
    <row r="260" spans="1:8" x14ac:dyDescent="0.2">
      <c r="A260" s="2446"/>
      <c r="B260" s="2446"/>
      <c r="C260" s="2446"/>
      <c r="D260" s="2446"/>
      <c r="E260" s="2446"/>
      <c r="F260" s="2446"/>
      <c r="G260" s="2446"/>
      <c r="H260" s="2446"/>
    </row>
    <row r="261" spans="1:8" x14ac:dyDescent="0.2">
      <c r="A261" s="2447" t="s">
        <v>879</v>
      </c>
      <c r="B261" s="2446"/>
      <c r="C261" s="2446"/>
      <c r="D261" s="2446"/>
      <c r="E261" s="2446"/>
      <c r="F261" s="2446"/>
      <c r="G261" s="2446"/>
      <c r="H261" s="2446"/>
    </row>
    <row r="262" spans="1:8" x14ac:dyDescent="0.2">
      <c r="A262" s="2447" t="s">
        <v>880</v>
      </c>
      <c r="B262" s="2446"/>
      <c r="C262" s="2446"/>
      <c r="D262" s="2446"/>
      <c r="E262" s="2446"/>
      <c r="F262" s="2446"/>
      <c r="G262" s="2446"/>
      <c r="H262" s="2446"/>
    </row>
    <row r="263" spans="1:8" x14ac:dyDescent="0.2">
      <c r="A263" s="2447" t="s">
        <v>881</v>
      </c>
      <c r="B263" s="2446"/>
      <c r="C263" s="2446"/>
      <c r="D263" s="2446"/>
      <c r="E263" s="2446"/>
      <c r="F263" s="2446"/>
      <c r="G263" s="2446"/>
      <c r="H263" s="2446"/>
    </row>
    <row r="264" spans="1:8" x14ac:dyDescent="0.2">
      <c r="A264" s="2447" t="s">
        <v>882</v>
      </c>
      <c r="B264" s="2446"/>
      <c r="C264" s="2446"/>
      <c r="D264" s="2446"/>
      <c r="E264" s="2446"/>
      <c r="F264" s="2446"/>
      <c r="G264" s="2446"/>
      <c r="H264" s="2446"/>
    </row>
    <row r="265" spans="1:8" x14ac:dyDescent="0.2">
      <c r="A265" s="2447" t="s">
        <v>883</v>
      </c>
      <c r="B265" s="2446"/>
      <c r="C265" s="2446"/>
      <c r="D265" s="2446"/>
      <c r="E265" s="2446"/>
      <c r="F265" s="2446"/>
      <c r="G265" s="2446"/>
      <c r="H265" s="2446"/>
    </row>
    <row r="266" spans="1:8" x14ac:dyDescent="0.2">
      <c r="A266" s="2447" t="s">
        <v>884</v>
      </c>
      <c r="B266" s="2446"/>
      <c r="C266" s="2446"/>
      <c r="D266" s="2446"/>
      <c r="E266" s="2446"/>
      <c r="F266" s="2446"/>
      <c r="G266" s="2446"/>
      <c r="H266" s="2446"/>
    </row>
    <row r="267" spans="1:8" x14ac:dyDescent="0.2">
      <c r="A267" s="2447" t="s">
        <v>885</v>
      </c>
      <c r="B267" s="2446"/>
      <c r="C267" s="2446"/>
      <c r="D267" s="2446"/>
      <c r="E267" s="2446"/>
      <c r="F267" s="2446"/>
      <c r="G267" s="2446"/>
      <c r="H267" s="2446"/>
    </row>
    <row r="268" spans="1:8" x14ac:dyDescent="0.2">
      <c r="A268" s="2447" t="s">
        <v>886</v>
      </c>
      <c r="B268" s="2446"/>
      <c r="C268" s="2446"/>
      <c r="D268" s="2446"/>
      <c r="E268" s="2446"/>
      <c r="F268" s="2446"/>
      <c r="G268" s="2446"/>
      <c r="H268" s="2446"/>
    </row>
    <row r="269" spans="1:8" x14ac:dyDescent="0.2">
      <c r="A269" s="2447" t="s">
        <v>887</v>
      </c>
      <c r="B269" s="2446"/>
      <c r="C269" s="2446"/>
      <c r="D269" s="2446"/>
      <c r="E269" s="2446"/>
      <c r="F269" s="2446"/>
      <c r="G269" s="2446"/>
      <c r="H269" s="2446"/>
    </row>
    <row r="270" spans="1:8" x14ac:dyDescent="0.2">
      <c r="A270" s="2447" t="s">
        <v>888</v>
      </c>
      <c r="B270" s="2446"/>
      <c r="C270" s="2446"/>
      <c r="D270" s="2446"/>
      <c r="E270" s="2446"/>
      <c r="F270" s="2446"/>
      <c r="G270" s="2446"/>
      <c r="H270" s="2446"/>
    </row>
    <row r="271" spans="1:8" x14ac:dyDescent="0.2">
      <c r="A271" s="2447" t="s">
        <v>889</v>
      </c>
      <c r="B271" s="2446"/>
      <c r="C271" s="2446"/>
      <c r="D271" s="2446"/>
      <c r="E271" s="2446"/>
      <c r="F271" s="2446"/>
      <c r="G271" s="2446"/>
      <c r="H271" s="2446"/>
    </row>
    <row r="272" spans="1:8" x14ac:dyDescent="0.2">
      <c r="A272" s="2447" t="s">
        <v>890</v>
      </c>
      <c r="B272" s="2446"/>
      <c r="C272" s="2446"/>
      <c r="D272" s="2446"/>
      <c r="E272" s="2446"/>
      <c r="F272" s="2446"/>
      <c r="G272" s="2446"/>
      <c r="H272" s="2446"/>
    </row>
    <row r="273" spans="1:8" x14ac:dyDescent="0.2">
      <c r="A273" s="2447" t="s">
        <v>891</v>
      </c>
      <c r="B273" s="2446"/>
      <c r="C273" s="2446"/>
      <c r="D273" s="2446"/>
      <c r="E273" s="2446"/>
      <c r="F273" s="2446"/>
      <c r="G273" s="2446"/>
      <c r="H273" s="2446"/>
    </row>
    <row r="274" spans="1:8" x14ac:dyDescent="0.2">
      <c r="A274" s="2447" t="s">
        <v>892</v>
      </c>
      <c r="B274" s="2446"/>
      <c r="C274" s="2446"/>
      <c r="D274" s="2446"/>
      <c r="E274" s="2446"/>
      <c r="F274" s="2446"/>
      <c r="G274" s="2446"/>
      <c r="H274" s="2446"/>
    </row>
    <row r="275" spans="1:8" x14ac:dyDescent="0.2">
      <c r="A275" s="2447" t="s">
        <v>893</v>
      </c>
      <c r="B275" s="2446"/>
      <c r="C275" s="2446"/>
      <c r="D275" s="2446"/>
      <c r="E275" s="2446"/>
      <c r="F275" s="2446"/>
      <c r="G275" s="2446"/>
      <c r="H275" s="2446"/>
    </row>
    <row r="276" spans="1:8" x14ac:dyDescent="0.2">
      <c r="A276" s="2447" t="s">
        <v>894</v>
      </c>
      <c r="B276" s="2446"/>
      <c r="C276" s="2446"/>
      <c r="D276" s="2446"/>
      <c r="E276" s="2446"/>
      <c r="F276" s="2446"/>
      <c r="G276" s="2446"/>
      <c r="H276" s="2446"/>
    </row>
    <row r="277" spans="1:8" x14ac:dyDescent="0.2">
      <c r="A277" s="2446"/>
      <c r="B277" s="2446"/>
      <c r="C277" s="2446"/>
      <c r="D277" s="2446"/>
      <c r="E277" s="2446"/>
      <c r="F277" s="2446"/>
      <c r="G277" s="2446"/>
      <c r="H277" s="2446"/>
    </row>
    <row r="278" spans="1:8" x14ac:dyDescent="0.2">
      <c r="A278" s="2447" t="s">
        <v>872</v>
      </c>
      <c r="B278" s="2446"/>
      <c r="C278" s="2446"/>
      <c r="D278" s="2446"/>
      <c r="E278" s="2446"/>
      <c r="F278" s="2446"/>
      <c r="G278" s="2446"/>
      <c r="H278" s="2446"/>
    </row>
    <row r="279" spans="1:8" x14ac:dyDescent="0.2">
      <c r="A279" s="2447" t="s">
        <v>873</v>
      </c>
      <c r="B279" s="2446"/>
      <c r="C279" s="2446"/>
      <c r="D279" s="2446"/>
      <c r="E279" s="2446"/>
      <c r="F279" s="2446"/>
      <c r="G279" s="2446"/>
      <c r="H279" s="2446"/>
    </row>
    <row r="280" spans="1:8" x14ac:dyDescent="0.2">
      <c r="A280" s="2447" t="s">
        <v>874</v>
      </c>
      <c r="B280" s="2446"/>
      <c r="C280" s="2446"/>
      <c r="D280" s="2446"/>
      <c r="E280" s="2446"/>
      <c r="F280" s="2446"/>
      <c r="G280" s="2446"/>
      <c r="H280" s="2446"/>
    </row>
    <row r="281" spans="1:8" x14ac:dyDescent="0.2">
      <c r="A281" s="2447" t="s">
        <v>875</v>
      </c>
      <c r="B281" s="2446"/>
      <c r="C281" s="2446"/>
      <c r="D281" s="2446"/>
      <c r="E281" s="2446"/>
      <c r="F281" s="2446"/>
      <c r="G281" s="2446"/>
      <c r="H281" s="2446"/>
    </row>
    <row r="282" spans="1:8" x14ac:dyDescent="0.2">
      <c r="A282" s="2447" t="s">
        <v>876</v>
      </c>
      <c r="B282" s="2446"/>
      <c r="C282" s="2446"/>
      <c r="D282" s="2446"/>
      <c r="E282" s="2446"/>
      <c r="F282" s="2446"/>
      <c r="G282" s="2446"/>
      <c r="H282" s="2446"/>
    </row>
    <row r="283" spans="1:8" x14ac:dyDescent="0.2">
      <c r="A283" s="2447" t="s">
        <v>877</v>
      </c>
      <c r="B283" s="2446"/>
      <c r="C283" s="2446"/>
      <c r="D283" s="2446"/>
      <c r="E283" s="2446"/>
      <c r="F283" s="2446"/>
      <c r="G283" s="2446"/>
      <c r="H283" s="2446"/>
    </row>
    <row r="284" spans="1:8" x14ac:dyDescent="0.2">
      <c r="A284" s="2447" t="s">
        <v>878</v>
      </c>
      <c r="B284" s="2446"/>
      <c r="C284" s="2446"/>
      <c r="D284" s="2446"/>
      <c r="E284" s="2446"/>
      <c r="F284" s="2446"/>
      <c r="G284" s="2446"/>
      <c r="H284" s="2446"/>
    </row>
    <row r="285" spans="1:8" x14ac:dyDescent="0.2">
      <c r="A285" s="2446"/>
      <c r="B285" s="2446"/>
      <c r="C285" s="2446"/>
      <c r="D285" s="2446"/>
      <c r="E285" s="2446"/>
      <c r="F285" s="2446"/>
      <c r="G285" s="2446"/>
      <c r="H285" s="2446"/>
    </row>
    <row r="286" spans="1:8" x14ac:dyDescent="0.2">
      <c r="A286" s="2447" t="s">
        <v>863</v>
      </c>
      <c r="B286" s="2446"/>
      <c r="C286" s="2446"/>
      <c r="D286" s="2446"/>
      <c r="E286" s="2446"/>
      <c r="F286" s="2446"/>
      <c r="G286" s="2446"/>
      <c r="H286" s="2446"/>
    </row>
    <row r="287" spans="1:8" x14ac:dyDescent="0.2">
      <c r="A287" s="2447" t="s">
        <v>864</v>
      </c>
      <c r="B287" s="2446"/>
      <c r="C287" s="2446"/>
      <c r="D287" s="2446"/>
      <c r="E287" s="2446"/>
      <c r="F287" s="2446"/>
      <c r="G287" s="2446"/>
      <c r="H287" s="2446"/>
    </row>
    <row r="288" spans="1:8" x14ac:dyDescent="0.2">
      <c r="A288" s="2447" t="s">
        <v>865</v>
      </c>
      <c r="B288" s="2446"/>
      <c r="C288" s="2446"/>
      <c r="D288" s="2446"/>
      <c r="E288" s="2446"/>
      <c r="F288" s="2446"/>
      <c r="G288" s="2446"/>
      <c r="H288" s="2446"/>
    </row>
    <row r="289" spans="1:8" x14ac:dyDescent="0.2">
      <c r="A289" s="2447" t="s">
        <v>866</v>
      </c>
      <c r="B289" s="2446"/>
      <c r="C289" s="2446"/>
      <c r="D289" s="2446"/>
      <c r="E289" s="2446"/>
      <c r="F289" s="2446"/>
      <c r="G289" s="2446"/>
      <c r="H289" s="2446"/>
    </row>
    <row r="290" spans="1:8" x14ac:dyDescent="0.2">
      <c r="A290" s="2447" t="s">
        <v>867</v>
      </c>
      <c r="B290" s="2446"/>
      <c r="C290" s="2446"/>
      <c r="D290" s="2446"/>
      <c r="E290" s="2446"/>
      <c r="F290" s="2446"/>
      <c r="G290" s="2446"/>
      <c r="H290" s="2446"/>
    </row>
    <row r="291" spans="1:8" x14ac:dyDescent="0.2">
      <c r="A291" s="2447" t="s">
        <v>868</v>
      </c>
      <c r="B291" s="2446"/>
      <c r="C291" s="2446"/>
      <c r="D291" s="2446"/>
      <c r="E291" s="2446"/>
      <c r="F291" s="2446"/>
      <c r="G291" s="2446"/>
      <c r="H291" s="2446"/>
    </row>
    <row r="292" spans="1:8" x14ac:dyDescent="0.2">
      <c r="A292" s="2447" t="s">
        <v>869</v>
      </c>
      <c r="B292" s="2446"/>
      <c r="C292" s="2446"/>
      <c r="D292" s="2446"/>
      <c r="E292" s="2446"/>
      <c r="F292" s="2446"/>
      <c r="G292" s="2446"/>
      <c r="H292" s="2446"/>
    </row>
    <row r="293" spans="1:8" x14ac:dyDescent="0.2">
      <c r="A293" s="2447" t="s">
        <v>870</v>
      </c>
      <c r="B293" s="2446"/>
      <c r="C293" s="2446"/>
      <c r="D293" s="2446"/>
      <c r="E293" s="2446"/>
      <c r="F293" s="2446"/>
      <c r="G293" s="2446"/>
      <c r="H293" s="2446"/>
    </row>
    <row r="294" spans="1:8" x14ac:dyDescent="0.2">
      <c r="A294" s="2447" t="s">
        <v>871</v>
      </c>
      <c r="B294" s="2446"/>
      <c r="C294" s="2446"/>
      <c r="D294" s="2446"/>
      <c r="E294" s="2446"/>
      <c r="F294" s="2446"/>
      <c r="G294" s="2446"/>
      <c r="H294" s="2446"/>
    </row>
    <row r="295" spans="1:8" x14ac:dyDescent="0.2">
      <c r="A295" s="2446"/>
      <c r="B295" s="2446"/>
      <c r="C295" s="2446"/>
      <c r="D295" s="2446"/>
      <c r="E295" s="2446"/>
      <c r="F295" s="2446"/>
      <c r="G295" s="2446"/>
      <c r="H295" s="2446"/>
    </row>
    <row r="296" spans="1:8" x14ac:dyDescent="0.2">
      <c r="A296" s="2447" t="s">
        <v>856</v>
      </c>
      <c r="B296" s="2446"/>
      <c r="C296" s="2446"/>
      <c r="D296" s="2446"/>
      <c r="E296" s="2446"/>
      <c r="F296" s="2446"/>
      <c r="G296" s="2446"/>
      <c r="H296" s="2446"/>
    </row>
    <row r="297" spans="1:8" x14ac:dyDescent="0.2">
      <c r="A297" s="2447" t="s">
        <v>857</v>
      </c>
      <c r="B297" s="2446"/>
      <c r="C297" s="2446"/>
      <c r="D297" s="2446"/>
      <c r="E297" s="2446"/>
      <c r="F297" s="2446"/>
      <c r="G297" s="2446"/>
      <c r="H297" s="2446"/>
    </row>
    <row r="298" spans="1:8" x14ac:dyDescent="0.2">
      <c r="A298" s="2447" t="s">
        <v>858</v>
      </c>
      <c r="B298" s="2446"/>
      <c r="C298" s="2446"/>
      <c r="D298" s="2446"/>
      <c r="E298" s="2446"/>
      <c r="F298" s="2446"/>
      <c r="G298" s="2446"/>
      <c r="H298" s="2446"/>
    </row>
    <row r="299" spans="1:8" x14ac:dyDescent="0.2">
      <c r="A299" s="2447" t="s">
        <v>859</v>
      </c>
      <c r="B299" s="2446"/>
      <c r="C299" s="2446"/>
      <c r="D299" s="2446"/>
      <c r="E299" s="2446"/>
      <c r="F299" s="2446"/>
      <c r="G299" s="2446"/>
      <c r="H299" s="2446"/>
    </row>
    <row r="300" spans="1:8" x14ac:dyDescent="0.2">
      <c r="A300" s="2447" t="s">
        <v>860</v>
      </c>
      <c r="B300" s="2446"/>
      <c r="C300" s="2446"/>
      <c r="D300" s="2446"/>
      <c r="E300" s="2446"/>
      <c r="F300" s="2446"/>
      <c r="G300" s="2446"/>
      <c r="H300" s="2446"/>
    </row>
    <row r="301" spans="1:8" x14ac:dyDescent="0.2">
      <c r="A301" s="2447" t="s">
        <v>861</v>
      </c>
      <c r="B301" s="2446"/>
      <c r="C301" s="2446"/>
      <c r="D301" s="2446"/>
      <c r="E301" s="2446"/>
      <c r="F301" s="2446"/>
      <c r="G301" s="2446"/>
      <c r="H301" s="2446"/>
    </row>
    <row r="302" spans="1:8" x14ac:dyDescent="0.2">
      <c r="A302" s="2447" t="s">
        <v>862</v>
      </c>
      <c r="B302" s="2446"/>
      <c r="C302" s="2446"/>
      <c r="D302" s="2446"/>
      <c r="E302" s="2446"/>
      <c r="F302" s="2446"/>
      <c r="G302" s="2446"/>
      <c r="H302" s="2446"/>
    </row>
    <row r="303" spans="1:8" x14ac:dyDescent="0.2">
      <c r="A303" s="2446"/>
      <c r="B303" s="2446"/>
      <c r="C303" s="2446"/>
      <c r="D303" s="2446"/>
      <c r="E303" s="2446"/>
      <c r="F303" s="2446"/>
      <c r="G303" s="2446"/>
      <c r="H303" s="2446"/>
    </row>
    <row r="304" spans="1:8" x14ac:dyDescent="0.2">
      <c r="A304" s="2447" t="s">
        <v>853</v>
      </c>
      <c r="B304" s="2446"/>
      <c r="C304" s="2446"/>
      <c r="D304" s="2446"/>
      <c r="E304" s="2446"/>
      <c r="F304" s="2446"/>
      <c r="G304" s="2446"/>
      <c r="H304" s="2446"/>
    </row>
    <row r="305" spans="1:8" x14ac:dyDescent="0.2">
      <c r="A305" s="2447" t="s">
        <v>854</v>
      </c>
      <c r="B305" s="2446"/>
      <c r="C305" s="2446"/>
      <c r="D305" s="2446"/>
      <c r="E305" s="2446"/>
      <c r="F305" s="2446"/>
      <c r="G305" s="2446"/>
      <c r="H305" s="2446"/>
    </row>
    <row r="306" spans="1:8" x14ac:dyDescent="0.2">
      <c r="A306" s="2447" t="s">
        <v>855</v>
      </c>
      <c r="B306" s="2446"/>
      <c r="C306" s="2446"/>
      <c r="D306" s="2446"/>
      <c r="E306" s="2446"/>
      <c r="F306" s="2446"/>
      <c r="G306" s="2446"/>
      <c r="H306" s="2446"/>
    </row>
    <row r="307" spans="1:8" x14ac:dyDescent="0.2">
      <c r="A307" s="2446"/>
      <c r="B307" s="2446"/>
      <c r="C307" s="2446"/>
      <c r="D307" s="2446"/>
      <c r="E307" s="2446"/>
      <c r="F307" s="2446"/>
      <c r="G307" s="2446"/>
      <c r="H307" s="2446"/>
    </row>
    <row r="308" spans="1:8" x14ac:dyDescent="0.2">
      <c r="A308" s="2447" t="s">
        <v>851</v>
      </c>
      <c r="B308" s="2446"/>
      <c r="C308" s="2446"/>
      <c r="D308" s="2446"/>
      <c r="E308" s="2446"/>
      <c r="F308" s="2446"/>
      <c r="G308" s="2446"/>
      <c r="H308" s="2446"/>
    </row>
    <row r="309" spans="1:8" x14ac:dyDescent="0.2">
      <c r="A309" s="2447" t="s">
        <v>852</v>
      </c>
      <c r="B309" s="2446"/>
      <c r="C309" s="2446"/>
      <c r="D309" s="2446"/>
      <c r="E309" s="2446"/>
      <c r="F309" s="2446"/>
      <c r="G309" s="2446"/>
      <c r="H309" s="2446"/>
    </row>
    <row r="310" spans="1:8" x14ac:dyDescent="0.2">
      <c r="A310" s="2446"/>
      <c r="B310" s="2446"/>
      <c r="C310" s="2446"/>
      <c r="D310" s="2446"/>
      <c r="E310" s="2446"/>
      <c r="F310" s="2446"/>
      <c r="G310" s="2446"/>
      <c r="H310" s="2446"/>
    </row>
    <row r="311" spans="1:8" x14ac:dyDescent="0.2">
      <c r="A311" s="2447" t="s">
        <v>838</v>
      </c>
      <c r="B311" s="2446"/>
      <c r="C311" s="2446"/>
      <c r="D311" s="2446"/>
      <c r="E311" s="2446"/>
      <c r="F311" s="2446"/>
      <c r="G311" s="2446"/>
      <c r="H311" s="2446"/>
    </row>
    <row r="312" spans="1:8" x14ac:dyDescent="0.2">
      <c r="A312" s="2447" t="s">
        <v>839</v>
      </c>
      <c r="B312" s="2446"/>
      <c r="C312" s="2446"/>
      <c r="D312" s="2446"/>
      <c r="E312" s="2446"/>
      <c r="F312" s="2446"/>
      <c r="G312" s="2446"/>
      <c r="H312" s="2446"/>
    </row>
    <row r="313" spans="1:8" x14ac:dyDescent="0.2">
      <c r="A313" s="2447" t="s">
        <v>840</v>
      </c>
      <c r="B313" s="2446"/>
      <c r="C313" s="2446"/>
      <c r="D313" s="2446"/>
      <c r="E313" s="2446"/>
      <c r="F313" s="2446"/>
      <c r="G313" s="2446"/>
      <c r="H313" s="2446"/>
    </row>
    <row r="314" spans="1:8" x14ac:dyDescent="0.2">
      <c r="A314" s="2447" t="s">
        <v>841</v>
      </c>
      <c r="B314" s="2446"/>
      <c r="C314" s="2446"/>
      <c r="D314" s="2446"/>
      <c r="E314" s="2446"/>
      <c r="F314" s="2446"/>
      <c r="G314" s="2446"/>
      <c r="H314" s="2446"/>
    </row>
    <row r="315" spans="1:8" x14ac:dyDescent="0.2">
      <c r="A315" s="2447" t="s">
        <v>842</v>
      </c>
      <c r="B315" s="2446"/>
      <c r="C315" s="2446"/>
      <c r="D315" s="2446"/>
      <c r="E315" s="2446"/>
      <c r="F315" s="2446"/>
      <c r="G315" s="2446"/>
      <c r="H315" s="2446"/>
    </row>
    <row r="316" spans="1:8" x14ac:dyDescent="0.2">
      <c r="A316" s="2447" t="s">
        <v>843</v>
      </c>
      <c r="B316" s="2446"/>
      <c r="C316" s="2446"/>
      <c r="D316" s="2446"/>
      <c r="E316" s="2446"/>
      <c r="F316" s="2446"/>
      <c r="G316" s="2446"/>
      <c r="H316" s="2446"/>
    </row>
    <row r="317" spans="1:8" x14ac:dyDescent="0.2">
      <c r="A317" s="2447" t="s">
        <v>844</v>
      </c>
      <c r="B317" s="2446"/>
      <c r="C317" s="2446"/>
      <c r="D317" s="2446"/>
      <c r="E317" s="2446"/>
      <c r="F317" s="2446"/>
      <c r="G317" s="2446"/>
      <c r="H317" s="2446"/>
    </row>
    <row r="318" spans="1:8" x14ac:dyDescent="0.2">
      <c r="A318" s="2447" t="s">
        <v>845</v>
      </c>
      <c r="B318" s="2446"/>
      <c r="C318" s="2446"/>
      <c r="D318" s="2446"/>
      <c r="E318" s="2446"/>
      <c r="F318" s="2446"/>
      <c r="G318" s="2446"/>
      <c r="H318" s="2446"/>
    </row>
    <row r="319" spans="1:8" x14ac:dyDescent="0.2">
      <c r="A319" s="2447" t="s">
        <v>846</v>
      </c>
      <c r="B319" s="2446"/>
      <c r="C319" s="2446"/>
      <c r="D319" s="2446"/>
      <c r="E319" s="2446"/>
      <c r="F319" s="2446"/>
      <c r="G319" s="2446"/>
      <c r="H319" s="2446"/>
    </row>
    <row r="320" spans="1:8" x14ac:dyDescent="0.2">
      <c r="A320" s="2447" t="s">
        <v>847</v>
      </c>
      <c r="B320" s="2446"/>
      <c r="C320" s="2446"/>
      <c r="D320" s="2446"/>
      <c r="E320" s="2446"/>
      <c r="F320" s="2446"/>
      <c r="G320" s="2446"/>
      <c r="H320" s="2446"/>
    </row>
    <row r="321" spans="1:8" x14ac:dyDescent="0.2">
      <c r="A321" s="2447" t="s">
        <v>848</v>
      </c>
      <c r="B321" s="2446"/>
      <c r="C321" s="2446"/>
      <c r="D321" s="2446"/>
      <c r="E321" s="2446"/>
      <c r="F321" s="2446"/>
      <c r="G321" s="2446"/>
      <c r="H321" s="2446"/>
    </row>
    <row r="322" spans="1:8" x14ac:dyDescent="0.2">
      <c r="A322" s="2447" t="s">
        <v>849</v>
      </c>
      <c r="B322" s="2446"/>
      <c r="C322" s="2446"/>
      <c r="D322" s="2446"/>
      <c r="E322" s="2446"/>
      <c r="F322" s="2446"/>
      <c r="G322" s="2446"/>
      <c r="H322" s="2446"/>
    </row>
    <row r="323" spans="1:8" x14ac:dyDescent="0.2">
      <c r="A323" s="2447" t="s">
        <v>850</v>
      </c>
      <c r="B323" s="2446"/>
      <c r="C323" s="2446"/>
      <c r="D323" s="2446"/>
      <c r="E323" s="2446"/>
      <c r="F323" s="2446"/>
      <c r="G323" s="2446"/>
      <c r="H323" s="2446"/>
    </row>
    <row r="324" spans="1:8" x14ac:dyDescent="0.2">
      <c r="A324" s="2446"/>
      <c r="B324" s="2446"/>
      <c r="C324" s="2446"/>
      <c r="D324" s="2446"/>
      <c r="E324" s="2446"/>
      <c r="F324" s="2446"/>
      <c r="G324" s="2446"/>
      <c r="H324" s="2446"/>
    </row>
    <row r="325" spans="1:8" x14ac:dyDescent="0.2">
      <c r="A325" s="2447" t="s">
        <v>830</v>
      </c>
      <c r="B325" s="2446"/>
      <c r="C325" s="2446"/>
      <c r="D325" s="2446"/>
      <c r="E325" s="2446"/>
      <c r="F325" s="2446"/>
      <c r="G325" s="2446"/>
      <c r="H325" s="2446"/>
    </row>
    <row r="326" spans="1:8" x14ac:dyDescent="0.2">
      <c r="A326" s="2447" t="s">
        <v>831</v>
      </c>
      <c r="B326" s="2446"/>
      <c r="C326" s="2446"/>
      <c r="D326" s="2446"/>
      <c r="E326" s="2446"/>
      <c r="F326" s="2446"/>
      <c r="G326" s="2446"/>
      <c r="H326" s="2446"/>
    </row>
    <row r="327" spans="1:8" x14ac:dyDescent="0.2">
      <c r="A327" s="2447" t="s">
        <v>832</v>
      </c>
      <c r="B327" s="2446"/>
      <c r="C327" s="2446"/>
      <c r="D327" s="2446"/>
      <c r="E327" s="2446"/>
      <c r="F327" s="2446"/>
      <c r="G327" s="2446"/>
      <c r="H327" s="2446"/>
    </row>
    <row r="328" spans="1:8" x14ac:dyDescent="0.2">
      <c r="A328" s="2447" t="s">
        <v>833</v>
      </c>
      <c r="B328" s="2446"/>
      <c r="C328" s="2446"/>
      <c r="D328" s="2446"/>
      <c r="E328" s="2446"/>
      <c r="F328" s="2446"/>
      <c r="G328" s="2446"/>
      <c r="H328" s="2446"/>
    </row>
    <row r="329" spans="1:8" x14ac:dyDescent="0.2">
      <c r="A329" s="2447" t="s">
        <v>834</v>
      </c>
      <c r="B329" s="2446"/>
      <c r="C329" s="2446"/>
      <c r="D329" s="2446"/>
      <c r="E329" s="2446"/>
      <c r="F329" s="2446"/>
      <c r="G329" s="2446"/>
      <c r="H329" s="2446"/>
    </row>
    <row r="330" spans="1:8" x14ac:dyDescent="0.2">
      <c r="A330" s="2447" t="s">
        <v>835</v>
      </c>
      <c r="B330" s="2446"/>
      <c r="C330" s="2446"/>
      <c r="D330" s="2446"/>
      <c r="E330" s="2446"/>
      <c r="F330" s="2446"/>
      <c r="G330" s="2446"/>
      <c r="H330" s="2446"/>
    </row>
    <row r="331" spans="1:8" x14ac:dyDescent="0.2">
      <c r="A331" s="2447" t="s">
        <v>836</v>
      </c>
      <c r="B331" s="2446"/>
      <c r="C331" s="2446"/>
      <c r="D331" s="2446"/>
      <c r="E331" s="2446"/>
      <c r="F331" s="2446"/>
      <c r="G331" s="2446"/>
      <c r="H331" s="2446"/>
    </row>
    <row r="332" spans="1:8" x14ac:dyDescent="0.2">
      <c r="A332" s="2447" t="s">
        <v>837</v>
      </c>
      <c r="B332" s="2446"/>
      <c r="C332" s="2446"/>
      <c r="D332" s="2446"/>
      <c r="E332" s="2446"/>
      <c r="F332" s="2446"/>
      <c r="G332" s="2446"/>
      <c r="H332" s="2446"/>
    </row>
    <row r="333" spans="1:8" x14ac:dyDescent="0.2">
      <c r="A333" s="2446"/>
      <c r="B333" s="2446"/>
      <c r="C333" s="2446"/>
      <c r="D333" s="2446"/>
      <c r="E333" s="2446"/>
      <c r="F333" s="2446"/>
      <c r="G333" s="2446"/>
      <c r="H333" s="2446"/>
    </row>
    <row r="334" spans="1:8" x14ac:dyDescent="0.2">
      <c r="A334" s="2447" t="s">
        <v>795</v>
      </c>
      <c r="B334" s="2446"/>
      <c r="C334" s="2446"/>
      <c r="D334" s="2446"/>
      <c r="E334" s="2446"/>
      <c r="F334" s="2446"/>
      <c r="G334" s="2446"/>
      <c r="H334" s="2446"/>
    </row>
    <row r="335" spans="1:8" x14ac:dyDescent="0.2">
      <c r="A335" s="2447" t="s">
        <v>796</v>
      </c>
      <c r="B335" s="2446"/>
      <c r="C335" s="2446"/>
      <c r="D335" s="2446"/>
      <c r="E335" s="2446"/>
      <c r="F335" s="2446"/>
      <c r="G335" s="2446"/>
      <c r="H335" s="2446"/>
    </row>
    <row r="336" spans="1:8" x14ac:dyDescent="0.2">
      <c r="A336" s="2447" t="s">
        <v>797</v>
      </c>
      <c r="B336" s="2446"/>
      <c r="C336" s="2446"/>
      <c r="D336" s="2446"/>
      <c r="E336" s="2446"/>
      <c r="F336" s="2446"/>
      <c r="G336" s="2446"/>
      <c r="H336" s="2446"/>
    </row>
    <row r="337" spans="1:8" x14ac:dyDescent="0.2">
      <c r="A337" s="2447" t="s">
        <v>798</v>
      </c>
      <c r="B337" s="2446"/>
      <c r="C337" s="2446"/>
      <c r="D337" s="2446"/>
      <c r="E337" s="2446"/>
      <c r="F337" s="2446"/>
      <c r="G337" s="2446"/>
      <c r="H337" s="2446"/>
    </row>
    <row r="338" spans="1:8" x14ac:dyDescent="0.2">
      <c r="A338" s="2447" t="s">
        <v>799</v>
      </c>
      <c r="B338" s="2446"/>
      <c r="C338" s="2446"/>
      <c r="D338" s="2446"/>
      <c r="E338" s="2446"/>
      <c r="F338" s="2446"/>
      <c r="G338" s="2446"/>
      <c r="H338" s="2446"/>
    </row>
    <row r="339" spans="1:8" x14ac:dyDescent="0.2">
      <c r="A339" s="2447" t="s">
        <v>800</v>
      </c>
      <c r="B339" s="2446"/>
      <c r="C339" s="2446"/>
      <c r="D339" s="2446"/>
      <c r="E339" s="2446"/>
      <c r="F339" s="2446"/>
      <c r="G339" s="2446"/>
      <c r="H339" s="2446"/>
    </row>
    <row r="340" spans="1:8" x14ac:dyDescent="0.2">
      <c r="A340" s="2447" t="s">
        <v>801</v>
      </c>
      <c r="B340" s="2446"/>
      <c r="C340" s="2446"/>
      <c r="D340" s="2446"/>
      <c r="E340" s="2446"/>
      <c r="F340" s="2446"/>
      <c r="G340" s="2446"/>
      <c r="H340" s="2446"/>
    </row>
    <row r="341" spans="1:8" x14ac:dyDescent="0.2">
      <c r="A341" s="2447" t="s">
        <v>802</v>
      </c>
      <c r="B341" s="2446"/>
      <c r="C341" s="2446"/>
      <c r="D341" s="2446"/>
      <c r="E341" s="2446"/>
      <c r="F341" s="2446"/>
      <c r="G341" s="2446"/>
      <c r="H341" s="2446"/>
    </row>
    <row r="342" spans="1:8" x14ac:dyDescent="0.2">
      <c r="A342" s="2447" t="s">
        <v>803</v>
      </c>
      <c r="B342" s="2446"/>
      <c r="C342" s="2446"/>
      <c r="D342" s="2446"/>
      <c r="E342" s="2446"/>
      <c r="F342" s="2446"/>
      <c r="G342" s="2446"/>
      <c r="H342" s="2446"/>
    </row>
    <row r="343" spans="1:8" x14ac:dyDescent="0.2">
      <c r="A343" s="2447" t="s">
        <v>804</v>
      </c>
      <c r="B343" s="2446"/>
      <c r="C343" s="2446"/>
      <c r="D343" s="2446"/>
      <c r="E343" s="2446"/>
      <c r="F343" s="2446"/>
      <c r="G343" s="2446"/>
      <c r="H343" s="2446"/>
    </row>
    <row r="344" spans="1:8" x14ac:dyDescent="0.2">
      <c r="A344" s="2447" t="s">
        <v>805</v>
      </c>
      <c r="B344" s="2446"/>
      <c r="C344" s="2446"/>
      <c r="D344" s="2446"/>
      <c r="E344" s="2446"/>
      <c r="F344" s="2446"/>
      <c r="G344" s="2446"/>
      <c r="H344" s="2446"/>
    </row>
    <row r="345" spans="1:8" x14ac:dyDescent="0.2">
      <c r="A345" s="2447" t="s">
        <v>806</v>
      </c>
      <c r="B345" s="2446"/>
      <c r="C345" s="2446"/>
      <c r="D345" s="2446"/>
      <c r="E345" s="2446"/>
      <c r="F345" s="2446"/>
      <c r="G345" s="2446"/>
      <c r="H345" s="2446"/>
    </row>
    <row r="346" spans="1:8" x14ac:dyDescent="0.2">
      <c r="A346" s="2447" t="s">
        <v>807</v>
      </c>
      <c r="B346" s="2446"/>
      <c r="C346" s="2446"/>
      <c r="D346" s="2446"/>
      <c r="E346" s="2446"/>
      <c r="F346" s="2446"/>
      <c r="G346" s="2446"/>
      <c r="H346" s="2446"/>
    </row>
    <row r="347" spans="1:8" x14ac:dyDescent="0.2">
      <c r="A347" s="2447" t="s">
        <v>808</v>
      </c>
      <c r="B347" s="2446"/>
      <c r="C347" s="2446"/>
      <c r="D347" s="2446"/>
      <c r="E347" s="2446"/>
      <c r="F347" s="2446"/>
      <c r="G347" s="2446"/>
      <c r="H347" s="2446"/>
    </row>
    <row r="348" spans="1:8" x14ac:dyDescent="0.2">
      <c r="A348" s="2447" t="s">
        <v>809</v>
      </c>
      <c r="B348" s="2446"/>
      <c r="C348" s="2446"/>
      <c r="D348" s="2446"/>
      <c r="E348" s="2446"/>
      <c r="F348" s="2446"/>
      <c r="G348" s="2446"/>
      <c r="H348" s="2446"/>
    </row>
    <row r="349" spans="1:8" x14ac:dyDescent="0.2">
      <c r="A349" s="2447" t="s">
        <v>810</v>
      </c>
      <c r="B349" s="2446"/>
      <c r="C349" s="2446"/>
      <c r="D349" s="2446"/>
      <c r="E349" s="2446"/>
      <c r="F349" s="2446"/>
      <c r="G349" s="2446"/>
      <c r="H349" s="2446"/>
    </row>
    <row r="350" spans="1:8" x14ac:dyDescent="0.2">
      <c r="A350" s="2447" t="s">
        <v>811</v>
      </c>
      <c r="B350" s="2446"/>
      <c r="C350" s="2446"/>
      <c r="D350" s="2446"/>
      <c r="E350" s="2446"/>
      <c r="F350" s="2446"/>
      <c r="G350" s="2446"/>
      <c r="H350" s="2446"/>
    </row>
    <row r="351" spans="1:8" x14ac:dyDescent="0.2">
      <c r="A351" s="2447" t="s">
        <v>812</v>
      </c>
      <c r="B351" s="2446"/>
      <c r="C351" s="2446"/>
      <c r="D351" s="2446"/>
      <c r="E351" s="2446"/>
      <c r="F351" s="2446"/>
      <c r="G351" s="2446"/>
      <c r="H351" s="2446"/>
    </row>
    <row r="352" spans="1:8" x14ac:dyDescent="0.2">
      <c r="A352" s="2447" t="s">
        <v>813</v>
      </c>
      <c r="B352" s="2446"/>
      <c r="C352" s="2446"/>
      <c r="D352" s="2446"/>
      <c r="E352" s="2446"/>
      <c r="F352" s="2446"/>
      <c r="G352" s="2446"/>
      <c r="H352" s="2446"/>
    </row>
    <row r="353" spans="1:8" x14ac:dyDescent="0.2">
      <c r="A353" s="2447" t="s">
        <v>814</v>
      </c>
      <c r="B353" s="2446"/>
      <c r="C353" s="2446"/>
      <c r="D353" s="2446"/>
      <c r="E353" s="2446"/>
      <c r="F353" s="2446"/>
      <c r="G353" s="2446"/>
      <c r="H353" s="2446"/>
    </row>
    <row r="354" spans="1:8" x14ac:dyDescent="0.2">
      <c r="A354" s="2447" t="s">
        <v>815</v>
      </c>
      <c r="B354" s="2446"/>
      <c r="C354" s="2446"/>
      <c r="D354" s="2446"/>
      <c r="E354" s="2446"/>
      <c r="F354" s="2446"/>
      <c r="G354" s="2446"/>
      <c r="H354" s="2446"/>
    </row>
    <row r="355" spans="1:8" x14ac:dyDescent="0.2">
      <c r="A355" s="2447" t="s">
        <v>816</v>
      </c>
      <c r="B355" s="2446"/>
      <c r="C355" s="2446"/>
      <c r="D355" s="2446"/>
      <c r="E355" s="2446"/>
      <c r="F355" s="2446"/>
      <c r="G355" s="2446"/>
      <c r="H355" s="2446"/>
    </row>
    <row r="356" spans="1:8" x14ac:dyDescent="0.2">
      <c r="A356" s="2447" t="s">
        <v>817</v>
      </c>
      <c r="B356" s="2446"/>
      <c r="C356" s="2446"/>
      <c r="D356" s="2446"/>
      <c r="E356" s="2446"/>
      <c r="F356" s="2446"/>
      <c r="G356" s="2446"/>
      <c r="H356" s="2446"/>
    </row>
    <row r="357" spans="1:8" x14ac:dyDescent="0.2">
      <c r="A357" s="2447" t="s">
        <v>818</v>
      </c>
      <c r="B357" s="2446"/>
      <c r="C357" s="2446"/>
      <c r="D357" s="2446"/>
      <c r="E357" s="2446"/>
      <c r="F357" s="2446"/>
      <c r="G357" s="2446"/>
      <c r="H357" s="2446"/>
    </row>
    <row r="358" spans="1:8" x14ac:dyDescent="0.2">
      <c r="A358" s="2447" t="s">
        <v>819</v>
      </c>
      <c r="B358" s="2446"/>
      <c r="C358" s="2446"/>
      <c r="D358" s="2446"/>
      <c r="E358" s="2446"/>
      <c r="F358" s="2446"/>
      <c r="G358" s="2446"/>
      <c r="H358" s="2446"/>
    </row>
    <row r="359" spans="1:8" x14ac:dyDescent="0.2">
      <c r="A359" s="2447" t="s">
        <v>820</v>
      </c>
      <c r="B359" s="2446"/>
      <c r="C359" s="2446"/>
      <c r="D359" s="2446"/>
      <c r="E359" s="2446"/>
      <c r="F359" s="2446"/>
      <c r="G359" s="2446"/>
      <c r="H359" s="2446"/>
    </row>
    <row r="360" spans="1:8" x14ac:dyDescent="0.2">
      <c r="A360" s="2447" t="s">
        <v>821</v>
      </c>
      <c r="B360" s="2446"/>
      <c r="C360" s="2446"/>
      <c r="D360" s="2446"/>
      <c r="E360" s="2446"/>
      <c r="F360" s="2446"/>
      <c r="G360" s="2446"/>
      <c r="H360" s="2446"/>
    </row>
    <row r="361" spans="1:8" x14ac:dyDescent="0.2">
      <c r="A361" s="2447" t="s">
        <v>822</v>
      </c>
      <c r="B361" s="2446"/>
      <c r="C361" s="2446"/>
      <c r="D361" s="2446"/>
      <c r="E361" s="2446"/>
      <c r="F361" s="2446"/>
      <c r="G361" s="2446"/>
      <c r="H361" s="2446"/>
    </row>
    <row r="362" spans="1:8" x14ac:dyDescent="0.2">
      <c r="A362" s="2447" t="s">
        <v>823</v>
      </c>
      <c r="B362" s="2446"/>
      <c r="C362" s="2446"/>
      <c r="D362" s="2446"/>
      <c r="E362" s="2446"/>
      <c r="F362" s="2446"/>
      <c r="G362" s="2446"/>
      <c r="H362" s="2446"/>
    </row>
    <row r="363" spans="1:8" x14ac:dyDescent="0.2">
      <c r="A363" s="2447" t="s">
        <v>824</v>
      </c>
      <c r="B363" s="2446"/>
      <c r="C363" s="2446"/>
      <c r="D363" s="2446"/>
      <c r="E363" s="2446"/>
      <c r="F363" s="2446"/>
      <c r="G363" s="2446"/>
      <c r="H363" s="2446"/>
    </row>
    <row r="364" spans="1:8" x14ac:dyDescent="0.2">
      <c r="A364" s="2447" t="s">
        <v>825</v>
      </c>
      <c r="B364" s="2446"/>
      <c r="C364" s="2446"/>
      <c r="D364" s="2446"/>
      <c r="E364" s="2446"/>
      <c r="F364" s="2446"/>
      <c r="G364" s="2446"/>
      <c r="H364" s="2446"/>
    </row>
    <row r="365" spans="1:8" x14ac:dyDescent="0.2">
      <c r="A365" s="2447" t="s">
        <v>826</v>
      </c>
      <c r="B365" s="2446"/>
      <c r="C365" s="2446"/>
      <c r="D365" s="2446"/>
      <c r="E365" s="2446"/>
      <c r="F365" s="2446"/>
      <c r="G365" s="2446"/>
      <c r="H365" s="2446"/>
    </row>
    <row r="366" spans="1:8" x14ac:dyDescent="0.2">
      <c r="A366" s="2447" t="s">
        <v>827</v>
      </c>
      <c r="B366" s="2446"/>
      <c r="C366" s="2446"/>
      <c r="D366" s="2446"/>
      <c r="E366" s="2446"/>
      <c r="F366" s="2446"/>
      <c r="G366" s="2446"/>
      <c r="H366" s="2446"/>
    </row>
    <row r="367" spans="1:8" x14ac:dyDescent="0.2">
      <c r="A367" s="2447" t="s">
        <v>828</v>
      </c>
      <c r="B367" s="2446"/>
      <c r="C367" s="2446"/>
      <c r="D367" s="2446"/>
      <c r="E367" s="2446"/>
      <c r="F367" s="2446"/>
      <c r="G367" s="2446"/>
      <c r="H367" s="2446"/>
    </row>
    <row r="368" spans="1:8" x14ac:dyDescent="0.2">
      <c r="A368" s="2447" t="s">
        <v>829</v>
      </c>
      <c r="B368" s="2446"/>
      <c r="C368" s="2446"/>
      <c r="D368" s="2446"/>
      <c r="E368" s="2446"/>
      <c r="F368" s="2446"/>
      <c r="G368" s="2446"/>
      <c r="H368" s="2446"/>
    </row>
    <row r="369" spans="1:8" x14ac:dyDescent="0.2">
      <c r="A369" s="2446"/>
      <c r="B369" s="2446"/>
      <c r="C369" s="2446"/>
      <c r="D369" s="2446"/>
      <c r="E369" s="2446"/>
      <c r="F369" s="2446"/>
      <c r="G369" s="2446"/>
      <c r="H369" s="2446"/>
    </row>
    <row r="370" spans="1:8" x14ac:dyDescent="0.2">
      <c r="A370" s="2447" t="s">
        <v>787</v>
      </c>
      <c r="B370" s="2446"/>
      <c r="C370" s="2446"/>
      <c r="D370" s="2446"/>
      <c r="E370" s="2446"/>
      <c r="F370" s="2446"/>
      <c r="G370" s="2446"/>
      <c r="H370" s="2446"/>
    </row>
    <row r="371" spans="1:8" x14ac:dyDescent="0.2">
      <c r="A371" s="2447" t="s">
        <v>791</v>
      </c>
      <c r="B371" s="2446"/>
      <c r="C371" s="2446"/>
      <c r="D371" s="2446"/>
      <c r="E371" s="2446"/>
      <c r="F371" s="2446"/>
      <c r="G371" s="2446"/>
      <c r="H371" s="2446"/>
    </row>
    <row r="372" spans="1:8" x14ac:dyDescent="0.2">
      <c r="A372" s="2447" t="s">
        <v>792</v>
      </c>
      <c r="B372" s="2446"/>
      <c r="C372" s="2446"/>
      <c r="D372" s="2446"/>
      <c r="E372" s="2446"/>
      <c r="F372" s="2446"/>
      <c r="G372" s="2446"/>
      <c r="H372" s="2446"/>
    </row>
    <row r="373" spans="1:8" x14ac:dyDescent="0.2">
      <c r="A373" s="2447" t="s">
        <v>793</v>
      </c>
      <c r="B373" s="2446"/>
      <c r="C373" s="2446"/>
      <c r="D373" s="2446"/>
      <c r="E373" s="2446"/>
      <c r="F373" s="2446"/>
      <c r="G373" s="2446"/>
      <c r="H373" s="2446"/>
    </row>
    <row r="374" spans="1:8" x14ac:dyDescent="0.2">
      <c r="A374" s="2447" t="s">
        <v>794</v>
      </c>
      <c r="B374" s="2446"/>
      <c r="C374" s="2446"/>
      <c r="D374" s="2446"/>
      <c r="E374" s="2446"/>
      <c r="F374" s="2446"/>
      <c r="G374" s="2446"/>
      <c r="H374" s="2446"/>
    </row>
    <row r="375" spans="1:8" x14ac:dyDescent="0.2">
      <c r="A375" s="2446"/>
      <c r="B375" s="2446"/>
      <c r="C375" s="2446"/>
      <c r="D375" s="2446"/>
      <c r="E375" s="2446"/>
      <c r="F375" s="2446"/>
      <c r="G375" s="2446"/>
      <c r="H375" s="2446"/>
    </row>
    <row r="376" spans="1:8" x14ac:dyDescent="0.2">
      <c r="A376" s="2447" t="s">
        <v>787</v>
      </c>
      <c r="B376" s="2446"/>
      <c r="C376" s="2446"/>
      <c r="D376" s="2446"/>
      <c r="E376" s="2446"/>
      <c r="F376" s="2446"/>
      <c r="G376" s="2446"/>
      <c r="H376" s="2446"/>
    </row>
    <row r="377" spans="1:8" x14ac:dyDescent="0.2">
      <c r="A377" s="2447" t="s">
        <v>788</v>
      </c>
      <c r="B377" s="2446"/>
      <c r="C377" s="2446"/>
      <c r="D377" s="2446"/>
      <c r="E377" s="2446"/>
      <c r="F377" s="2446"/>
      <c r="G377" s="2446"/>
      <c r="H377" s="2446"/>
    </row>
    <row r="378" spans="1:8" x14ac:dyDescent="0.2">
      <c r="A378" s="2447" t="s">
        <v>789</v>
      </c>
      <c r="B378" s="2446"/>
      <c r="C378" s="2446"/>
      <c r="D378" s="2446"/>
      <c r="E378" s="2446"/>
      <c r="F378" s="2446"/>
      <c r="G378" s="2446"/>
      <c r="H378" s="2446"/>
    </row>
    <row r="379" spans="1:8" x14ac:dyDescent="0.2">
      <c r="A379" s="2447" t="s">
        <v>790</v>
      </c>
      <c r="B379" s="2446"/>
      <c r="C379" s="2446"/>
      <c r="D379" s="2446"/>
      <c r="E379" s="2446"/>
      <c r="F379" s="2446"/>
      <c r="G379" s="2446"/>
      <c r="H379" s="2446"/>
    </row>
    <row r="380" spans="1:8" x14ac:dyDescent="0.2">
      <c r="A380" s="2446"/>
      <c r="B380" s="2446"/>
      <c r="C380" s="2446"/>
      <c r="D380" s="2446"/>
      <c r="E380" s="2446"/>
      <c r="F380" s="2446"/>
      <c r="G380" s="2446"/>
      <c r="H380" s="2446"/>
    </row>
    <row r="381" spans="1:8" x14ac:dyDescent="0.2">
      <c r="A381" s="2447" t="s">
        <v>781</v>
      </c>
      <c r="B381" s="2446"/>
      <c r="C381" s="2446"/>
      <c r="D381" s="2446"/>
      <c r="E381" s="2446"/>
      <c r="F381" s="2446"/>
      <c r="G381" s="2446"/>
      <c r="H381" s="2446"/>
    </row>
    <row r="382" spans="1:8" x14ac:dyDescent="0.2">
      <c r="A382" s="2447" t="s">
        <v>782</v>
      </c>
      <c r="B382" s="2446"/>
      <c r="C382" s="2446"/>
      <c r="D382" s="2446"/>
      <c r="E382" s="2446"/>
      <c r="F382" s="2446"/>
      <c r="G382" s="2446"/>
      <c r="H382" s="2446"/>
    </row>
    <row r="383" spans="1:8" x14ac:dyDescent="0.2">
      <c r="A383" s="2447" t="s">
        <v>783</v>
      </c>
      <c r="B383" s="2446"/>
      <c r="C383" s="2446"/>
      <c r="D383" s="2446"/>
      <c r="E383" s="2446"/>
      <c r="F383" s="2446"/>
      <c r="G383" s="2446"/>
      <c r="H383" s="2446"/>
    </row>
    <row r="384" spans="1:8" x14ac:dyDescent="0.2">
      <c r="A384" s="2447" t="s">
        <v>784</v>
      </c>
      <c r="B384" s="2446"/>
      <c r="C384" s="2446"/>
      <c r="D384" s="2446"/>
      <c r="E384" s="2446"/>
      <c r="F384" s="2446"/>
      <c r="G384" s="2446"/>
      <c r="H384" s="2446"/>
    </row>
    <row r="385" spans="1:8" x14ac:dyDescent="0.2">
      <c r="A385" s="2447" t="s">
        <v>785</v>
      </c>
      <c r="B385" s="2446"/>
      <c r="C385" s="2446"/>
      <c r="D385" s="2446"/>
      <c r="E385" s="2446"/>
      <c r="F385" s="2446"/>
      <c r="G385" s="2446"/>
      <c r="H385" s="2446"/>
    </row>
    <row r="386" spans="1:8" x14ac:dyDescent="0.2">
      <c r="A386" s="2447" t="s">
        <v>786</v>
      </c>
      <c r="B386" s="2446"/>
      <c r="C386" s="2446"/>
      <c r="D386" s="2446"/>
      <c r="E386" s="2446"/>
      <c r="F386" s="2446"/>
      <c r="G386" s="2446"/>
      <c r="H386" s="2446"/>
    </row>
    <row r="387" spans="1:8" x14ac:dyDescent="0.2">
      <c r="A387" s="2446"/>
      <c r="B387" s="2446"/>
      <c r="C387" s="2446"/>
      <c r="D387" s="2446"/>
      <c r="E387" s="2446"/>
      <c r="F387" s="2446"/>
      <c r="G387" s="2446"/>
      <c r="H387" s="2446"/>
    </row>
    <row r="388" spans="1:8" x14ac:dyDescent="0.2">
      <c r="A388" s="2447" t="s">
        <v>776</v>
      </c>
      <c r="B388" s="2446"/>
      <c r="C388" s="2446"/>
      <c r="D388" s="2446"/>
      <c r="E388" s="2446"/>
      <c r="F388" s="2446"/>
      <c r="G388" s="2446"/>
      <c r="H388" s="2446"/>
    </row>
    <row r="389" spans="1:8" x14ac:dyDescent="0.2">
      <c r="A389" s="2447" t="s">
        <v>777</v>
      </c>
      <c r="B389" s="2446"/>
      <c r="C389" s="2446"/>
      <c r="D389" s="2446"/>
      <c r="E389" s="2446"/>
      <c r="F389" s="2446"/>
      <c r="G389" s="2446"/>
      <c r="H389" s="2446"/>
    </row>
    <row r="390" spans="1:8" x14ac:dyDescent="0.2">
      <c r="A390" s="2447" t="s">
        <v>778</v>
      </c>
      <c r="B390" s="2446"/>
      <c r="C390" s="2446"/>
      <c r="D390" s="2446"/>
      <c r="E390" s="2446"/>
      <c r="F390" s="2446"/>
      <c r="G390" s="2446"/>
      <c r="H390" s="2446"/>
    </row>
    <row r="391" spans="1:8" x14ac:dyDescent="0.2">
      <c r="A391" s="2447" t="s">
        <v>779</v>
      </c>
      <c r="B391" s="2446"/>
      <c r="C391" s="2446"/>
      <c r="D391" s="2446"/>
      <c r="E391" s="2446"/>
      <c r="F391" s="2446"/>
      <c r="G391" s="2446"/>
      <c r="H391" s="2446"/>
    </row>
    <row r="392" spans="1:8" x14ac:dyDescent="0.2">
      <c r="A392" s="2447" t="s">
        <v>780</v>
      </c>
      <c r="B392" s="2446"/>
      <c r="C392" s="2446"/>
      <c r="D392" s="2446"/>
      <c r="E392" s="2446"/>
      <c r="F392" s="2446"/>
      <c r="G392" s="2446"/>
      <c r="H392" s="2446"/>
    </row>
    <row r="393" spans="1:8" x14ac:dyDescent="0.2">
      <c r="A393" s="2446"/>
      <c r="B393" s="2446"/>
      <c r="C393" s="2446"/>
      <c r="D393" s="2446"/>
      <c r="E393" s="2446"/>
      <c r="F393" s="2446"/>
      <c r="G393" s="2446"/>
      <c r="H393" s="2446"/>
    </row>
    <row r="394" spans="1:8" x14ac:dyDescent="0.2">
      <c r="A394" s="2447" t="s">
        <v>774</v>
      </c>
      <c r="B394" s="2446"/>
      <c r="C394" s="2446"/>
      <c r="D394" s="2446"/>
      <c r="E394" s="2446"/>
      <c r="F394" s="2446"/>
      <c r="G394" s="2446"/>
      <c r="H394" s="2446"/>
    </row>
    <row r="395" spans="1:8" x14ac:dyDescent="0.2">
      <c r="A395" s="2447" t="s">
        <v>775</v>
      </c>
      <c r="B395" s="2446"/>
      <c r="C395" s="2446"/>
      <c r="D395" s="2446"/>
      <c r="E395" s="2446"/>
      <c r="F395" s="2446"/>
      <c r="G395" s="2446"/>
      <c r="H395" s="2446"/>
    </row>
    <row r="397" spans="1:8" x14ac:dyDescent="0.2">
      <c r="A397" s="2442" t="s">
        <v>1034</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U46"/>
  <sheetViews>
    <sheetView showGridLines="0" workbookViewId="0">
      <selection activeCell="D25" sqref="D25"/>
    </sheetView>
  </sheetViews>
  <sheetFormatPr defaultRowHeight="12.75" x14ac:dyDescent="0.2"/>
  <cols>
    <col min="1" max="1" width="32.28515625" style="33" bestFit="1" customWidth="1"/>
    <col min="2" max="2" width="1.85546875" style="33" customWidth="1"/>
    <col min="3" max="3" width="28" style="33" customWidth="1"/>
    <col min="4" max="16" width="8.7109375" style="33" customWidth="1"/>
    <col min="17" max="16384" width="9.140625" style="33"/>
  </cols>
  <sheetData>
    <row r="1" spans="1:21" x14ac:dyDescent="0.2">
      <c r="A1" s="33" t="s">
        <v>470</v>
      </c>
      <c r="C1" s="342"/>
      <c r="D1" s="321" t="s">
        <v>549</v>
      </c>
      <c r="G1" s="2277">
        <v>92</v>
      </c>
      <c r="H1" s="37"/>
      <c r="I1" s="37"/>
      <c r="J1" s="37"/>
    </row>
    <row r="2" spans="1:21" ht="15" customHeight="1" x14ac:dyDescent="0.2">
      <c r="C2" s="517" t="s">
        <v>258</v>
      </c>
      <c r="D2" s="37"/>
      <c r="E2" s="37"/>
      <c r="F2" s="37"/>
      <c r="G2" s="37"/>
      <c r="H2" s="37"/>
      <c r="I2" s="37"/>
      <c r="J2" s="37"/>
    </row>
    <row r="3" spans="1:21" ht="28.5" customHeight="1" thickBot="1" x14ac:dyDescent="0.25">
      <c r="C3" s="55" t="s">
        <v>181</v>
      </c>
      <c r="D3" s="37"/>
      <c r="E3" s="37"/>
      <c r="F3" s="37"/>
      <c r="G3" s="37"/>
      <c r="H3" s="37"/>
      <c r="I3" s="37"/>
      <c r="J3" s="37"/>
    </row>
    <row r="4" spans="1:21" ht="18" x14ac:dyDescent="0.25">
      <c r="A4" s="341" t="s">
        <v>197</v>
      </c>
      <c r="B4" s="341"/>
      <c r="C4" s="716" t="s">
        <v>183</v>
      </c>
      <c r="D4" s="633">
        <v>2008</v>
      </c>
      <c r="E4" s="633">
        <v>2009</v>
      </c>
      <c r="F4" s="633">
        <v>2010</v>
      </c>
      <c r="G4" s="633">
        <v>2011</v>
      </c>
      <c r="H4" s="633">
        <v>2012</v>
      </c>
      <c r="I4" s="633">
        <v>2013</v>
      </c>
      <c r="J4" s="633">
        <v>2014</v>
      </c>
      <c r="K4" s="633">
        <v>2015</v>
      </c>
      <c r="L4" s="633">
        <v>2016</v>
      </c>
      <c r="M4" s="633" t="s">
        <v>317</v>
      </c>
      <c r="N4" s="633" t="s">
        <v>318</v>
      </c>
      <c r="O4" s="633" t="s">
        <v>507</v>
      </c>
      <c r="P4" s="634" t="s">
        <v>512</v>
      </c>
    </row>
    <row r="5" spans="1:21" s="711" customFormat="1" x14ac:dyDescent="0.2">
      <c r="A5" s="515" t="s">
        <v>2</v>
      </c>
      <c r="B5" s="515"/>
      <c r="C5" s="708" t="s">
        <v>185</v>
      </c>
      <c r="D5" s="709">
        <f>'IS '!BI22</f>
        <v>11291</v>
      </c>
      <c r="E5" s="709">
        <f>'IS '!BN22</f>
        <v>10836</v>
      </c>
      <c r="F5" s="709">
        <f>'IS '!BS22</f>
        <v>11343</v>
      </c>
      <c r="G5" s="709">
        <f>'IS '!BX22</f>
        <v>12626</v>
      </c>
      <c r="H5" s="709">
        <f>'IS '!CC22</f>
        <v>13633</v>
      </c>
      <c r="I5" s="709">
        <f>'IS '!CH22</f>
        <v>6417</v>
      </c>
      <c r="J5" s="709">
        <f>'IS '!CM22</f>
        <v>6587</v>
      </c>
      <c r="K5" s="709">
        <f>'IS '!CR22</f>
        <v>6421.2809999999999</v>
      </c>
      <c r="L5" s="709">
        <f>'IS '!CW22</f>
        <v>6357</v>
      </c>
      <c r="M5" s="709">
        <f>'IS '!DB22</f>
        <v>5878</v>
      </c>
      <c r="N5" s="709">
        <f>'IS '!DG22</f>
        <v>4498.3857399919498</v>
      </c>
      <c r="O5" s="709">
        <f>'IS '!DL22</f>
        <v>4215.6678976554686</v>
      </c>
      <c r="P5" s="710">
        <f>'IS '!DQ22</f>
        <v>4267.6254081571005</v>
      </c>
    </row>
    <row r="6" spans="1:21" x14ac:dyDescent="0.2">
      <c r="A6" s="11" t="s">
        <v>3</v>
      </c>
      <c r="B6" s="11"/>
      <c r="C6" s="347" t="s">
        <v>518</v>
      </c>
      <c r="D6" s="135"/>
      <c r="E6" s="135">
        <f t="shared" ref="E6:P6" si="0">E5/D5-1</f>
        <v>-4.0297582145071287E-2</v>
      </c>
      <c r="F6" s="135">
        <f t="shared" si="0"/>
        <v>4.6788482834994483E-2</v>
      </c>
      <c r="G6" s="135">
        <f t="shared" si="0"/>
        <v>0.11310940668253555</v>
      </c>
      <c r="H6" s="135">
        <f t="shared" si="0"/>
        <v>7.9756058926025553E-2</v>
      </c>
      <c r="I6" s="135">
        <f t="shared" si="0"/>
        <v>-0.52930389496075692</v>
      </c>
      <c r="J6" s="135">
        <f t="shared" si="0"/>
        <v>2.649213027894648E-2</v>
      </c>
      <c r="K6" s="135">
        <f t="shared" si="0"/>
        <v>-2.5158494003339915E-2</v>
      </c>
      <c r="L6" s="135">
        <f t="shared" si="0"/>
        <v>-1.001061937641412E-2</v>
      </c>
      <c r="M6" s="135">
        <f t="shared" si="0"/>
        <v>-7.5350007865345292E-2</v>
      </c>
      <c r="N6" s="135">
        <f t="shared" si="0"/>
        <v>-0.23470810820143762</v>
      </c>
      <c r="O6" s="135">
        <f t="shared" si="0"/>
        <v>-6.2848732562669762E-2</v>
      </c>
      <c r="P6" s="348">
        <f t="shared" si="0"/>
        <v>1.2324858542706263E-2</v>
      </c>
    </row>
    <row r="7" spans="1:21" s="714" customFormat="1" ht="13.5" x14ac:dyDescent="0.25">
      <c r="A7" s="712" t="s">
        <v>4</v>
      </c>
      <c r="B7" s="712"/>
      <c r="C7" s="713" t="s">
        <v>187</v>
      </c>
      <c r="D7" s="151">
        <f>'IS '!BI38</f>
        <v>1515</v>
      </c>
      <c r="E7" s="151">
        <f>'IS '!BN38</f>
        <v>1590</v>
      </c>
      <c r="F7" s="151">
        <f>'IS '!BS38</f>
        <v>1769</v>
      </c>
      <c r="G7" s="151">
        <f>'IS '!BX38</f>
        <v>1815</v>
      </c>
      <c r="H7" s="151">
        <f>'IS '!CC38</f>
        <v>2294</v>
      </c>
      <c r="I7" s="151">
        <f>'IS '!CH38</f>
        <v>1531</v>
      </c>
      <c r="J7" s="151">
        <f>'IS '!CM38</f>
        <v>1516</v>
      </c>
      <c r="K7" s="151">
        <f>'IS '!CR38</f>
        <v>1383.2809999999999</v>
      </c>
      <c r="L7" s="151">
        <f>'IS '!CW38</f>
        <v>1683</v>
      </c>
      <c r="M7" s="151">
        <f>'IS '!DB38</f>
        <v>2761</v>
      </c>
      <c r="N7" s="151">
        <f>'IS '!DG38</f>
        <v>1729.9270893735838</v>
      </c>
      <c r="O7" s="151">
        <f>'IS '!DL38</f>
        <v>1916.8314428427188</v>
      </c>
      <c r="P7" s="518">
        <f>'IS '!DQ38</f>
        <v>2036.8225045131421</v>
      </c>
    </row>
    <row r="8" spans="1:21" ht="13.5" customHeight="1" x14ac:dyDescent="0.2">
      <c r="A8" s="11"/>
      <c r="B8" s="11"/>
      <c r="C8" s="347" t="s">
        <v>189</v>
      </c>
      <c r="D8" s="135"/>
      <c r="E8" s="135">
        <f t="shared" ref="E8:P8" si="1">E7/D7-1</f>
        <v>4.9504950495049549E-2</v>
      </c>
      <c r="F8" s="135">
        <f t="shared" si="1"/>
        <v>0.11257861635220134</v>
      </c>
      <c r="G8" s="135">
        <f t="shared" si="1"/>
        <v>2.6003391746749482E-2</v>
      </c>
      <c r="H8" s="135">
        <f t="shared" si="1"/>
        <v>0.26391184573002757</v>
      </c>
      <c r="I8" s="135">
        <f t="shared" si="1"/>
        <v>-0.3326068003487358</v>
      </c>
      <c r="J8" s="135">
        <f t="shared" si="1"/>
        <v>-9.7975179621162534E-3</v>
      </c>
      <c r="K8" s="135">
        <f t="shared" si="1"/>
        <v>-8.7545514511873423E-2</v>
      </c>
      <c r="L8" s="135">
        <f t="shared" si="1"/>
        <v>0.21667253435852873</v>
      </c>
      <c r="M8" s="135">
        <f t="shared" si="1"/>
        <v>0.64052287581699341</v>
      </c>
      <c r="N8" s="135">
        <f t="shared" si="1"/>
        <v>-0.37344183651807905</v>
      </c>
      <c r="O8" s="135">
        <f t="shared" si="1"/>
        <v>0.10804175194274457</v>
      </c>
      <c r="P8" s="348">
        <f t="shared" si="1"/>
        <v>6.2598650558691293E-2</v>
      </c>
    </row>
    <row r="9" spans="1:21" s="714" customFormat="1" ht="13.5" customHeight="1" x14ac:dyDescent="0.2">
      <c r="A9" s="693" t="s">
        <v>723</v>
      </c>
      <c r="B9" s="150"/>
      <c r="C9" s="713" t="s">
        <v>314</v>
      </c>
      <c r="D9" s="151">
        <f>'IS '!BI41</f>
        <v>2032</v>
      </c>
      <c r="E9" s="151">
        <f>'IS '!BN41</f>
        <v>2152</v>
      </c>
      <c r="F9" s="151">
        <f>'IS '!BS41</f>
        <v>2376</v>
      </c>
      <c r="G9" s="151">
        <f>'IS '!BX41</f>
        <v>2554</v>
      </c>
      <c r="H9" s="151">
        <f>'IS '!CC41</f>
        <v>2811</v>
      </c>
      <c r="I9" s="151">
        <f>'IS '!CH41</f>
        <v>2208</v>
      </c>
      <c r="J9" s="151">
        <f>'IS '!CM41</f>
        <v>2248.8999999999996</v>
      </c>
      <c r="K9" s="151">
        <f>'IS '!CR41</f>
        <v>1705.2809999999999</v>
      </c>
      <c r="L9" s="151">
        <f>'IS '!CW41</f>
        <v>1997</v>
      </c>
      <c r="M9" s="151">
        <f>'IS '!DB41</f>
        <v>3014</v>
      </c>
      <c r="N9" s="151">
        <f>'IS '!DG41</f>
        <v>1898.2005128587532</v>
      </c>
      <c r="O9" s="151">
        <f>'IS '!DL41</f>
        <v>2064.37981926066</v>
      </c>
      <c r="P9" s="518">
        <f>'IS '!DQ41</f>
        <v>2157.5438109193669</v>
      </c>
    </row>
    <row r="10" spans="1:21" ht="13.5" x14ac:dyDescent="0.25">
      <c r="A10" s="693" t="s">
        <v>722</v>
      </c>
      <c r="B10" s="343"/>
      <c r="C10" s="347" t="s">
        <v>271</v>
      </c>
      <c r="D10" s="135"/>
      <c r="E10" s="135">
        <f t="shared" ref="E10:P10" si="2">E9/D9-1</f>
        <v>5.9055118110236116E-2</v>
      </c>
      <c r="F10" s="135">
        <f t="shared" si="2"/>
        <v>0.10408921933085491</v>
      </c>
      <c r="G10" s="135">
        <f t="shared" si="2"/>
        <v>7.4915824915824825E-2</v>
      </c>
      <c r="H10" s="135">
        <f t="shared" si="2"/>
        <v>0.10062646828504307</v>
      </c>
      <c r="I10" s="135">
        <f t="shared" si="2"/>
        <v>-0.21451440768409824</v>
      </c>
      <c r="J10" s="135">
        <f t="shared" si="2"/>
        <v>1.8523550724637516E-2</v>
      </c>
      <c r="K10" s="135">
        <f t="shared" si="2"/>
        <v>-0.24172662190404193</v>
      </c>
      <c r="L10" s="135">
        <f t="shared" si="2"/>
        <v>0.17106799407253126</v>
      </c>
      <c r="M10" s="135">
        <f t="shared" si="2"/>
        <v>0.50926389584376563</v>
      </c>
      <c r="N10" s="135">
        <f t="shared" si="2"/>
        <v>-0.37020553654321398</v>
      </c>
      <c r="O10" s="135">
        <f t="shared" si="2"/>
        <v>8.7545707250724192E-2</v>
      </c>
      <c r="P10" s="348">
        <f t="shared" si="2"/>
        <v>4.5129288122993216E-2</v>
      </c>
    </row>
    <row r="11" spans="1:21" ht="13.5" x14ac:dyDescent="0.25">
      <c r="A11" s="2278" t="s">
        <v>724</v>
      </c>
      <c r="C11" s="350" t="s">
        <v>5</v>
      </c>
      <c r="D11" s="351">
        <f>'IS '!BI59</f>
        <v>1.9166092323418491</v>
      </c>
      <c r="E11" s="351">
        <f>'IS '!BN59</f>
        <v>2.1697722567287783</v>
      </c>
      <c r="F11" s="351">
        <f>'IS '!BS59</f>
        <v>2.407826982492276</v>
      </c>
      <c r="G11" s="351">
        <f>'IS '!BX59</f>
        <v>2.7116182572614109</v>
      </c>
      <c r="H11" s="351">
        <f>'IS '!CC59</f>
        <v>3.1035940803382664</v>
      </c>
      <c r="I11" s="351">
        <f>'IS '!CH59</f>
        <v>2.0867678958785247</v>
      </c>
      <c r="J11" s="351">
        <f>'IS '!CM59</f>
        <v>2.2130242825607063</v>
      </c>
      <c r="K11" s="351">
        <f>'IS '!CR59</f>
        <v>2.2875855079006771</v>
      </c>
      <c r="L11" s="351">
        <f>'IS '!CW59</f>
        <v>2.4649999999999999</v>
      </c>
      <c r="M11" s="351">
        <f>'IS '!DB59</f>
        <v>2.9633802816901409</v>
      </c>
      <c r="N11" s="351">
        <f>'IS '!DG59</f>
        <v>3.2664860256897756</v>
      </c>
      <c r="O11" s="351">
        <f>'IS '!DL59</f>
        <v>3.7593701795013583</v>
      </c>
      <c r="P11" s="352">
        <f>'IS '!DQ59</f>
        <v>4.1303443239189077</v>
      </c>
    </row>
    <row r="12" spans="1:21" ht="13.5" thickBot="1" x14ac:dyDescent="0.25">
      <c r="B12" s="132"/>
      <c r="C12" s="347" t="s">
        <v>192</v>
      </c>
      <c r="D12" s="135"/>
      <c r="E12" s="135">
        <f t="shared" ref="E12:P12" si="3">E11/D11-1</f>
        <v>0.13208901434623521</v>
      </c>
      <c r="F12" s="135">
        <f t="shared" si="3"/>
        <v>0.10971415319061961</v>
      </c>
      <c r="G12" s="135">
        <f t="shared" si="3"/>
        <v>0.12616823259231391</v>
      </c>
      <c r="H12" s="135">
        <f t="shared" si="3"/>
        <v>0.14455420560294141</v>
      </c>
      <c r="I12" s="135">
        <f t="shared" si="3"/>
        <v>-0.32762860030617014</v>
      </c>
      <c r="J12" s="135">
        <f t="shared" si="3"/>
        <v>6.0503320437095276E-2</v>
      </c>
      <c r="K12" s="135">
        <f t="shared" si="3"/>
        <v>3.3692005066340958E-2</v>
      </c>
      <c r="L12" s="135">
        <f t="shared" si="3"/>
        <v>7.7555348854319472E-2</v>
      </c>
      <c r="M12" s="135">
        <f t="shared" si="3"/>
        <v>0.20218267005685231</v>
      </c>
      <c r="N12" s="135">
        <f t="shared" si="3"/>
        <v>0.10228378243333691</v>
      </c>
      <c r="O12" s="135">
        <f t="shared" si="3"/>
        <v>0.15089124825124633</v>
      </c>
      <c r="P12" s="348">
        <f t="shared" si="3"/>
        <v>9.8679865696746916E-2</v>
      </c>
    </row>
    <row r="13" spans="1:21" x14ac:dyDescent="0.2">
      <c r="A13" s="344" t="s">
        <v>182</v>
      </c>
      <c r="B13" s="346"/>
      <c r="C13" s="350" t="s">
        <v>194</v>
      </c>
      <c r="D13" s="138">
        <f>'IS '!BI103</f>
        <v>3.4615384615384617E-2</v>
      </c>
      <c r="E13" s="138">
        <f>'IS '!BN103</f>
        <v>-0.05</v>
      </c>
      <c r="F13" s="138">
        <f>'IS '!BS103</f>
        <v>0.01</v>
      </c>
      <c r="G13" s="138">
        <v>-0.01</v>
      </c>
      <c r="H13" s="138">
        <v>0.05</v>
      </c>
      <c r="I13" s="138">
        <f>'IS '!CH103</f>
        <v>0</v>
      </c>
      <c r="J13" s="138">
        <f>'IS '!CM103</f>
        <v>0</v>
      </c>
      <c r="K13" s="138">
        <f>'IS '!CR103</f>
        <v>0</v>
      </c>
      <c r="L13" s="138">
        <f>'IS '!CW103</f>
        <v>0</v>
      </c>
      <c r="M13" s="138">
        <f>'IS '!DB103</f>
        <v>0</v>
      </c>
      <c r="N13" s="138">
        <f>'IS '!DG103</f>
        <v>0</v>
      </c>
      <c r="O13" s="138">
        <f>'IS '!DL103</f>
        <v>0</v>
      </c>
      <c r="P13" s="353">
        <f>'IS '!DQ103</f>
        <v>0</v>
      </c>
    </row>
    <row r="14" spans="1:21" x14ac:dyDescent="0.2">
      <c r="A14" s="345" t="s">
        <v>184</v>
      </c>
      <c r="B14" s="346"/>
      <c r="C14" s="350" t="s">
        <v>195</v>
      </c>
      <c r="D14" s="354">
        <v>36292</v>
      </c>
      <c r="E14" s="354">
        <v>37080</v>
      </c>
      <c r="F14" s="354">
        <v>37890</v>
      </c>
      <c r="G14" s="354">
        <v>37587</v>
      </c>
      <c r="H14" s="354">
        <v>38535</v>
      </c>
      <c r="I14" s="354">
        <v>39895</v>
      </c>
      <c r="J14" s="354">
        <v>41011</v>
      </c>
      <c r="K14" s="354">
        <v>42450</v>
      </c>
      <c r="L14" s="354">
        <v>43675</v>
      </c>
      <c r="M14" s="354">
        <v>45084</v>
      </c>
      <c r="N14" s="354">
        <v>46899</v>
      </c>
      <c r="O14" s="354">
        <v>48844</v>
      </c>
      <c r="P14" s="355">
        <v>50935</v>
      </c>
      <c r="U14" s="714"/>
    </row>
    <row r="15" spans="1:21" x14ac:dyDescent="0.2">
      <c r="A15" s="345" t="s">
        <v>517</v>
      </c>
      <c r="B15" s="349"/>
      <c r="C15" s="347" t="s">
        <v>196</v>
      </c>
      <c r="D15" s="135"/>
      <c r="E15" s="135">
        <f t="shared" ref="E15:P15" si="4">E14/D14-1</f>
        <v>2.1712774165105309E-2</v>
      </c>
      <c r="F15" s="135">
        <f t="shared" si="4"/>
        <v>2.1844660194174859E-2</v>
      </c>
      <c r="G15" s="135">
        <f t="shared" si="4"/>
        <v>-7.9968329374504599E-3</v>
      </c>
      <c r="H15" s="135">
        <f t="shared" si="4"/>
        <v>2.5221486152127159E-2</v>
      </c>
      <c r="I15" s="135">
        <f t="shared" si="4"/>
        <v>3.5292591150901886E-2</v>
      </c>
      <c r="J15" s="135">
        <f t="shared" si="4"/>
        <v>2.7973430254417897E-2</v>
      </c>
      <c r="K15" s="135">
        <f t="shared" si="4"/>
        <v>3.5088147082489973E-2</v>
      </c>
      <c r="L15" s="135">
        <f t="shared" si="4"/>
        <v>2.8857479387514706E-2</v>
      </c>
      <c r="M15" s="135">
        <f t="shared" si="4"/>
        <v>3.2261018889524928E-2</v>
      </c>
      <c r="N15" s="135">
        <f t="shared" si="4"/>
        <v>4.0258184721852608E-2</v>
      </c>
      <c r="O15" s="135">
        <f t="shared" si="4"/>
        <v>4.1472099618328651E-2</v>
      </c>
      <c r="P15" s="348">
        <f t="shared" si="4"/>
        <v>4.2809761690279169E-2</v>
      </c>
    </row>
    <row r="16" spans="1:21" x14ac:dyDescent="0.2">
      <c r="A16" s="345" t="s">
        <v>186</v>
      </c>
      <c r="B16" s="346"/>
      <c r="C16" s="350" t="s">
        <v>9</v>
      </c>
      <c r="D16" s="151">
        <f>CF!BI75</f>
        <v>534</v>
      </c>
      <c r="E16" s="151">
        <f>CF!BN75</f>
        <v>607</v>
      </c>
      <c r="F16" s="151">
        <f>CF!BS75</f>
        <v>1172</v>
      </c>
      <c r="G16" s="151">
        <f>CF!BX75</f>
        <v>1230</v>
      </c>
      <c r="H16" s="151">
        <f>CF!CC75</f>
        <v>929</v>
      </c>
      <c r="I16" s="151">
        <f>CF!CH75</f>
        <v>808</v>
      </c>
      <c r="J16" s="151">
        <f>CF!CM75</f>
        <v>709</v>
      </c>
      <c r="K16" s="151">
        <f>CF!CR75</f>
        <v>833</v>
      </c>
      <c r="L16" s="151">
        <f>CF!CW75</f>
        <v>782</v>
      </c>
      <c r="M16" s="151">
        <f>CF!DB75</f>
        <v>712</v>
      </c>
      <c r="N16" s="151">
        <f>CF!DG75</f>
        <v>1324.6326911088599</v>
      </c>
      <c r="O16" s="151">
        <f>CF!DL75</f>
        <v>1317.2645732329252</v>
      </c>
      <c r="P16" s="518">
        <f>CF!DQ75</f>
        <v>1441.1596782608908</v>
      </c>
    </row>
    <row r="17" spans="1:20" x14ac:dyDescent="0.2">
      <c r="A17" s="345" t="s">
        <v>188</v>
      </c>
      <c r="B17" s="346"/>
      <c r="C17" s="350" t="s">
        <v>410</v>
      </c>
      <c r="D17" s="138">
        <f t="shared" ref="D17:P17" si="5">D16/D5</f>
        <v>4.7294305198830926E-2</v>
      </c>
      <c r="E17" s="138">
        <f t="shared" si="5"/>
        <v>5.601698043558509E-2</v>
      </c>
      <c r="F17" s="138">
        <f t="shared" si="5"/>
        <v>0.10332363572247201</v>
      </c>
      <c r="G17" s="138">
        <f t="shared" si="5"/>
        <v>9.7418026294946933E-2</v>
      </c>
      <c r="H17" s="138">
        <f t="shared" si="5"/>
        <v>6.8143475390596342E-2</v>
      </c>
      <c r="I17" s="138">
        <f t="shared" si="5"/>
        <v>0.1259155368552283</v>
      </c>
      <c r="J17" s="138">
        <f t="shared" si="5"/>
        <v>0.10763625322605132</v>
      </c>
      <c r="K17" s="138">
        <f t="shared" si="5"/>
        <v>0.12972489445641766</v>
      </c>
      <c r="L17" s="138">
        <f t="shared" si="5"/>
        <v>0.12301400031461381</v>
      </c>
      <c r="M17" s="138">
        <f t="shared" si="5"/>
        <v>0.12112963593058863</v>
      </c>
      <c r="N17" s="138">
        <f t="shared" si="5"/>
        <v>0.29446845327924914</v>
      </c>
      <c r="O17" s="138">
        <f t="shared" si="5"/>
        <v>0.31246877249640986</v>
      </c>
      <c r="P17" s="353">
        <f t="shared" si="5"/>
        <v>0.33769591761879364</v>
      </c>
    </row>
    <row r="18" spans="1:20" x14ac:dyDescent="0.2">
      <c r="A18" s="345" t="s">
        <v>190</v>
      </c>
      <c r="B18" s="346"/>
      <c r="C18" s="350" t="s">
        <v>590</v>
      </c>
      <c r="D18" s="151">
        <f>-CF!BI61</f>
        <v>322</v>
      </c>
      <c r="E18" s="151">
        <f>-CF!BN61</f>
        <v>362</v>
      </c>
      <c r="F18" s="151">
        <f>-CF!BS61</f>
        <v>412</v>
      </c>
      <c r="G18" s="151">
        <f>-CF!BX61</f>
        <v>481</v>
      </c>
      <c r="H18" s="151">
        <f>-CF!CC61</f>
        <v>544</v>
      </c>
      <c r="I18" s="151">
        <f>-CF!CH61</f>
        <v>615</v>
      </c>
      <c r="J18" s="151">
        <f>-CF!CM61</f>
        <v>669</v>
      </c>
      <c r="K18" s="151">
        <f>-CF!CR61</f>
        <v>730</v>
      </c>
      <c r="L18" s="151">
        <f>-CF!CW61</f>
        <v>744</v>
      </c>
      <c r="M18" s="151">
        <f>-CF!DB61</f>
        <v>416</v>
      </c>
      <c r="N18" s="151">
        <f>-CF!DG61</f>
        <v>478.00400690605602</v>
      </c>
      <c r="O18" s="151">
        <f>-CF!DL61</f>
        <v>497.78131769280543</v>
      </c>
      <c r="P18" s="518">
        <f>-CF!DQ61</f>
        <v>532.90104452851153</v>
      </c>
    </row>
    <row r="19" spans="1:20" ht="13.5" thickBot="1" x14ac:dyDescent="0.25">
      <c r="A19" s="345" t="s">
        <v>191</v>
      </c>
      <c r="B19" s="346"/>
      <c r="C19" s="527" t="s">
        <v>380</v>
      </c>
      <c r="D19" s="519">
        <f>'IS '!BI227</f>
        <v>644</v>
      </c>
      <c r="E19" s="519">
        <f>'IS '!BN227</f>
        <v>664</v>
      </c>
      <c r="F19" s="519">
        <f>'IS '!BS227</f>
        <v>723</v>
      </c>
      <c r="G19" s="519">
        <f>'IS '!BX227</f>
        <v>858</v>
      </c>
      <c r="H19" s="519">
        <f>'IS '!CC227</f>
        <v>851</v>
      </c>
      <c r="I19" s="519">
        <f>'IS '!CH227</f>
        <v>892</v>
      </c>
      <c r="J19" s="519">
        <f>'IS '!CM227</f>
        <v>906</v>
      </c>
      <c r="K19" s="519">
        <f>'IS '!CR227</f>
        <v>255</v>
      </c>
      <c r="L19" s="519">
        <f>'IS '!CW227</f>
        <v>242</v>
      </c>
      <c r="M19" s="519">
        <f>'IS '!DB227</f>
        <v>242</v>
      </c>
      <c r="N19" s="519">
        <f>'IS '!DG227</f>
        <v>242</v>
      </c>
      <c r="O19" s="519">
        <f>'IS '!DL227</f>
        <v>242</v>
      </c>
      <c r="P19" s="520">
        <f>'IS '!DQ227</f>
        <v>242</v>
      </c>
      <c r="Q19" s="717"/>
      <c r="R19" s="151"/>
      <c r="S19" s="151"/>
      <c r="T19" s="37"/>
    </row>
    <row r="20" spans="1:20" x14ac:dyDescent="0.2">
      <c r="A20" s="345" t="s">
        <v>193</v>
      </c>
      <c r="B20" s="38"/>
      <c r="C20" s="1316"/>
      <c r="D20" s="1154"/>
      <c r="E20" s="1154"/>
      <c r="F20" s="1154"/>
      <c r="G20" s="1154"/>
      <c r="H20" s="1154"/>
      <c r="I20" s="1154"/>
      <c r="J20" s="1154"/>
      <c r="K20" s="1155"/>
      <c r="L20" s="1155"/>
      <c r="M20" s="1155"/>
      <c r="N20" s="1155"/>
      <c r="O20" s="1155"/>
      <c r="P20" s="1155"/>
    </row>
    <row r="21" spans="1:20" ht="13.5" thickBot="1" x14ac:dyDescent="0.25">
      <c r="A21" s="407" t="s">
        <v>262</v>
      </c>
      <c r="B21" s="356"/>
      <c r="C21" s="18"/>
      <c r="D21" s="1154"/>
      <c r="E21" s="1154"/>
      <c r="F21" s="1154"/>
      <c r="G21" s="11"/>
      <c r="H21" s="1154"/>
      <c r="I21" s="1154"/>
      <c r="J21" s="1154"/>
      <c r="K21" s="807"/>
      <c r="L21" s="807"/>
      <c r="M21" s="807"/>
      <c r="N21" s="807"/>
      <c r="O21" s="807"/>
      <c r="P21" s="807"/>
    </row>
    <row r="22" spans="1:20" x14ac:dyDescent="0.2">
      <c r="A22" s="356"/>
      <c r="B22" s="38"/>
      <c r="C22" s="38"/>
      <c r="D22" s="357"/>
      <c r="E22" s="357"/>
      <c r="F22" s="357"/>
      <c r="G22" s="357"/>
      <c r="H22" s="357"/>
      <c r="I22" s="357"/>
      <c r="J22" s="357"/>
    </row>
    <row r="23" spans="1:20" ht="12.75" customHeight="1" thickBot="1" x14ac:dyDescent="0.25">
      <c r="A23" s="38"/>
      <c r="B23" s="38"/>
      <c r="C23" s="500" t="s">
        <v>266</v>
      </c>
      <c r="D23" s="501"/>
      <c r="E23" s="135"/>
      <c r="F23" s="135"/>
      <c r="G23" s="135"/>
      <c r="H23" s="135"/>
      <c r="I23" s="135"/>
      <c r="J23" s="135"/>
    </row>
    <row r="24" spans="1:20" x14ac:dyDescent="0.2">
      <c r="A24" s="38"/>
      <c r="B24" s="38"/>
      <c r="C24" s="635"/>
      <c r="D24" s="636"/>
      <c r="E24" s="636"/>
      <c r="F24" s="636"/>
      <c r="G24" s="636"/>
      <c r="H24" s="636"/>
      <c r="I24" s="636">
        <f>I4</f>
        <v>2013</v>
      </c>
      <c r="J24" s="636">
        <f t="shared" ref="J24:K24" si="6">J4</f>
        <v>2014</v>
      </c>
      <c r="K24" s="636">
        <f t="shared" si="6"/>
        <v>2015</v>
      </c>
      <c r="L24" s="706">
        <v>2016</v>
      </c>
      <c r="M24" s="706" t="s">
        <v>317</v>
      </c>
      <c r="N24" s="706" t="s">
        <v>318</v>
      </c>
      <c r="O24" s="706" t="s">
        <v>507</v>
      </c>
      <c r="P24" s="707" t="s">
        <v>512</v>
      </c>
    </row>
    <row r="25" spans="1:20" x14ac:dyDescent="0.2">
      <c r="A25" s="38"/>
      <c r="B25" s="38"/>
      <c r="C25" s="502" t="s">
        <v>267</v>
      </c>
      <c r="D25" s="715">
        <v>81.680000000000007</v>
      </c>
      <c r="E25" s="715"/>
      <c r="F25" s="715"/>
      <c r="G25" s="503"/>
      <c r="H25" s="503"/>
      <c r="I25" s="503"/>
      <c r="J25" s="503"/>
      <c r="K25" s="503"/>
      <c r="L25" s="503"/>
      <c r="M25" s="503"/>
      <c r="N25" s="503"/>
      <c r="O25" s="503"/>
      <c r="P25" s="504"/>
    </row>
    <row r="26" spans="1:20" x14ac:dyDescent="0.2">
      <c r="A26" s="38"/>
      <c r="B26" s="37"/>
      <c r="C26" s="502" t="s">
        <v>64</v>
      </c>
      <c r="D26" s="505">
        <f>'IS '!DA65</f>
        <v>345</v>
      </c>
      <c r="E26" s="1084"/>
      <c r="F26" s="1084"/>
      <c r="G26" s="506"/>
      <c r="H26" s="506"/>
      <c r="I26" s="506"/>
      <c r="J26" s="506"/>
      <c r="K26" s="506"/>
      <c r="L26" s="506"/>
      <c r="M26" s="506"/>
      <c r="N26" s="506"/>
      <c r="O26" s="506"/>
      <c r="P26" s="507"/>
    </row>
    <row r="27" spans="1:20" x14ac:dyDescent="0.2">
      <c r="A27" s="37"/>
      <c r="B27" s="37"/>
      <c r="C27" s="502" t="s">
        <v>65</v>
      </c>
      <c r="D27" s="505">
        <f>D26*D25</f>
        <v>28179.600000000002</v>
      </c>
      <c r="E27" s="1084"/>
      <c r="F27" s="1084"/>
      <c r="G27" s="506"/>
      <c r="H27" s="506"/>
      <c r="I27" s="506"/>
      <c r="J27" s="506"/>
      <c r="K27" s="506"/>
      <c r="L27" s="506"/>
      <c r="M27" s="506"/>
      <c r="N27" s="506"/>
      <c r="O27" s="506"/>
      <c r="P27" s="507"/>
    </row>
    <row r="28" spans="1:20" x14ac:dyDescent="0.2">
      <c r="A28" s="37"/>
      <c r="B28" s="37"/>
      <c r="C28" s="502" t="s">
        <v>66</v>
      </c>
      <c r="D28" s="508">
        <f>BS!DC38-BS!DC12</f>
        <v>7830</v>
      </c>
      <c r="E28" s="1085"/>
      <c r="F28" s="1083"/>
      <c r="G28" s="503"/>
      <c r="H28" s="503"/>
      <c r="I28" s="503"/>
      <c r="J28" s="503"/>
      <c r="K28" s="503"/>
      <c r="L28" s="503"/>
      <c r="M28" s="503"/>
      <c r="N28" s="503"/>
      <c r="O28" s="503"/>
      <c r="P28" s="504"/>
    </row>
    <row r="29" spans="1:20" x14ac:dyDescent="0.2">
      <c r="A29" s="37"/>
      <c r="B29" s="37"/>
      <c r="C29" s="502" t="s">
        <v>67</v>
      </c>
      <c r="D29" s="508">
        <f>D28+D27</f>
        <v>36009.600000000006</v>
      </c>
      <c r="E29" s="1085"/>
      <c r="F29" s="1085"/>
      <c r="G29" s="503"/>
      <c r="H29" s="503"/>
      <c r="I29" s="503"/>
      <c r="J29" s="503"/>
      <c r="K29" s="503"/>
      <c r="L29" s="503"/>
      <c r="M29" s="503"/>
      <c r="N29" s="503"/>
      <c r="O29" s="503"/>
      <c r="P29" s="504"/>
    </row>
    <row r="30" spans="1:20" x14ac:dyDescent="0.2">
      <c r="A30" s="37"/>
      <c r="B30" s="37"/>
      <c r="C30" s="509" t="s">
        <v>68</v>
      </c>
      <c r="D30" s="1325"/>
      <c r="E30" s="31"/>
      <c r="F30" s="1326"/>
      <c r="G30" s="510"/>
      <c r="H30" s="510"/>
      <c r="I30" s="510">
        <f>$D$29/I9</f>
        <v>16.308695652173917</v>
      </c>
      <c r="J30" s="510">
        <f t="shared" ref="J30:P30" si="7">$D$29/J9</f>
        <v>16.012094801903157</v>
      </c>
      <c r="K30" s="510">
        <f t="shared" si="7"/>
        <v>21.116519799376178</v>
      </c>
      <c r="L30" s="510">
        <f t="shared" si="7"/>
        <v>18.031847771657489</v>
      </c>
      <c r="M30" s="510">
        <f t="shared" si="7"/>
        <v>11.947445255474454</v>
      </c>
      <c r="N30" s="510">
        <f t="shared" si="7"/>
        <v>18.970387878448282</v>
      </c>
      <c r="O30" s="510">
        <f t="shared" si="7"/>
        <v>17.443301694790126</v>
      </c>
      <c r="P30" s="511">
        <f t="shared" si="7"/>
        <v>16.690089822396555</v>
      </c>
    </row>
    <row r="31" spans="1:20" x14ac:dyDescent="0.2">
      <c r="A31" s="37"/>
      <c r="B31" s="37"/>
      <c r="C31" s="521" t="s">
        <v>10</v>
      </c>
      <c r="D31" s="522"/>
      <c r="E31" s="522"/>
      <c r="F31" s="522"/>
      <c r="G31" s="522"/>
      <c r="H31" s="522"/>
      <c r="I31" s="522">
        <f>($D$29+(8*I19))/(I19+I9)</f>
        <v>13.91793548387097</v>
      </c>
      <c r="J31" s="522">
        <f t="shared" ref="J31:P31" si="8">($D$29+(8*J19))/(J19+J9)</f>
        <v>13.711242828615807</v>
      </c>
      <c r="K31" s="522">
        <f t="shared" si="8"/>
        <v>19.410278424368755</v>
      </c>
      <c r="L31" s="522">
        <f t="shared" si="8"/>
        <v>16.947565877623941</v>
      </c>
      <c r="M31" s="522">
        <f t="shared" si="8"/>
        <v>11.654054054054056</v>
      </c>
      <c r="N31" s="522">
        <f t="shared" si="8"/>
        <v>17.729927533432143</v>
      </c>
      <c r="O31" s="522">
        <f t="shared" si="8"/>
        <v>16.452450582126563</v>
      </c>
      <c r="P31" s="523">
        <f t="shared" si="8"/>
        <v>15.813672510301631</v>
      </c>
    </row>
    <row r="32" spans="1:20" x14ac:dyDescent="0.2">
      <c r="A32" s="37"/>
      <c r="B32" s="37"/>
      <c r="C32" s="521" t="s">
        <v>12</v>
      </c>
      <c r="D32" s="522"/>
      <c r="E32" s="522"/>
      <c r="F32" s="522"/>
      <c r="G32" s="522"/>
      <c r="H32" s="522"/>
      <c r="I32" s="522">
        <f>($D$28+(8*I19))/(I9+I19)</f>
        <v>4.8277419354838713</v>
      </c>
      <c r="J32" s="522">
        <f t="shared" ref="J32:P32" si="9">($D$28+(8*J19))/(J9+J19)</f>
        <v>4.7792323053028625</v>
      </c>
      <c r="K32" s="522">
        <f t="shared" si="9"/>
        <v>5.0349924322074235</v>
      </c>
      <c r="L32" s="522">
        <f t="shared" si="9"/>
        <v>4.3617686467172847</v>
      </c>
      <c r="M32" s="522">
        <f t="shared" si="9"/>
        <v>2.9993857493857492</v>
      </c>
      <c r="N32" s="522">
        <f t="shared" si="9"/>
        <v>4.5631238481272742</v>
      </c>
      <c r="O32" s="522">
        <f t="shared" si="9"/>
        <v>4.2343415938883036</v>
      </c>
      <c r="P32" s="523">
        <f t="shared" si="9"/>
        <v>4.0699402759636349</v>
      </c>
    </row>
    <row r="33" spans="1:16" x14ac:dyDescent="0.2">
      <c r="A33" s="37"/>
      <c r="B33" s="37"/>
      <c r="C33" s="509" t="s">
        <v>13</v>
      </c>
      <c r="D33" s="103"/>
      <c r="E33" s="103"/>
      <c r="F33" s="103"/>
      <c r="G33" s="103"/>
      <c r="H33" s="103"/>
      <c r="I33" s="103">
        <f>I16/$D$27</f>
        <v>2.8673224602194493E-2</v>
      </c>
      <c r="J33" s="103">
        <f>J16/$D$27</f>
        <v>2.5160044855143435E-2</v>
      </c>
      <c r="K33" s="103">
        <f t="shared" ref="K33:P33" si="10">K16/$D$27</f>
        <v>2.9560391204985163E-2</v>
      </c>
      <c r="L33" s="103">
        <f t="shared" si="10"/>
        <v>2.7750571335292195E-2</v>
      </c>
      <c r="M33" s="103">
        <f t="shared" si="10"/>
        <v>2.5266504847478315E-2</v>
      </c>
      <c r="N33" s="103">
        <f t="shared" si="10"/>
        <v>4.7006795380660472E-2</v>
      </c>
      <c r="O33" s="103">
        <f t="shared" si="10"/>
        <v>4.6745325456462303E-2</v>
      </c>
      <c r="P33" s="366">
        <f t="shared" si="10"/>
        <v>5.1141949433664451E-2</v>
      </c>
    </row>
    <row r="34" spans="1:16" x14ac:dyDescent="0.2">
      <c r="A34" s="37"/>
      <c r="B34" s="37"/>
      <c r="C34" s="521" t="s">
        <v>341</v>
      </c>
      <c r="D34" s="16"/>
      <c r="E34" s="16"/>
      <c r="F34" s="16"/>
      <c r="G34" s="16"/>
      <c r="H34" s="16"/>
      <c r="I34" s="16">
        <f>I16/$D$29</f>
        <v>2.243846085488314E-2</v>
      </c>
      <c r="J34" s="16">
        <f t="shared" ref="J34:P34" si="11">J16/$D$29</f>
        <v>1.9689193992713051E-2</v>
      </c>
      <c r="K34" s="16">
        <f t="shared" si="11"/>
        <v>2.3132720163511949E-2</v>
      </c>
      <c r="L34" s="16">
        <f t="shared" si="11"/>
        <v>2.1716431173909177E-2</v>
      </c>
      <c r="M34" s="16">
        <f t="shared" si="11"/>
        <v>1.9772505109748508E-2</v>
      </c>
      <c r="N34" s="16">
        <f t="shared" si="11"/>
        <v>3.6785543052654288E-2</v>
      </c>
      <c r="O34" s="16">
        <f t="shared" si="11"/>
        <v>3.6580927675756603E-2</v>
      </c>
      <c r="P34" s="359">
        <f t="shared" si="11"/>
        <v>4.0021540874124975E-2</v>
      </c>
    </row>
    <row r="35" spans="1:16" x14ac:dyDescent="0.2">
      <c r="A35" s="37"/>
      <c r="B35" s="37"/>
      <c r="C35" s="521" t="s">
        <v>14</v>
      </c>
      <c r="D35" s="16"/>
      <c r="E35" s="16"/>
      <c r="F35" s="16"/>
      <c r="G35" s="16"/>
      <c r="H35" s="16"/>
      <c r="I35" s="16">
        <f>I18/$D$27</f>
        <v>2.182429842865051E-2</v>
      </c>
      <c r="J35" s="16">
        <f>J18/$D$27</f>
        <v>2.3740578290678362E-2</v>
      </c>
      <c r="K35" s="16">
        <f t="shared" ref="K35:P35" si="12">K18/$D$27</f>
        <v>2.5905264801487599E-2</v>
      </c>
      <c r="L35" s="16">
        <f t="shared" si="12"/>
        <v>2.6402078099050375E-2</v>
      </c>
      <c r="M35" s="16">
        <f t="shared" si="12"/>
        <v>1.4762452270436769E-2</v>
      </c>
      <c r="N35" s="16">
        <f t="shared" si="12"/>
        <v>1.696276763708697E-2</v>
      </c>
      <c r="O35" s="16">
        <f t="shared" si="12"/>
        <v>1.7664598422007603E-2</v>
      </c>
      <c r="P35" s="359">
        <f t="shared" si="12"/>
        <v>1.891088037191839E-2</v>
      </c>
    </row>
    <row r="36" spans="1:16" x14ac:dyDescent="0.2">
      <c r="A36" s="37"/>
      <c r="B36" s="37"/>
      <c r="C36" s="521" t="s">
        <v>11</v>
      </c>
      <c r="D36" s="524"/>
      <c r="E36" s="524"/>
      <c r="F36" s="524"/>
      <c r="G36" s="524"/>
      <c r="H36" s="524"/>
      <c r="I36" s="524">
        <f t="shared" ref="I36:O36" si="13">$D$27/I5</f>
        <v>4.3913978494623658</v>
      </c>
      <c r="J36" s="524">
        <f t="shared" si="13"/>
        <v>4.2780628510702901</v>
      </c>
      <c r="K36" s="524">
        <f t="shared" si="13"/>
        <v>4.3884701510493</v>
      </c>
      <c r="L36" s="524">
        <f t="shared" si="13"/>
        <v>4.4328456819254365</v>
      </c>
      <c r="M36" s="524">
        <f t="shared" si="13"/>
        <v>4.7940796189179995</v>
      </c>
      <c r="N36" s="524">
        <f t="shared" si="13"/>
        <v>6.2643805197662825</v>
      </c>
      <c r="O36" s="524">
        <f t="shared" si="13"/>
        <v>6.6844923945911408</v>
      </c>
      <c r="P36" s="525">
        <f>$D$27/P5</f>
        <v>6.6031099979247871</v>
      </c>
    </row>
    <row r="37" spans="1:16" x14ac:dyDescent="0.2">
      <c r="A37" s="37"/>
      <c r="B37" s="37"/>
      <c r="C37" s="509" t="s">
        <v>365</v>
      </c>
      <c r="D37" s="510"/>
      <c r="E37" s="510"/>
      <c r="F37" s="510"/>
      <c r="G37" s="510"/>
      <c r="H37" s="510"/>
      <c r="I37" s="510">
        <f t="shared" ref="I37:P37" si="14">$D$25/I11</f>
        <v>39.141871101871111</v>
      </c>
      <c r="J37" s="510">
        <f t="shared" si="14"/>
        <v>36.908768079800502</v>
      </c>
      <c r="K37" s="510">
        <f t="shared" si="14"/>
        <v>35.705769125525691</v>
      </c>
      <c r="L37" s="510">
        <f t="shared" si="14"/>
        <v>33.135902636916839</v>
      </c>
      <c r="M37" s="510">
        <f t="shared" si="14"/>
        <v>27.563117870722436</v>
      </c>
      <c r="N37" s="510">
        <f>$D$25/N11</f>
        <v>25.005464391280182</v>
      </c>
      <c r="O37" s="510">
        <f t="shared" si="14"/>
        <v>21.727043653581891</v>
      </c>
      <c r="P37" s="511">
        <f t="shared" si="14"/>
        <v>19.775590990559667</v>
      </c>
    </row>
    <row r="38" spans="1:16" ht="13.5" thickBot="1" x14ac:dyDescent="0.25">
      <c r="A38" s="37"/>
      <c r="B38" s="358"/>
      <c r="C38" s="527" t="s">
        <v>342</v>
      </c>
      <c r="D38" s="528"/>
      <c r="E38" s="528"/>
      <c r="F38" s="528"/>
      <c r="G38" s="528"/>
      <c r="H38" s="528"/>
      <c r="I38" s="528">
        <f t="shared" ref="I38:P38" si="15">$D$29/I16</f>
        <v>44.566336633663376</v>
      </c>
      <c r="J38" s="528">
        <f t="shared" si="15"/>
        <v>50.789280677009884</v>
      </c>
      <c r="K38" s="528">
        <f t="shared" si="15"/>
        <v>43.228811524609853</v>
      </c>
      <c r="L38" s="528">
        <f t="shared" si="15"/>
        <v>46.048081841432236</v>
      </c>
      <c r="M38" s="528">
        <f t="shared" si="15"/>
        <v>50.575280898876414</v>
      </c>
      <c r="N38" s="528">
        <f t="shared" si="15"/>
        <v>27.184592560414693</v>
      </c>
      <c r="O38" s="528">
        <f t="shared" si="15"/>
        <v>27.336649547647564</v>
      </c>
      <c r="P38" s="529">
        <f t="shared" si="15"/>
        <v>24.986544199914292</v>
      </c>
    </row>
    <row r="39" spans="1:16" x14ac:dyDescent="0.2">
      <c r="A39" s="55"/>
      <c r="C39" s="1316"/>
      <c r="L39" s="1156"/>
      <c r="M39" s="1156"/>
      <c r="N39" s="1156"/>
      <c r="O39" s="1156"/>
      <c r="P39" s="1156"/>
    </row>
    <row r="40" spans="1:16" x14ac:dyDescent="0.2">
      <c r="C40" s="18"/>
      <c r="L40" s="1156"/>
      <c r="M40" s="1156"/>
      <c r="N40" s="1156"/>
      <c r="O40" s="1156"/>
      <c r="P40" s="1156"/>
    </row>
    <row r="41" spans="1:16" x14ac:dyDescent="0.2">
      <c r="M41" s="1157"/>
    </row>
    <row r="42" spans="1:16" x14ac:dyDescent="0.2">
      <c r="M42" s="1158"/>
    </row>
    <row r="43" spans="1:16" ht="11.25" customHeight="1" x14ac:dyDescent="0.2"/>
    <row r="46" spans="1:16" ht="13.5" customHeight="1" x14ac:dyDescent="0.2"/>
  </sheetData>
  <hyperlinks>
    <hyperlink ref="A14" location="IS!A1" display="Income Statement"/>
    <hyperlink ref="A18" location="SSS!A1" display="Same-store Sales"/>
    <hyperlink ref="A19" r:id="rId1" location="'Rev Drivers'!A1"/>
    <hyperlink ref="A15" r:id="rId2" location="BS!A1"/>
    <hyperlink ref="A16" r:id="rId3" location="'Cash Flow'!A1"/>
    <hyperlink ref="A20" r:id="rId4" location="'Sales &amp; Profits by Region'!A1"/>
    <hyperlink ref="A17" r:id="rId5" location="Units!A1"/>
    <hyperlink ref="A21" location="Guidance!Print_Area" display="Guidance History"/>
    <hyperlink ref="A7" r:id="rId6"/>
    <hyperlink ref="A11" r:id="rId7"/>
  </hyperlinks>
  <pageMargins left="0.75" right="0.75" top="1" bottom="1" header="0.5" footer="0.5"/>
  <pageSetup scale="89" orientation="landscape" r:id="rId8"/>
  <headerFooter alignWithMargins="0"/>
  <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Y233"/>
  <sheetViews>
    <sheetView showGridLines="0" zoomScaleNormal="100" workbookViewId="0">
      <pane xSplit="1" ySplit="9" topLeftCell="B10" activePane="bottomRight" state="frozen"/>
      <selection activeCell="E25" sqref="E25"/>
      <selection pane="topRight" activeCell="E25" sqref="E25"/>
      <selection pane="bottomLeft" activeCell="E25" sqref="E25"/>
      <selection pane="bottomRight" activeCell="A8" sqref="A8:DL130"/>
    </sheetView>
  </sheetViews>
  <sheetFormatPr defaultRowHeight="12.75" outlineLevelRow="2" outlineLevelCol="3" x14ac:dyDescent="0.2"/>
  <cols>
    <col min="1" max="1" width="39" customWidth="1"/>
    <col min="2" max="65" width="8.5703125" hidden="1" customWidth="1" outlineLevel="3"/>
    <col min="66" max="66" width="8.5703125" hidden="1" customWidth="1" outlineLevel="3" collapsed="1"/>
    <col min="67" max="71" width="8.5703125" hidden="1" customWidth="1" outlineLevel="3"/>
    <col min="72" max="72" width="8.5703125" hidden="1" customWidth="1" outlineLevel="2" collapsed="1"/>
    <col min="73" max="80" width="8.5703125" hidden="1" customWidth="1" outlineLevel="2"/>
    <col min="81" max="81" width="8.5703125" hidden="1" customWidth="1" outlineLevel="1"/>
    <col min="82" max="85" width="8.5703125" hidden="1" customWidth="1" outlineLevel="2"/>
    <col min="86" max="86" width="8.5703125" customWidth="1" collapsed="1"/>
    <col min="87" max="90" width="8.5703125" hidden="1" customWidth="1" outlineLevel="1"/>
    <col min="91" max="91" width="8.5703125" customWidth="1" collapsed="1"/>
    <col min="92" max="92" width="8.5703125" style="853" hidden="1" customWidth="1" outlineLevel="2"/>
    <col min="93" max="93" width="8.5703125" style="844" hidden="1" customWidth="1" outlineLevel="2"/>
    <col min="94" max="94" width="8.5703125" hidden="1" customWidth="1" outlineLevel="2"/>
    <col min="95" max="95" width="8.5703125" style="1021" hidden="1" customWidth="1" outlineLevel="2"/>
    <col min="96" max="96" width="8.5703125" style="1021" customWidth="1" collapsed="1"/>
    <col min="97" max="99" width="8.5703125" style="981" hidden="1" customWidth="1" outlineLevel="1"/>
    <col min="100" max="100" width="8.7109375" hidden="1" customWidth="1" outlineLevel="1"/>
    <col min="101" max="101" width="8.5703125" customWidth="1" collapsed="1"/>
    <col min="102" max="104" width="8.5703125" style="844" customWidth="1" outlineLevel="1"/>
    <col min="105" max="105" width="8.7109375" style="844" customWidth="1" outlineLevel="1"/>
    <col min="106" max="106" width="8.5703125" style="844" customWidth="1"/>
    <col min="107" max="109" width="8.5703125" customWidth="1" outlineLevel="2"/>
    <col min="110" max="110" width="8.7109375" customWidth="1" outlineLevel="2"/>
    <col min="111" max="111" width="8.5703125" customWidth="1" outlineLevel="1"/>
    <col min="112" max="115" width="8.5703125" hidden="1" customWidth="1" outlineLevel="2"/>
    <col min="116" max="116" width="8.5703125" customWidth="1" outlineLevel="1" collapsed="1"/>
    <col min="117" max="120" width="8.5703125" hidden="1" customWidth="1" outlineLevel="2"/>
    <col min="121" max="121" width="8.5703125" customWidth="1" outlineLevel="1" collapsed="1"/>
    <col min="122" max="125" width="8.5703125" style="2152" hidden="1" customWidth="1" outlineLevel="2"/>
    <col min="126" max="126" width="8.5703125" style="2152" customWidth="1" outlineLevel="1" collapsed="1"/>
    <col min="127" max="130" width="8.5703125" style="2152" hidden="1" customWidth="1" outlineLevel="2"/>
    <col min="131" max="131" width="8.5703125" style="2152" customWidth="1" outlineLevel="1" collapsed="1"/>
    <col min="132" max="132" width="8.5703125" customWidth="1"/>
    <col min="133" max="133" width="41.7109375" customWidth="1"/>
    <col min="134" max="138" width="8.5703125" style="704" customWidth="1"/>
    <col min="139" max="139" width="8.5703125" customWidth="1"/>
    <col min="140" max="140" width="8.5703125" hidden="1" customWidth="1" outlineLevel="1"/>
    <col min="141" max="141" width="8.5703125" customWidth="1" collapsed="1"/>
    <col min="142" max="146" width="8.5703125" customWidth="1"/>
    <col min="147" max="147" width="9.140625" hidden="1" customWidth="1" outlineLevel="1"/>
    <col min="148" max="148" width="9.140625" collapsed="1"/>
  </cols>
  <sheetData>
    <row r="1" spans="1:259" s="337" customFormat="1" ht="51" customHeight="1" x14ac:dyDescent="0.2">
      <c r="A1" s="18"/>
      <c r="B1" s="11"/>
      <c r="C1" s="11"/>
      <c r="D1" s="11"/>
      <c r="E1" s="11"/>
      <c r="F1" s="11"/>
      <c r="G1" s="11"/>
      <c r="H1" s="11"/>
      <c r="I1" s="11"/>
      <c r="J1" s="39"/>
      <c r="K1" s="11"/>
      <c r="L1" s="11"/>
      <c r="M1" s="11"/>
      <c r="N1" s="11"/>
      <c r="O1" s="11"/>
      <c r="P1" s="11"/>
      <c r="Q1" s="11"/>
      <c r="R1" s="11"/>
      <c r="S1" s="11"/>
      <c r="T1" s="40"/>
      <c r="U1" s="11"/>
      <c r="V1" s="11"/>
      <c r="W1" s="11"/>
      <c r="X1" s="11"/>
      <c r="Y1" s="11"/>
      <c r="Z1" s="29"/>
      <c r="AA1" s="11"/>
      <c r="AB1" s="11"/>
      <c r="AC1" s="11"/>
      <c r="AD1" s="11"/>
      <c r="AE1" s="29"/>
      <c r="AF1" s="11"/>
      <c r="AG1" s="11"/>
      <c r="AH1" s="11"/>
      <c r="AI1" s="11"/>
      <c r="AJ1" s="29"/>
      <c r="AK1" s="11"/>
      <c r="AL1" s="11"/>
      <c r="AM1" s="11"/>
      <c r="AN1" s="11"/>
      <c r="AO1" s="11"/>
      <c r="AP1" s="11"/>
      <c r="AQ1" s="11"/>
      <c r="AR1" s="11"/>
      <c r="AS1" s="11"/>
      <c r="AT1" s="11"/>
      <c r="AU1" s="11"/>
      <c r="AV1" s="11"/>
      <c r="AW1" s="11"/>
      <c r="AX1" s="11"/>
      <c r="AY1" s="41"/>
      <c r="AZ1" s="11"/>
      <c r="BA1" s="11"/>
      <c r="BB1" s="11"/>
      <c r="BC1" s="11"/>
      <c r="BD1" s="62"/>
      <c r="BE1" s="92"/>
      <c r="BF1" s="92"/>
      <c r="BG1" s="92"/>
      <c r="BH1" s="92"/>
      <c r="BI1" s="92"/>
      <c r="BJ1" s="92"/>
      <c r="BK1" s="92"/>
      <c r="BL1" s="92"/>
      <c r="BM1" s="92"/>
      <c r="BN1" s="93"/>
      <c r="BO1" s="93"/>
      <c r="BP1" s="93"/>
      <c r="BQ1" s="71"/>
      <c r="BR1" s="93"/>
      <c r="BS1" s="93"/>
      <c r="BT1" s="93"/>
      <c r="BV1" s="92"/>
      <c r="BW1" s="92"/>
      <c r="BX1" s="93"/>
      <c r="BZ1" s="92"/>
      <c r="CB1" s="92"/>
      <c r="CD1" s="680"/>
      <c r="CE1" s="680"/>
      <c r="CF1" s="680"/>
      <c r="CG1" s="680"/>
      <c r="CH1" s="847"/>
      <c r="CI1" s="847"/>
      <c r="CJ1" s="92"/>
      <c r="CK1" s="92"/>
      <c r="CL1" s="92"/>
      <c r="CM1" s="92"/>
      <c r="CN1" s="928"/>
      <c r="CO1" s="92"/>
      <c r="CP1" s="92"/>
      <c r="CQ1" s="1880"/>
      <c r="CR1" s="1880"/>
      <c r="CS1" s="2114"/>
      <c r="CT1" s="2114"/>
      <c r="CU1" s="2114"/>
      <c r="CV1" s="2115"/>
      <c r="CW1" s="2114"/>
      <c r="CX1" s="2116"/>
      <c r="CZ1" s="2117"/>
      <c r="DA1" s="2117"/>
      <c r="DB1" s="2117" t="s">
        <v>717</v>
      </c>
      <c r="DC1" s="2117">
        <f t="shared" ref="DC1:EA1" si="0">DC59</f>
        <v>0.68309912772787562</v>
      </c>
      <c r="DD1" s="2117">
        <f t="shared" si="0"/>
        <v>0.74627590636477359</v>
      </c>
      <c r="DE1" s="2117">
        <f t="shared" si="0"/>
        <v>0.84403967849175976</v>
      </c>
      <c r="DF1" s="2117">
        <f t="shared" si="0"/>
        <v>1.0023717463530315</v>
      </c>
      <c r="DG1" s="2117">
        <f t="shared" si="0"/>
        <v>3.2664860256897756</v>
      </c>
      <c r="DH1" s="2117">
        <f t="shared" si="0"/>
        <v>0.79368782481620725</v>
      </c>
      <c r="DI1" s="2117">
        <f t="shared" si="0"/>
        <v>0.8549912204816229</v>
      </c>
      <c r="DJ1" s="2117">
        <f t="shared" si="0"/>
        <v>0.96523343529595185</v>
      </c>
      <c r="DK1" s="2117">
        <f t="shared" si="0"/>
        <v>1.1517753101306807</v>
      </c>
      <c r="DL1" s="2117">
        <f t="shared" si="0"/>
        <v>3.7593701795013583</v>
      </c>
      <c r="DM1" s="2117">
        <f t="shared" si="0"/>
        <v>0.86198810789133584</v>
      </c>
      <c r="DN1" s="2117">
        <f t="shared" si="0"/>
        <v>0.93369951530982975</v>
      </c>
      <c r="DO1" s="2117">
        <f t="shared" si="0"/>
        <v>1.0616220804374055</v>
      </c>
      <c r="DP1" s="2117">
        <f t="shared" si="0"/>
        <v>1.2757170047120383</v>
      </c>
      <c r="DQ1" s="2117">
        <f t="shared" si="0"/>
        <v>4.1303443239189077</v>
      </c>
      <c r="DR1" s="2117">
        <f t="shared" si="0"/>
        <v>0.96726096883250223</v>
      </c>
      <c r="DS1" s="2117">
        <f t="shared" si="0"/>
        <v>1.0432514143163694</v>
      </c>
      <c r="DT1" s="2117">
        <f t="shared" si="0"/>
        <v>1.1856712853539775</v>
      </c>
      <c r="DU1" s="2117">
        <f t="shared" si="0"/>
        <v>1.4238696026226283</v>
      </c>
      <c r="DV1" s="2117">
        <f t="shared" si="0"/>
        <v>4.6174177794054847</v>
      </c>
      <c r="DW1" s="2117">
        <f t="shared" si="0"/>
        <v>1.0749494047187877</v>
      </c>
      <c r="DX1" s="2117">
        <f t="shared" si="0"/>
        <v>1.1571468563409986</v>
      </c>
      <c r="DY1" s="2117">
        <f t="shared" si="0"/>
        <v>1.3171983618537333</v>
      </c>
      <c r="DZ1" s="2117">
        <f t="shared" si="0"/>
        <v>1.5819027007401509</v>
      </c>
      <c r="EA1" s="2117">
        <f t="shared" si="0"/>
        <v>5.1286106666967726</v>
      </c>
      <c r="EB1" s="15"/>
      <c r="EC1" s="18"/>
      <c r="ED1" s="148"/>
      <c r="EE1" s="148"/>
      <c r="EF1" s="148"/>
      <c r="EG1" s="148"/>
      <c r="EH1" s="148"/>
      <c r="EI1" s="1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row>
    <row r="2" spans="1:259" s="337" customFormat="1" x14ac:dyDescent="0.2">
      <c r="A2" s="11" t="s">
        <v>482</v>
      </c>
      <c r="B2" s="11"/>
      <c r="C2" s="11"/>
      <c r="D2" s="11"/>
      <c r="E2" s="11"/>
      <c r="F2" s="11"/>
      <c r="G2" s="11"/>
      <c r="H2" s="11"/>
      <c r="I2" s="11"/>
      <c r="J2" s="39"/>
      <c r="K2" s="11"/>
      <c r="L2" s="11"/>
      <c r="M2" s="11"/>
      <c r="N2" s="11"/>
      <c r="O2" s="11"/>
      <c r="P2" s="11"/>
      <c r="Q2" s="11"/>
      <c r="R2" s="11"/>
      <c r="S2" s="11"/>
      <c r="T2" s="41"/>
      <c r="U2" s="42"/>
      <c r="V2" s="11"/>
      <c r="W2" s="11"/>
      <c r="X2" s="11"/>
      <c r="Y2" s="43"/>
      <c r="Z2" s="44"/>
      <c r="AA2" s="11"/>
      <c r="AB2" s="11"/>
      <c r="AC2" s="11"/>
      <c r="AD2" s="11" t="s">
        <v>263</v>
      </c>
      <c r="AE2" s="44"/>
      <c r="AF2" s="11"/>
      <c r="AG2" s="45"/>
      <c r="AH2" s="46"/>
      <c r="AI2" s="11"/>
      <c r="AJ2" s="41"/>
      <c r="AK2" s="11"/>
      <c r="AL2" s="40"/>
      <c r="AM2" s="47"/>
      <c r="AN2" s="46"/>
      <c r="AO2" s="48"/>
      <c r="AP2" s="11"/>
      <c r="AQ2" s="11"/>
      <c r="AR2" s="11"/>
      <c r="AS2" s="41"/>
      <c r="AT2" s="106"/>
      <c r="AU2" s="11"/>
      <c r="AV2" s="11"/>
      <c r="AW2" s="49"/>
      <c r="AX2" s="11"/>
      <c r="AY2" s="324"/>
      <c r="AZ2" s="11"/>
      <c r="BA2" s="11"/>
      <c r="BB2" s="49"/>
      <c r="BC2" s="44"/>
      <c r="BD2" s="514"/>
      <c r="BE2" s="19"/>
      <c r="BF2" s="19"/>
      <c r="BG2" s="19"/>
      <c r="BH2" s="92"/>
      <c r="BI2" s="92"/>
      <c r="BJ2" s="93"/>
      <c r="BK2" s="92"/>
      <c r="BL2" s="92"/>
      <c r="BM2" s="92"/>
      <c r="BN2" s="93"/>
      <c r="BO2" s="840"/>
      <c r="BP2" s="93"/>
      <c r="BQ2" s="93"/>
      <c r="BR2" s="93"/>
      <c r="BS2" s="93"/>
      <c r="BT2" s="93"/>
      <c r="BV2" s="93"/>
      <c r="BW2" s="93"/>
      <c r="BX2" s="93"/>
      <c r="BZ2" s="682"/>
      <c r="CB2" s="682"/>
      <c r="CD2" s="682"/>
      <c r="CE2" s="682"/>
      <c r="CF2" s="806"/>
      <c r="CG2" s="806"/>
      <c r="CH2" s="806"/>
      <c r="CI2" s="930"/>
      <c r="CJ2" s="806"/>
      <c r="CK2" s="682"/>
      <c r="CL2" s="682"/>
      <c r="CM2" s="806"/>
      <c r="CN2" s="928"/>
      <c r="CO2" s="92"/>
      <c r="CP2" s="682"/>
      <c r="CQ2" s="1881"/>
      <c r="CR2" s="1937"/>
      <c r="CS2" s="1247"/>
      <c r="CT2" s="1247"/>
      <c r="CU2" s="1247"/>
      <c r="CV2" s="682"/>
      <c r="CW2" s="682"/>
      <c r="CX2" s="65"/>
      <c r="CZ2" s="2227"/>
      <c r="DA2" s="562"/>
      <c r="DB2" s="2227" t="s">
        <v>718</v>
      </c>
      <c r="DC2" s="2228">
        <v>0.68025577885223798</v>
      </c>
      <c r="DD2" s="2228">
        <v>0.74765099612894659</v>
      </c>
      <c r="DE2" s="2228">
        <v>0.8492820163860394</v>
      </c>
      <c r="DF2" s="2228">
        <v>1.0010761883276296</v>
      </c>
      <c r="DG2" s="2228">
        <v>3.2688739414460484</v>
      </c>
      <c r="DH2" s="2228">
        <v>0.78425866831002433</v>
      </c>
      <c r="DI2" s="2228">
        <v>0.84991640932142964</v>
      </c>
      <c r="DJ2" s="2228">
        <v>0.95337045827865874</v>
      </c>
      <c r="DK2" s="2228">
        <v>1.1356777166069727</v>
      </c>
      <c r="DL2" s="2228">
        <v>3.7170445846668794</v>
      </c>
      <c r="DM2" s="2228">
        <v>0.83741035949609666</v>
      </c>
      <c r="DN2" s="2228">
        <v>0.91293917277234704</v>
      </c>
      <c r="DO2" s="2228">
        <v>1.0407887122192137</v>
      </c>
      <c r="DP2" s="2228">
        <v>1.2483044308819227</v>
      </c>
      <c r="DQ2" s="2228">
        <v>4.0367659421799988</v>
      </c>
      <c r="DR2" s="2228">
        <v>0.94477802979465053</v>
      </c>
      <c r="DS2" s="2228">
        <v>1.0255849956882841</v>
      </c>
      <c r="DT2" s="2228">
        <v>1.1683607228925286</v>
      </c>
      <c r="DU2" s="2228">
        <v>1.4005145079144736</v>
      </c>
      <c r="DV2" s="2228">
        <v>4.5365942959096834</v>
      </c>
      <c r="DW2" s="2228">
        <v>1.0546289882023234</v>
      </c>
      <c r="DX2" s="2228">
        <v>1.1403132407256837</v>
      </c>
      <c r="DY2" s="2228">
        <v>1.2986067354543613</v>
      </c>
      <c r="DZ2" s="2228">
        <v>1.553841165126445</v>
      </c>
      <c r="EA2" s="2228">
        <v>5.0448298090609347</v>
      </c>
      <c r="EB2" s="15"/>
      <c r="EC2" s="11"/>
      <c r="ED2" s="148"/>
      <c r="EE2" s="148"/>
      <c r="EF2" s="148"/>
      <c r="EG2" s="148"/>
      <c r="EH2" s="148"/>
      <c r="EI2" s="11"/>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row>
    <row r="3" spans="1:259" s="337" customFormat="1" x14ac:dyDescent="0.2">
      <c r="A3" s="693"/>
      <c r="B3" s="11"/>
      <c r="C3" s="11"/>
      <c r="D3" s="11"/>
      <c r="E3" s="11"/>
      <c r="F3" s="11"/>
      <c r="G3" s="11"/>
      <c r="H3" s="11"/>
      <c r="I3" s="11"/>
      <c r="J3" s="39"/>
      <c r="K3" s="11"/>
      <c r="L3" s="11"/>
      <c r="M3" s="11"/>
      <c r="N3" s="11"/>
      <c r="O3" s="11"/>
      <c r="P3" s="11"/>
      <c r="Q3" s="11"/>
      <c r="R3" s="11"/>
      <c r="S3" s="11"/>
      <c r="T3" s="11"/>
      <c r="U3" s="11"/>
      <c r="V3" s="11"/>
      <c r="W3" s="11"/>
      <c r="X3" s="11"/>
      <c r="Y3" s="11"/>
      <c r="Z3" s="44"/>
      <c r="AA3" s="11"/>
      <c r="AB3" s="11"/>
      <c r="AC3" s="11"/>
      <c r="AD3" s="11"/>
      <c r="AE3" s="44"/>
      <c r="AF3" s="11"/>
      <c r="AG3" s="51"/>
      <c r="AH3" s="11"/>
      <c r="AI3" s="11"/>
      <c r="AJ3" s="50"/>
      <c r="AK3" s="11"/>
      <c r="AL3" s="11"/>
      <c r="AM3" s="44"/>
      <c r="AN3" s="52"/>
      <c r="AO3" s="11"/>
      <c r="AP3" s="53"/>
      <c r="AQ3" s="11"/>
      <c r="AR3" s="11"/>
      <c r="AS3" s="41"/>
      <c r="AT3" s="11"/>
      <c r="AU3" s="332"/>
      <c r="AV3" s="11"/>
      <c r="AW3" s="11"/>
      <c r="AX3" s="11"/>
      <c r="AY3" s="29"/>
      <c r="AZ3" s="29"/>
      <c r="BA3" s="53"/>
      <c r="BB3" s="112"/>
      <c r="BC3" s="112"/>
      <c r="BD3" s="30"/>
      <c r="BE3" s="30"/>
      <c r="BF3" s="30"/>
      <c r="BG3" s="30"/>
      <c r="BH3" s="30"/>
      <c r="BI3" s="30"/>
      <c r="BJ3" s="291"/>
      <c r="BK3" s="291"/>
      <c r="BL3" s="92"/>
      <c r="BM3" s="92"/>
      <c r="BN3" s="93"/>
      <c r="BO3" s="93"/>
      <c r="BP3" s="683"/>
      <c r="BQ3" s="92"/>
      <c r="BR3" s="92"/>
      <c r="BS3" s="93"/>
      <c r="BT3" s="93"/>
      <c r="BU3" s="683"/>
      <c r="BV3" s="92"/>
      <c r="BW3" s="92"/>
      <c r="BX3" s="93"/>
      <c r="BY3" s="93"/>
      <c r="BZ3" s="92"/>
      <c r="CA3" s="92"/>
      <c r="CB3" s="92"/>
      <c r="CC3" s="92"/>
      <c r="CD3" s="92"/>
      <c r="CE3" s="680"/>
      <c r="CF3" s="92"/>
      <c r="CG3" s="92"/>
      <c r="CH3" s="806"/>
      <c r="CI3" s="92"/>
      <c r="CJ3" s="92"/>
      <c r="CK3" s="92"/>
      <c r="CL3" s="92"/>
      <c r="CM3" s="92"/>
      <c r="CN3" s="928"/>
      <c r="CO3" s="92"/>
      <c r="CP3" s="92"/>
      <c r="CQ3" s="1882"/>
      <c r="CR3" s="1880"/>
      <c r="CS3" s="1247"/>
      <c r="CT3" s="1247"/>
      <c r="CU3" s="1247"/>
      <c r="CV3" s="92"/>
      <c r="CW3" s="1325"/>
      <c r="CX3" s="93"/>
      <c r="CZ3" s="92"/>
      <c r="DA3" s="92"/>
      <c r="DB3" s="92" t="s">
        <v>719</v>
      </c>
      <c r="DC3" s="92">
        <f t="shared" ref="DC3:EA3" si="1">DC1-DC2</f>
        <v>2.8433488756376413E-3</v>
      </c>
      <c r="DD3" s="92">
        <f t="shared" si="1"/>
        <v>-1.3750897641729987E-3</v>
      </c>
      <c r="DE3" s="92">
        <f t="shared" si="1"/>
        <v>-5.2423378942796361E-3</v>
      </c>
      <c r="DF3" s="92">
        <f t="shared" si="1"/>
        <v>1.2955580254019328E-3</v>
      </c>
      <c r="DG3" s="92">
        <f t="shared" si="1"/>
        <v>-2.3879157562727293E-3</v>
      </c>
      <c r="DH3" s="92">
        <f t="shared" si="1"/>
        <v>9.429156506182923E-3</v>
      </c>
      <c r="DI3" s="92">
        <f t="shared" si="1"/>
        <v>5.07481116019326E-3</v>
      </c>
      <c r="DJ3" s="92">
        <f t="shared" si="1"/>
        <v>1.1862977017293108E-2</v>
      </c>
      <c r="DK3" s="92">
        <f t="shared" si="1"/>
        <v>1.6097593523707987E-2</v>
      </c>
      <c r="DL3" s="92">
        <f t="shared" si="1"/>
        <v>4.2325594834478952E-2</v>
      </c>
      <c r="DM3" s="92">
        <f t="shared" si="1"/>
        <v>2.4577748395239185E-2</v>
      </c>
      <c r="DN3" s="92">
        <f t="shared" si="1"/>
        <v>2.0760342537482712E-2</v>
      </c>
      <c r="DO3" s="92">
        <f t="shared" si="1"/>
        <v>2.0833368218191817E-2</v>
      </c>
      <c r="DP3" s="92">
        <f t="shared" si="1"/>
        <v>2.7412573830115639E-2</v>
      </c>
      <c r="DQ3" s="92">
        <f t="shared" si="1"/>
        <v>9.3578381738908867E-2</v>
      </c>
      <c r="DR3" s="92">
        <f t="shared" si="1"/>
        <v>2.2482939037851701E-2</v>
      </c>
      <c r="DS3" s="92">
        <f t="shared" si="1"/>
        <v>1.7666418628085268E-2</v>
      </c>
      <c r="DT3" s="92">
        <f t="shared" si="1"/>
        <v>1.7310562461448908E-2</v>
      </c>
      <c r="DU3" s="92">
        <f t="shared" si="1"/>
        <v>2.3355094708154667E-2</v>
      </c>
      <c r="DV3" s="92">
        <f t="shared" si="1"/>
        <v>8.0823483495801263E-2</v>
      </c>
      <c r="DW3" s="92">
        <f t="shared" si="1"/>
        <v>2.0320416516464324E-2</v>
      </c>
      <c r="DX3" s="92">
        <f t="shared" si="1"/>
        <v>1.6833615615314823E-2</v>
      </c>
      <c r="DY3" s="92">
        <f t="shared" si="1"/>
        <v>1.8591626399371952E-2</v>
      </c>
      <c r="DZ3" s="92">
        <f t="shared" si="1"/>
        <v>2.8061535613705946E-2</v>
      </c>
      <c r="EA3" s="92">
        <f t="shared" si="1"/>
        <v>8.3780857635837869E-2</v>
      </c>
      <c r="EB3" s="29"/>
      <c r="EC3" s="11"/>
      <c r="ED3" s="148"/>
      <c r="EE3" s="148"/>
      <c r="EF3" s="148"/>
      <c r="EG3" s="148"/>
      <c r="EH3" s="148"/>
      <c r="EI3" s="11"/>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row>
    <row r="4" spans="1:259" hidden="1" outlineLevel="1" x14ac:dyDescent="0.2">
      <c r="CN4"/>
      <c r="CO4"/>
      <c r="CQ4"/>
      <c r="CR4"/>
      <c r="CS4"/>
      <c r="CT4"/>
      <c r="CU4"/>
      <c r="CX4"/>
      <c r="CY4"/>
      <c r="CZ4"/>
      <c r="DA4"/>
      <c r="DB4"/>
      <c r="DR4"/>
      <c r="DS4"/>
      <c r="DT4"/>
      <c r="DU4"/>
      <c r="DV4"/>
      <c r="DW4"/>
      <c r="DX4"/>
      <c r="DY4"/>
      <c r="DZ4"/>
      <c r="EA4"/>
      <c r="ED4"/>
      <c r="EE4"/>
      <c r="EF4"/>
      <c r="EG4"/>
      <c r="EH4"/>
    </row>
    <row r="5" spans="1:259" s="499" customFormat="1" ht="15.75" collapsed="1" x14ac:dyDescent="0.25">
      <c r="A5" s="2218" t="s">
        <v>265</v>
      </c>
      <c r="B5" s="2219"/>
      <c r="C5" s="2219"/>
      <c r="D5" s="2219"/>
      <c r="E5" s="2219"/>
      <c r="F5" s="2219"/>
      <c r="G5" s="2219"/>
      <c r="H5" s="2219"/>
      <c r="I5" s="2219"/>
      <c r="J5" s="2219"/>
      <c r="K5" s="2219"/>
      <c r="L5" s="2219"/>
      <c r="M5" s="2219"/>
      <c r="N5" s="2219"/>
      <c r="O5" s="2219"/>
      <c r="P5" s="2219"/>
      <c r="Q5" s="2219"/>
      <c r="R5" s="2219"/>
      <c r="S5" s="2219"/>
      <c r="T5" s="2219"/>
      <c r="U5" s="2219"/>
      <c r="V5" s="2220"/>
      <c r="W5" s="2220"/>
      <c r="X5" s="2219"/>
      <c r="Y5" s="2220"/>
      <c r="Z5" s="2219"/>
      <c r="AA5" s="2219"/>
      <c r="AB5" s="2220"/>
      <c r="AC5" s="2220"/>
      <c r="AD5" s="2220"/>
      <c r="AE5" s="2220"/>
      <c r="AF5" s="2220"/>
      <c r="AG5" s="2220"/>
      <c r="AH5" s="2220"/>
      <c r="AI5" s="2220"/>
      <c r="AJ5" s="2220"/>
      <c r="AK5" s="2220"/>
      <c r="AL5" s="2220"/>
      <c r="AM5" s="2220"/>
      <c r="AN5" s="2220"/>
      <c r="AO5" s="2220"/>
      <c r="AP5" s="2220"/>
      <c r="AQ5" s="2219"/>
      <c r="AR5" s="2219"/>
      <c r="AS5" s="2220"/>
      <c r="AT5" s="2221"/>
      <c r="AU5" s="2219"/>
      <c r="AV5" s="2220"/>
      <c r="AW5" s="2219"/>
      <c r="AX5" s="2219"/>
      <c r="AY5" s="2219"/>
      <c r="AZ5" s="2219"/>
      <c r="BA5" s="2220"/>
      <c r="BB5" s="2219"/>
      <c r="BC5" s="2219"/>
      <c r="BD5" s="2219"/>
      <c r="BE5" s="2219"/>
      <c r="BF5" s="2220"/>
      <c r="BG5" s="2219"/>
      <c r="BH5" s="2219"/>
      <c r="BI5" s="2219"/>
      <c r="BJ5" s="2219"/>
      <c r="BK5" s="2220"/>
      <c r="BL5" s="2219"/>
      <c r="BM5" s="2219"/>
      <c r="BN5" s="2219"/>
      <c r="BO5" s="2219"/>
      <c r="BP5" s="2220"/>
      <c r="BQ5" s="2219"/>
      <c r="BR5" s="2219"/>
      <c r="BS5" s="2219"/>
      <c r="BT5" s="2219"/>
      <c r="BU5" s="2220"/>
      <c r="BV5" s="2219"/>
      <c r="BW5" s="2219"/>
      <c r="BX5" s="2219"/>
      <c r="BY5" s="2219"/>
      <c r="BZ5" s="2220"/>
      <c r="CA5" s="2219"/>
      <c r="CB5" s="2219"/>
      <c r="CC5" s="2219"/>
      <c r="CD5" s="2219"/>
      <c r="CE5" s="2220"/>
      <c r="CF5" s="2219"/>
      <c r="CG5" s="2219"/>
      <c r="CH5" s="2222"/>
      <c r="CI5" s="2219"/>
      <c r="CJ5" s="2220"/>
      <c r="CK5" s="2219"/>
      <c r="CL5" s="2219"/>
      <c r="CM5" s="2219"/>
      <c r="CN5" s="2223"/>
      <c r="CO5" s="2220"/>
      <c r="CP5" s="2219"/>
      <c r="CQ5" s="2224"/>
      <c r="CR5" s="2224"/>
      <c r="CS5" s="2225"/>
      <c r="CT5" s="2225"/>
      <c r="CU5" s="2225"/>
      <c r="CV5" s="2219"/>
      <c r="CW5" s="2219"/>
      <c r="CX5" s="2220"/>
      <c r="CY5" s="2220"/>
      <c r="CZ5" s="2220"/>
      <c r="DA5" s="2220"/>
      <c r="DB5" s="2365"/>
      <c r="DC5" s="2219"/>
      <c r="DD5" s="2220"/>
      <c r="DE5" s="2219"/>
      <c r="DF5" s="2219"/>
      <c r="DG5" s="2222"/>
      <c r="DH5" s="2219"/>
      <c r="DI5" s="2220"/>
      <c r="DJ5" s="2219"/>
      <c r="DK5" s="2219"/>
      <c r="DL5" s="2364"/>
      <c r="DM5" s="2219"/>
      <c r="DN5" s="2220"/>
      <c r="DO5" s="2219"/>
      <c r="DP5" s="2219"/>
      <c r="DQ5" s="2219"/>
      <c r="DR5" s="2219"/>
      <c r="DS5" s="2220"/>
      <c r="DT5" s="2219"/>
      <c r="DU5" s="2219"/>
      <c r="DV5" s="2219"/>
      <c r="DW5" s="2219"/>
      <c r="DX5" s="2220"/>
      <c r="DY5" s="2219"/>
      <c r="DZ5" s="2219"/>
      <c r="EA5" s="2226"/>
      <c r="EB5" s="497"/>
      <c r="EC5" s="1184" t="s">
        <v>265</v>
      </c>
      <c r="ED5" s="1185"/>
      <c r="EE5" s="1186"/>
      <c r="EF5" s="1186"/>
      <c r="EG5" s="1185"/>
      <c r="EH5" s="1187"/>
      <c r="EI5" s="497"/>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row>
    <row r="6" spans="1:259" s="338" customFormat="1" x14ac:dyDescent="0.2">
      <c r="A6" s="2209"/>
      <c r="B6" s="2210"/>
      <c r="C6" s="2210"/>
      <c r="D6" s="2210"/>
      <c r="E6" s="2210"/>
      <c r="F6" s="2210"/>
      <c r="G6" s="2210"/>
      <c r="H6" s="2210"/>
      <c r="I6" s="2210"/>
      <c r="J6" s="2210"/>
      <c r="K6" s="2210"/>
      <c r="L6" s="2210"/>
      <c r="M6" s="2210"/>
      <c r="N6" s="2210"/>
      <c r="O6" s="2210"/>
      <c r="P6" s="2210"/>
      <c r="Q6" s="2210"/>
      <c r="R6" s="2210"/>
      <c r="S6" s="2210"/>
      <c r="T6" s="2210"/>
      <c r="U6" s="2210"/>
      <c r="V6" s="2211"/>
      <c r="W6" s="2211"/>
      <c r="X6" s="2210"/>
      <c r="Y6" s="2211"/>
      <c r="Z6" s="2210"/>
      <c r="AA6" s="2210"/>
      <c r="AB6" s="2211"/>
      <c r="AC6" s="2211"/>
      <c r="AD6" s="2211"/>
      <c r="AE6" s="2211"/>
      <c r="AF6" s="2211"/>
      <c r="AG6" s="2211"/>
      <c r="AH6" s="2211"/>
      <c r="AI6" s="2211"/>
      <c r="AJ6" s="2211"/>
      <c r="AK6" s="2211"/>
      <c r="AL6" s="2211"/>
      <c r="AM6" s="2211"/>
      <c r="AN6" s="2211"/>
      <c r="AO6" s="2211"/>
      <c r="AP6" s="2212" t="s">
        <v>585</v>
      </c>
      <c r="AQ6" s="2213" t="s">
        <v>676</v>
      </c>
      <c r="AR6" s="2210"/>
      <c r="AS6" s="2210"/>
      <c r="AT6" s="2210"/>
      <c r="AU6" s="2210"/>
      <c r="AV6" s="2210"/>
      <c r="AW6" s="2210"/>
      <c r="AX6" s="2210"/>
      <c r="AY6" s="2210"/>
      <c r="AZ6" s="2213" t="s">
        <v>676</v>
      </c>
      <c r="BA6" s="2210"/>
      <c r="BB6" s="2210"/>
      <c r="BC6" s="2210"/>
      <c r="BD6" s="2210"/>
      <c r="BE6" s="2210"/>
      <c r="BF6" s="2210"/>
      <c r="BG6" s="2210"/>
      <c r="BH6" s="2210"/>
      <c r="BI6" s="2210"/>
      <c r="BJ6" s="2213" t="s">
        <v>676</v>
      </c>
      <c r="BK6" s="2210"/>
      <c r="BL6" s="2210"/>
      <c r="BM6" s="2210"/>
      <c r="BN6" s="2210"/>
      <c r="BO6" s="2213"/>
      <c r="BP6" s="2210"/>
      <c r="BQ6" s="2210"/>
      <c r="BR6" s="2210"/>
      <c r="BS6" s="2210"/>
      <c r="BT6" s="2213" t="s">
        <v>676</v>
      </c>
      <c r="BU6" s="2210"/>
      <c r="BV6" s="2210"/>
      <c r="BW6" s="2210"/>
      <c r="BX6" s="2210"/>
      <c r="BY6" s="2213"/>
      <c r="BZ6" s="2213"/>
      <c r="CA6" s="2213"/>
      <c r="CB6" s="2210"/>
      <c r="CC6" s="2210"/>
      <c r="CD6" s="2214"/>
      <c r="CE6" s="2214"/>
      <c r="CF6" s="2214"/>
      <c r="CG6" s="2214"/>
      <c r="CH6" s="2215" t="s">
        <v>688</v>
      </c>
      <c r="CI6" s="2214"/>
      <c r="CJ6" s="2214"/>
      <c r="CK6" s="2214"/>
      <c r="CL6" s="2214"/>
      <c r="CM6" s="2214"/>
      <c r="CN6" s="1327"/>
      <c r="CO6" s="1328"/>
      <c r="CP6" s="1329"/>
      <c r="CQ6" s="1883"/>
      <c r="CR6" s="2216" t="s">
        <v>697</v>
      </c>
      <c r="CS6" s="2060"/>
      <c r="CT6" s="2060"/>
      <c r="CU6" s="2060"/>
      <c r="CV6" s="2111"/>
      <c r="CW6" s="2217"/>
      <c r="CX6" s="319"/>
      <c r="CY6" s="15"/>
      <c r="CZ6" s="15"/>
      <c r="DA6" s="15"/>
      <c r="DB6" s="2366"/>
      <c r="DC6" s="54"/>
      <c r="DD6" s="54"/>
      <c r="DE6" s="54"/>
      <c r="DF6" s="54"/>
      <c r="DG6" s="2217"/>
      <c r="DH6" s="54"/>
      <c r="DI6" s="54"/>
      <c r="DJ6" s="54"/>
      <c r="DK6" s="54"/>
      <c r="DL6" s="2217"/>
      <c r="DM6" s="54"/>
      <c r="DN6" s="54"/>
      <c r="DO6" s="54"/>
      <c r="DP6" s="54"/>
      <c r="DQ6" s="2217"/>
      <c r="DR6" s="54"/>
      <c r="DS6" s="54"/>
      <c r="DT6" s="54"/>
      <c r="DU6" s="54"/>
      <c r="DV6" s="2217"/>
      <c r="DW6" s="54"/>
      <c r="DX6" s="54"/>
      <c r="DY6" s="54"/>
      <c r="DZ6" s="54"/>
      <c r="EA6" s="2217"/>
      <c r="EB6" s="24"/>
      <c r="EC6" s="1188"/>
      <c r="ED6" s="1189"/>
      <c r="EE6" s="1189"/>
      <c r="EF6" s="1190"/>
      <c r="EG6" s="1189" t="s">
        <v>16</v>
      </c>
      <c r="EH6" s="1191"/>
      <c r="EI6" s="24"/>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row>
    <row r="7" spans="1:259" s="933" customFormat="1" hidden="1" outlineLevel="1" x14ac:dyDescent="0.2">
      <c r="A7" s="2118" t="s">
        <v>691</v>
      </c>
      <c r="B7" s="2119" t="s">
        <v>520</v>
      </c>
      <c r="C7" s="2120" t="s">
        <v>520</v>
      </c>
      <c r="D7" s="2120" t="s">
        <v>520</v>
      </c>
      <c r="E7" s="2121" t="s">
        <v>521</v>
      </c>
      <c r="F7" s="2121"/>
      <c r="G7" s="2119" t="s">
        <v>520</v>
      </c>
      <c r="H7" s="2120" t="s">
        <v>520</v>
      </c>
      <c r="I7" s="2120" t="s">
        <v>520</v>
      </c>
      <c r="J7" s="2122" t="s">
        <v>521</v>
      </c>
      <c r="K7" s="2123"/>
      <c r="L7" s="2119" t="s">
        <v>520</v>
      </c>
      <c r="M7" s="2120" t="s">
        <v>520</v>
      </c>
      <c r="N7" s="2120" t="s">
        <v>520</v>
      </c>
      <c r="O7" s="2121" t="s">
        <v>521</v>
      </c>
      <c r="P7" s="2123"/>
      <c r="Q7" s="2119" t="s">
        <v>520</v>
      </c>
      <c r="R7" s="2120" t="s">
        <v>520</v>
      </c>
      <c r="S7" s="2120" t="s">
        <v>520</v>
      </c>
      <c r="T7" s="2121" t="s">
        <v>522</v>
      </c>
      <c r="U7" s="2123"/>
      <c r="V7" s="2119" t="s">
        <v>520</v>
      </c>
      <c r="W7" s="2120" t="s">
        <v>520</v>
      </c>
      <c r="X7" s="2120" t="s">
        <v>520</v>
      </c>
      <c r="Y7" s="2121" t="s">
        <v>521</v>
      </c>
      <c r="Z7" s="2123"/>
      <c r="AA7" s="2120" t="s">
        <v>520</v>
      </c>
      <c r="AB7" s="2120" t="s">
        <v>520</v>
      </c>
      <c r="AC7" s="2120" t="s">
        <v>520</v>
      </c>
      <c r="AD7" s="2121" t="s">
        <v>521</v>
      </c>
      <c r="AE7" s="2123"/>
      <c r="AF7" s="2119" t="s">
        <v>520</v>
      </c>
      <c r="AG7" s="2120" t="s">
        <v>520</v>
      </c>
      <c r="AH7" s="2120" t="s">
        <v>520</v>
      </c>
      <c r="AI7" s="2121" t="s">
        <v>521</v>
      </c>
      <c r="AJ7" s="2123"/>
      <c r="AK7" s="2120" t="s">
        <v>520</v>
      </c>
      <c r="AL7" s="2120" t="s">
        <v>520</v>
      </c>
      <c r="AM7" s="2120" t="s">
        <v>520</v>
      </c>
      <c r="AN7" s="2121" t="s">
        <v>521</v>
      </c>
      <c r="AO7" s="2123"/>
      <c r="AP7" s="2120" t="s">
        <v>520</v>
      </c>
      <c r="AQ7" s="2120" t="s">
        <v>520</v>
      </c>
      <c r="AR7" s="2120" t="s">
        <v>520</v>
      </c>
      <c r="AS7" s="2121" t="s">
        <v>522</v>
      </c>
      <c r="AT7" s="2123"/>
      <c r="AU7" s="2120" t="s">
        <v>520</v>
      </c>
      <c r="AV7" s="2120" t="s">
        <v>520</v>
      </c>
      <c r="AW7" s="2120" t="s">
        <v>520</v>
      </c>
      <c r="AX7" s="2121" t="s">
        <v>521</v>
      </c>
      <c r="AY7" s="2123"/>
      <c r="AZ7" s="2120" t="s">
        <v>520</v>
      </c>
      <c r="BA7" s="2120" t="s">
        <v>520</v>
      </c>
      <c r="BB7" s="2120" t="s">
        <v>520</v>
      </c>
      <c r="BC7" s="2121" t="s">
        <v>521</v>
      </c>
      <c r="BD7" s="2123"/>
      <c r="BE7" s="2120" t="s">
        <v>520</v>
      </c>
      <c r="BF7" s="2120" t="s">
        <v>520</v>
      </c>
      <c r="BG7" s="2120" t="s">
        <v>520</v>
      </c>
      <c r="BH7" s="2120" t="s">
        <v>521</v>
      </c>
      <c r="BI7" s="2123"/>
      <c r="BJ7" s="2120" t="s">
        <v>520</v>
      </c>
      <c r="BK7" s="2120" t="s">
        <v>520</v>
      </c>
      <c r="BL7" s="2120" t="s">
        <v>520</v>
      </c>
      <c r="BM7" s="2120" t="s">
        <v>521</v>
      </c>
      <c r="BN7" s="2123"/>
      <c r="BO7" s="2120" t="s">
        <v>520</v>
      </c>
      <c r="BP7" s="2120" t="s">
        <v>520</v>
      </c>
      <c r="BQ7" s="2120" t="s">
        <v>520</v>
      </c>
      <c r="BR7" s="2120" t="s">
        <v>521</v>
      </c>
      <c r="BS7" s="2123"/>
      <c r="BT7" s="2120" t="s">
        <v>520</v>
      </c>
      <c r="BU7" s="2120" t="s">
        <v>520</v>
      </c>
      <c r="BV7" s="2120" t="s">
        <v>520</v>
      </c>
      <c r="BW7" s="2120" t="s">
        <v>522</v>
      </c>
      <c r="BX7" s="2124" t="s">
        <v>121</v>
      </c>
      <c r="BY7" s="2120" t="s">
        <v>520</v>
      </c>
      <c r="BZ7" s="2120" t="s">
        <v>520</v>
      </c>
      <c r="CA7" s="2120" t="s">
        <v>520</v>
      </c>
      <c r="CB7" s="2120" t="s">
        <v>521</v>
      </c>
      <c r="CC7" s="2124"/>
      <c r="CD7" s="2125" t="s">
        <v>520</v>
      </c>
      <c r="CE7" s="2125" t="s">
        <v>520</v>
      </c>
      <c r="CF7" s="2125" t="s">
        <v>520</v>
      </c>
      <c r="CG7" s="2125" t="s">
        <v>521</v>
      </c>
      <c r="CH7" s="2132"/>
      <c r="CI7" s="2125" t="s">
        <v>520</v>
      </c>
      <c r="CJ7" s="2125" t="s">
        <v>520</v>
      </c>
      <c r="CK7" s="2125" t="s">
        <v>520</v>
      </c>
      <c r="CL7" s="2125" t="s">
        <v>521</v>
      </c>
      <c r="CM7" s="2132"/>
      <c r="CN7" s="2126" t="s">
        <v>520</v>
      </c>
      <c r="CO7" s="2127" t="s">
        <v>520</v>
      </c>
      <c r="CP7" s="2127" t="s">
        <v>520</v>
      </c>
      <c r="CQ7" s="2128" t="s">
        <v>521</v>
      </c>
      <c r="CR7" s="2132"/>
      <c r="CS7" s="2129">
        <v>42460</v>
      </c>
      <c r="CT7" s="2130">
        <v>42551</v>
      </c>
      <c r="CU7" s="2130">
        <v>42643</v>
      </c>
      <c r="CV7" s="2131">
        <v>42735</v>
      </c>
      <c r="CW7" s="2132"/>
      <c r="CX7" s="2148">
        <v>42825</v>
      </c>
      <c r="CY7" s="2208">
        <v>42551</v>
      </c>
      <c r="CZ7" s="2208">
        <v>42643</v>
      </c>
      <c r="DA7" s="2131">
        <v>42735</v>
      </c>
      <c r="DB7" s="2133"/>
      <c r="DC7" s="2129">
        <v>42460</v>
      </c>
      <c r="DD7" s="2130">
        <v>42551</v>
      </c>
      <c r="DE7" s="2130">
        <v>42643</v>
      </c>
      <c r="DF7" s="2131">
        <v>42735</v>
      </c>
      <c r="DG7" s="2133"/>
      <c r="DH7" s="2129">
        <v>42460</v>
      </c>
      <c r="DI7" s="2130">
        <v>42551</v>
      </c>
      <c r="DJ7" s="2130">
        <v>42643</v>
      </c>
      <c r="DK7" s="2131">
        <v>42735</v>
      </c>
      <c r="DL7" s="2133"/>
      <c r="DM7" s="2129">
        <v>42460</v>
      </c>
      <c r="DN7" s="2130">
        <v>42551</v>
      </c>
      <c r="DO7" s="2130">
        <v>42643</v>
      </c>
      <c r="DP7" s="2131">
        <v>42735</v>
      </c>
      <c r="DQ7" s="2133"/>
      <c r="DR7" s="2129">
        <v>42460</v>
      </c>
      <c r="DS7" s="2130">
        <v>42551</v>
      </c>
      <c r="DT7" s="2130">
        <v>42643</v>
      </c>
      <c r="DU7" s="2131">
        <v>42735</v>
      </c>
      <c r="DV7" s="2133"/>
      <c r="DW7" s="2129">
        <v>42460</v>
      </c>
      <c r="DX7" s="2130">
        <v>42551</v>
      </c>
      <c r="DY7" s="2130">
        <v>42643</v>
      </c>
      <c r="DZ7" s="2131">
        <v>42735</v>
      </c>
      <c r="EA7" s="2133"/>
      <c r="EB7" s="137"/>
      <c r="EC7" s="2134" t="s">
        <v>519</v>
      </c>
      <c r="ED7" s="2135" t="str">
        <f>CG7</f>
        <v>16 wks</v>
      </c>
      <c r="EE7" s="2135" t="s">
        <v>521</v>
      </c>
      <c r="EF7" s="2136" t="s">
        <v>352</v>
      </c>
      <c r="EG7" s="2139">
        <f>CT7</f>
        <v>42551</v>
      </c>
      <c r="EH7" s="2137" t="s">
        <v>357</v>
      </c>
      <c r="EI7" s="137"/>
      <c r="EK7"/>
      <c r="EL7"/>
      <c r="EM7"/>
      <c r="EN7"/>
      <c r="EO7"/>
      <c r="EP7"/>
      <c r="EQ7" s="845"/>
      <c r="ER7" s="845"/>
      <c r="ES7" s="845"/>
      <c r="ET7" s="845"/>
      <c r="EU7" s="845"/>
      <c r="EV7" s="845"/>
      <c r="EW7" s="845"/>
      <c r="EX7" s="845"/>
      <c r="EY7" s="845"/>
      <c r="EZ7" s="845"/>
      <c r="FA7" s="845"/>
      <c r="FB7" s="845"/>
      <c r="FC7" s="845"/>
      <c r="FD7" s="845"/>
      <c r="FE7" s="845"/>
      <c r="FF7" s="845"/>
      <c r="FG7" s="845"/>
      <c r="FH7" s="845"/>
      <c r="FI7" s="845"/>
      <c r="FJ7" s="845"/>
      <c r="FK7" s="845"/>
      <c r="FL7" s="845"/>
      <c r="FM7" s="845"/>
      <c r="FN7" s="845"/>
      <c r="FO7" s="845"/>
      <c r="FP7" s="845"/>
      <c r="FQ7" s="845"/>
      <c r="FR7" s="845"/>
      <c r="FS7" s="845"/>
      <c r="FT7" s="845"/>
      <c r="FU7" s="845"/>
      <c r="FV7" s="845"/>
      <c r="FW7" s="845"/>
      <c r="FX7" s="845"/>
      <c r="FY7" s="845"/>
      <c r="FZ7" s="845"/>
      <c r="GA7" s="845"/>
      <c r="GB7" s="845"/>
      <c r="GC7" s="845"/>
      <c r="GD7" s="845"/>
      <c r="GE7" s="845"/>
      <c r="GF7" s="845"/>
      <c r="GG7" s="845"/>
      <c r="GH7" s="845"/>
      <c r="GI7" s="845"/>
      <c r="GJ7" s="845"/>
      <c r="GK7" s="845"/>
      <c r="GL7" s="845"/>
      <c r="GM7" s="845"/>
      <c r="GN7" s="845"/>
      <c r="GO7" s="845"/>
      <c r="GP7" s="845"/>
      <c r="GQ7" s="845"/>
      <c r="GR7" s="845"/>
      <c r="GS7" s="845"/>
      <c r="GT7" s="845"/>
      <c r="GU7" s="845"/>
      <c r="GV7" s="845"/>
      <c r="GW7" s="845"/>
      <c r="GX7" s="845"/>
      <c r="GY7" s="845"/>
      <c r="GZ7" s="845"/>
      <c r="HA7" s="845"/>
      <c r="HB7" s="845"/>
      <c r="HC7" s="845"/>
      <c r="HD7" s="845"/>
      <c r="HE7" s="845"/>
      <c r="HF7" s="845"/>
      <c r="HG7" s="845"/>
      <c r="HH7" s="845"/>
      <c r="HI7" s="845"/>
      <c r="HJ7" s="845"/>
      <c r="HK7" s="845"/>
      <c r="HL7" s="845"/>
      <c r="HM7" s="845"/>
      <c r="HN7" s="845"/>
      <c r="HO7" s="845"/>
      <c r="HP7" s="845"/>
      <c r="HQ7" s="845"/>
      <c r="HR7" s="845"/>
      <c r="HS7" s="845"/>
      <c r="HT7" s="845"/>
      <c r="HU7" s="845"/>
      <c r="HV7" s="845"/>
      <c r="HW7" s="845"/>
      <c r="HX7" s="845"/>
      <c r="HY7" s="845"/>
      <c r="HZ7" s="845"/>
      <c r="IA7" s="845"/>
      <c r="IB7" s="845"/>
      <c r="IC7" s="845"/>
      <c r="ID7" s="845"/>
      <c r="IE7" s="845"/>
      <c r="IF7" s="845"/>
      <c r="IG7" s="845"/>
      <c r="IH7" s="845"/>
      <c r="II7" s="845"/>
      <c r="IJ7" s="845"/>
      <c r="IK7" s="845"/>
      <c r="IL7" s="845"/>
      <c r="IM7" s="845"/>
      <c r="IN7" s="845"/>
      <c r="IO7" s="845"/>
      <c r="IP7" s="845"/>
      <c r="IQ7" s="845"/>
      <c r="IR7" s="845"/>
      <c r="IS7" s="845"/>
      <c r="IT7" s="845"/>
      <c r="IU7" s="845"/>
      <c r="IV7" s="845"/>
      <c r="IW7" s="845"/>
      <c r="IX7" s="845"/>
      <c r="IY7" s="845"/>
    </row>
    <row r="8" spans="1:259" s="337" customFormat="1" collapsed="1" x14ac:dyDescent="0.2">
      <c r="A8" s="2187" t="s">
        <v>523</v>
      </c>
      <c r="B8" s="2188" t="s">
        <v>569</v>
      </c>
      <c r="C8" s="2189" t="s">
        <v>570</v>
      </c>
      <c r="D8" s="2189" t="s">
        <v>571</v>
      </c>
      <c r="E8" s="1686" t="s">
        <v>572</v>
      </c>
      <c r="F8" s="1686" t="s">
        <v>573</v>
      </c>
      <c r="G8" s="2188" t="s">
        <v>574</v>
      </c>
      <c r="H8" s="2189" t="s">
        <v>575</v>
      </c>
      <c r="I8" s="2189" t="s">
        <v>576</v>
      </c>
      <c r="J8" s="2190" t="s">
        <v>577</v>
      </c>
      <c r="K8" s="1684" t="s">
        <v>578</v>
      </c>
      <c r="L8" s="2188" t="s">
        <v>579</v>
      </c>
      <c r="M8" s="2189" t="s">
        <v>580</v>
      </c>
      <c r="N8" s="2189" t="s">
        <v>581</v>
      </c>
      <c r="O8" s="1686" t="s">
        <v>582</v>
      </c>
      <c r="P8" s="1684" t="s">
        <v>276</v>
      </c>
      <c r="Q8" s="2188" t="s">
        <v>277</v>
      </c>
      <c r="R8" s="2189" t="s">
        <v>284</v>
      </c>
      <c r="S8" s="2189" t="s">
        <v>285</v>
      </c>
      <c r="T8" s="1686" t="s">
        <v>286</v>
      </c>
      <c r="U8" s="1684" t="s">
        <v>287</v>
      </c>
      <c r="V8" s="2188" t="s">
        <v>288</v>
      </c>
      <c r="W8" s="2189" t="s">
        <v>289</v>
      </c>
      <c r="X8" s="2189" t="s">
        <v>291</v>
      </c>
      <c r="Y8" s="1686" t="s">
        <v>292</v>
      </c>
      <c r="Z8" s="1684" t="s">
        <v>293</v>
      </c>
      <c r="AA8" s="2189" t="s">
        <v>294</v>
      </c>
      <c r="AB8" s="2189" t="s">
        <v>295</v>
      </c>
      <c r="AC8" s="2189" t="s">
        <v>296</v>
      </c>
      <c r="AD8" s="1686" t="s">
        <v>297</v>
      </c>
      <c r="AE8" s="1684" t="s">
        <v>298</v>
      </c>
      <c r="AF8" s="2188" t="s">
        <v>299</v>
      </c>
      <c r="AG8" s="2189" t="s">
        <v>300</v>
      </c>
      <c r="AH8" s="2189" t="s">
        <v>301</v>
      </c>
      <c r="AI8" s="1686" t="s">
        <v>302</v>
      </c>
      <c r="AJ8" s="1684" t="s">
        <v>303</v>
      </c>
      <c r="AK8" s="2189" t="s">
        <v>567</v>
      </c>
      <c r="AL8" s="2189" t="s">
        <v>536</v>
      </c>
      <c r="AM8" s="2189" t="s">
        <v>282</v>
      </c>
      <c r="AN8" s="1686" t="s">
        <v>361</v>
      </c>
      <c r="AO8" s="1684" t="s">
        <v>362</v>
      </c>
      <c r="AP8" s="2189" t="s">
        <v>469</v>
      </c>
      <c r="AQ8" s="2189" t="s">
        <v>358</v>
      </c>
      <c r="AR8" s="2189" t="s">
        <v>8</v>
      </c>
      <c r="AS8" s="1686" t="s">
        <v>120</v>
      </c>
      <c r="AT8" s="1684" t="s">
        <v>119</v>
      </c>
      <c r="AU8" s="2189" t="s">
        <v>210</v>
      </c>
      <c r="AV8" s="2189" t="s">
        <v>464</v>
      </c>
      <c r="AW8" s="2189" t="s">
        <v>198</v>
      </c>
      <c r="AX8" s="1686" t="s">
        <v>163</v>
      </c>
      <c r="AY8" s="1684" t="s">
        <v>430</v>
      </c>
      <c r="AZ8" s="2189" t="s">
        <v>208</v>
      </c>
      <c r="BA8" s="2189" t="s">
        <v>484</v>
      </c>
      <c r="BB8" s="2189" t="s">
        <v>565</v>
      </c>
      <c r="BC8" s="1686" t="s">
        <v>406</v>
      </c>
      <c r="BD8" s="1684" t="s">
        <v>407</v>
      </c>
      <c r="BE8" s="2189" t="s">
        <v>261</v>
      </c>
      <c r="BF8" s="2189" t="s">
        <v>435</v>
      </c>
      <c r="BG8" s="2189" t="s">
        <v>290</v>
      </c>
      <c r="BH8" s="2189" t="s">
        <v>528</v>
      </c>
      <c r="BI8" s="1684" t="s">
        <v>220</v>
      </c>
      <c r="BJ8" s="2189" t="s">
        <v>257</v>
      </c>
      <c r="BK8" s="2189" t="s">
        <v>1</v>
      </c>
      <c r="BL8" s="2189" t="s">
        <v>416</v>
      </c>
      <c r="BM8" s="2189" t="s">
        <v>249</v>
      </c>
      <c r="BN8" s="1687" t="s">
        <v>250</v>
      </c>
      <c r="BO8" s="2189" t="s">
        <v>561</v>
      </c>
      <c r="BP8" s="2189" t="s">
        <v>344</v>
      </c>
      <c r="BQ8" s="2189" t="s">
        <v>390</v>
      </c>
      <c r="BR8" s="2189" t="s">
        <v>17</v>
      </c>
      <c r="BS8" s="1687" t="s">
        <v>126</v>
      </c>
      <c r="BT8" s="2189" t="s">
        <v>251</v>
      </c>
      <c r="BU8" s="2189" t="s">
        <v>535</v>
      </c>
      <c r="BV8" s="2189" t="s">
        <v>316</v>
      </c>
      <c r="BW8" s="2189" t="s">
        <v>322</v>
      </c>
      <c r="BX8" s="1687" t="s">
        <v>323</v>
      </c>
      <c r="BY8" s="2189" t="s">
        <v>388</v>
      </c>
      <c r="BZ8" s="2189" t="s">
        <v>125</v>
      </c>
      <c r="CA8" s="2189" t="s">
        <v>307</v>
      </c>
      <c r="CB8" s="2189" t="s">
        <v>106</v>
      </c>
      <c r="CC8" s="1687" t="s">
        <v>107</v>
      </c>
      <c r="CD8" s="2191" t="s">
        <v>159</v>
      </c>
      <c r="CE8" s="1770" t="s">
        <v>60</v>
      </c>
      <c r="CF8" s="1770" t="s">
        <v>97</v>
      </c>
      <c r="CG8" s="1770" t="s">
        <v>94</v>
      </c>
      <c r="CH8" s="2192" t="s">
        <v>95</v>
      </c>
      <c r="CI8" s="1770" t="s">
        <v>25</v>
      </c>
      <c r="CJ8" s="1770" t="s">
        <v>6</v>
      </c>
      <c r="CK8" s="1770" t="s">
        <v>591</v>
      </c>
      <c r="CL8" s="1770" t="s">
        <v>593</v>
      </c>
      <c r="CM8" s="2192" t="s">
        <v>595</v>
      </c>
      <c r="CN8" s="2184" t="s">
        <v>668</v>
      </c>
      <c r="CO8" s="1770" t="s">
        <v>669</v>
      </c>
      <c r="CP8" s="1770" t="s">
        <v>670</v>
      </c>
      <c r="CQ8" s="2185" t="s">
        <v>610</v>
      </c>
      <c r="CR8" s="2192" t="s">
        <v>611</v>
      </c>
      <c r="CS8" s="2193" t="s">
        <v>619</v>
      </c>
      <c r="CT8" s="2194" t="s">
        <v>620</v>
      </c>
      <c r="CU8" s="2194" t="s">
        <v>653</v>
      </c>
      <c r="CV8" s="2185" t="s">
        <v>682</v>
      </c>
      <c r="CW8" s="2195" t="s">
        <v>687</v>
      </c>
      <c r="CX8" s="2196" t="s">
        <v>693</v>
      </c>
      <c r="CY8" s="2196" t="s">
        <v>714</v>
      </c>
      <c r="CZ8" s="2196" t="s">
        <v>720</v>
      </c>
      <c r="DA8" s="2196" t="s">
        <v>729</v>
      </c>
      <c r="DB8" s="595" t="s">
        <v>730</v>
      </c>
      <c r="DC8" s="2197" t="s">
        <v>499</v>
      </c>
      <c r="DD8" s="2197" t="s">
        <v>500</v>
      </c>
      <c r="DE8" s="2197" t="s">
        <v>501</v>
      </c>
      <c r="DF8" s="2197" t="s">
        <v>502</v>
      </c>
      <c r="DG8" s="2198" t="s">
        <v>318</v>
      </c>
      <c r="DH8" s="2197" t="s">
        <v>503</v>
      </c>
      <c r="DI8" s="2197" t="s">
        <v>504</v>
      </c>
      <c r="DJ8" s="2197" t="s">
        <v>505</v>
      </c>
      <c r="DK8" s="2197" t="s">
        <v>506</v>
      </c>
      <c r="DL8" s="2198" t="s">
        <v>507</v>
      </c>
      <c r="DM8" s="2197" t="s">
        <v>508</v>
      </c>
      <c r="DN8" s="2197" t="s">
        <v>509</v>
      </c>
      <c r="DO8" s="2197" t="s">
        <v>510</v>
      </c>
      <c r="DP8" s="2197" t="s">
        <v>511</v>
      </c>
      <c r="DQ8" s="2198" t="s">
        <v>512</v>
      </c>
      <c r="DR8" s="2186" t="s">
        <v>698</v>
      </c>
      <c r="DS8" s="2186" t="s">
        <v>699</v>
      </c>
      <c r="DT8" s="2186" t="s">
        <v>700</v>
      </c>
      <c r="DU8" s="2186" t="s">
        <v>701</v>
      </c>
      <c r="DV8" s="2157" t="s">
        <v>695</v>
      </c>
      <c r="DW8" s="2186" t="s">
        <v>702</v>
      </c>
      <c r="DX8" s="2186" t="s">
        <v>703</v>
      </c>
      <c r="DY8" s="2186" t="s">
        <v>704</v>
      </c>
      <c r="DZ8" s="2186" t="s">
        <v>705</v>
      </c>
      <c r="EA8" s="2157" t="s">
        <v>696</v>
      </c>
      <c r="EB8" s="11"/>
      <c r="EC8" s="2199" t="s">
        <v>523</v>
      </c>
      <c r="ED8" s="838" t="str">
        <f>DA8</f>
        <v>4Q17A</v>
      </c>
      <c r="EE8" s="838" t="s">
        <v>498</v>
      </c>
      <c r="EF8" s="838" t="s">
        <v>353</v>
      </c>
      <c r="EG8" s="838" t="str">
        <f>CV8</f>
        <v>4Q16A</v>
      </c>
      <c r="EH8" s="2200" t="s">
        <v>306</v>
      </c>
      <c r="EI8" s="11"/>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row>
    <row r="9" spans="1:259" s="337" customFormat="1" hidden="1" x14ac:dyDescent="0.2">
      <c r="A9" s="55"/>
      <c r="B9" s="1332"/>
      <c r="C9" s="1332"/>
      <c r="D9" s="1332"/>
      <c r="E9" s="1332"/>
      <c r="F9" s="1332"/>
      <c r="G9" s="1332"/>
      <c r="H9" s="1332"/>
      <c r="I9" s="1332"/>
      <c r="J9" s="2204"/>
      <c r="K9" s="1332"/>
      <c r="L9" s="1332"/>
      <c r="M9" s="1332"/>
      <c r="N9" s="1332"/>
      <c r="O9" s="1332"/>
      <c r="P9" s="1332"/>
      <c r="Q9" s="1332"/>
      <c r="R9" s="1332"/>
      <c r="S9" s="1332"/>
      <c r="T9" s="1332"/>
      <c r="U9" s="1358"/>
      <c r="V9" s="1332"/>
      <c r="W9" s="1332"/>
      <c r="X9" s="1332"/>
      <c r="Y9" s="1332"/>
      <c r="Z9" s="1358"/>
      <c r="AA9" s="1332"/>
      <c r="AB9" s="1332"/>
      <c r="AC9" s="1332"/>
      <c r="AD9" s="1332"/>
      <c r="AE9" s="1358"/>
      <c r="AF9" s="1332"/>
      <c r="AG9" s="1332"/>
      <c r="AH9" s="1332"/>
      <c r="AI9" s="1332"/>
      <c r="AJ9" s="1358"/>
      <c r="AK9" s="1332"/>
      <c r="AL9" s="1332"/>
      <c r="AM9" s="1332"/>
      <c r="AN9" s="1332"/>
      <c r="AO9" s="1358"/>
      <c r="AP9" s="1332"/>
      <c r="AQ9" s="1332"/>
      <c r="AR9" s="1332"/>
      <c r="AS9" s="1332"/>
      <c r="AT9" s="1358"/>
      <c r="AU9" s="1332"/>
      <c r="AV9" s="1332"/>
      <c r="AW9" s="1332"/>
      <c r="AX9" s="1332"/>
      <c r="AY9" s="1358"/>
      <c r="AZ9" s="1332"/>
      <c r="BA9" s="1332"/>
      <c r="BB9" s="1332"/>
      <c r="BC9" s="1332"/>
      <c r="BD9" s="1358"/>
      <c r="BE9" s="1332"/>
      <c r="BF9" s="1332"/>
      <c r="BG9" s="1332"/>
      <c r="BH9" s="1332"/>
      <c r="BI9" s="1358"/>
      <c r="BJ9" s="1332"/>
      <c r="BK9" s="1332"/>
      <c r="BL9" s="1332"/>
      <c r="BM9" s="1332"/>
      <c r="BN9" s="1358"/>
      <c r="BO9" s="1332"/>
      <c r="BP9" s="1332"/>
      <c r="BQ9" s="1332"/>
      <c r="BR9" s="1332"/>
      <c r="BS9" s="1358"/>
      <c r="BT9" s="1332"/>
      <c r="BU9" s="1332"/>
      <c r="BV9" s="1332"/>
      <c r="BW9" s="1332"/>
      <c r="BX9" s="1358"/>
      <c r="BY9" s="1332"/>
      <c r="BZ9" s="1332"/>
      <c r="CA9" s="1332"/>
      <c r="CB9" s="1332"/>
      <c r="CC9" s="1358"/>
      <c r="CD9" s="1335"/>
      <c r="CE9" s="1335"/>
      <c r="CF9" s="1335"/>
      <c r="CG9" s="1335"/>
      <c r="CH9" s="1328"/>
      <c r="CI9" s="1335"/>
      <c r="CJ9" s="1335"/>
      <c r="CK9" s="1335"/>
      <c r="CL9" s="1335"/>
      <c r="CM9" s="1328"/>
      <c r="CN9" s="1337"/>
      <c r="CO9" s="1335"/>
      <c r="CP9" s="1335"/>
      <c r="CQ9" s="2205"/>
      <c r="CR9" s="1058"/>
      <c r="CS9" s="1990"/>
      <c r="CT9" s="1990"/>
      <c r="CU9" s="1990"/>
      <c r="CV9" s="57"/>
      <c r="CW9" s="15"/>
      <c r="CX9" s="57"/>
      <c r="CY9" s="57"/>
      <c r="CZ9" s="57"/>
      <c r="DA9" s="57"/>
      <c r="DB9" s="15"/>
      <c r="DC9" s="57"/>
      <c r="DD9" s="57"/>
      <c r="DE9" s="57"/>
      <c r="DF9" s="57"/>
      <c r="DG9" s="15"/>
      <c r="DH9" s="57"/>
      <c r="DI9" s="57"/>
      <c r="DJ9" s="57"/>
      <c r="DK9" s="57"/>
      <c r="DL9" s="15"/>
      <c r="DM9" s="57"/>
      <c r="DN9" s="57"/>
      <c r="DO9" s="57"/>
      <c r="DP9" s="57"/>
      <c r="DQ9" s="15"/>
      <c r="DR9" s="57"/>
      <c r="DS9" s="57"/>
      <c r="DT9" s="57"/>
      <c r="DU9" s="57"/>
      <c r="DV9" s="15"/>
      <c r="DW9" s="57"/>
      <c r="DX9" s="57"/>
      <c r="DY9" s="57"/>
      <c r="DZ9" s="57"/>
      <c r="EA9" s="15"/>
      <c r="EB9" s="15"/>
      <c r="EC9" s="55"/>
      <c r="ED9" s="57">
        <f>DA9</f>
        <v>0</v>
      </c>
      <c r="EE9" s="57">
        <v>0</v>
      </c>
      <c r="EF9" s="132"/>
      <c r="EG9" s="57">
        <f>CG9</f>
        <v>0</v>
      </c>
      <c r="EH9" s="132"/>
      <c r="EI9" s="15"/>
      <c r="EK9"/>
      <c r="EL9"/>
      <c r="EM9"/>
      <c r="EN9"/>
      <c r="EO9"/>
      <c r="EP9"/>
      <c r="EQ9" s="1005"/>
      <c r="ER9" s="1005"/>
      <c r="ES9" s="1005"/>
      <c r="ET9" s="1005"/>
      <c r="EU9" s="1005"/>
      <c r="EV9" s="1005"/>
      <c r="EW9" s="1005"/>
      <c r="EX9" s="1005"/>
      <c r="EY9" s="1005"/>
      <c r="EZ9" s="1005"/>
      <c r="FA9" s="1005"/>
      <c r="FB9" s="1005"/>
      <c r="FC9" s="1005"/>
      <c r="FD9" s="1005"/>
      <c r="FE9" s="1005"/>
      <c r="FF9" s="1005"/>
      <c r="FG9" s="1005"/>
      <c r="FH9" s="1005"/>
      <c r="FI9" s="1005"/>
      <c r="FJ9" s="1005"/>
      <c r="FK9" s="1005"/>
      <c r="FL9" s="1005"/>
      <c r="FM9" s="1005"/>
      <c r="FN9" s="1005"/>
      <c r="FO9" s="1005"/>
      <c r="FP9" s="1005"/>
      <c r="FQ9" s="1005"/>
      <c r="FR9" s="1005"/>
      <c r="FS9" s="1005"/>
      <c r="FT9" s="1005"/>
      <c r="FU9" s="1005"/>
      <c r="FV9" s="1005"/>
      <c r="FW9" s="1005"/>
      <c r="FX9" s="1005"/>
      <c r="FY9" s="1005"/>
      <c r="FZ9" s="1005"/>
      <c r="GA9" s="1005"/>
      <c r="GB9" s="1005"/>
      <c r="GC9" s="1005"/>
      <c r="GD9" s="1005"/>
      <c r="GE9" s="1005"/>
      <c r="GF9" s="1005"/>
      <c r="GG9" s="1005"/>
      <c r="GH9" s="1005"/>
      <c r="GI9" s="1005"/>
      <c r="GJ9" s="1005"/>
      <c r="GK9" s="1005"/>
      <c r="GL9" s="1005"/>
      <c r="GM9" s="1005"/>
      <c r="GN9" s="1005"/>
      <c r="GO9" s="1005"/>
      <c r="GP9" s="1005"/>
      <c r="GQ9" s="1005"/>
      <c r="GR9" s="1005"/>
      <c r="GS9" s="1005"/>
      <c r="GT9" s="1005"/>
      <c r="GU9" s="1005"/>
      <c r="GV9" s="1005"/>
      <c r="GW9" s="1005"/>
      <c r="GX9" s="1005"/>
      <c r="GY9" s="1005"/>
      <c r="GZ9" s="1005"/>
      <c r="HA9" s="1005"/>
      <c r="HB9" s="1005"/>
      <c r="HC9" s="1005"/>
      <c r="HD9" s="1005"/>
      <c r="HE9" s="1005"/>
      <c r="HF9" s="1005"/>
      <c r="HG9" s="1005"/>
      <c r="HH9" s="1005"/>
      <c r="HI9" s="1005"/>
      <c r="HJ9" s="1005"/>
      <c r="HK9" s="1005"/>
      <c r="HL9" s="1005"/>
      <c r="HM9" s="1005"/>
      <c r="HN9" s="1005"/>
      <c r="HO9" s="1005"/>
      <c r="HP9" s="1005"/>
      <c r="HQ9" s="1005"/>
      <c r="HR9" s="1005"/>
      <c r="HS9" s="1005"/>
      <c r="HT9" s="1005"/>
      <c r="HU9" s="1005"/>
      <c r="HV9" s="1005"/>
      <c r="HW9" s="1005"/>
      <c r="HX9" s="1005"/>
      <c r="HY9" s="1005"/>
      <c r="HZ9" s="1005"/>
      <c r="IA9" s="1005"/>
      <c r="IB9" s="1005"/>
      <c r="IC9" s="1005"/>
      <c r="ID9" s="1005"/>
      <c r="IE9" s="1005"/>
      <c r="IF9" s="1005"/>
      <c r="IG9" s="1005"/>
      <c r="IH9" s="1005"/>
      <c r="II9" s="1005"/>
      <c r="IJ9" s="1005"/>
      <c r="IK9" s="1005"/>
      <c r="IL9" s="1005"/>
      <c r="IM9" s="1005"/>
      <c r="IN9" s="1005"/>
      <c r="IO9" s="1005"/>
      <c r="IP9" s="1005"/>
      <c r="IQ9" s="1005"/>
      <c r="IR9" s="1005"/>
      <c r="IS9" s="1005"/>
      <c r="IT9" s="1005"/>
      <c r="IU9" s="1005"/>
      <c r="IV9" s="1005"/>
      <c r="IW9" s="1005"/>
      <c r="IX9" s="1005"/>
      <c r="IY9" s="1005"/>
    </row>
    <row r="10" spans="1:259" s="1113" customFormat="1" hidden="1" outlineLevel="1" x14ac:dyDescent="0.2">
      <c r="A10" s="1108" t="s">
        <v>393</v>
      </c>
      <c r="B10" s="1338"/>
      <c r="C10" s="1338"/>
      <c r="D10" s="1338"/>
      <c r="E10" s="1338"/>
      <c r="F10" s="1339"/>
      <c r="G10" s="1338"/>
      <c r="H10" s="1338"/>
      <c r="I10" s="1338"/>
      <c r="J10" s="1338"/>
      <c r="K10" s="1339"/>
      <c r="L10" s="1338"/>
      <c r="M10" s="1338"/>
      <c r="N10" s="1338"/>
      <c r="O10" s="1338"/>
      <c r="P10" s="1339"/>
      <c r="Q10" s="1781"/>
      <c r="R10" s="1338"/>
      <c r="S10" s="1338"/>
      <c r="T10" s="1338"/>
      <c r="U10" s="1339"/>
      <c r="V10" s="1781"/>
      <c r="W10" s="1338"/>
      <c r="X10" s="1338"/>
      <c r="Y10" s="1338"/>
      <c r="Z10" s="1339"/>
      <c r="AA10" s="1338"/>
      <c r="AB10" s="1338"/>
      <c r="AC10" s="1338"/>
      <c r="AD10" s="1338"/>
      <c r="AE10" s="1339"/>
      <c r="AF10" s="1338"/>
      <c r="AG10" s="1338"/>
      <c r="AH10" s="1338"/>
      <c r="AI10" s="1338"/>
      <c r="AJ10" s="1339"/>
      <c r="AK10" s="1338"/>
      <c r="AL10" s="1338"/>
      <c r="AM10" s="1338"/>
      <c r="AN10" s="1338"/>
      <c r="AO10" s="1339"/>
      <c r="AP10" s="1338"/>
      <c r="AQ10" s="1338"/>
      <c r="AR10" s="1338"/>
      <c r="AS10" s="1338"/>
      <c r="AT10" s="1339"/>
      <c r="AU10" s="1338"/>
      <c r="AV10" s="1338"/>
      <c r="AW10" s="1338"/>
      <c r="AX10" s="1338"/>
      <c r="AY10" s="1339"/>
      <c r="AZ10" s="1338"/>
      <c r="BA10" s="1338"/>
      <c r="BB10" s="1338"/>
      <c r="BC10" s="1338"/>
      <c r="BD10" s="1339"/>
      <c r="BE10" s="1338"/>
      <c r="BF10" s="1338"/>
      <c r="BG10" s="1338"/>
      <c r="BH10" s="1338"/>
      <c r="BI10" s="1339"/>
      <c r="BJ10" s="1338"/>
      <c r="BK10" s="1338"/>
      <c r="BL10" s="1338"/>
      <c r="BM10" s="1338"/>
      <c r="BN10" s="1340"/>
      <c r="BO10" s="1338"/>
      <c r="BP10" s="1338"/>
      <c r="BQ10" s="1338"/>
      <c r="BR10" s="1338"/>
      <c r="BS10" s="1340"/>
      <c r="BT10" s="1338"/>
      <c r="BU10" s="1338"/>
      <c r="BV10" s="1338"/>
      <c r="BW10" s="1338"/>
      <c r="BX10" s="1782">
        <v>16289</v>
      </c>
      <c r="BY10" s="1338"/>
      <c r="BZ10" s="1338"/>
      <c r="CA10" s="1338"/>
      <c r="CB10" s="1338"/>
      <c r="CC10" s="1782">
        <v>16641</v>
      </c>
      <c r="CD10" s="1341">
        <v>3904</v>
      </c>
      <c r="CE10" s="1341">
        <v>3829</v>
      </c>
      <c r="CF10" s="1341">
        <v>3807</v>
      </c>
      <c r="CG10" s="1341">
        <v>5107</v>
      </c>
      <c r="CH10" s="1783">
        <v>16647</v>
      </c>
      <c r="CI10" s="1341">
        <v>3848</v>
      </c>
      <c r="CJ10" s="1341">
        <v>3895</v>
      </c>
      <c r="CK10" s="1341">
        <v>4023</v>
      </c>
      <c r="CL10" s="1341">
        <v>5266</v>
      </c>
      <c r="CM10" s="1783">
        <v>17032</v>
      </c>
      <c r="CN10" s="1341">
        <v>5430</v>
      </c>
      <c r="CO10" s="1341">
        <v>5420</v>
      </c>
      <c r="CP10" s="1341">
        <v>5708</v>
      </c>
      <c r="CQ10" s="1884">
        <v>6070</v>
      </c>
      <c r="CR10" s="2142">
        <v>22628</v>
      </c>
      <c r="CS10" s="2058">
        <v>5468</v>
      </c>
      <c r="CT10" s="2058">
        <v>5517</v>
      </c>
      <c r="CU10" s="2058">
        <v>5833</v>
      </c>
      <c r="CV10" s="47">
        <v>6424</v>
      </c>
      <c r="CW10" s="82">
        <v>23242</v>
      </c>
      <c r="CX10" s="47">
        <v>5635</v>
      </c>
      <c r="CY10" s="47">
        <v>5771</v>
      </c>
      <c r="CZ10" s="47">
        <v>6282</v>
      </c>
      <c r="DA10" s="47">
        <v>6827</v>
      </c>
      <c r="DB10" s="2367">
        <v>24515</v>
      </c>
      <c r="DC10" s="1109">
        <v>6236.0635801597873</v>
      </c>
      <c r="DD10" s="1109">
        <v>6199.5914311700108</v>
      </c>
      <c r="DE10" s="1109">
        <v>6748.3187100402974</v>
      </c>
      <c r="DF10" s="1109">
        <v>7443.5974492331543</v>
      </c>
      <c r="DG10" s="2201">
        <v>26627.571170603249</v>
      </c>
      <c r="DH10" s="1109">
        <v>6669.0989029461352</v>
      </c>
      <c r="DI10" s="1109">
        <v>6630.0471167584019</v>
      </c>
      <c r="DJ10" s="1109">
        <v>7257.7090518283676</v>
      </c>
      <c r="DK10" s="1109">
        <v>8024.4486343450117</v>
      </c>
      <c r="DL10" s="2201">
        <v>28581.303705877915</v>
      </c>
      <c r="DM10" s="1109">
        <v>7098.4438171580578</v>
      </c>
      <c r="DN10" s="1109">
        <v>7060.6789375533617</v>
      </c>
      <c r="DO10" s="1109">
        <v>7736.6633136302653</v>
      </c>
      <c r="DP10" s="1109">
        <v>8556.2664384208219</v>
      </c>
      <c r="DQ10" s="2201">
        <v>30452.052506762509</v>
      </c>
      <c r="DR10" s="1109">
        <v>7569.6304522576565</v>
      </c>
      <c r="DS10" s="1109">
        <v>7528.7946018794983</v>
      </c>
      <c r="DT10" s="1109">
        <v>8247.382471822446</v>
      </c>
      <c r="DU10" s="1109">
        <v>9118.8139731753272</v>
      </c>
      <c r="DV10" s="2201">
        <v>32464.621499134926</v>
      </c>
      <c r="DW10" s="1109">
        <v>8064.0416581762438</v>
      </c>
      <c r="DX10" s="1109">
        <v>8022.8380243495985</v>
      </c>
      <c r="DY10" s="1109">
        <v>8788.8354926719931</v>
      </c>
      <c r="DZ10" s="1109">
        <v>9719.9336215009062</v>
      </c>
      <c r="EA10" s="2201">
        <v>34595.648796698741</v>
      </c>
      <c r="EB10" s="1112"/>
      <c r="EC10" s="2202"/>
      <c r="ED10" s="1109"/>
      <c r="EE10" s="1109"/>
      <c r="EF10" s="2203"/>
      <c r="EG10" s="1109"/>
      <c r="EH10" s="1193"/>
      <c r="EI10" s="1112"/>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row>
    <row r="11" spans="1:259" s="1113" customFormat="1" hidden="1" outlineLevel="1" x14ac:dyDescent="0.2">
      <c r="A11" s="1108" t="s">
        <v>394</v>
      </c>
      <c r="B11" s="1338"/>
      <c r="C11" s="1338"/>
      <c r="D11" s="1338"/>
      <c r="E11" s="1338"/>
      <c r="F11" s="1339"/>
      <c r="G11" s="1338"/>
      <c r="H11" s="1338"/>
      <c r="I11" s="1338"/>
      <c r="J11" s="1338"/>
      <c r="K11" s="1339"/>
      <c r="L11" s="1338"/>
      <c r="M11" s="1338"/>
      <c r="N11" s="1338"/>
      <c r="O11" s="1338"/>
      <c r="P11" s="1339"/>
      <c r="Q11" s="1781"/>
      <c r="R11" s="1338"/>
      <c r="S11" s="1338"/>
      <c r="T11" s="1338"/>
      <c r="U11" s="1339"/>
      <c r="V11" s="1781"/>
      <c r="W11" s="1338"/>
      <c r="X11" s="1338"/>
      <c r="Y11" s="1338"/>
      <c r="Z11" s="1339"/>
      <c r="AA11" s="1338"/>
      <c r="AB11" s="1338"/>
      <c r="AC11" s="1338"/>
      <c r="AD11" s="1338"/>
      <c r="AE11" s="1339"/>
      <c r="AF11" s="1338"/>
      <c r="AG11" s="1338"/>
      <c r="AH11" s="1338"/>
      <c r="AI11" s="1338"/>
      <c r="AJ11" s="1339"/>
      <c r="AK11" s="1338"/>
      <c r="AL11" s="1338"/>
      <c r="AM11" s="1338"/>
      <c r="AN11" s="1338"/>
      <c r="AO11" s="1339"/>
      <c r="AP11" s="1338"/>
      <c r="AQ11" s="1338"/>
      <c r="AR11" s="1338"/>
      <c r="AS11" s="1338"/>
      <c r="AT11" s="1339"/>
      <c r="AU11" s="1338"/>
      <c r="AV11" s="1338"/>
      <c r="AW11" s="1338"/>
      <c r="AX11" s="1338"/>
      <c r="AY11" s="1339"/>
      <c r="AZ11" s="1338"/>
      <c r="BA11" s="1338"/>
      <c r="BB11" s="1338"/>
      <c r="BC11" s="1338"/>
      <c r="BD11" s="1339"/>
      <c r="BE11" s="1338"/>
      <c r="BF11" s="1338"/>
      <c r="BG11" s="1338"/>
      <c r="BH11" s="1338"/>
      <c r="BI11" s="1339"/>
      <c r="BJ11" s="1338"/>
      <c r="BK11" s="1338"/>
      <c r="BL11" s="1338"/>
      <c r="BM11" s="1338"/>
      <c r="BN11" s="1340"/>
      <c r="BO11" s="1338"/>
      <c r="BP11" s="1338"/>
      <c r="BQ11" s="1338"/>
      <c r="BR11" s="1338"/>
      <c r="BS11" s="1340"/>
      <c r="BT11" s="1338"/>
      <c r="BU11" s="1338"/>
      <c r="BV11" s="1338"/>
      <c r="BW11" s="1338"/>
      <c r="BX11" s="1782">
        <v>9911</v>
      </c>
      <c r="BY11" s="1338"/>
      <c r="BZ11" s="1338"/>
      <c r="CA11" s="1338"/>
      <c r="CB11" s="1338"/>
      <c r="CC11" s="1782">
        <v>10110</v>
      </c>
      <c r="CD11" s="1341">
        <v>2442</v>
      </c>
      <c r="CE11" s="1341">
        <v>2342</v>
      </c>
      <c r="CF11" s="1341">
        <v>2325</v>
      </c>
      <c r="CG11" s="1341">
        <v>3030</v>
      </c>
      <c r="CH11" s="1783">
        <v>10139</v>
      </c>
      <c r="CI11" s="1341">
        <v>2407</v>
      </c>
      <c r="CJ11" s="1341">
        <v>2304</v>
      </c>
      <c r="CK11" s="1341">
        <v>2334</v>
      </c>
      <c r="CL11" s="1341">
        <v>3055</v>
      </c>
      <c r="CM11" s="1783">
        <v>10100</v>
      </c>
      <c r="CN11" s="1341">
        <v>2923</v>
      </c>
      <c r="CO11" s="1341">
        <v>2840</v>
      </c>
      <c r="CP11" s="1341">
        <v>2892</v>
      </c>
      <c r="CQ11" s="1884">
        <v>3344</v>
      </c>
      <c r="CR11" s="2142">
        <v>11999</v>
      </c>
      <c r="CS11" s="2058">
        <v>2917</v>
      </c>
      <c r="CT11" s="2058">
        <v>2828</v>
      </c>
      <c r="CU11" s="2058">
        <v>2884</v>
      </c>
      <c r="CV11" s="47">
        <v>3392</v>
      </c>
      <c r="CW11" s="82">
        <v>12020</v>
      </c>
      <c r="CX11" s="47">
        <v>2872</v>
      </c>
      <c r="CY11" s="47">
        <v>2827</v>
      </c>
      <c r="CZ11" s="47">
        <v>2966</v>
      </c>
      <c r="DA11" s="47">
        <v>3369</v>
      </c>
      <c r="DB11" s="2368">
        <v>12034</v>
      </c>
      <c r="DC11" s="1109">
        <v>3060.5250101937872</v>
      </c>
      <c r="DD11" s="1109">
        <v>2955.249806365578</v>
      </c>
      <c r="DE11" s="1109">
        <v>3068.4185969468426</v>
      </c>
      <c r="DF11" s="1109">
        <v>3499.8349181989679</v>
      </c>
      <c r="DG11" s="1111">
        <v>12584.028331705174</v>
      </c>
      <c r="DH11" s="1109">
        <v>3225.7168805856072</v>
      </c>
      <c r="DI11" s="1109">
        <v>3120.6750440959281</v>
      </c>
      <c r="DJ11" s="1109">
        <v>3215.9331717036621</v>
      </c>
      <c r="DK11" s="1109">
        <v>3712.8234310837424</v>
      </c>
      <c r="DL11" s="1111">
        <v>13275.14852746894</v>
      </c>
      <c r="DM11" s="1109">
        <v>3421.2224829240995</v>
      </c>
      <c r="DN11" s="1109">
        <v>3305.7352898737845</v>
      </c>
      <c r="DO11" s="1109">
        <v>3405.9358173895585</v>
      </c>
      <c r="DP11" s="1109">
        <v>3932.4089493007614</v>
      </c>
      <c r="DQ11" s="1111">
        <v>14065.302539488206</v>
      </c>
      <c r="DR11" s="1109">
        <v>3619.385269458563</v>
      </c>
      <c r="DS11" s="1109">
        <v>3496.9496754651173</v>
      </c>
      <c r="DT11" s="1109">
        <v>3601.301625982072</v>
      </c>
      <c r="DU11" s="1109">
        <v>4157.1308700274412</v>
      </c>
      <c r="DV11" s="1111">
        <v>14874.767440933194</v>
      </c>
      <c r="DW11" s="1109">
        <v>3824.1060784612364</v>
      </c>
      <c r="DX11" s="1109">
        <v>3694.4903423641535</v>
      </c>
      <c r="DY11" s="1109">
        <v>3803.1196925913305</v>
      </c>
      <c r="DZ11" s="1109">
        <v>4389.268704003468</v>
      </c>
      <c r="EA11" s="1111">
        <v>15710.984817420187</v>
      </c>
      <c r="EB11" s="1112"/>
      <c r="EC11" s="1192"/>
      <c r="ED11" s="1109"/>
      <c r="EE11" s="1109"/>
      <c r="EF11" s="1220"/>
      <c r="EG11" s="1109"/>
      <c r="EH11" s="1193"/>
      <c r="EI11" s="1112"/>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row>
    <row r="12" spans="1:259" s="1113" customFormat="1" hidden="1" outlineLevel="1" x14ac:dyDescent="0.2">
      <c r="A12" s="1108" t="s">
        <v>395</v>
      </c>
      <c r="B12" s="1338"/>
      <c r="C12" s="1338"/>
      <c r="D12" s="1338"/>
      <c r="E12" s="1338"/>
      <c r="F12" s="1339"/>
      <c r="G12" s="1338"/>
      <c r="H12" s="1338"/>
      <c r="I12" s="1338"/>
      <c r="J12" s="1338"/>
      <c r="K12" s="1339"/>
      <c r="L12" s="1338"/>
      <c r="M12" s="1338"/>
      <c r="N12" s="1338"/>
      <c r="O12" s="1338"/>
      <c r="P12" s="1339"/>
      <c r="Q12" s="1781"/>
      <c r="R12" s="1338"/>
      <c r="S12" s="1338"/>
      <c r="T12" s="1338"/>
      <c r="U12" s="1339"/>
      <c r="V12" s="1781"/>
      <c r="W12" s="1338"/>
      <c r="X12" s="1338"/>
      <c r="Y12" s="1338"/>
      <c r="Z12" s="1339"/>
      <c r="AA12" s="1338"/>
      <c r="AB12" s="1338"/>
      <c r="AC12" s="1338"/>
      <c r="AD12" s="1338"/>
      <c r="AE12" s="1339"/>
      <c r="AF12" s="1338"/>
      <c r="AG12" s="1338"/>
      <c r="AH12" s="1338"/>
      <c r="AI12" s="1338"/>
      <c r="AJ12" s="1339"/>
      <c r="AK12" s="1338"/>
      <c r="AL12" s="1338"/>
      <c r="AM12" s="1338"/>
      <c r="AN12" s="1338"/>
      <c r="AO12" s="1339"/>
      <c r="AP12" s="1338"/>
      <c r="AQ12" s="1338"/>
      <c r="AR12" s="1338"/>
      <c r="AS12" s="1338"/>
      <c r="AT12" s="1339"/>
      <c r="AU12" s="1338"/>
      <c r="AV12" s="1338"/>
      <c r="AW12" s="1338"/>
      <c r="AX12" s="1338"/>
      <c r="AY12" s="1339"/>
      <c r="AZ12" s="1338"/>
      <c r="BA12" s="1338"/>
      <c r="BB12" s="1338"/>
      <c r="BC12" s="1338"/>
      <c r="BD12" s="1339"/>
      <c r="BE12" s="1338"/>
      <c r="BF12" s="1338"/>
      <c r="BG12" s="1338"/>
      <c r="BH12" s="1338"/>
      <c r="BI12" s="1339"/>
      <c r="BJ12" s="1338"/>
      <c r="BK12" s="1338"/>
      <c r="BL12" s="1338"/>
      <c r="BM12" s="1338"/>
      <c r="BN12" s="1340"/>
      <c r="BO12" s="1338"/>
      <c r="BP12" s="1338"/>
      <c r="BQ12" s="1338"/>
      <c r="BR12" s="1338"/>
      <c r="BS12" s="1340"/>
      <c r="BT12" s="1338"/>
      <c r="BU12" s="1338"/>
      <c r="BV12" s="1338"/>
      <c r="BW12" s="1338"/>
      <c r="BX12" s="1782">
        <v>7248</v>
      </c>
      <c r="BY12" s="1338"/>
      <c r="BZ12" s="1338"/>
      <c r="CA12" s="1338"/>
      <c r="CB12" s="1338"/>
      <c r="CC12" s="1782">
        <v>7788</v>
      </c>
      <c r="CD12" s="1341">
        <v>1809</v>
      </c>
      <c r="CE12" s="1341">
        <v>1928</v>
      </c>
      <c r="CF12" s="1341">
        <v>1938</v>
      </c>
      <c r="CG12" s="1341">
        <v>2430</v>
      </c>
      <c r="CH12" s="1783">
        <v>8105</v>
      </c>
      <c r="CI12" s="1341">
        <v>1803</v>
      </c>
      <c r="CJ12" s="1341">
        <v>1990</v>
      </c>
      <c r="CK12" s="1341">
        <v>2024</v>
      </c>
      <c r="CL12" s="1341">
        <v>2639</v>
      </c>
      <c r="CM12" s="1783">
        <v>8456</v>
      </c>
      <c r="CN12" s="1341">
        <v>1953</v>
      </c>
      <c r="CO12" s="1341">
        <v>2166</v>
      </c>
      <c r="CP12" s="1341">
        <v>2174</v>
      </c>
      <c r="CQ12" s="1884">
        <v>2810</v>
      </c>
      <c r="CR12" s="2142">
        <v>9103</v>
      </c>
      <c r="CS12" s="2058">
        <v>2021</v>
      </c>
      <c r="CT12" s="2058">
        <v>2209</v>
      </c>
      <c r="CU12" s="2058">
        <v>2292</v>
      </c>
      <c r="CV12" s="47">
        <v>3138</v>
      </c>
      <c r="CW12" s="82">
        <v>9660</v>
      </c>
      <c r="CX12" s="47">
        <v>2262</v>
      </c>
      <c r="CY12" s="47">
        <v>2373</v>
      </c>
      <c r="CZ12" s="47">
        <v>2423</v>
      </c>
      <c r="DA12" s="47">
        <v>3087</v>
      </c>
      <c r="DB12" s="2368">
        <v>10145</v>
      </c>
      <c r="DC12" s="1109">
        <v>2357.0930700323911</v>
      </c>
      <c r="DD12" s="1109">
        <v>2526.9216710887868</v>
      </c>
      <c r="DE12" s="1109">
        <v>2595.1084224846909</v>
      </c>
      <c r="DF12" s="1109">
        <v>3359.6202637586989</v>
      </c>
      <c r="DG12" s="1111">
        <v>10838.743427364569</v>
      </c>
      <c r="DH12" s="1109">
        <v>2543.5346533056127</v>
      </c>
      <c r="DI12" s="1109">
        <v>2683.4310408780761</v>
      </c>
      <c r="DJ12" s="1109">
        <v>2750.5096845993944</v>
      </c>
      <c r="DK12" s="1109">
        <v>3568.8555919394362</v>
      </c>
      <c r="DL12" s="1111">
        <v>11546.330970722518</v>
      </c>
      <c r="DM12" s="1109">
        <v>2683.0552054114596</v>
      </c>
      <c r="DN12" s="1109">
        <v>2846.611810876705</v>
      </c>
      <c r="DO12" s="1109">
        <v>2934.3480500439127</v>
      </c>
      <c r="DP12" s="1109">
        <v>3828.1882776696989</v>
      </c>
      <c r="DQ12" s="1111">
        <v>12292.203344001777</v>
      </c>
      <c r="DR12" s="1109">
        <v>2887.0199008203344</v>
      </c>
      <c r="DS12" s="1109">
        <v>3066.4545976506088</v>
      </c>
      <c r="DT12" s="1109">
        <v>3164.2197313927204</v>
      </c>
      <c r="DU12" s="1109">
        <v>4131.247553348855</v>
      </c>
      <c r="DV12" s="1111">
        <v>13248.941783212518</v>
      </c>
      <c r="DW12" s="1109">
        <v>3118.1602212626435</v>
      </c>
      <c r="DX12" s="1109">
        <v>3315.9058312577258</v>
      </c>
      <c r="DY12" s="1109">
        <v>3425.3622302399867</v>
      </c>
      <c r="DZ12" s="1109">
        <v>4475.8609328009106</v>
      </c>
      <c r="EA12" s="1111">
        <v>14335.289215561268</v>
      </c>
      <c r="EB12" s="1112"/>
      <c r="EC12" s="1192"/>
      <c r="ED12" s="1109"/>
      <c r="EE12" s="1109"/>
      <c r="EF12" s="1220"/>
      <c r="EG12" s="1109"/>
      <c r="EH12" s="1193"/>
      <c r="EI12" s="11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row>
    <row r="13" spans="1:259" s="1113" customFormat="1" hidden="1" outlineLevel="2" x14ac:dyDescent="0.2">
      <c r="A13" s="1108" t="s">
        <v>200</v>
      </c>
      <c r="B13" s="1338">
        <v>2996</v>
      </c>
      <c r="C13" s="1338">
        <v>3022</v>
      </c>
      <c r="D13" s="1338">
        <v>3321</v>
      </c>
      <c r="E13" s="1338">
        <v>4163</v>
      </c>
      <c r="F13" s="1339">
        <v>13502</v>
      </c>
      <c r="G13" s="1338">
        <v>3057</v>
      </c>
      <c r="H13" s="1338">
        <v>3239</v>
      </c>
      <c r="I13" s="1338">
        <v>3351</v>
      </c>
      <c r="J13" s="1338">
        <v>4366</v>
      </c>
      <c r="K13" s="1339">
        <v>14013</v>
      </c>
      <c r="L13" s="1338">
        <v>3220</v>
      </c>
      <c r="M13" s="1338">
        <v>3389</v>
      </c>
      <c r="N13" s="1338">
        <v>3419</v>
      </c>
      <c r="O13" s="1338">
        <v>4488</v>
      </c>
      <c r="P13" s="1339">
        <v>14516</v>
      </c>
      <c r="Q13" s="1781">
        <v>3205</v>
      </c>
      <c r="R13" s="1338">
        <v>3271</v>
      </c>
      <c r="S13" s="1338">
        <v>3441</v>
      </c>
      <c r="T13" s="1338">
        <v>4597</v>
      </c>
      <c r="U13" s="1339">
        <v>14514</v>
      </c>
      <c r="V13" s="1781">
        <v>3229</v>
      </c>
      <c r="W13" s="1338">
        <v>3381</v>
      </c>
      <c r="X13" s="1338">
        <v>3464</v>
      </c>
      <c r="Y13" s="1338">
        <v>4522</v>
      </c>
      <c r="Z13" s="1339">
        <f>SUM(V13:Y13)</f>
        <v>14596</v>
      </c>
      <c r="AA13" s="1338">
        <v>3427</v>
      </c>
      <c r="AB13" s="1338">
        <v>3590</v>
      </c>
      <c r="AC13" s="1338">
        <v>3900</v>
      </c>
      <c r="AD13" s="1338">
        <v>4922</v>
      </c>
      <c r="AE13" s="1339">
        <f>SUM(AA13:AD13)</f>
        <v>15839</v>
      </c>
      <c r="AF13" s="1338">
        <v>3606</v>
      </c>
      <c r="AG13" s="1338">
        <v>3820</v>
      </c>
      <c r="AH13" s="1338">
        <v>3896</v>
      </c>
      <c r="AI13" s="1338">
        <v>5244.598363220779</v>
      </c>
      <c r="AJ13" s="1339">
        <f>SUM(AF13:AI13)</f>
        <v>16566.598363220779</v>
      </c>
      <c r="AK13" s="1338">
        <v>3743</v>
      </c>
      <c r="AL13" s="1338">
        <v>3944</v>
      </c>
      <c r="AM13" s="1338">
        <v>4057</v>
      </c>
      <c r="AN13" s="1338">
        <v>5143</v>
      </c>
      <c r="AO13" s="1339">
        <f>SUM(AK13:AN13)</f>
        <v>16887</v>
      </c>
      <c r="AP13" s="1338">
        <v>3881</v>
      </c>
      <c r="AQ13" s="1338">
        <v>4089</v>
      </c>
      <c r="AR13" s="1338">
        <v>4238</v>
      </c>
      <c r="AS13" s="1338">
        <v>5514</v>
      </c>
      <c r="AT13" s="1339">
        <f>SUM(AP13:AS13)</f>
        <v>17722</v>
      </c>
      <c r="AU13" s="1338">
        <v>4103</v>
      </c>
      <c r="AV13" s="1338">
        <v>4146</v>
      </c>
      <c r="AW13" s="1338">
        <v>4193</v>
      </c>
      <c r="AX13" s="1338">
        <v>5314</v>
      </c>
      <c r="AY13" s="1339">
        <f>SUM(AU13:AX13)</f>
        <v>17756</v>
      </c>
      <c r="AZ13" s="1338">
        <v>3983</v>
      </c>
      <c r="BA13" s="1338">
        <v>4157</v>
      </c>
      <c r="BB13" s="1338">
        <v>4275</v>
      </c>
      <c r="BC13" s="1338">
        <v>5408</v>
      </c>
      <c r="BD13" s="1339">
        <f>SUM(AZ13:BC13)</f>
        <v>17823</v>
      </c>
      <c r="BE13" s="1338">
        <v>4086</v>
      </c>
      <c r="BF13" s="1338">
        <v>4282</v>
      </c>
      <c r="BG13" s="1338">
        <v>4424</v>
      </c>
      <c r="BH13" s="1338">
        <v>5558</v>
      </c>
      <c r="BI13" s="1339">
        <f>SUM(BE13:BH13)</f>
        <v>18350</v>
      </c>
      <c r="BJ13" s="1338">
        <v>3989</v>
      </c>
      <c r="BK13" s="1338">
        <v>4260</v>
      </c>
      <c r="BL13" s="1338">
        <v>4203</v>
      </c>
      <c r="BM13" s="1338">
        <v>5150</v>
      </c>
      <c r="BN13" s="1340">
        <f>SUM(BJ13:BM13)</f>
        <v>17602</v>
      </c>
      <c r="BO13" s="1338">
        <v>3953</v>
      </c>
      <c r="BP13" s="1338">
        <v>4302</v>
      </c>
      <c r="BQ13" s="1338">
        <v>4235</v>
      </c>
      <c r="BR13" s="1338">
        <v>5404</v>
      </c>
      <c r="BS13" s="1340">
        <f>SUM(BO13:BR13)</f>
        <v>17894</v>
      </c>
      <c r="BT13" s="1338">
        <v>3937</v>
      </c>
      <c r="BU13" s="1338">
        <v>4092</v>
      </c>
      <c r="BV13" s="1338">
        <v>4121</v>
      </c>
      <c r="BW13" s="1338">
        <v>5709</v>
      </c>
      <c r="BX13" s="1340">
        <f>SUM(BT13:BW13)</f>
        <v>17859</v>
      </c>
      <c r="BY13" s="1338">
        <v>3986</v>
      </c>
      <c r="BZ13" s="1338">
        <v>4148</v>
      </c>
      <c r="CA13" s="1338">
        <v>4154</v>
      </c>
      <c r="CB13" s="1338">
        <v>5316</v>
      </c>
      <c r="CC13" s="1340">
        <f>SUM(BY13:CB13)</f>
        <v>17604</v>
      </c>
      <c r="CD13" s="1341">
        <v>4058</v>
      </c>
      <c r="CE13" s="1341">
        <v>4216</v>
      </c>
      <c r="CF13" s="1341">
        <v>4165</v>
      </c>
      <c r="CG13" s="1341">
        <v>5254</v>
      </c>
      <c r="CH13" s="1784">
        <f>SUM(CD13:CG13)</f>
        <v>17693</v>
      </c>
      <c r="CI13" s="1341">
        <v>3962.2370910542195</v>
      </c>
      <c r="CJ13" s="1341">
        <v>4324.3640990825779</v>
      </c>
      <c r="CK13" s="1341">
        <v>4291.2131122018518</v>
      </c>
      <c r="CL13" s="1341">
        <v>5472.2211866360312</v>
      </c>
      <c r="CM13" s="1342">
        <f>SUM(CI13:CL13)</f>
        <v>18050.035488974678</v>
      </c>
      <c r="CN13" s="1341">
        <v>4047.8840439671089</v>
      </c>
      <c r="CO13" s="1341">
        <v>4417.4715202927573</v>
      </c>
      <c r="CP13" s="1341">
        <v>4380.745449684513</v>
      </c>
      <c r="CQ13" s="1884">
        <v>5589.9237772985625</v>
      </c>
      <c r="CR13" s="1940">
        <f>SUM(CN13:CQ13)</f>
        <v>18436.02479124294</v>
      </c>
      <c r="CS13" s="2058"/>
      <c r="CT13" s="2058"/>
      <c r="CU13" s="2058"/>
      <c r="CV13" s="47"/>
      <c r="CW13" s="60"/>
      <c r="CX13" s="47"/>
      <c r="CY13" s="47"/>
      <c r="CZ13" s="47"/>
      <c r="DA13" s="47"/>
      <c r="DB13" s="433"/>
      <c r="DC13" s="1109"/>
      <c r="DD13" s="1109"/>
      <c r="DE13" s="1109"/>
      <c r="DF13" s="1109"/>
      <c r="DG13" s="1110"/>
      <c r="DH13" s="1109"/>
      <c r="DI13" s="1109"/>
      <c r="DJ13" s="1109"/>
      <c r="DK13" s="1109"/>
      <c r="DL13" s="1110"/>
      <c r="DM13" s="1109"/>
      <c r="DN13" s="1109"/>
      <c r="DO13" s="1109"/>
      <c r="DP13" s="1109"/>
      <c r="DQ13" s="1110"/>
      <c r="DR13" s="1109"/>
      <c r="DS13" s="1109"/>
      <c r="DT13" s="1109"/>
      <c r="DU13" s="1109"/>
      <c r="DV13" s="1110"/>
      <c r="DW13" s="1109"/>
      <c r="DX13" s="1109"/>
      <c r="DY13" s="1109"/>
      <c r="DZ13" s="1109"/>
      <c r="EA13" s="1110"/>
      <c r="EB13" s="1112"/>
      <c r="EC13" s="1192" t="s">
        <v>200</v>
      </c>
      <c r="ED13" s="1109">
        <f>DA13</f>
        <v>0</v>
      </c>
      <c r="EE13" s="1109">
        <v>0</v>
      </c>
      <c r="EF13" s="1220">
        <f>ED13-EE13</f>
        <v>0</v>
      </c>
      <c r="EG13" s="1109">
        <f>CG13</f>
        <v>5254</v>
      </c>
      <c r="EH13" s="1193">
        <f>ED13/EG13-1</f>
        <v>-1</v>
      </c>
      <c r="EI13" s="1112"/>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row>
    <row r="14" spans="1:259" s="1113" customFormat="1" ht="14.25" hidden="1" customHeight="1" outlineLevel="2" x14ac:dyDescent="0.35">
      <c r="A14" s="1108" t="s">
        <v>201</v>
      </c>
      <c r="B14" s="1343">
        <v>1588</v>
      </c>
      <c r="C14" s="1343">
        <v>1514</v>
      </c>
      <c r="D14" s="1343">
        <v>1666</v>
      </c>
      <c r="E14" s="1343">
        <v>2195</v>
      </c>
      <c r="F14" s="1344">
        <v>6963</v>
      </c>
      <c r="G14" s="1343">
        <v>1500</v>
      </c>
      <c r="H14" s="1343">
        <v>1497</v>
      </c>
      <c r="I14" s="1343">
        <v>1554</v>
      </c>
      <c r="J14" s="1343">
        <v>2056</v>
      </c>
      <c r="K14" s="1344">
        <v>6607</v>
      </c>
      <c r="L14" s="1343">
        <v>1586</v>
      </c>
      <c r="M14" s="1343">
        <v>1613</v>
      </c>
      <c r="N14" s="1343">
        <v>1667</v>
      </c>
      <c r="O14" s="1343">
        <v>2380</v>
      </c>
      <c r="P14" s="1344">
        <v>7246</v>
      </c>
      <c r="Q14" s="1785">
        <v>1721</v>
      </c>
      <c r="R14" s="1343">
        <v>1743</v>
      </c>
      <c r="S14" s="1343">
        <v>1784</v>
      </c>
      <c r="T14" s="1343">
        <v>2397</v>
      </c>
      <c r="U14" s="1344">
        <v>7645</v>
      </c>
      <c r="V14" s="1785">
        <v>1750</v>
      </c>
      <c r="W14" s="1343">
        <v>1733</v>
      </c>
      <c r="X14" s="1343">
        <v>1803</v>
      </c>
      <c r="Y14" s="1343">
        <v>2466</v>
      </c>
      <c r="Z14" s="1344">
        <f>SUM(V14:Y14)</f>
        <v>7752</v>
      </c>
      <c r="AA14" s="1343">
        <v>1816</v>
      </c>
      <c r="AB14" s="1343">
        <v>1868</v>
      </c>
      <c r="AC14" s="1343">
        <v>2030</v>
      </c>
      <c r="AD14" s="1343">
        <v>2666</v>
      </c>
      <c r="AE14" s="1344">
        <f>SUM(AA14:AD14)</f>
        <v>8380</v>
      </c>
      <c r="AF14" s="1338">
        <v>1856</v>
      </c>
      <c r="AG14" s="1338">
        <v>1791</v>
      </c>
      <c r="AH14" s="1338">
        <v>1923</v>
      </c>
      <c r="AI14" s="1338">
        <v>2622</v>
      </c>
      <c r="AJ14" s="1339">
        <f>SUM(AF14:AI14)</f>
        <v>8192</v>
      </c>
      <c r="AK14" s="1338">
        <v>2135</v>
      </c>
      <c r="AL14" s="1338">
        <v>2060</v>
      </c>
      <c r="AM14" s="1338">
        <v>2187</v>
      </c>
      <c r="AN14" s="1338">
        <v>2935</v>
      </c>
      <c r="AO14" s="1339">
        <f>SUM(AK14:AN14)</f>
        <v>9317</v>
      </c>
      <c r="AP14" s="1338">
        <v>2377</v>
      </c>
      <c r="AQ14" s="1338">
        <v>2292</v>
      </c>
      <c r="AR14" s="1338">
        <v>2344</v>
      </c>
      <c r="AS14" s="1338">
        <v>3169</v>
      </c>
      <c r="AT14" s="1339">
        <f>SUM(AP14:AS14)</f>
        <v>10182</v>
      </c>
      <c r="AU14" s="1338">
        <v>2430</v>
      </c>
      <c r="AV14" s="1338">
        <v>2407</v>
      </c>
      <c r="AW14" s="1338">
        <v>2586</v>
      </c>
      <c r="AX14" s="1338">
        <v>3475</v>
      </c>
      <c r="AY14" s="1339">
        <f>SUM(AU14:AX14)</f>
        <v>10898</v>
      </c>
      <c r="AZ14" s="1338">
        <v>2746</v>
      </c>
      <c r="BA14" s="1338">
        <v>2759</v>
      </c>
      <c r="BB14" s="1338">
        <v>2996</v>
      </c>
      <c r="BC14" s="1338">
        <v>4040</v>
      </c>
      <c r="BD14" s="1339">
        <f>SUM(AZ14:BC14)</f>
        <v>12541</v>
      </c>
      <c r="BE14" s="1338">
        <v>3150</v>
      </c>
      <c r="BF14" s="1338">
        <v>3186</v>
      </c>
      <c r="BG14" s="1338">
        <v>3367</v>
      </c>
      <c r="BH14" s="1338">
        <v>4069</v>
      </c>
      <c r="BI14" s="1339">
        <f>SUM(BE14:BH14)</f>
        <v>13772</v>
      </c>
      <c r="BJ14" s="1338">
        <v>3123</v>
      </c>
      <c r="BK14" s="1338">
        <v>2888</v>
      </c>
      <c r="BL14" s="1338">
        <v>3227</v>
      </c>
      <c r="BM14" s="1338">
        <v>4410</v>
      </c>
      <c r="BN14" s="1340">
        <f>SUM(BJ14:BM14)</f>
        <v>13648</v>
      </c>
      <c r="BO14" s="1338">
        <v>3439</v>
      </c>
      <c r="BP14" s="1338">
        <v>3319</v>
      </c>
      <c r="BQ14" s="1338">
        <v>3440</v>
      </c>
      <c r="BR14" s="1338">
        <v>4774</v>
      </c>
      <c r="BS14" s="1340">
        <f>SUM(BO14:BR14)</f>
        <v>14972</v>
      </c>
      <c r="BT14" s="1338">
        <v>3715</v>
      </c>
      <c r="BU14" s="1338">
        <v>3690</v>
      </c>
      <c r="BV14" s="1338">
        <v>3979</v>
      </c>
      <c r="BW14" s="1338">
        <v>5220</v>
      </c>
      <c r="BX14" s="1340">
        <f>SUM(BT14:BW14)</f>
        <v>16604</v>
      </c>
      <c r="BY14" s="1338">
        <v>3952</v>
      </c>
      <c r="BZ14" s="1338">
        <v>3825</v>
      </c>
      <c r="CA14" s="1338">
        <v>3883</v>
      </c>
      <c r="CB14" s="1338">
        <v>5283</v>
      </c>
      <c r="CC14" s="1340">
        <f>SUM(BY14:CB14)</f>
        <v>16943</v>
      </c>
      <c r="CD14" s="1341">
        <v>4097</v>
      </c>
      <c r="CE14" s="1341">
        <v>3883</v>
      </c>
      <c r="CF14" s="1341">
        <v>3905</v>
      </c>
      <c r="CG14" s="1341">
        <v>5313</v>
      </c>
      <c r="CH14" s="1784">
        <f>SUM(CD14:CG14)</f>
        <v>17198</v>
      </c>
      <c r="CI14" s="1341">
        <v>4278.496723744368</v>
      </c>
      <c r="CJ14" s="1341">
        <v>4060.3798164504033</v>
      </c>
      <c r="CK14" s="1341">
        <v>4090.1838134642567</v>
      </c>
      <c r="CL14" s="1341">
        <v>5492.4990150023095</v>
      </c>
      <c r="CM14" s="1342">
        <f>SUM(CI14:CL14)</f>
        <v>17921.559368661336</v>
      </c>
      <c r="CN14" s="1341">
        <v>4428.0051834030646</v>
      </c>
      <c r="CO14" s="1341">
        <v>4132.712614944262</v>
      </c>
      <c r="CP14" s="1341">
        <v>4134.2757885560159</v>
      </c>
      <c r="CQ14" s="1884">
        <v>5539.9153708051199</v>
      </c>
      <c r="CR14" s="1940">
        <f>SUM(CN14:CQ14)</f>
        <v>18234.908957708463</v>
      </c>
      <c r="CS14" s="2058"/>
      <c r="CT14" s="2058"/>
      <c r="CU14" s="2058"/>
      <c r="CV14" s="47"/>
      <c r="CW14" s="60"/>
      <c r="CX14" s="47"/>
      <c r="CY14" s="47"/>
      <c r="CZ14" s="47"/>
      <c r="DA14" s="47"/>
      <c r="DB14" s="433"/>
      <c r="DC14" s="1109"/>
      <c r="DD14" s="1109"/>
      <c r="DE14" s="1109"/>
      <c r="DF14" s="1109"/>
      <c r="DG14" s="1110"/>
      <c r="DH14" s="1109"/>
      <c r="DI14" s="1109"/>
      <c r="DJ14" s="1109"/>
      <c r="DK14" s="1109"/>
      <c r="DL14" s="1110"/>
      <c r="DM14" s="1109"/>
      <c r="DN14" s="1109"/>
      <c r="DO14" s="1109"/>
      <c r="DP14" s="1109"/>
      <c r="DQ14" s="1110"/>
      <c r="DR14" s="1109"/>
      <c r="DS14" s="1109"/>
      <c r="DT14" s="1109"/>
      <c r="DU14" s="1109"/>
      <c r="DV14" s="1110"/>
      <c r="DW14" s="1109"/>
      <c r="DX14" s="1109"/>
      <c r="DY14" s="1109"/>
      <c r="DZ14" s="1109"/>
      <c r="EA14" s="1110"/>
      <c r="EB14" s="1112"/>
      <c r="EC14" s="1192" t="s">
        <v>201</v>
      </c>
      <c r="ED14" s="1114">
        <f>DA14</f>
        <v>0</v>
      </c>
      <c r="EE14" s="1114">
        <v>0</v>
      </c>
      <c r="EF14" s="1220">
        <f>ED14-EE14</f>
        <v>0</v>
      </c>
      <c r="EG14" s="1114">
        <f>CG14</f>
        <v>5313</v>
      </c>
      <c r="EH14" s="1193">
        <f>ED14/EG14-1</f>
        <v>-1</v>
      </c>
      <c r="EI14" s="1112"/>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row>
    <row r="15" spans="1:259" s="1113" customFormat="1" ht="14.25" hidden="1" customHeight="1" outlineLevel="1" x14ac:dyDescent="0.35">
      <c r="A15" s="1108" t="s">
        <v>202</v>
      </c>
      <c r="B15" s="1343"/>
      <c r="C15" s="1343"/>
      <c r="D15" s="1343"/>
      <c r="E15" s="1343"/>
      <c r="F15" s="1344"/>
      <c r="G15" s="1343"/>
      <c r="H15" s="1343"/>
      <c r="I15" s="1343"/>
      <c r="J15" s="1343"/>
      <c r="K15" s="1344"/>
      <c r="L15" s="1343"/>
      <c r="M15" s="1343"/>
      <c r="N15" s="1343"/>
      <c r="O15" s="1343"/>
      <c r="P15" s="1344"/>
      <c r="Q15" s="1785"/>
      <c r="R15" s="1343"/>
      <c r="S15" s="1343"/>
      <c r="T15" s="1343"/>
      <c r="U15" s="1344"/>
      <c r="V15" s="1785"/>
      <c r="W15" s="1343"/>
      <c r="X15" s="1343"/>
      <c r="Y15" s="1343"/>
      <c r="Z15" s="1344"/>
      <c r="AA15" s="1343"/>
      <c r="AB15" s="1343"/>
      <c r="AC15" s="1343"/>
      <c r="AD15" s="1343"/>
      <c r="AE15" s="1344"/>
      <c r="AF15" s="1338">
        <v>222</v>
      </c>
      <c r="AG15" s="1338">
        <v>308</v>
      </c>
      <c r="AH15" s="1338">
        <v>345</v>
      </c>
      <c r="AI15" s="1338">
        <v>506</v>
      </c>
      <c r="AJ15" s="1339">
        <f>SUM(AF15:AI15)</f>
        <v>1381</v>
      </c>
      <c r="AK15" s="1338">
        <v>292</v>
      </c>
      <c r="AL15" s="1338">
        <v>359</v>
      </c>
      <c r="AM15" s="1338">
        <v>455</v>
      </c>
      <c r="AN15" s="1338">
        <v>595</v>
      </c>
      <c r="AO15" s="1339">
        <f>SUM(AK15:AN15)</f>
        <v>1701</v>
      </c>
      <c r="AP15" s="1338">
        <v>351</v>
      </c>
      <c r="AQ15" s="1338">
        <v>406</v>
      </c>
      <c r="AR15" s="1338">
        <v>538</v>
      </c>
      <c r="AS15" s="1338">
        <v>625</v>
      </c>
      <c r="AT15" s="1339">
        <f>SUM(AP15:AS15)</f>
        <v>1920</v>
      </c>
      <c r="AU15" s="1338">
        <v>408</v>
      </c>
      <c r="AV15" s="1338">
        <v>537</v>
      </c>
      <c r="AW15" s="1338">
        <v>689</v>
      </c>
      <c r="AX15" s="1338">
        <v>793</v>
      </c>
      <c r="AY15" s="1339">
        <f>SUM(AU15:AX15)</f>
        <v>2427</v>
      </c>
      <c r="AZ15" s="1338">
        <v>505</v>
      </c>
      <c r="BA15" s="1338">
        <v>670</v>
      </c>
      <c r="BB15" s="1338">
        <v>899</v>
      </c>
      <c r="BC15" s="1338">
        <v>1099</v>
      </c>
      <c r="BD15" s="1339">
        <f>SUM(AZ15:BC15)</f>
        <v>3173</v>
      </c>
      <c r="BE15" s="1338">
        <v>633</v>
      </c>
      <c r="BF15" s="1338">
        <v>837</v>
      </c>
      <c r="BG15" s="1338">
        <v>1072</v>
      </c>
      <c r="BH15" s="1338">
        <v>1237</v>
      </c>
      <c r="BI15" s="1339">
        <f>SUM(BE15:BH15)</f>
        <v>3779</v>
      </c>
      <c r="BJ15" s="1338">
        <v>750</v>
      </c>
      <c r="BK15" s="1338">
        <v>926</v>
      </c>
      <c r="BL15" s="1338">
        <v>1201</v>
      </c>
      <c r="BM15" s="1338">
        <v>1334</v>
      </c>
      <c r="BN15" s="1340">
        <f>SUM(BJ15:BM15)</f>
        <v>4211</v>
      </c>
      <c r="BO15" s="1338">
        <v>860</v>
      </c>
      <c r="BP15" s="1338">
        <v>1062</v>
      </c>
      <c r="BQ15" s="1338">
        <v>1425</v>
      </c>
      <c r="BR15" s="1338">
        <v>1619</v>
      </c>
      <c r="BS15" s="1340">
        <f>SUM(BO15:BR15)</f>
        <v>4966</v>
      </c>
      <c r="BT15" s="1338">
        <v>1105</v>
      </c>
      <c r="BU15" s="1338">
        <v>1422</v>
      </c>
      <c r="BV15" s="1338">
        <v>1936</v>
      </c>
      <c r="BW15" s="1338">
        <v>2263</v>
      </c>
      <c r="BX15" s="1340">
        <f>SUM(BT15:BW15)</f>
        <v>6726</v>
      </c>
      <c r="BY15" s="1338">
        <v>1482</v>
      </c>
      <c r="BZ15" s="1338">
        <v>1864</v>
      </c>
      <c r="CA15" s="1338">
        <v>2390</v>
      </c>
      <c r="CB15" s="1338">
        <v>2536</v>
      </c>
      <c r="CC15" s="1340">
        <f>SUM(BY15:CB15)</f>
        <v>8272</v>
      </c>
      <c r="CD15" s="1341">
        <v>1367</v>
      </c>
      <c r="CE15" s="1341">
        <v>1685</v>
      </c>
      <c r="CF15" s="1341">
        <v>2425</v>
      </c>
      <c r="CG15" s="1341">
        <v>2694</v>
      </c>
      <c r="CH15" s="1784">
        <f>SUM(CD15:CG15)</f>
        <v>8171</v>
      </c>
      <c r="CI15" s="1341">
        <v>1642</v>
      </c>
      <c r="CJ15" s="1341">
        <v>2034</v>
      </c>
      <c r="CK15" s="1341">
        <v>2190</v>
      </c>
      <c r="CL15" s="1341">
        <v>2374</v>
      </c>
      <c r="CM15" s="1342">
        <f>SUM(CI15:CL15)</f>
        <v>8240</v>
      </c>
      <c r="CN15" s="1341"/>
      <c r="CO15" s="1341"/>
      <c r="CP15" s="1341"/>
      <c r="CQ15" s="1884"/>
      <c r="CR15" s="1940">
        <f>SUM(CN15:CQ15)</f>
        <v>0</v>
      </c>
      <c r="CS15" s="2058"/>
      <c r="CT15" s="2058"/>
      <c r="CU15" s="2058"/>
      <c r="CV15" s="47"/>
      <c r="CW15" s="60"/>
      <c r="CX15" s="47"/>
      <c r="CY15" s="47"/>
      <c r="CZ15" s="47"/>
      <c r="DA15" s="47"/>
      <c r="DB15" s="433"/>
      <c r="DC15" s="1109"/>
      <c r="DD15" s="1109"/>
      <c r="DE15" s="1109"/>
      <c r="DF15" s="1109"/>
      <c r="DG15" s="1110"/>
      <c r="DH15" s="1109"/>
      <c r="DI15" s="1109"/>
      <c r="DJ15" s="1109"/>
      <c r="DK15" s="1109"/>
      <c r="DL15" s="1110"/>
      <c r="DM15" s="1109"/>
      <c r="DN15" s="1109"/>
      <c r="DO15" s="1109"/>
      <c r="DP15" s="1109"/>
      <c r="DQ15" s="1110"/>
      <c r="DR15" s="1109"/>
      <c r="DS15" s="1109"/>
      <c r="DT15" s="1109"/>
      <c r="DU15" s="1109"/>
      <c r="DV15" s="1110"/>
      <c r="DW15" s="1109"/>
      <c r="DX15" s="1109"/>
      <c r="DY15" s="1109"/>
      <c r="DZ15" s="1109"/>
      <c r="EA15" s="1110"/>
      <c r="EB15" s="1112"/>
      <c r="EC15" s="1192" t="s">
        <v>202</v>
      </c>
      <c r="ED15" s="1114">
        <f>DA15</f>
        <v>0</v>
      </c>
      <c r="EE15" s="1114">
        <v>0</v>
      </c>
      <c r="EF15" s="1220"/>
      <c r="EG15" s="1114">
        <f>CG15</f>
        <v>2694</v>
      </c>
      <c r="EH15" s="1193"/>
      <c r="EI15" s="1112"/>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row>
    <row r="16" spans="1:259" s="1119" customFormat="1" ht="15" hidden="1" outlineLevel="2" x14ac:dyDescent="0.35">
      <c r="A16" s="1115" t="s">
        <v>387</v>
      </c>
      <c r="B16" s="1343"/>
      <c r="C16" s="1343"/>
      <c r="D16" s="1343"/>
      <c r="E16" s="1343"/>
      <c r="F16" s="1344"/>
      <c r="G16" s="1343"/>
      <c r="H16" s="1343"/>
      <c r="I16" s="1343"/>
      <c r="J16" s="1343"/>
      <c r="K16" s="1345"/>
      <c r="L16" s="1343"/>
      <c r="M16" s="1343"/>
      <c r="N16" s="1343"/>
      <c r="O16" s="1343"/>
      <c r="P16" s="1344"/>
      <c r="Q16" s="1785"/>
      <c r="R16" s="1343"/>
      <c r="S16" s="1343"/>
      <c r="T16" s="1343"/>
      <c r="U16" s="1344"/>
      <c r="V16" s="1785"/>
      <c r="W16" s="1343"/>
      <c r="X16" s="1343"/>
      <c r="Y16" s="1343"/>
      <c r="Z16" s="1344"/>
      <c r="AA16" s="1343"/>
      <c r="AB16" s="1343"/>
      <c r="AC16" s="1343"/>
      <c r="AD16" s="1343"/>
      <c r="AE16" s="1344"/>
      <c r="AF16" s="1343"/>
      <c r="AG16" s="1343"/>
      <c r="AH16" s="1343"/>
      <c r="AI16" s="1343"/>
      <c r="AJ16" s="1339"/>
      <c r="AK16" s="1343"/>
      <c r="AL16" s="1343"/>
      <c r="AM16" s="1343"/>
      <c r="AN16" s="1343"/>
      <c r="AO16" s="1339"/>
      <c r="AP16" s="1343"/>
      <c r="AQ16" s="1343"/>
      <c r="AR16" s="1343"/>
      <c r="AS16" s="1343"/>
      <c r="AT16" s="1344"/>
      <c r="AU16" s="1343"/>
      <c r="AV16" s="1343"/>
      <c r="AW16" s="1343"/>
      <c r="AX16" s="1343"/>
      <c r="AY16" s="1344"/>
      <c r="AZ16" s="1343"/>
      <c r="BA16" s="1343"/>
      <c r="BB16" s="1343"/>
      <c r="BC16" s="1343"/>
      <c r="BD16" s="1344"/>
      <c r="BE16" s="1343"/>
      <c r="BF16" s="1343"/>
      <c r="BG16" s="1343"/>
      <c r="BH16" s="1343"/>
      <c r="BI16" s="1344"/>
      <c r="BJ16" s="1343"/>
      <c r="BK16" s="1343"/>
      <c r="BL16" s="1343"/>
      <c r="BM16" s="1343"/>
      <c r="BN16" s="1346"/>
      <c r="BO16" s="1343"/>
      <c r="BP16" s="1343"/>
      <c r="BQ16" s="1343"/>
      <c r="BR16" s="1343"/>
      <c r="BS16" s="1346">
        <v>0</v>
      </c>
      <c r="BT16" s="1343">
        <v>49</v>
      </c>
      <c r="BU16" s="1343">
        <v>66</v>
      </c>
      <c r="BV16" s="1343">
        <v>76</v>
      </c>
      <c r="BW16" s="1343">
        <v>98</v>
      </c>
      <c r="BX16" s="1346">
        <v>289</v>
      </c>
      <c r="BY16" s="1343">
        <v>59</v>
      </c>
      <c r="BZ16" s="1343">
        <v>77</v>
      </c>
      <c r="CA16" s="1343">
        <v>81</v>
      </c>
      <c r="CB16" s="1343">
        <v>108</v>
      </c>
      <c r="CC16" s="1346">
        <v>325</v>
      </c>
      <c r="CD16" s="1347">
        <v>58</v>
      </c>
      <c r="CE16" s="1347">
        <v>95</v>
      </c>
      <c r="CF16" s="1347">
        <v>90</v>
      </c>
      <c r="CG16" s="1347">
        <v>119</v>
      </c>
      <c r="CH16" s="1786">
        <v>362</v>
      </c>
      <c r="CI16" s="1347">
        <v>57</v>
      </c>
      <c r="CJ16" s="1347">
        <v>93</v>
      </c>
      <c r="CK16" s="1347">
        <v>95</v>
      </c>
      <c r="CL16" s="1347">
        <v>114</v>
      </c>
      <c r="CM16" s="1348">
        <v>359</v>
      </c>
      <c r="CN16" s="1347">
        <v>58</v>
      </c>
      <c r="CO16" s="1347">
        <v>90</v>
      </c>
      <c r="CP16" s="1347">
        <v>80</v>
      </c>
      <c r="CQ16" s="1885">
        <v>98</v>
      </c>
      <c r="CR16" s="1941">
        <v>326</v>
      </c>
      <c r="CS16" s="1116">
        <v>0</v>
      </c>
      <c r="CT16" s="1116">
        <v>0</v>
      </c>
      <c r="CU16" s="1116">
        <v>0</v>
      </c>
      <c r="CV16" s="1876">
        <v>0</v>
      </c>
      <c r="CW16" s="1049">
        <v>0</v>
      </c>
      <c r="CX16" s="1876">
        <v>0</v>
      </c>
      <c r="CY16" s="1876">
        <v>0</v>
      </c>
      <c r="CZ16" s="1876">
        <v>0</v>
      </c>
      <c r="DA16" s="1876">
        <v>0</v>
      </c>
      <c r="DB16" s="2369">
        <v>0</v>
      </c>
      <c r="DC16" s="1116">
        <v>0</v>
      </c>
      <c r="DD16" s="1116">
        <v>0</v>
      </c>
      <c r="DE16" s="1116">
        <v>0</v>
      </c>
      <c r="DF16" s="1116">
        <v>0</v>
      </c>
      <c r="DG16" s="1117">
        <v>0</v>
      </c>
      <c r="DH16" s="1116">
        <v>0</v>
      </c>
      <c r="DI16" s="1116">
        <v>0</v>
      </c>
      <c r="DJ16" s="1116">
        <v>0</v>
      </c>
      <c r="DK16" s="1116">
        <v>0</v>
      </c>
      <c r="DL16" s="1117">
        <v>0</v>
      </c>
      <c r="DM16" s="1116">
        <v>0</v>
      </c>
      <c r="DN16" s="1116">
        <v>0</v>
      </c>
      <c r="DO16" s="1116">
        <v>0</v>
      </c>
      <c r="DP16" s="1116">
        <v>0</v>
      </c>
      <c r="DQ16" s="1117">
        <v>0</v>
      </c>
      <c r="DR16" s="1116">
        <v>0</v>
      </c>
      <c r="DS16" s="1116">
        <v>0</v>
      </c>
      <c r="DT16" s="1116">
        <v>0</v>
      </c>
      <c r="DU16" s="1116">
        <v>0</v>
      </c>
      <c r="DV16" s="1117">
        <v>0</v>
      </c>
      <c r="DW16" s="1116">
        <v>0</v>
      </c>
      <c r="DX16" s="1116">
        <v>0</v>
      </c>
      <c r="DY16" s="1116">
        <v>0</v>
      </c>
      <c r="DZ16" s="1116">
        <v>0</v>
      </c>
      <c r="EA16" s="1117">
        <v>0</v>
      </c>
      <c r="EB16" s="1118"/>
      <c r="EC16" s="1194">
        <v>0</v>
      </c>
      <c r="ED16" s="1116"/>
      <c r="EE16" s="1116"/>
      <c r="EF16" s="1221"/>
      <c r="EG16" s="1116"/>
      <c r="EH16" s="1195"/>
      <c r="EI16" s="1118"/>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row>
    <row r="17" spans="1:259" s="1113" customFormat="1" hidden="1" outlineLevel="1" x14ac:dyDescent="0.2">
      <c r="A17" s="1120" t="s">
        <v>426</v>
      </c>
      <c r="B17" s="1349">
        <f t="shared" ref="B17:AE17" si="2">SUM(B13:B14)</f>
        <v>4584</v>
      </c>
      <c r="C17" s="1350">
        <f t="shared" si="2"/>
        <v>4536</v>
      </c>
      <c r="D17" s="1349">
        <f t="shared" si="2"/>
        <v>4987</v>
      </c>
      <c r="E17" s="1349">
        <f t="shared" si="2"/>
        <v>6358</v>
      </c>
      <c r="F17" s="1351">
        <f t="shared" si="2"/>
        <v>20465</v>
      </c>
      <c r="G17" s="1787">
        <f t="shared" si="2"/>
        <v>4557</v>
      </c>
      <c r="H17" s="1350">
        <f t="shared" si="2"/>
        <v>4736</v>
      </c>
      <c r="I17" s="1350">
        <f t="shared" si="2"/>
        <v>4905</v>
      </c>
      <c r="J17" s="1352">
        <f t="shared" si="2"/>
        <v>6422</v>
      </c>
      <c r="K17" s="1352">
        <f t="shared" si="2"/>
        <v>20620</v>
      </c>
      <c r="L17" s="1349">
        <f t="shared" si="2"/>
        <v>4806</v>
      </c>
      <c r="M17" s="1349">
        <f t="shared" si="2"/>
        <v>5002</v>
      </c>
      <c r="N17" s="1349">
        <f t="shared" si="2"/>
        <v>5086</v>
      </c>
      <c r="O17" s="1353">
        <f t="shared" si="2"/>
        <v>6868</v>
      </c>
      <c r="P17" s="1351">
        <f t="shared" si="2"/>
        <v>21762</v>
      </c>
      <c r="Q17" s="1788">
        <f t="shared" si="2"/>
        <v>4926</v>
      </c>
      <c r="R17" s="1349">
        <f t="shared" si="2"/>
        <v>5014</v>
      </c>
      <c r="S17" s="1349">
        <f t="shared" si="2"/>
        <v>5225</v>
      </c>
      <c r="T17" s="1353">
        <f t="shared" si="2"/>
        <v>6994</v>
      </c>
      <c r="U17" s="1351">
        <f t="shared" si="2"/>
        <v>22159</v>
      </c>
      <c r="V17" s="1788">
        <f t="shared" si="2"/>
        <v>4979</v>
      </c>
      <c r="W17" s="1349">
        <f t="shared" si="2"/>
        <v>5114</v>
      </c>
      <c r="X17" s="1349">
        <f t="shared" si="2"/>
        <v>5267</v>
      </c>
      <c r="Y17" s="1353">
        <f t="shared" si="2"/>
        <v>6988</v>
      </c>
      <c r="Z17" s="1351">
        <f t="shared" si="2"/>
        <v>22348</v>
      </c>
      <c r="AA17" s="1349">
        <f t="shared" si="2"/>
        <v>5243</v>
      </c>
      <c r="AB17" s="1349">
        <f t="shared" si="2"/>
        <v>5458</v>
      </c>
      <c r="AC17" s="1349">
        <f t="shared" si="2"/>
        <v>5930</v>
      </c>
      <c r="AD17" s="1353">
        <f t="shared" si="2"/>
        <v>7588</v>
      </c>
      <c r="AE17" s="1351">
        <f t="shared" si="2"/>
        <v>24219</v>
      </c>
      <c r="AF17" s="1349">
        <f t="shared" ref="AF17:BD17" si="3">SUM(AF13:AF15)</f>
        <v>5684</v>
      </c>
      <c r="AG17" s="1349">
        <f t="shared" si="3"/>
        <v>5919</v>
      </c>
      <c r="AH17" s="1349">
        <f t="shared" si="3"/>
        <v>6164</v>
      </c>
      <c r="AI17" s="1349">
        <f t="shared" si="3"/>
        <v>8372.598363220779</v>
      </c>
      <c r="AJ17" s="1351">
        <f t="shared" si="3"/>
        <v>26139.598363220779</v>
      </c>
      <c r="AK17" s="1349">
        <f t="shared" si="3"/>
        <v>6170</v>
      </c>
      <c r="AL17" s="1349">
        <f t="shared" si="3"/>
        <v>6363</v>
      </c>
      <c r="AM17" s="1349">
        <f t="shared" si="3"/>
        <v>6699</v>
      </c>
      <c r="AN17" s="1349">
        <f t="shared" si="3"/>
        <v>8673</v>
      </c>
      <c r="AO17" s="1351">
        <f t="shared" si="3"/>
        <v>27905</v>
      </c>
      <c r="AP17" s="1349">
        <f t="shared" si="3"/>
        <v>6609</v>
      </c>
      <c r="AQ17" s="1349">
        <f t="shared" si="3"/>
        <v>6787</v>
      </c>
      <c r="AR17" s="1349">
        <f t="shared" si="3"/>
        <v>7120</v>
      </c>
      <c r="AS17" s="1349">
        <f t="shared" si="3"/>
        <v>9308</v>
      </c>
      <c r="AT17" s="1351">
        <f t="shared" si="3"/>
        <v>29824</v>
      </c>
      <c r="AU17" s="1349">
        <f t="shared" si="3"/>
        <v>6941</v>
      </c>
      <c r="AV17" s="1349">
        <f t="shared" si="3"/>
        <v>7090</v>
      </c>
      <c r="AW17" s="1349">
        <f t="shared" si="3"/>
        <v>7468</v>
      </c>
      <c r="AX17" s="1349">
        <f t="shared" si="3"/>
        <v>9582</v>
      </c>
      <c r="AY17" s="1351">
        <f t="shared" si="3"/>
        <v>31081</v>
      </c>
      <c r="AZ17" s="1349">
        <f t="shared" si="3"/>
        <v>7234</v>
      </c>
      <c r="BA17" s="1349">
        <f t="shared" si="3"/>
        <v>7586</v>
      </c>
      <c r="BB17" s="1349">
        <f t="shared" si="3"/>
        <v>8170</v>
      </c>
      <c r="BC17" s="1349">
        <f t="shared" si="3"/>
        <v>10547</v>
      </c>
      <c r="BD17" s="1351">
        <f t="shared" si="3"/>
        <v>33537</v>
      </c>
      <c r="BE17" s="1349">
        <f t="shared" ref="BE17:BN17" si="4">SUM(BE13:BE15)</f>
        <v>7869</v>
      </c>
      <c r="BF17" s="1349">
        <f t="shared" si="4"/>
        <v>8305</v>
      </c>
      <c r="BG17" s="1349">
        <f t="shared" si="4"/>
        <v>8863</v>
      </c>
      <c r="BH17" s="1349">
        <f t="shared" si="4"/>
        <v>10864</v>
      </c>
      <c r="BI17" s="1351">
        <f t="shared" si="4"/>
        <v>35901</v>
      </c>
      <c r="BJ17" s="1349">
        <f>SUM(BJ13:BJ15)</f>
        <v>7862</v>
      </c>
      <c r="BK17" s="1349">
        <f>SUM(BK13:BK15)</f>
        <v>8074</v>
      </c>
      <c r="BL17" s="1349">
        <f>SUM(BL13:BL15)</f>
        <v>8631</v>
      </c>
      <c r="BM17" s="1349">
        <f>SUM(BM13:BM15)</f>
        <v>10894</v>
      </c>
      <c r="BN17" s="1354">
        <f t="shared" si="4"/>
        <v>35461</v>
      </c>
      <c r="BO17" s="1349">
        <f>SUM(BO13:BO15)</f>
        <v>8252</v>
      </c>
      <c r="BP17" s="1349">
        <f>SUM(BP13:BP15)</f>
        <v>8683</v>
      </c>
      <c r="BQ17" s="1349">
        <f>SUM(BQ13:BQ15)</f>
        <v>9100</v>
      </c>
      <c r="BR17" s="1349">
        <f>SUM(BR13:BR15)</f>
        <v>11797</v>
      </c>
      <c r="BS17" s="1354">
        <f>SUM(BS13:BS16)</f>
        <v>37832</v>
      </c>
      <c r="BT17" s="1349">
        <f t="shared" ref="BT17:CH17" si="5">SUM(BT13:BT16)</f>
        <v>8806</v>
      </c>
      <c r="BU17" s="1349">
        <f t="shared" si="5"/>
        <v>9270</v>
      </c>
      <c r="BV17" s="1349">
        <f t="shared" si="5"/>
        <v>10112</v>
      </c>
      <c r="BW17" s="1349">
        <f t="shared" si="5"/>
        <v>13290</v>
      </c>
      <c r="BX17" s="1354">
        <f t="shared" si="5"/>
        <v>41478</v>
      </c>
      <c r="BY17" s="1349">
        <f t="shared" si="5"/>
        <v>9479</v>
      </c>
      <c r="BZ17" s="1349">
        <f t="shared" si="5"/>
        <v>9914</v>
      </c>
      <c r="CA17" s="1349">
        <f t="shared" si="5"/>
        <v>10508</v>
      </c>
      <c r="CB17" s="1349">
        <f t="shared" si="5"/>
        <v>13243</v>
      </c>
      <c r="CC17" s="1354">
        <f t="shared" si="5"/>
        <v>43144</v>
      </c>
      <c r="CD17" s="1355">
        <f t="shared" si="5"/>
        <v>9580</v>
      </c>
      <c r="CE17" s="1355">
        <f t="shared" si="5"/>
        <v>9879</v>
      </c>
      <c r="CF17" s="1355">
        <f t="shared" si="5"/>
        <v>10585</v>
      </c>
      <c r="CG17" s="1355">
        <f t="shared" si="5"/>
        <v>13380</v>
      </c>
      <c r="CH17" s="1789">
        <f t="shared" si="5"/>
        <v>43424</v>
      </c>
      <c r="CI17" s="1355">
        <f t="shared" ref="CI17:CQ17" si="6">SUM(CI10:CI12,CI15:CI16)</f>
        <v>9757</v>
      </c>
      <c r="CJ17" s="1355">
        <f t="shared" si="6"/>
        <v>10316</v>
      </c>
      <c r="CK17" s="1355">
        <f t="shared" si="6"/>
        <v>10666</v>
      </c>
      <c r="CL17" s="1355">
        <f t="shared" si="6"/>
        <v>13448</v>
      </c>
      <c r="CM17" s="1356">
        <f t="shared" si="6"/>
        <v>44187</v>
      </c>
      <c r="CN17" s="1355">
        <f>SUM(CN10:CN12,CN15:CN16)</f>
        <v>10364</v>
      </c>
      <c r="CO17" s="1355">
        <f t="shared" si="6"/>
        <v>10516</v>
      </c>
      <c r="CP17" s="1355">
        <f t="shared" si="6"/>
        <v>10854</v>
      </c>
      <c r="CQ17" s="1886">
        <f t="shared" si="6"/>
        <v>12322</v>
      </c>
      <c r="CR17" s="1942">
        <f>SUM(CR10:CR12)</f>
        <v>43730</v>
      </c>
      <c r="CS17" s="2059">
        <f>SUM(CS10:CS12,)</f>
        <v>10406</v>
      </c>
      <c r="CT17" s="2059">
        <f t="shared" ref="CT17:CV17" si="7">SUM(CT10:CT12,)</f>
        <v>10554</v>
      </c>
      <c r="CU17" s="2059">
        <f t="shared" si="7"/>
        <v>11009</v>
      </c>
      <c r="CV17" s="64">
        <f t="shared" si="7"/>
        <v>12954</v>
      </c>
      <c r="CW17" s="66">
        <f>SUM(CW10:CW12,)</f>
        <v>44922</v>
      </c>
      <c r="CX17" s="64">
        <f t="shared" ref="CX17:DQ17" si="8">SUM(CX10:CX12)</f>
        <v>10769</v>
      </c>
      <c r="CY17" s="64">
        <f t="shared" si="8"/>
        <v>10971</v>
      </c>
      <c r="CZ17" s="64">
        <f t="shared" si="8"/>
        <v>11671</v>
      </c>
      <c r="DA17" s="64">
        <f t="shared" si="8"/>
        <v>13283</v>
      </c>
      <c r="DB17" s="66">
        <f t="shared" si="8"/>
        <v>46694</v>
      </c>
      <c r="DC17" s="1121">
        <f t="shared" si="8"/>
        <v>11653.681660385966</v>
      </c>
      <c r="DD17" s="1121">
        <f t="shared" si="8"/>
        <v>11681.762908624376</v>
      </c>
      <c r="DE17" s="1121">
        <f t="shared" si="8"/>
        <v>12411.84572947183</v>
      </c>
      <c r="DF17" s="1121">
        <f t="shared" si="8"/>
        <v>14303.052631190822</v>
      </c>
      <c r="DG17" s="2027">
        <f>SUM(DG10:DG12)</f>
        <v>50050.342929672996</v>
      </c>
      <c r="DH17" s="1121">
        <f t="shared" si="8"/>
        <v>12438.350436837356</v>
      </c>
      <c r="DI17" s="1121">
        <f t="shared" si="8"/>
        <v>12434.153201732406</v>
      </c>
      <c r="DJ17" s="1121">
        <f t="shared" si="8"/>
        <v>13224.151908131424</v>
      </c>
      <c r="DK17" s="1121">
        <f t="shared" si="8"/>
        <v>15306.127657368192</v>
      </c>
      <c r="DL17" s="2027">
        <f t="shared" si="8"/>
        <v>53402.783204069376</v>
      </c>
      <c r="DM17" s="1121">
        <f t="shared" si="8"/>
        <v>13202.721505493617</v>
      </c>
      <c r="DN17" s="1121">
        <f t="shared" si="8"/>
        <v>13213.026038303851</v>
      </c>
      <c r="DO17" s="1121">
        <f t="shared" si="8"/>
        <v>14076.947181063737</v>
      </c>
      <c r="DP17" s="1121">
        <f t="shared" si="8"/>
        <v>16316.863665391282</v>
      </c>
      <c r="DQ17" s="2027">
        <f t="shared" si="8"/>
        <v>56809.558390252489</v>
      </c>
      <c r="DR17" s="1121">
        <f t="shared" ref="DR17:EA17" si="9">SUM(DR10:DR12)</f>
        <v>14076.035622536554</v>
      </c>
      <c r="DS17" s="1121">
        <f t="shared" si="9"/>
        <v>14092.198874995225</v>
      </c>
      <c r="DT17" s="1121">
        <f t="shared" si="9"/>
        <v>15012.903829197239</v>
      </c>
      <c r="DU17" s="1121">
        <f t="shared" si="9"/>
        <v>17407.192396551622</v>
      </c>
      <c r="DV17" s="2027">
        <f t="shared" si="9"/>
        <v>60588.33072328064</v>
      </c>
      <c r="DW17" s="1121">
        <f t="shared" si="9"/>
        <v>15006.307957900124</v>
      </c>
      <c r="DX17" s="1121">
        <f t="shared" si="9"/>
        <v>15033.234197971477</v>
      </c>
      <c r="DY17" s="1121">
        <f t="shared" si="9"/>
        <v>16017.31741550331</v>
      </c>
      <c r="DZ17" s="1121">
        <f t="shared" si="9"/>
        <v>18585.063258305287</v>
      </c>
      <c r="EA17" s="2027">
        <f t="shared" si="9"/>
        <v>64641.922829680188</v>
      </c>
      <c r="EB17" s="1112"/>
      <c r="EC17" s="1122" t="s">
        <v>308</v>
      </c>
      <c r="ED17" s="1123">
        <f>DA17</f>
        <v>13283</v>
      </c>
      <c r="EE17" s="1123">
        <v>13336.057723039698</v>
      </c>
      <c r="EF17" s="1220">
        <f>ED17-EE17</f>
        <v>-53.057723039697521</v>
      </c>
      <c r="EG17" s="1123">
        <f>CG17</f>
        <v>13380</v>
      </c>
      <c r="EH17" s="1193">
        <f>ED17/EG17-1</f>
        <v>-7.2496263079222523E-3</v>
      </c>
      <c r="EI17" s="1112"/>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row>
    <row r="18" spans="1:259" s="337" customFormat="1" hidden="1" outlineLevel="1" collapsed="1" x14ac:dyDescent="0.2">
      <c r="A18" s="431"/>
      <c r="B18" s="1775"/>
      <c r="C18" s="1357"/>
      <c r="D18" s="1358"/>
      <c r="E18" s="1359"/>
      <c r="F18" s="1333"/>
      <c r="G18" s="1775"/>
      <c r="H18" s="1358"/>
      <c r="I18" s="1358"/>
      <c r="J18" s="1360"/>
      <c r="K18" s="1361"/>
      <c r="L18" s="1358"/>
      <c r="M18" s="1358"/>
      <c r="N18" s="1358"/>
      <c r="O18" s="1362"/>
      <c r="P18" s="1333"/>
      <c r="Q18" s="1775"/>
      <c r="R18" s="1358"/>
      <c r="S18" s="1358"/>
      <c r="T18" s="1362"/>
      <c r="U18" s="1333"/>
      <c r="V18" s="1775"/>
      <c r="W18" s="1358"/>
      <c r="X18" s="1358"/>
      <c r="Y18" s="1362"/>
      <c r="Z18" s="1333"/>
      <c r="AA18" s="1358"/>
      <c r="AB18" s="1358"/>
      <c r="AC18" s="1358"/>
      <c r="AD18" s="1362"/>
      <c r="AE18" s="1333"/>
      <c r="AF18" s="1775"/>
      <c r="AG18" s="1358"/>
      <c r="AH18" s="1358"/>
      <c r="AI18" s="1362"/>
      <c r="AJ18" s="1333"/>
      <c r="AK18" s="1358"/>
      <c r="AL18" s="1358"/>
      <c r="AM18" s="1358"/>
      <c r="AN18" s="1362"/>
      <c r="AO18" s="1333"/>
      <c r="AP18" s="1358"/>
      <c r="AQ18" s="1358"/>
      <c r="AR18" s="1358"/>
      <c r="AS18" s="1362"/>
      <c r="AT18" s="1333"/>
      <c r="AU18" s="1358"/>
      <c r="AV18" s="1358"/>
      <c r="AW18" s="1358"/>
      <c r="AX18" s="1362"/>
      <c r="AY18" s="1333"/>
      <c r="AZ18" s="1358"/>
      <c r="BA18" s="1358"/>
      <c r="BB18" s="1358"/>
      <c r="BC18" s="1362"/>
      <c r="BD18" s="1333"/>
      <c r="BE18" s="1358"/>
      <c r="BF18" s="1358"/>
      <c r="BG18" s="1358"/>
      <c r="BH18" s="1362"/>
      <c r="BI18" s="1333"/>
      <c r="BJ18" s="1358"/>
      <c r="BK18" s="1358"/>
      <c r="BL18" s="1358"/>
      <c r="BM18" s="1362"/>
      <c r="BN18" s="1334"/>
      <c r="BO18" s="1358"/>
      <c r="BP18" s="1358"/>
      <c r="BQ18" s="1358"/>
      <c r="BR18" s="1362"/>
      <c r="BS18" s="1334"/>
      <c r="BT18" s="1358"/>
      <c r="BU18" s="1358"/>
      <c r="BV18" s="1358"/>
      <c r="BW18" s="1362"/>
      <c r="BX18" s="1334"/>
      <c r="BY18" s="1358"/>
      <c r="BZ18" s="1358"/>
      <c r="CA18" s="1358"/>
      <c r="CB18" s="1362"/>
      <c r="CC18" s="1334"/>
      <c r="CD18" s="1363"/>
      <c r="CE18" s="1328"/>
      <c r="CF18" s="1328"/>
      <c r="CG18" s="1328"/>
      <c r="CH18" s="1780"/>
      <c r="CI18" s="1328"/>
      <c r="CJ18" s="1328"/>
      <c r="CK18" s="1328"/>
      <c r="CL18" s="1328"/>
      <c r="CM18" s="1336"/>
      <c r="CN18" s="1328"/>
      <c r="CO18" s="1328"/>
      <c r="CP18" s="1328"/>
      <c r="CQ18" s="1058"/>
      <c r="CR18" s="1059"/>
      <c r="CS18" s="1119"/>
      <c r="CT18" s="1119"/>
      <c r="CU18" s="1119"/>
      <c r="CV18" s="15"/>
      <c r="CW18" s="59"/>
      <c r="CX18" s="15"/>
      <c r="CY18" s="15"/>
      <c r="CZ18" s="15"/>
      <c r="DA18" s="17"/>
      <c r="DB18" s="432"/>
      <c r="DC18" s="15"/>
      <c r="DD18" s="15"/>
      <c r="DE18" s="15"/>
      <c r="DF18" s="17"/>
      <c r="DG18" s="433"/>
      <c r="DH18" s="15"/>
      <c r="DI18" s="15"/>
      <c r="DJ18" s="15"/>
      <c r="DK18" s="17"/>
      <c r="DL18" s="432"/>
      <c r="DM18" s="15"/>
      <c r="DN18" s="15"/>
      <c r="DO18" s="15"/>
      <c r="DP18" s="17"/>
      <c r="DQ18" s="432"/>
      <c r="DR18" s="15"/>
      <c r="DS18" s="15"/>
      <c r="DT18" s="15"/>
      <c r="DU18" s="17"/>
      <c r="DV18" s="432"/>
      <c r="DW18" s="15"/>
      <c r="DX18" s="15"/>
      <c r="DY18" s="15"/>
      <c r="DZ18" s="17"/>
      <c r="EA18" s="432"/>
      <c r="EB18" s="11"/>
      <c r="EC18" s="14"/>
      <c r="ED18" s="132"/>
      <c r="EE18" s="132"/>
      <c r="EF18" s="123"/>
      <c r="EG18" s="132"/>
      <c r="EH18" s="399"/>
      <c r="EI18" s="11"/>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row>
    <row r="19" spans="1:259" s="337" customFormat="1" collapsed="1" x14ac:dyDescent="0.2">
      <c r="A19" s="684" t="s">
        <v>309</v>
      </c>
      <c r="B19" s="1790"/>
      <c r="C19" s="1364"/>
      <c r="D19" s="1365"/>
      <c r="E19" s="1365"/>
      <c r="F19" s="1333"/>
      <c r="G19" s="1790"/>
      <c r="H19" s="1365"/>
      <c r="I19" s="1365"/>
      <c r="J19" s="1366"/>
      <c r="K19" s="1361"/>
      <c r="L19" s="1365"/>
      <c r="M19" s="1365"/>
      <c r="N19" s="1365"/>
      <c r="O19" s="1367"/>
      <c r="P19" s="1333"/>
      <c r="Q19" s="1790"/>
      <c r="R19" s="1365"/>
      <c r="S19" s="1365"/>
      <c r="T19" s="1367"/>
      <c r="U19" s="1368"/>
      <c r="V19" s="1790"/>
      <c r="W19" s="1365"/>
      <c r="X19" s="1365"/>
      <c r="Y19" s="1367"/>
      <c r="Z19" s="1368"/>
      <c r="AA19" s="1365"/>
      <c r="AB19" s="1365"/>
      <c r="AC19" s="1365"/>
      <c r="AD19" s="1367"/>
      <c r="AE19" s="1368"/>
      <c r="AF19" s="1790"/>
      <c r="AG19" s="1365"/>
      <c r="AH19" s="1365"/>
      <c r="AI19" s="1367"/>
      <c r="AJ19" s="1368"/>
      <c r="AK19" s="1365"/>
      <c r="AL19" s="1365"/>
      <c r="AM19" s="1365"/>
      <c r="AN19" s="1367"/>
      <c r="AO19" s="1368"/>
      <c r="AP19" s="1365"/>
      <c r="AQ19" s="1365"/>
      <c r="AR19" s="1365"/>
      <c r="AS19" s="1367"/>
      <c r="AT19" s="1368"/>
      <c r="AU19" s="1365"/>
      <c r="AV19" s="1365"/>
      <c r="AW19" s="1365"/>
      <c r="AX19" s="1367"/>
      <c r="AY19" s="1368"/>
      <c r="AZ19" s="1365"/>
      <c r="BA19" s="1365"/>
      <c r="BB19" s="1365"/>
      <c r="BC19" s="1367"/>
      <c r="BD19" s="1368"/>
      <c r="BE19" s="1365"/>
      <c r="BF19" s="1365"/>
      <c r="BG19" s="1365"/>
      <c r="BH19" s="1367"/>
      <c r="BI19" s="1368"/>
      <c r="BJ19" s="1365"/>
      <c r="BK19" s="1365"/>
      <c r="BL19" s="1365"/>
      <c r="BM19" s="1367"/>
      <c r="BN19" s="1369"/>
      <c r="BO19" s="1365"/>
      <c r="BP19" s="1365"/>
      <c r="BQ19" s="1365"/>
      <c r="BR19" s="1367"/>
      <c r="BS19" s="1369"/>
      <c r="BT19" s="1365"/>
      <c r="BU19" s="1365"/>
      <c r="BV19" s="1365"/>
      <c r="BW19" s="1367"/>
      <c r="BX19" s="1369"/>
      <c r="BY19" s="1365"/>
      <c r="BZ19" s="1365"/>
      <c r="CA19" s="1365"/>
      <c r="CB19" s="1367"/>
      <c r="CC19" s="1369"/>
      <c r="CD19" s="1370"/>
      <c r="CE19" s="1370"/>
      <c r="CF19" s="1370"/>
      <c r="CG19" s="1370"/>
      <c r="CH19" s="1791"/>
      <c r="CI19" s="1371"/>
      <c r="CJ19" s="1371"/>
      <c r="CK19" s="1371"/>
      <c r="CL19" s="1372"/>
      <c r="CM19" s="1373"/>
      <c r="CN19" s="1371"/>
      <c r="CO19" s="1371"/>
      <c r="CP19" s="1371"/>
      <c r="CQ19" s="1887"/>
      <c r="CR19" s="1943"/>
      <c r="CS19" s="2060"/>
      <c r="CT19" s="2060"/>
      <c r="CU19" s="2060"/>
      <c r="CV19" s="967"/>
      <c r="CW19" s="1050"/>
      <c r="CX19" s="55"/>
      <c r="CY19" s="55"/>
      <c r="CZ19" s="55"/>
      <c r="DA19" s="73"/>
      <c r="DB19" s="435"/>
      <c r="DC19" s="55"/>
      <c r="DD19" s="55"/>
      <c r="DE19" s="55"/>
      <c r="DF19" s="73"/>
      <c r="DG19" s="434"/>
      <c r="DH19" s="55"/>
      <c r="DI19" s="55"/>
      <c r="DJ19" s="55"/>
      <c r="DK19" s="73"/>
      <c r="DL19" s="435"/>
      <c r="DM19" s="55"/>
      <c r="DN19" s="55"/>
      <c r="DO19" s="55"/>
      <c r="DP19" s="73"/>
      <c r="DQ19" s="435"/>
      <c r="DR19" s="55"/>
      <c r="DS19" s="55"/>
      <c r="DT19" s="55"/>
      <c r="DU19" s="73"/>
      <c r="DV19" s="435"/>
      <c r="DW19" s="55"/>
      <c r="DX19" s="55"/>
      <c r="DY19" s="55"/>
      <c r="DZ19" s="73"/>
      <c r="EA19" s="435"/>
      <c r="EB19" s="11"/>
      <c r="EC19" s="26" t="s">
        <v>309</v>
      </c>
      <c r="ED19" s="57"/>
      <c r="EE19" s="358"/>
      <c r="EF19" s="123"/>
      <c r="EG19" s="57"/>
      <c r="EH19" s="399"/>
      <c r="EI19" s="11"/>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row>
    <row r="20" spans="1:259" s="337" customFormat="1" x14ac:dyDescent="0.2">
      <c r="A20" s="431" t="s">
        <v>310</v>
      </c>
      <c r="B20" s="1374">
        <v>2021</v>
      </c>
      <c r="C20" s="1374">
        <v>2126</v>
      </c>
      <c r="D20" s="1374">
        <v>2162</v>
      </c>
      <c r="E20" s="1374">
        <v>2597</v>
      </c>
      <c r="F20" s="1375">
        <v>8846</v>
      </c>
      <c r="G20" s="1374">
        <v>1790</v>
      </c>
      <c r="H20" s="1374">
        <v>1867</v>
      </c>
      <c r="I20" s="1374">
        <v>1869</v>
      </c>
      <c r="J20" s="1374">
        <v>2326</v>
      </c>
      <c r="K20" s="1375">
        <v>7852</v>
      </c>
      <c r="L20" s="1374">
        <v>1662</v>
      </c>
      <c r="M20" s="1374">
        <v>1723</v>
      </c>
      <c r="N20" s="1374">
        <v>1639</v>
      </c>
      <c r="O20" s="1374">
        <v>2075</v>
      </c>
      <c r="P20" s="1375">
        <v>7099</v>
      </c>
      <c r="Q20" s="1792">
        <v>1425</v>
      </c>
      <c r="R20" s="1374">
        <v>1480</v>
      </c>
      <c r="S20" s="1374">
        <v>1470</v>
      </c>
      <c r="T20" s="1374">
        <v>1930</v>
      </c>
      <c r="U20" s="1375">
        <v>6305</v>
      </c>
      <c r="V20" s="1792">
        <v>1326</v>
      </c>
      <c r="W20" s="1374">
        <v>1416</v>
      </c>
      <c r="X20" s="1374">
        <v>1449</v>
      </c>
      <c r="Y20" s="1374">
        <v>1947</v>
      </c>
      <c r="Z20" s="1375">
        <f>SUM(V20:Y20)</f>
        <v>6138</v>
      </c>
      <c r="AA20" s="1374">
        <v>1426</v>
      </c>
      <c r="AB20" s="1374">
        <v>1571</v>
      </c>
      <c r="AC20" s="1374">
        <v>1705</v>
      </c>
      <c r="AD20" s="1374">
        <v>2189</v>
      </c>
      <c r="AE20" s="1375">
        <f>SUM(AA20:AD20)</f>
        <v>6891</v>
      </c>
      <c r="AF20" s="1792">
        <v>1597</v>
      </c>
      <c r="AG20" s="1374">
        <v>1723</v>
      </c>
      <c r="AH20" s="1374">
        <v>1765</v>
      </c>
      <c r="AI20" s="1376">
        <v>2356</v>
      </c>
      <c r="AJ20" s="1375">
        <f>SUM(AF20:AI20)</f>
        <v>7441</v>
      </c>
      <c r="AK20" s="1374">
        <v>1747</v>
      </c>
      <c r="AL20" s="1374">
        <v>1846</v>
      </c>
      <c r="AM20" s="1374">
        <v>1935</v>
      </c>
      <c r="AN20" s="1374">
        <v>2464</v>
      </c>
      <c r="AO20" s="1375">
        <f>SUM(AK20:AN20)</f>
        <v>7992</v>
      </c>
      <c r="AP20" s="1374">
        <v>1810</v>
      </c>
      <c r="AQ20" s="1374">
        <v>1902</v>
      </c>
      <c r="AR20" s="1374">
        <v>1975</v>
      </c>
      <c r="AS20" s="1374">
        <v>2538</v>
      </c>
      <c r="AT20" s="1375">
        <f>SUM(AP20:AS20)</f>
        <v>8225</v>
      </c>
      <c r="AU20" s="1374">
        <v>1819</v>
      </c>
      <c r="AV20" s="1374">
        <v>1912</v>
      </c>
      <c r="AW20" s="1374">
        <v>1989</v>
      </c>
      <c r="AX20" s="1374">
        <v>2645</v>
      </c>
      <c r="AY20" s="1375">
        <f>SUM(AU20:AX20)</f>
        <v>8365</v>
      </c>
      <c r="AZ20" s="1374">
        <v>1942</v>
      </c>
      <c r="BA20" s="1374">
        <v>2073</v>
      </c>
      <c r="BB20" s="1374">
        <v>2243</v>
      </c>
      <c r="BC20" s="1374">
        <v>2842</v>
      </c>
      <c r="BD20" s="1375">
        <f>SUM(AZ20:BC20)</f>
        <v>9100</v>
      </c>
      <c r="BE20" s="1374">
        <v>2094</v>
      </c>
      <c r="BF20" s="1374">
        <v>2323</v>
      </c>
      <c r="BG20" s="1374">
        <v>2482</v>
      </c>
      <c r="BH20" s="1374">
        <v>2944</v>
      </c>
      <c r="BI20" s="1375">
        <f>SUM(BE20:BH20)</f>
        <v>9843</v>
      </c>
      <c r="BJ20" s="1374">
        <v>1918</v>
      </c>
      <c r="BK20" s="1374">
        <v>2152</v>
      </c>
      <c r="BL20" s="1374">
        <v>2432</v>
      </c>
      <c r="BM20" s="1374">
        <v>2911</v>
      </c>
      <c r="BN20" s="1377">
        <f>SUM(BJ20:BM20)</f>
        <v>9413</v>
      </c>
      <c r="BO20" s="1374">
        <v>1996</v>
      </c>
      <c r="BP20" s="1374">
        <v>2220</v>
      </c>
      <c r="BQ20" s="1374">
        <v>2496</v>
      </c>
      <c r="BR20" s="1374">
        <v>3071</v>
      </c>
      <c r="BS20" s="1377">
        <f>SUM(BO20:BR20)</f>
        <v>9783</v>
      </c>
      <c r="BT20" s="1374">
        <v>2051</v>
      </c>
      <c r="BU20" s="1374">
        <v>2431</v>
      </c>
      <c r="BV20" s="1374">
        <v>2854</v>
      </c>
      <c r="BW20" s="1374">
        <v>3557</v>
      </c>
      <c r="BX20" s="1377">
        <f>SUM(BT20:BW20)</f>
        <v>10893</v>
      </c>
      <c r="BY20" s="1338">
        <v>2344</v>
      </c>
      <c r="BZ20" s="1338">
        <v>2762</v>
      </c>
      <c r="CA20" s="1338">
        <v>3142</v>
      </c>
      <c r="CB20" s="1338">
        <v>3585</v>
      </c>
      <c r="CC20" s="1793">
        <f>SUM(BY20:CB20)</f>
        <v>11833</v>
      </c>
      <c r="CD20" s="1341">
        <v>966</v>
      </c>
      <c r="CE20" s="1341">
        <v>1045</v>
      </c>
      <c r="CF20" s="1341">
        <v>1020</v>
      </c>
      <c r="CG20" s="1341">
        <v>1353</v>
      </c>
      <c r="CH20" s="1771">
        <f>SUM(CD20:CG20)</f>
        <v>4384</v>
      </c>
      <c r="CI20" s="1341">
        <v>936</v>
      </c>
      <c r="CJ20" s="1341">
        <v>1075</v>
      </c>
      <c r="CK20" s="1341">
        <v>1082</v>
      </c>
      <c r="CL20" s="1341">
        <v>1410</v>
      </c>
      <c r="CM20" s="1342">
        <f>SUM(CI20:CL20)</f>
        <v>4503</v>
      </c>
      <c r="CN20" s="1341">
        <v>1010</v>
      </c>
      <c r="CO20" s="1341">
        <v>1055</v>
      </c>
      <c r="CP20" s="1341">
        <v>1025</v>
      </c>
      <c r="CQ20" s="47">
        <v>1247</v>
      </c>
      <c r="CR20" s="1940">
        <f>SUM(CN20:CQ20)</f>
        <v>4337</v>
      </c>
      <c r="CS20" s="2058">
        <v>953</v>
      </c>
      <c r="CT20" s="2058">
        <v>1007</v>
      </c>
      <c r="CU20" s="2058">
        <v>991</v>
      </c>
      <c r="CV20" s="47">
        <v>1239</v>
      </c>
      <c r="CW20" s="1047">
        <f>SUM(CS20:CV20)</f>
        <v>4190</v>
      </c>
      <c r="CX20" s="47">
        <v>902</v>
      </c>
      <c r="CY20" s="47">
        <v>909</v>
      </c>
      <c r="CZ20" s="47">
        <v>871</v>
      </c>
      <c r="DA20" s="47">
        <v>890</v>
      </c>
      <c r="DB20" s="433">
        <f>SUM(CX20:DA20)</f>
        <v>3572</v>
      </c>
      <c r="DC20" s="61">
        <v>511.14661561343621</v>
      </c>
      <c r="DD20" s="61">
        <v>472.9884785527538</v>
      </c>
      <c r="DE20" s="61">
        <v>432.21414373955116</v>
      </c>
      <c r="DF20" s="61">
        <v>527.3798874946076</v>
      </c>
      <c r="DG20" s="433">
        <f>SUM(DC20:DF20)</f>
        <v>1943.7291254003487</v>
      </c>
      <c r="DH20" s="61">
        <v>370.7417651550802</v>
      </c>
      <c r="DI20" s="61">
        <v>355.93891705085537</v>
      </c>
      <c r="DJ20" s="61">
        <v>332.50103215735908</v>
      </c>
      <c r="DK20" s="61">
        <v>396.93817246569824</v>
      </c>
      <c r="DL20" s="433">
        <f>SUM(DH20:DK20)</f>
        <v>1456.119886828993</v>
      </c>
      <c r="DM20" s="61">
        <v>281.65490084229907</v>
      </c>
      <c r="DN20" s="61">
        <v>301.26562403338005</v>
      </c>
      <c r="DO20" s="61">
        <v>313.67040687035558</v>
      </c>
      <c r="DP20" s="61">
        <v>423.04814607851472</v>
      </c>
      <c r="DQ20" s="433">
        <f>SUM(DM20:DP20)</f>
        <v>1319.6390778245495</v>
      </c>
      <c r="DR20" s="61">
        <v>319.06491326733965</v>
      </c>
      <c r="DS20" s="61">
        <v>340.55794437387641</v>
      </c>
      <c r="DT20" s="61">
        <v>353.58628414743174</v>
      </c>
      <c r="DU20" s="61">
        <v>475.60179873839161</v>
      </c>
      <c r="DV20" s="433">
        <f>SUM(DR20:DU20)</f>
        <v>1488.8109405270395</v>
      </c>
      <c r="DW20" s="61">
        <v>360.06113474410364</v>
      </c>
      <c r="DX20" s="61">
        <v>387.7746166263185</v>
      </c>
      <c r="DY20" s="61">
        <v>406.00790050152386</v>
      </c>
      <c r="DZ20" s="61">
        <v>549.58415067947703</v>
      </c>
      <c r="EA20" s="433">
        <f>SUM(DW20:DZ20)</f>
        <v>1703.4278025514229</v>
      </c>
      <c r="EB20" s="41"/>
      <c r="EC20" s="14" t="s">
        <v>310</v>
      </c>
      <c r="ED20" s="1196">
        <f t="shared" ref="ED20:ED26" si="10">DA20</f>
        <v>890</v>
      </c>
      <c r="EE20" s="1196">
        <v>924.41335980291979</v>
      </c>
      <c r="EF20" s="793">
        <f>ED20-EE20</f>
        <v>-34.413359802919786</v>
      </c>
      <c r="EG20" s="1196">
        <f t="shared" ref="EG20:EG26" si="11">CV20</f>
        <v>1239</v>
      </c>
      <c r="EH20" s="399">
        <f>ED20/EG20-1</f>
        <v>-0.28167877320419699</v>
      </c>
      <c r="EI20" s="11"/>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row>
    <row r="21" spans="1:259" s="339" customFormat="1" x14ac:dyDescent="0.2">
      <c r="A21" s="431" t="s">
        <v>311</v>
      </c>
      <c r="B21" s="1378">
        <v>114</v>
      </c>
      <c r="C21" s="1378">
        <v>139</v>
      </c>
      <c r="D21" s="1378">
        <v>138</v>
      </c>
      <c r="E21" s="1378">
        <v>183</v>
      </c>
      <c r="F21" s="1379">
        <v>573</v>
      </c>
      <c r="G21" s="1378">
        <v>132</v>
      </c>
      <c r="H21" s="1378">
        <v>134</v>
      </c>
      <c r="I21" s="1378">
        <v>151.80000000000001</v>
      </c>
      <c r="J21" s="1378">
        <v>203</v>
      </c>
      <c r="K21" s="1379">
        <v>626.79999999999995</v>
      </c>
      <c r="L21" s="1378">
        <v>151</v>
      </c>
      <c r="M21" s="1378">
        <v>163</v>
      </c>
      <c r="N21" s="1378">
        <v>173</v>
      </c>
      <c r="O21" s="1378">
        <v>236</v>
      </c>
      <c r="P21" s="1379">
        <v>723</v>
      </c>
      <c r="Q21" s="1794">
        <v>172</v>
      </c>
      <c r="R21" s="1378">
        <v>176</v>
      </c>
      <c r="S21" s="1378">
        <v>188</v>
      </c>
      <c r="T21" s="1378">
        <v>252</v>
      </c>
      <c r="U21" s="1379">
        <v>788</v>
      </c>
      <c r="V21" s="1794">
        <v>180</v>
      </c>
      <c r="W21" s="1378">
        <v>189</v>
      </c>
      <c r="X21" s="1378">
        <v>191</v>
      </c>
      <c r="Y21" s="1378">
        <v>255</v>
      </c>
      <c r="Z21" s="1379">
        <f>SUM(V21:Y21)</f>
        <v>815</v>
      </c>
      <c r="AA21" s="1378">
        <v>188</v>
      </c>
      <c r="AB21" s="1378">
        <v>196</v>
      </c>
      <c r="AC21" s="1378">
        <v>210</v>
      </c>
      <c r="AD21" s="1378">
        <v>272</v>
      </c>
      <c r="AE21" s="1379">
        <f>SUM(AA21:AD21)</f>
        <v>866</v>
      </c>
      <c r="AF21" s="1794">
        <v>205</v>
      </c>
      <c r="AG21" s="1378">
        <v>213</v>
      </c>
      <c r="AH21" s="1378">
        <v>224</v>
      </c>
      <c r="AI21" s="1380">
        <v>297</v>
      </c>
      <c r="AJ21" s="1379">
        <f>SUM(AF21:AI21)</f>
        <v>939</v>
      </c>
      <c r="AK21" s="1378">
        <v>223</v>
      </c>
      <c r="AL21" s="1378">
        <v>231</v>
      </c>
      <c r="AM21" s="1378">
        <v>244</v>
      </c>
      <c r="AN21" s="1378">
        <v>321</v>
      </c>
      <c r="AO21" s="1379">
        <f>SUM(AK21:AN21)</f>
        <v>1019</v>
      </c>
      <c r="AP21" s="1378">
        <v>244</v>
      </c>
      <c r="AQ21" s="1378">
        <v>251</v>
      </c>
      <c r="AR21" s="1378">
        <v>268</v>
      </c>
      <c r="AS21" s="1378">
        <v>361</v>
      </c>
      <c r="AT21" s="1379">
        <f>SUM(AP21:AS21)</f>
        <v>1124</v>
      </c>
      <c r="AU21" s="1378">
        <v>266</v>
      </c>
      <c r="AV21" s="1378">
        <v>270</v>
      </c>
      <c r="AW21" s="1378">
        <v>289</v>
      </c>
      <c r="AX21" s="1378">
        <v>371</v>
      </c>
      <c r="AY21" s="1379">
        <f>SUM(AU21:AX21)</f>
        <v>1196</v>
      </c>
      <c r="AZ21" s="1378">
        <v>281</v>
      </c>
      <c r="BA21" s="1378">
        <v>294</v>
      </c>
      <c r="BB21" s="1378">
        <v>321</v>
      </c>
      <c r="BC21" s="1378">
        <v>420</v>
      </c>
      <c r="BD21" s="1379">
        <f>SUM(AZ21:BC21)</f>
        <v>1316</v>
      </c>
      <c r="BE21" s="1378">
        <v>319</v>
      </c>
      <c r="BF21" s="1378">
        <v>330</v>
      </c>
      <c r="BG21" s="1378">
        <v>360</v>
      </c>
      <c r="BH21" s="1378">
        <v>439</v>
      </c>
      <c r="BI21" s="1379">
        <f>SUM(BE21:BH21)</f>
        <v>1448</v>
      </c>
      <c r="BJ21" s="1378">
        <v>299</v>
      </c>
      <c r="BK21" s="1378">
        <v>324</v>
      </c>
      <c r="BL21" s="1378">
        <v>346</v>
      </c>
      <c r="BM21" s="1378">
        <v>454</v>
      </c>
      <c r="BN21" s="1381">
        <f>SUM(BJ21:BM21)</f>
        <v>1423</v>
      </c>
      <c r="BO21" s="1378">
        <v>349</v>
      </c>
      <c r="BP21" s="1378">
        <v>354</v>
      </c>
      <c r="BQ21" s="1378">
        <v>366</v>
      </c>
      <c r="BR21" s="1378">
        <v>491</v>
      </c>
      <c r="BS21" s="1381">
        <f>SUM(BO21:BR21)</f>
        <v>1560</v>
      </c>
      <c r="BT21" s="1378">
        <v>374</v>
      </c>
      <c r="BU21" s="1378">
        <v>385</v>
      </c>
      <c r="BV21" s="1378">
        <v>420</v>
      </c>
      <c r="BW21" s="1378">
        <v>554</v>
      </c>
      <c r="BX21" s="1381">
        <f>SUM(BT21:BW21)</f>
        <v>1733</v>
      </c>
      <c r="BY21" s="1382">
        <v>399</v>
      </c>
      <c r="BZ21" s="1382">
        <v>406</v>
      </c>
      <c r="CA21" s="1382">
        <v>427</v>
      </c>
      <c r="CB21" s="1382">
        <v>568</v>
      </c>
      <c r="CC21" s="1795">
        <f>SUM(BY21:CB21)</f>
        <v>1800</v>
      </c>
      <c r="CD21" s="1383">
        <v>455.32650000000001</v>
      </c>
      <c r="CE21" s="1383">
        <v>455.70749999999998</v>
      </c>
      <c r="CF21" s="1383">
        <v>480.53750000000002</v>
      </c>
      <c r="CG21" s="1383">
        <f>CH21-CF21-CE21-CD21</f>
        <v>641.4285000000001</v>
      </c>
      <c r="CH21" s="1796">
        <v>2033</v>
      </c>
      <c r="CI21" s="1383">
        <v>455.43899999999996</v>
      </c>
      <c r="CJ21" s="1383">
        <v>476.00299999999999</v>
      </c>
      <c r="CK21" s="1383">
        <v>492.60500000000002</v>
      </c>
      <c r="CL21" s="1383">
        <f>CM21-CK21-CJ21-CI21</f>
        <v>659.95300000000009</v>
      </c>
      <c r="CM21" s="1384">
        <v>2084</v>
      </c>
      <c r="CN21" s="1383">
        <v>466.32249999999999</v>
      </c>
      <c r="CO21" s="1383">
        <v>475.51600000000002</v>
      </c>
      <c r="CP21" s="1383">
        <v>494.4425</v>
      </c>
      <c r="CQ21" s="2025">
        <v>648</v>
      </c>
      <c r="CR21" s="1944">
        <f>SUM(CN21:CQ21)</f>
        <v>2084.2809999999999</v>
      </c>
      <c r="CS21" s="2061">
        <v>490</v>
      </c>
      <c r="CT21" s="2061">
        <v>503</v>
      </c>
      <c r="CU21" s="2061">
        <v>526</v>
      </c>
      <c r="CV21" s="2270">
        <v>648</v>
      </c>
      <c r="CW21" s="1309">
        <f>SUM(CS21:CV21)</f>
        <v>2167</v>
      </c>
      <c r="CX21" s="2025">
        <v>515</v>
      </c>
      <c r="CY21" s="2025">
        <v>539</v>
      </c>
      <c r="CZ21" s="2025">
        <v>565</v>
      </c>
      <c r="DA21" s="2025">
        <v>687</v>
      </c>
      <c r="DB21" s="436">
        <f>SUM(CX21:DA21)</f>
        <v>2306</v>
      </c>
      <c r="DC21" s="74">
        <v>575.23966599554353</v>
      </c>
      <c r="DD21" s="74">
        <v>595.15624394509814</v>
      </c>
      <c r="DE21" s="74">
        <v>624.47706577492261</v>
      </c>
      <c r="DF21" s="74">
        <v>759.78363887603723</v>
      </c>
      <c r="DG21" s="436">
        <f>SUM(DC21:DF21)</f>
        <v>2554.6566145916013</v>
      </c>
      <c r="DH21" s="74">
        <v>623.46738311044294</v>
      </c>
      <c r="DI21" s="74">
        <v>641.53947711137857</v>
      </c>
      <c r="DJ21" s="74">
        <v>672.08791551051104</v>
      </c>
      <c r="DK21" s="74">
        <v>822.45323509414322</v>
      </c>
      <c r="DL21" s="436">
        <f>SUM(DH21:DK21)</f>
        <v>2759.548010826476</v>
      </c>
      <c r="DM21" s="74">
        <v>667.49183974461255</v>
      </c>
      <c r="DN21" s="74">
        <v>685.90017854806979</v>
      </c>
      <c r="DO21" s="74">
        <v>717.63930909087549</v>
      </c>
      <c r="DP21" s="74">
        <v>876.95500294899318</v>
      </c>
      <c r="DQ21" s="436">
        <f>SUM(DM21:DP21)</f>
        <v>2947.986330332551</v>
      </c>
      <c r="DR21" s="74">
        <v>710.85140610894928</v>
      </c>
      <c r="DS21" s="74">
        <v>730.72836756150411</v>
      </c>
      <c r="DT21" s="74">
        <v>764.6197491932968</v>
      </c>
      <c r="DU21" s="74">
        <v>934.51301747547166</v>
      </c>
      <c r="DV21" s="436">
        <f>SUM(DR21:DU21)</f>
        <v>3140.712540339222</v>
      </c>
      <c r="DW21" s="74">
        <v>757.10408485630785</v>
      </c>
      <c r="DX21" s="74">
        <v>778.54216148621231</v>
      </c>
      <c r="DY21" s="74">
        <v>814.6690681610869</v>
      </c>
      <c r="DZ21" s="74">
        <v>995.86222301130192</v>
      </c>
      <c r="EA21" s="436">
        <f>SUM(DW21:DZ21)</f>
        <v>3346.1775375149086</v>
      </c>
      <c r="EB21" s="41"/>
      <c r="EC21" s="14" t="s">
        <v>311</v>
      </c>
      <c r="ED21" s="1197">
        <f t="shared" si="10"/>
        <v>687</v>
      </c>
      <c r="EE21" s="1197">
        <v>696.56347090574991</v>
      </c>
      <c r="EF21" s="793">
        <f>ED21-EE21</f>
        <v>-9.5634709057499094</v>
      </c>
      <c r="EG21" s="1197">
        <f t="shared" si="11"/>
        <v>648</v>
      </c>
      <c r="EH21" s="399">
        <f>ED21/EG21-1</f>
        <v>6.0185185185185119E-2</v>
      </c>
      <c r="EI21" s="75"/>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row>
    <row r="22" spans="1:259" s="337" customFormat="1" x14ac:dyDescent="0.2">
      <c r="A22" s="684" t="s">
        <v>312</v>
      </c>
      <c r="B22" s="1385">
        <f>SUM(B20:B21)</f>
        <v>2135</v>
      </c>
      <c r="C22" s="1364">
        <f>SUM(C20:C21)</f>
        <v>2265</v>
      </c>
      <c r="D22" s="1385">
        <f>SUM(D20:D21)</f>
        <v>2300</v>
      </c>
      <c r="E22" s="1385">
        <f>SUM(E20:E21)</f>
        <v>2780</v>
      </c>
      <c r="F22" s="1386">
        <f>SUM(F20:F21)</f>
        <v>9419</v>
      </c>
      <c r="G22" s="1797">
        <f>+G20+G21</f>
        <v>1922</v>
      </c>
      <c r="H22" s="1364">
        <f>+H20+H21</f>
        <v>2001</v>
      </c>
      <c r="I22" s="1364">
        <f>+I20+I21</f>
        <v>2020.8</v>
      </c>
      <c r="J22" s="1387">
        <f>+J20+J21</f>
        <v>2529</v>
      </c>
      <c r="K22" s="1387">
        <f>+K20+K21</f>
        <v>8478.7999999999993</v>
      </c>
      <c r="L22" s="1385">
        <f t="shared" ref="L22:T22" si="12">SUM(L20:L21)</f>
        <v>1813</v>
      </c>
      <c r="M22" s="1385">
        <f t="shared" si="12"/>
        <v>1886</v>
      </c>
      <c r="N22" s="1385">
        <f t="shared" si="12"/>
        <v>1812</v>
      </c>
      <c r="O22" s="1388">
        <f t="shared" si="12"/>
        <v>2311</v>
      </c>
      <c r="P22" s="1386">
        <f>SUM(P20:P21)</f>
        <v>7822</v>
      </c>
      <c r="Q22" s="1773">
        <f t="shared" si="12"/>
        <v>1597</v>
      </c>
      <c r="R22" s="1385">
        <f t="shared" si="12"/>
        <v>1656</v>
      </c>
      <c r="S22" s="1385">
        <f t="shared" si="12"/>
        <v>1658</v>
      </c>
      <c r="T22" s="1388">
        <f t="shared" si="12"/>
        <v>2182</v>
      </c>
      <c r="U22" s="1386">
        <f t="shared" ref="U22:AE22" si="13">SUM(U20:U21)</f>
        <v>7093</v>
      </c>
      <c r="V22" s="1773">
        <f t="shared" si="13"/>
        <v>1506</v>
      </c>
      <c r="W22" s="1385">
        <f t="shared" si="13"/>
        <v>1605</v>
      </c>
      <c r="X22" s="1385">
        <f t="shared" si="13"/>
        <v>1640</v>
      </c>
      <c r="Y22" s="1388">
        <f t="shared" si="13"/>
        <v>2202</v>
      </c>
      <c r="Z22" s="1386">
        <f t="shared" si="13"/>
        <v>6953</v>
      </c>
      <c r="AA22" s="1385">
        <f t="shared" si="13"/>
        <v>1614</v>
      </c>
      <c r="AB22" s="1385">
        <f t="shared" si="13"/>
        <v>1767</v>
      </c>
      <c r="AC22" s="1385">
        <f t="shared" si="13"/>
        <v>1915</v>
      </c>
      <c r="AD22" s="1388">
        <f t="shared" si="13"/>
        <v>2461</v>
      </c>
      <c r="AE22" s="1386">
        <f t="shared" si="13"/>
        <v>7757</v>
      </c>
      <c r="AF22" s="1773">
        <f t="shared" ref="AF22:AO22" si="14">SUM(AF20:AF21)</f>
        <v>1802</v>
      </c>
      <c r="AG22" s="1385">
        <f t="shared" si="14"/>
        <v>1936</v>
      </c>
      <c r="AH22" s="1385">
        <f t="shared" si="14"/>
        <v>1989</v>
      </c>
      <c r="AI22" s="1388">
        <f t="shared" si="14"/>
        <v>2653</v>
      </c>
      <c r="AJ22" s="1386">
        <f>SUM(AJ20:AJ21)</f>
        <v>8380</v>
      </c>
      <c r="AK22" s="1385">
        <f t="shared" si="14"/>
        <v>1970</v>
      </c>
      <c r="AL22" s="1385">
        <f t="shared" si="14"/>
        <v>2077</v>
      </c>
      <c r="AM22" s="1385">
        <f t="shared" si="14"/>
        <v>2179</v>
      </c>
      <c r="AN22" s="1388">
        <f t="shared" si="14"/>
        <v>2785</v>
      </c>
      <c r="AO22" s="1386">
        <f t="shared" si="14"/>
        <v>9011</v>
      </c>
      <c r="AP22" s="1385">
        <f t="shared" ref="AP22:AW22" si="15">SUM(AP20:AP21)</f>
        <v>2054</v>
      </c>
      <c r="AQ22" s="1385">
        <f t="shared" si="15"/>
        <v>2153</v>
      </c>
      <c r="AR22" s="1385">
        <f t="shared" si="15"/>
        <v>2243</v>
      </c>
      <c r="AS22" s="1388">
        <f t="shared" si="15"/>
        <v>2899</v>
      </c>
      <c r="AT22" s="1386">
        <f>SUM(AT20:AT21)</f>
        <v>9349</v>
      </c>
      <c r="AU22" s="1385">
        <f t="shared" si="15"/>
        <v>2085</v>
      </c>
      <c r="AV22" s="1385">
        <f t="shared" si="15"/>
        <v>2182</v>
      </c>
      <c r="AW22" s="1385">
        <f t="shared" si="15"/>
        <v>2278</v>
      </c>
      <c r="AX22" s="1388">
        <f>SUM(AX20:AX21)</f>
        <v>3016</v>
      </c>
      <c r="AY22" s="1386">
        <f>SUM(AY20:AY21)</f>
        <v>9561</v>
      </c>
      <c r="AZ22" s="1385">
        <f t="shared" ref="AZ22:BI22" si="16">SUM(AZ20:AZ21)</f>
        <v>2223</v>
      </c>
      <c r="BA22" s="1385">
        <f t="shared" si="16"/>
        <v>2367</v>
      </c>
      <c r="BB22" s="1385">
        <f t="shared" si="16"/>
        <v>2564</v>
      </c>
      <c r="BC22" s="1388">
        <f t="shared" si="16"/>
        <v>3262</v>
      </c>
      <c r="BD22" s="1386">
        <f t="shared" si="16"/>
        <v>10416</v>
      </c>
      <c r="BE22" s="1385">
        <f t="shared" si="16"/>
        <v>2413</v>
      </c>
      <c r="BF22" s="1385">
        <f t="shared" si="16"/>
        <v>2653</v>
      </c>
      <c r="BG22" s="1385">
        <f t="shared" si="16"/>
        <v>2842</v>
      </c>
      <c r="BH22" s="1388">
        <f t="shared" si="16"/>
        <v>3383</v>
      </c>
      <c r="BI22" s="1386">
        <f t="shared" si="16"/>
        <v>11291</v>
      </c>
      <c r="BJ22" s="1385">
        <f t="shared" ref="BJ22:BS22" si="17">SUM(BJ20:BJ21)</f>
        <v>2217</v>
      </c>
      <c r="BK22" s="1385">
        <f t="shared" si="17"/>
        <v>2476</v>
      </c>
      <c r="BL22" s="1385">
        <f t="shared" si="17"/>
        <v>2778</v>
      </c>
      <c r="BM22" s="1388">
        <f t="shared" si="17"/>
        <v>3365</v>
      </c>
      <c r="BN22" s="1389">
        <f t="shared" si="17"/>
        <v>10836</v>
      </c>
      <c r="BO22" s="1385">
        <f t="shared" si="17"/>
        <v>2345</v>
      </c>
      <c r="BP22" s="1385">
        <f t="shared" si="17"/>
        <v>2574</v>
      </c>
      <c r="BQ22" s="1385">
        <f t="shared" si="17"/>
        <v>2862</v>
      </c>
      <c r="BR22" s="1388">
        <f t="shared" si="17"/>
        <v>3562</v>
      </c>
      <c r="BS22" s="1389">
        <f t="shared" si="17"/>
        <v>11343</v>
      </c>
      <c r="BT22" s="1385">
        <f t="shared" ref="BT22:CC22" si="18">SUM(BT20:BT21)</f>
        <v>2425</v>
      </c>
      <c r="BU22" s="1385">
        <f t="shared" si="18"/>
        <v>2816</v>
      </c>
      <c r="BV22" s="1385">
        <f t="shared" si="18"/>
        <v>3274</v>
      </c>
      <c r="BW22" s="1388">
        <f t="shared" si="18"/>
        <v>4111</v>
      </c>
      <c r="BX22" s="1389">
        <f t="shared" si="18"/>
        <v>12626</v>
      </c>
      <c r="BY22" s="1385">
        <f t="shared" si="18"/>
        <v>2743</v>
      </c>
      <c r="BZ22" s="1385">
        <f t="shared" si="18"/>
        <v>3168</v>
      </c>
      <c r="CA22" s="1385">
        <f t="shared" si="18"/>
        <v>3569</v>
      </c>
      <c r="CB22" s="1385">
        <f t="shared" si="18"/>
        <v>4153</v>
      </c>
      <c r="CC22" s="1798">
        <f t="shared" si="18"/>
        <v>13633</v>
      </c>
      <c r="CD22" s="1390">
        <f t="shared" ref="CD22:CN22" si="19">SUM(CD20:CD21)</f>
        <v>1421.3265000000001</v>
      </c>
      <c r="CE22" s="1390">
        <f t="shared" si="19"/>
        <v>1500.7075</v>
      </c>
      <c r="CF22" s="1390">
        <f t="shared" si="19"/>
        <v>1500.5374999999999</v>
      </c>
      <c r="CG22" s="1390">
        <f t="shared" si="19"/>
        <v>1994.4285</v>
      </c>
      <c r="CH22" s="1774">
        <f t="shared" si="19"/>
        <v>6417</v>
      </c>
      <c r="CI22" s="1355">
        <f>SUM(CI20:CI21)</f>
        <v>1391.4389999999999</v>
      </c>
      <c r="CJ22" s="1355">
        <f>SUM(CJ20:CJ21)</f>
        <v>1551.0029999999999</v>
      </c>
      <c r="CK22" s="1355">
        <f>SUM(CK20:CK21)</f>
        <v>1574.605</v>
      </c>
      <c r="CL22" s="1355">
        <f>SUM(CL20:CL21)</f>
        <v>2069.953</v>
      </c>
      <c r="CM22" s="1356">
        <f>SUM(CM20:CM21)</f>
        <v>6587</v>
      </c>
      <c r="CN22" s="1355">
        <f t="shared" si="19"/>
        <v>1476.3225</v>
      </c>
      <c r="CO22" s="1355">
        <f>SUM(CO20:CO21)</f>
        <v>1530.5160000000001</v>
      </c>
      <c r="CP22" s="1355">
        <f>SUM(CP20:CP21)</f>
        <v>1519.4425000000001</v>
      </c>
      <c r="CQ22" s="1053">
        <f t="shared" ref="CQ22" si="20">SUM(CQ20:CQ21)</f>
        <v>1895</v>
      </c>
      <c r="CR22" s="1942">
        <f t="shared" ref="CR22:DQ22" si="21">SUM(CR20:CR21)</f>
        <v>6421.2809999999999</v>
      </c>
      <c r="CS22" s="2059">
        <f t="shared" si="21"/>
        <v>1443</v>
      </c>
      <c r="CT22" s="2059">
        <f t="shared" si="21"/>
        <v>1510</v>
      </c>
      <c r="CU22" s="2059">
        <f t="shared" si="21"/>
        <v>1517</v>
      </c>
      <c r="CV22" s="1051">
        <f t="shared" si="21"/>
        <v>1887</v>
      </c>
      <c r="CW22" s="1052">
        <f t="shared" ref="CW22:CX22" si="22">SUM(CW20:CW21)</f>
        <v>6357</v>
      </c>
      <c r="CX22" s="64">
        <f t="shared" si="22"/>
        <v>1417</v>
      </c>
      <c r="CY22" s="64">
        <f t="shared" ref="CY22:DG22" si="23">SUM(CY20:CY21)</f>
        <v>1448</v>
      </c>
      <c r="CZ22" s="64">
        <f>SUM(CZ20:CZ21)</f>
        <v>1436</v>
      </c>
      <c r="DA22" s="69">
        <f t="shared" si="23"/>
        <v>1577</v>
      </c>
      <c r="DB22" s="434">
        <f t="shared" si="23"/>
        <v>5878</v>
      </c>
      <c r="DC22" s="64">
        <f t="shared" si="23"/>
        <v>1086.3862816089797</v>
      </c>
      <c r="DD22" s="64">
        <f t="shared" si="23"/>
        <v>1068.1447224978519</v>
      </c>
      <c r="DE22" s="64">
        <f t="shared" si="23"/>
        <v>1056.6912095144737</v>
      </c>
      <c r="DF22" s="69">
        <f t="shared" si="23"/>
        <v>1287.1635263706448</v>
      </c>
      <c r="DG22" s="434">
        <f t="shared" si="23"/>
        <v>4498.3857399919498</v>
      </c>
      <c r="DH22" s="64">
        <f t="shared" si="21"/>
        <v>994.20914826552314</v>
      </c>
      <c r="DI22" s="64">
        <f t="shared" si="21"/>
        <v>997.47839416223394</v>
      </c>
      <c r="DJ22" s="64">
        <f t="shared" si="21"/>
        <v>1004.5889476678701</v>
      </c>
      <c r="DK22" s="69">
        <f t="shared" si="21"/>
        <v>1219.3914075598414</v>
      </c>
      <c r="DL22" s="434">
        <f t="shared" si="21"/>
        <v>4215.6678976554686</v>
      </c>
      <c r="DM22" s="64">
        <f t="shared" si="21"/>
        <v>949.14674058691162</v>
      </c>
      <c r="DN22" s="64">
        <f t="shared" si="21"/>
        <v>987.16580258144984</v>
      </c>
      <c r="DO22" s="64">
        <f t="shared" si="21"/>
        <v>1031.3097159612312</v>
      </c>
      <c r="DP22" s="69">
        <f t="shared" si="21"/>
        <v>1300.0031490275078</v>
      </c>
      <c r="DQ22" s="434">
        <f t="shared" si="21"/>
        <v>4267.6254081571005</v>
      </c>
      <c r="DR22" s="64">
        <f t="shared" ref="DR22:EA22" si="24">SUM(DR20:DR21)</f>
        <v>1029.9163193762888</v>
      </c>
      <c r="DS22" s="64">
        <f t="shared" si="24"/>
        <v>1071.2863119353806</v>
      </c>
      <c r="DT22" s="64">
        <f t="shared" si="24"/>
        <v>1118.2060333407285</v>
      </c>
      <c r="DU22" s="69">
        <f t="shared" si="24"/>
        <v>1410.1148162138634</v>
      </c>
      <c r="DV22" s="434">
        <f t="shared" si="24"/>
        <v>4629.5234808662617</v>
      </c>
      <c r="DW22" s="64">
        <f t="shared" si="24"/>
        <v>1117.1652196004115</v>
      </c>
      <c r="DX22" s="64">
        <f t="shared" si="24"/>
        <v>1166.3167781125308</v>
      </c>
      <c r="DY22" s="64">
        <f t="shared" si="24"/>
        <v>1220.6769686626108</v>
      </c>
      <c r="DZ22" s="69">
        <f t="shared" si="24"/>
        <v>1545.446373690779</v>
      </c>
      <c r="EA22" s="434">
        <f t="shared" si="24"/>
        <v>5049.6053400663313</v>
      </c>
      <c r="EB22" s="41"/>
      <c r="EC22" s="26" t="s">
        <v>312</v>
      </c>
      <c r="ED22" s="1198">
        <f t="shared" si="10"/>
        <v>1577</v>
      </c>
      <c r="EE22" s="1198">
        <v>1620.9768307086697</v>
      </c>
      <c r="EF22" s="793">
        <f>ED22-EE22</f>
        <v>-43.976830708669695</v>
      </c>
      <c r="EG22" s="1198">
        <f t="shared" si="11"/>
        <v>1887</v>
      </c>
      <c r="EH22" s="399">
        <f>ED22/EG22-1</f>
        <v>-0.16428192898781135</v>
      </c>
      <c r="EI22" s="11"/>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row>
    <row r="23" spans="1:259" s="337" customFormat="1" ht="2.1" customHeight="1" x14ac:dyDescent="0.2">
      <c r="A23" s="431"/>
      <c r="B23" s="1775"/>
      <c r="C23" s="1357"/>
      <c r="D23" s="1358"/>
      <c r="E23" s="1358"/>
      <c r="F23" s="1333"/>
      <c r="G23" s="1775"/>
      <c r="H23" s="1358"/>
      <c r="I23" s="1358"/>
      <c r="J23" s="1360"/>
      <c r="K23" s="1361"/>
      <c r="L23" s="1359"/>
      <c r="M23" s="1359"/>
      <c r="N23" s="1359"/>
      <c r="O23" s="1391"/>
      <c r="P23" s="1333"/>
      <c r="Q23" s="1776"/>
      <c r="R23" s="1359"/>
      <c r="S23" s="1359"/>
      <c r="T23" s="1391"/>
      <c r="U23" s="1333"/>
      <c r="V23" s="1776"/>
      <c r="W23" s="1359"/>
      <c r="X23" s="1359"/>
      <c r="Y23" s="1391"/>
      <c r="Z23" s="1333"/>
      <c r="AA23" s="1359"/>
      <c r="AB23" s="1359"/>
      <c r="AC23" s="1359"/>
      <c r="AD23" s="1391"/>
      <c r="AE23" s="1333"/>
      <c r="AF23" s="1776"/>
      <c r="AG23" s="1359"/>
      <c r="AH23" s="1359"/>
      <c r="AI23" s="1391"/>
      <c r="AJ23" s="1333"/>
      <c r="AK23" s="1359"/>
      <c r="AL23" s="1359"/>
      <c r="AM23" s="1359"/>
      <c r="AN23" s="1391"/>
      <c r="AO23" s="1333"/>
      <c r="AP23" s="1359"/>
      <c r="AQ23" s="1359"/>
      <c r="AR23" s="1359"/>
      <c r="AS23" s="1391"/>
      <c r="AT23" s="1333"/>
      <c r="AU23" s="1359"/>
      <c r="AV23" s="1359"/>
      <c r="AW23" s="1359"/>
      <c r="AX23" s="1391"/>
      <c r="AY23" s="1333"/>
      <c r="AZ23" s="1359"/>
      <c r="BA23" s="1359"/>
      <c r="BB23" s="1359"/>
      <c r="BC23" s="1391"/>
      <c r="BD23" s="1333"/>
      <c r="BE23" s="1359"/>
      <c r="BF23" s="1359"/>
      <c r="BG23" s="1359"/>
      <c r="BH23" s="1391"/>
      <c r="BI23" s="1333"/>
      <c r="BJ23" s="1359"/>
      <c r="BK23" s="1359"/>
      <c r="BL23" s="1359"/>
      <c r="BM23" s="1391"/>
      <c r="BN23" s="1334"/>
      <c r="BO23" s="1359"/>
      <c r="BP23" s="1359"/>
      <c r="BQ23" s="1359"/>
      <c r="BR23" s="1391"/>
      <c r="BS23" s="1334"/>
      <c r="BT23" s="1359"/>
      <c r="BU23" s="1359"/>
      <c r="BV23" s="1359"/>
      <c r="BW23" s="1391"/>
      <c r="BX23" s="1334"/>
      <c r="BY23" s="1359"/>
      <c r="BZ23" s="1359"/>
      <c r="CA23" s="1359"/>
      <c r="CB23" s="1391"/>
      <c r="CC23" s="1334"/>
      <c r="CD23" s="1363"/>
      <c r="CE23" s="1363"/>
      <c r="CF23" s="1363"/>
      <c r="CG23" s="1363"/>
      <c r="CH23" s="1780"/>
      <c r="CI23" s="1392"/>
      <c r="CJ23" s="1392"/>
      <c r="CK23" s="1392"/>
      <c r="CL23" s="1392"/>
      <c r="CM23" s="1393"/>
      <c r="CN23" s="1392"/>
      <c r="CO23" s="1392"/>
      <c r="CP23" s="1392"/>
      <c r="CQ23" s="1888"/>
      <c r="CR23" s="1945"/>
      <c r="CS23" s="2062"/>
      <c r="CT23" s="2062"/>
      <c r="CU23" s="2062"/>
      <c r="CV23" s="1046"/>
      <c r="CW23" s="1045"/>
      <c r="CX23" s="62"/>
      <c r="CY23" s="62"/>
      <c r="CZ23" s="62"/>
      <c r="DA23" s="76"/>
      <c r="DB23" s="432"/>
      <c r="DC23" s="62"/>
      <c r="DD23" s="62"/>
      <c r="DE23" s="62"/>
      <c r="DF23" s="76"/>
      <c r="DG23" s="432"/>
      <c r="DH23" s="62"/>
      <c r="DI23" s="62"/>
      <c r="DJ23" s="62"/>
      <c r="DK23" s="76"/>
      <c r="DL23" s="432"/>
      <c r="DM23" s="62"/>
      <c r="DN23" s="62"/>
      <c r="DO23" s="62"/>
      <c r="DP23" s="76"/>
      <c r="DQ23" s="432"/>
      <c r="DR23" s="62"/>
      <c r="DS23" s="62"/>
      <c r="DT23" s="62"/>
      <c r="DU23" s="76"/>
      <c r="DV23" s="432"/>
      <c r="DW23" s="62"/>
      <c r="DX23" s="62"/>
      <c r="DY23" s="62"/>
      <c r="DZ23" s="76"/>
      <c r="EA23" s="432"/>
      <c r="EB23" s="41"/>
      <c r="EC23" s="14"/>
      <c r="ED23" s="1196">
        <f t="shared" si="10"/>
        <v>0</v>
      </c>
      <c r="EE23" s="1196">
        <v>0</v>
      </c>
      <c r="EF23" s="793"/>
      <c r="EG23" s="1196">
        <f t="shared" si="11"/>
        <v>0</v>
      </c>
      <c r="EH23" s="399"/>
      <c r="EI23" s="11"/>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row>
    <row r="24" spans="1:259" s="337" customFormat="1" x14ac:dyDescent="0.2">
      <c r="A24" s="431" t="s">
        <v>313</v>
      </c>
      <c r="B24" s="1357">
        <v>653</v>
      </c>
      <c r="C24" s="1357">
        <v>693</v>
      </c>
      <c r="D24" s="1357">
        <v>698</v>
      </c>
      <c r="E24" s="1357">
        <v>842</v>
      </c>
      <c r="F24" s="1375">
        <f>SUM(B24:E24)</f>
        <v>2886</v>
      </c>
      <c r="G24" s="1772">
        <v>579</v>
      </c>
      <c r="H24" s="1357">
        <v>591</v>
      </c>
      <c r="I24" s="1357">
        <v>591.5</v>
      </c>
      <c r="J24" s="1394">
        <v>759</v>
      </c>
      <c r="K24" s="1394">
        <f>SUM(G24:J24)</f>
        <v>2520.5</v>
      </c>
      <c r="L24" s="1772">
        <v>528</v>
      </c>
      <c r="M24" s="1357">
        <v>534</v>
      </c>
      <c r="N24" s="1357">
        <v>513</v>
      </c>
      <c r="O24" s="1394">
        <v>663</v>
      </c>
      <c r="P24" s="1375">
        <f>SUM(L24:O24)</f>
        <v>2238</v>
      </c>
      <c r="Q24" s="1772">
        <v>441</v>
      </c>
      <c r="R24" s="1357">
        <v>449</v>
      </c>
      <c r="S24" s="1357">
        <v>455</v>
      </c>
      <c r="T24" s="1357">
        <v>597</v>
      </c>
      <c r="U24" s="1375">
        <f>SUM(Q24:T24)</f>
        <v>1942</v>
      </c>
      <c r="V24" s="1772">
        <v>410</v>
      </c>
      <c r="W24" s="1357">
        <v>442</v>
      </c>
      <c r="X24" s="1357">
        <v>457</v>
      </c>
      <c r="Y24" s="1357">
        <v>599</v>
      </c>
      <c r="Z24" s="1375">
        <f t="shared" ref="Z24:Z37" si="25">SUM(V24:Y24)</f>
        <v>1908</v>
      </c>
      <c r="AA24" s="1772">
        <v>439</v>
      </c>
      <c r="AB24" s="1357">
        <v>482</v>
      </c>
      <c r="AC24" s="1357">
        <v>517</v>
      </c>
      <c r="AD24" s="1357">
        <v>671</v>
      </c>
      <c r="AE24" s="1375">
        <f>SUM(AA24:AD24)</f>
        <v>2109</v>
      </c>
      <c r="AF24" s="1772">
        <v>492</v>
      </c>
      <c r="AG24" s="1357">
        <v>532</v>
      </c>
      <c r="AH24" s="1357">
        <v>544</v>
      </c>
      <c r="AI24" s="1361">
        <v>732</v>
      </c>
      <c r="AJ24" s="1375">
        <f>SUM(AF24:AI24)</f>
        <v>2300</v>
      </c>
      <c r="AK24" s="1357">
        <v>540</v>
      </c>
      <c r="AL24" s="1357">
        <v>588</v>
      </c>
      <c r="AM24" s="1357">
        <v>618</v>
      </c>
      <c r="AN24" s="1357">
        <v>792</v>
      </c>
      <c r="AO24" s="1375">
        <f t="shared" ref="AO24:AO37" si="26">SUM(AK24:AN24)</f>
        <v>2538</v>
      </c>
      <c r="AP24" s="1357">
        <v>574</v>
      </c>
      <c r="AQ24" s="1357">
        <v>600</v>
      </c>
      <c r="AR24" s="1357">
        <v>619</v>
      </c>
      <c r="AS24" s="1357">
        <v>791</v>
      </c>
      <c r="AT24" s="1375">
        <f>SUM(AP24:AS24)</f>
        <v>2584</v>
      </c>
      <c r="AU24" s="1357">
        <v>557</v>
      </c>
      <c r="AV24" s="1357">
        <v>583</v>
      </c>
      <c r="AW24" s="1357">
        <v>606</v>
      </c>
      <c r="AX24" s="1357">
        <v>803</v>
      </c>
      <c r="AY24" s="1375">
        <f t="shared" ref="AY24:AY36" si="27">SUM(AU24:AX24)</f>
        <v>2549</v>
      </c>
      <c r="AZ24" s="1357">
        <v>586</v>
      </c>
      <c r="BA24" s="1357">
        <v>638</v>
      </c>
      <c r="BB24" s="1357">
        <v>700</v>
      </c>
      <c r="BC24" s="1357">
        <v>900</v>
      </c>
      <c r="BD24" s="1375">
        <f>SUM(AZ24:BC24)</f>
        <v>2824</v>
      </c>
      <c r="BE24" s="1357">
        <v>669</v>
      </c>
      <c r="BF24" s="1357">
        <v>766</v>
      </c>
      <c r="BG24" s="1357">
        <v>830</v>
      </c>
      <c r="BH24" s="1357">
        <v>974</v>
      </c>
      <c r="BI24" s="1375">
        <f t="shared" ref="BI24:BI37" si="28">SUM(BE24:BH24)</f>
        <v>3239</v>
      </c>
      <c r="BJ24" s="1357">
        <v>611</v>
      </c>
      <c r="BK24" s="1357">
        <v>693</v>
      </c>
      <c r="BL24" s="1357">
        <v>777</v>
      </c>
      <c r="BM24" s="1357">
        <v>922</v>
      </c>
      <c r="BN24" s="1377">
        <f t="shared" ref="BN24:BN37" si="29">SUM(BJ24:BM24)</f>
        <v>3003</v>
      </c>
      <c r="BO24" s="1357">
        <v>625</v>
      </c>
      <c r="BP24" s="1357">
        <v>699</v>
      </c>
      <c r="BQ24" s="1357">
        <v>788</v>
      </c>
      <c r="BR24" s="1357">
        <v>979</v>
      </c>
      <c r="BS24" s="1377">
        <f t="shared" ref="BS24:BS37" si="30">SUM(BO24:BR24)</f>
        <v>3091</v>
      </c>
      <c r="BT24" s="1357">
        <v>662</v>
      </c>
      <c r="BU24" s="1357">
        <v>792</v>
      </c>
      <c r="BV24" s="1357">
        <v>970</v>
      </c>
      <c r="BW24" s="1357">
        <v>1209</v>
      </c>
      <c r="BX24" s="1377">
        <f t="shared" ref="BX24:BX37" si="31">SUM(BT24:BW24)</f>
        <v>3633</v>
      </c>
      <c r="BY24" s="1357">
        <v>767</v>
      </c>
      <c r="BZ24" s="1357">
        <v>916</v>
      </c>
      <c r="CA24" s="1357">
        <v>1029</v>
      </c>
      <c r="CB24" s="1357">
        <v>1162</v>
      </c>
      <c r="CC24" s="1377">
        <f t="shared" ref="CC24:CC37" si="32">SUM(BY24:CB24)</f>
        <v>3874</v>
      </c>
      <c r="CD24" s="1395">
        <v>305</v>
      </c>
      <c r="CE24" s="1395">
        <v>336</v>
      </c>
      <c r="CF24" s="1395">
        <v>332</v>
      </c>
      <c r="CG24" s="1395">
        <v>438</v>
      </c>
      <c r="CH24" s="1342">
        <f t="shared" ref="CH24:CH26" si="33">SUM(CD24:CG24)</f>
        <v>1411</v>
      </c>
      <c r="CI24" s="1395">
        <v>307</v>
      </c>
      <c r="CJ24" s="1395">
        <v>355</v>
      </c>
      <c r="CK24" s="1395">
        <v>353</v>
      </c>
      <c r="CL24" s="1395">
        <v>456</v>
      </c>
      <c r="CM24" s="1342">
        <f t="shared" ref="CM24:CM36" si="34">SUM(CI24:CL24)</f>
        <v>1471</v>
      </c>
      <c r="CN24" s="1395">
        <v>296</v>
      </c>
      <c r="CO24" s="1395">
        <v>326</v>
      </c>
      <c r="CP24" s="1395">
        <v>322</v>
      </c>
      <c r="CQ24" s="71">
        <v>404</v>
      </c>
      <c r="CR24" s="1940">
        <f t="shared" ref="CR24:CR28" si="35">SUM(CN24:CQ24)</f>
        <v>1348</v>
      </c>
      <c r="CS24" s="975">
        <v>287</v>
      </c>
      <c r="CT24" s="975">
        <v>307</v>
      </c>
      <c r="CU24" s="975">
        <v>303</v>
      </c>
      <c r="CV24" s="71">
        <v>370</v>
      </c>
      <c r="CW24" s="1047">
        <f t="shared" ref="CW24:CW36" si="36">SUM(CS24:CV24)</f>
        <v>1267</v>
      </c>
      <c r="CX24" s="71">
        <v>276</v>
      </c>
      <c r="CY24" s="71">
        <v>280</v>
      </c>
      <c r="CZ24" s="71">
        <v>275</v>
      </c>
      <c r="DA24" s="71">
        <v>272</v>
      </c>
      <c r="DB24" s="433">
        <f t="shared" ref="DB24:DB26" si="37">SUM(CX24:DA24)</f>
        <v>1103</v>
      </c>
      <c r="DC24" s="79">
        <v>153.88144561463022</v>
      </c>
      <c r="DD24" s="79">
        <v>142.88674607525323</v>
      </c>
      <c r="DE24" s="79">
        <v>133.6651348445713</v>
      </c>
      <c r="DF24" s="79">
        <v>157.91674966346227</v>
      </c>
      <c r="DG24" s="433">
        <f t="shared" ref="DG24:DG26" si="38">SUM(DC24:DF24)</f>
        <v>588.35007619791702</v>
      </c>
      <c r="DH24" s="79">
        <v>110.30008131807531</v>
      </c>
      <c r="DI24" s="79">
        <v>105.81334000251744</v>
      </c>
      <c r="DJ24" s="79">
        <v>100.8612550623248</v>
      </c>
      <c r="DK24" s="79">
        <v>115.70014101242006</v>
      </c>
      <c r="DL24" s="433">
        <f t="shared" ref="DL24:DL26" si="39">SUM(DH24:DK24)</f>
        <v>432.67481739533764</v>
      </c>
      <c r="DM24" s="79">
        <v>81.709291014213136</v>
      </c>
      <c r="DN24" s="79">
        <v>87.877340377068151</v>
      </c>
      <c r="DO24" s="79">
        <v>94.09622002306763</v>
      </c>
      <c r="DP24" s="79">
        <v>122.79469665040412</v>
      </c>
      <c r="DQ24" s="433">
        <f t="shared" ref="DQ24:DQ26" si="40">SUM(DM24:DP24)</f>
        <v>386.47754806475302</v>
      </c>
      <c r="DR24" s="79">
        <v>92.852026106253604</v>
      </c>
      <c r="DS24" s="79">
        <v>99.597975518441501</v>
      </c>
      <c r="DT24" s="79">
        <v>106.29124525553554</v>
      </c>
      <c r="DU24" s="79">
        <v>138.46840296360244</v>
      </c>
      <c r="DV24" s="433">
        <f t="shared" ref="DV24:DV26" si="41">SUM(DR24:DU24)</f>
        <v>437.20964984383312</v>
      </c>
      <c r="DW24" s="79">
        <v>105.14253579048339</v>
      </c>
      <c r="DX24" s="79">
        <v>113.93319038879849</v>
      </c>
      <c r="DY24" s="79">
        <v>122.6832323761658</v>
      </c>
      <c r="DZ24" s="79">
        <v>161.34430809637317</v>
      </c>
      <c r="EA24" s="433">
        <f t="shared" ref="EA24:EA26" si="42">SUM(DW24:DZ24)</f>
        <v>503.10326665182083</v>
      </c>
      <c r="EB24" s="41"/>
      <c r="EC24" s="14" t="s">
        <v>313</v>
      </c>
      <c r="ED24" s="1196">
        <f t="shared" si="10"/>
        <v>272</v>
      </c>
      <c r="EE24" s="1196">
        <v>290.28920142999107</v>
      </c>
      <c r="EF24" s="793">
        <f t="shared" ref="EF24:EF41" si="43">ED24-EE24</f>
        <v>-18.289201429991067</v>
      </c>
      <c r="EG24" s="1196">
        <f t="shared" si="11"/>
        <v>370</v>
      </c>
      <c r="EH24" s="399">
        <f t="shared" ref="EH24:EH41" si="44">ED24/EG24-1</f>
        <v>-0.26486486486486482</v>
      </c>
      <c r="EI24" s="11"/>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row>
    <row r="25" spans="1:259" s="337" customFormat="1" x14ac:dyDescent="0.2">
      <c r="A25" s="431" t="s">
        <v>176</v>
      </c>
      <c r="B25" s="1357">
        <v>596</v>
      </c>
      <c r="C25" s="1357">
        <v>593</v>
      </c>
      <c r="D25" s="1357">
        <v>615</v>
      </c>
      <c r="E25" s="1357">
        <v>738</v>
      </c>
      <c r="F25" s="1375">
        <f>SUM(B25:E25)</f>
        <v>2542</v>
      </c>
      <c r="G25" s="1772">
        <v>539</v>
      </c>
      <c r="H25" s="1357">
        <v>545</v>
      </c>
      <c r="I25" s="1357">
        <v>523.5</v>
      </c>
      <c r="J25" s="1394">
        <v>636</v>
      </c>
      <c r="K25" s="1394">
        <f>SUM(G25:J25)</f>
        <v>2243.5</v>
      </c>
      <c r="L25" s="1772">
        <v>463</v>
      </c>
      <c r="M25" s="1357">
        <v>481</v>
      </c>
      <c r="N25" s="1357">
        <v>447</v>
      </c>
      <c r="O25" s="1394">
        <v>565</v>
      </c>
      <c r="P25" s="1375">
        <f>SUM(L25:O25)</f>
        <v>1956</v>
      </c>
      <c r="Q25" s="1772">
        <v>410</v>
      </c>
      <c r="R25" s="1357">
        <v>407</v>
      </c>
      <c r="S25" s="1357">
        <v>395</v>
      </c>
      <c r="T25" s="1357">
        <v>532</v>
      </c>
      <c r="U25" s="1375">
        <f>SUM(Q25:T25)</f>
        <v>1744</v>
      </c>
      <c r="V25" s="1772">
        <v>370</v>
      </c>
      <c r="W25" s="1357">
        <v>390</v>
      </c>
      <c r="X25" s="1357">
        <v>391</v>
      </c>
      <c r="Y25" s="1357">
        <v>514</v>
      </c>
      <c r="Z25" s="1375">
        <f t="shared" si="25"/>
        <v>1665</v>
      </c>
      <c r="AA25" s="1772">
        <v>395</v>
      </c>
      <c r="AB25" s="1357">
        <v>422</v>
      </c>
      <c r="AC25" s="1357">
        <v>457</v>
      </c>
      <c r="AD25" s="1357">
        <v>601</v>
      </c>
      <c r="AE25" s="1375">
        <f>SUM(AA25:AD25)</f>
        <v>1875</v>
      </c>
      <c r="AF25" s="1772">
        <v>450</v>
      </c>
      <c r="AG25" s="1357">
        <v>473</v>
      </c>
      <c r="AH25" s="1357">
        <v>473</v>
      </c>
      <c r="AI25" s="1361">
        <v>628</v>
      </c>
      <c r="AJ25" s="1375">
        <f>SUM(AF25:AI25)</f>
        <v>2024</v>
      </c>
      <c r="AK25" s="1357">
        <v>480</v>
      </c>
      <c r="AL25" s="1357">
        <v>493</v>
      </c>
      <c r="AM25" s="1357">
        <v>497</v>
      </c>
      <c r="AN25" s="1357">
        <v>642</v>
      </c>
      <c r="AO25" s="1375">
        <f t="shared" si="26"/>
        <v>2112</v>
      </c>
      <c r="AP25" s="1357">
        <v>486</v>
      </c>
      <c r="AQ25" s="1357">
        <v>506</v>
      </c>
      <c r="AR25" s="1357">
        <v>501</v>
      </c>
      <c r="AS25" s="1357">
        <v>678</v>
      </c>
      <c r="AT25" s="1375">
        <v>2171</v>
      </c>
      <c r="AU25" s="1357">
        <v>477</v>
      </c>
      <c r="AV25" s="1357">
        <v>492</v>
      </c>
      <c r="AW25" s="1357">
        <v>492</v>
      </c>
      <c r="AX25" s="1357">
        <v>681</v>
      </c>
      <c r="AY25" s="1375">
        <f>SUM(AU25:AX25)</f>
        <v>2142</v>
      </c>
      <c r="AZ25" s="1357">
        <v>514</v>
      </c>
      <c r="BA25" s="1357">
        <v>527</v>
      </c>
      <c r="BB25" s="1357">
        <v>544</v>
      </c>
      <c r="BC25" s="1357">
        <v>720</v>
      </c>
      <c r="BD25" s="1375">
        <f>SUM(AZ25:BC25)</f>
        <v>2305</v>
      </c>
      <c r="BE25" s="1357">
        <v>533</v>
      </c>
      <c r="BF25" s="1357">
        <v>574</v>
      </c>
      <c r="BG25" s="1357">
        <v>575</v>
      </c>
      <c r="BH25" s="1357">
        <v>688</v>
      </c>
      <c r="BI25" s="1375">
        <f t="shared" si="28"/>
        <v>2370</v>
      </c>
      <c r="BJ25" s="1357">
        <v>457</v>
      </c>
      <c r="BK25" s="1357">
        <v>505</v>
      </c>
      <c r="BL25" s="1357">
        <v>523</v>
      </c>
      <c r="BM25" s="1357">
        <v>669</v>
      </c>
      <c r="BN25" s="1377">
        <f t="shared" si="29"/>
        <v>2154</v>
      </c>
      <c r="BO25" s="1357">
        <v>461</v>
      </c>
      <c r="BP25" s="1357">
        <v>503</v>
      </c>
      <c r="BQ25" s="1357">
        <v>516</v>
      </c>
      <c r="BR25" s="1357">
        <v>692</v>
      </c>
      <c r="BS25" s="1377">
        <f t="shared" si="30"/>
        <v>2172</v>
      </c>
      <c r="BT25" s="1357">
        <v>461</v>
      </c>
      <c r="BU25" s="1357">
        <v>548</v>
      </c>
      <c r="BV25" s="1357">
        <v>600</v>
      </c>
      <c r="BW25" s="1357">
        <v>809</v>
      </c>
      <c r="BX25" s="1377">
        <f t="shared" si="31"/>
        <v>2418</v>
      </c>
      <c r="BY25" s="1357">
        <v>513</v>
      </c>
      <c r="BZ25" s="1357">
        <v>623</v>
      </c>
      <c r="CA25" s="1357">
        <v>650</v>
      </c>
      <c r="CB25" s="1357">
        <v>834</v>
      </c>
      <c r="CC25" s="1377">
        <f t="shared" si="32"/>
        <v>2620</v>
      </c>
      <c r="CD25" s="1395">
        <v>259</v>
      </c>
      <c r="CE25" s="1395">
        <v>271</v>
      </c>
      <c r="CF25" s="1395">
        <v>264</v>
      </c>
      <c r="CG25" s="1395">
        <v>345</v>
      </c>
      <c r="CH25" s="1342">
        <f t="shared" si="33"/>
        <v>1139</v>
      </c>
      <c r="CI25" s="1395">
        <v>252</v>
      </c>
      <c r="CJ25" s="1395">
        <v>283</v>
      </c>
      <c r="CK25" s="1395">
        <v>276</v>
      </c>
      <c r="CL25" s="1395">
        <v>360</v>
      </c>
      <c r="CM25" s="1342">
        <f t="shared" si="34"/>
        <v>1171</v>
      </c>
      <c r="CN25" s="1395">
        <v>249</v>
      </c>
      <c r="CO25" s="1395">
        <v>269</v>
      </c>
      <c r="CP25" s="1395">
        <v>269</v>
      </c>
      <c r="CQ25" s="71">
        <v>344</v>
      </c>
      <c r="CR25" s="1940">
        <f t="shared" si="35"/>
        <v>1131</v>
      </c>
      <c r="CS25" s="975">
        <v>257</v>
      </c>
      <c r="CT25" s="975">
        <v>263</v>
      </c>
      <c r="CU25" s="975">
        <v>260</v>
      </c>
      <c r="CV25" s="71">
        <v>326</v>
      </c>
      <c r="CW25" s="1047">
        <f t="shared" si="36"/>
        <v>1106</v>
      </c>
      <c r="CX25" s="71">
        <v>244</v>
      </c>
      <c r="CY25" s="71">
        <v>239</v>
      </c>
      <c r="CZ25" s="71">
        <v>224</v>
      </c>
      <c r="DA25" s="71">
        <v>232</v>
      </c>
      <c r="DB25" s="433">
        <f t="shared" si="37"/>
        <v>939</v>
      </c>
      <c r="DC25" s="79">
        <v>139.25001421140314</v>
      </c>
      <c r="DD25" s="79">
        <v>124.96235743795447</v>
      </c>
      <c r="DE25" s="79">
        <v>112.96032679621155</v>
      </c>
      <c r="DF25" s="79">
        <v>139.1037282820416</v>
      </c>
      <c r="DG25" s="433">
        <f t="shared" si="38"/>
        <v>516.27642672761078</v>
      </c>
      <c r="DH25" s="79">
        <v>100.71917230516932</v>
      </c>
      <c r="DI25" s="79">
        <v>94.316416421675598</v>
      </c>
      <c r="DJ25" s="79">
        <v>88.001471060411049</v>
      </c>
      <c r="DK25" s="79">
        <v>106.68183976843436</v>
      </c>
      <c r="DL25" s="433">
        <f t="shared" si="39"/>
        <v>389.71889955569037</v>
      </c>
      <c r="DM25" s="79">
        <v>77.763338780374909</v>
      </c>
      <c r="DN25" s="79">
        <v>80.701086814779785</v>
      </c>
      <c r="DO25" s="79">
        <v>83.594765699141561</v>
      </c>
      <c r="DP25" s="79">
        <v>113.53960836446255</v>
      </c>
      <c r="DQ25" s="433">
        <f t="shared" si="40"/>
        <v>355.59879965875882</v>
      </c>
      <c r="DR25" s="79">
        <v>87.689500477566469</v>
      </c>
      <c r="DS25" s="79">
        <v>90.847278293950154</v>
      </c>
      <c r="DT25" s="79">
        <v>93.840944050817285</v>
      </c>
      <c r="DU25" s="79">
        <v>127.12741907610419</v>
      </c>
      <c r="DV25" s="433">
        <f t="shared" si="41"/>
        <v>399.50514189843807</v>
      </c>
      <c r="DW25" s="79">
        <v>98.437384088379474</v>
      </c>
      <c r="DX25" s="79">
        <v>102.77970559671098</v>
      </c>
      <c r="DY25" s="79">
        <v>106.83995011515337</v>
      </c>
      <c r="DZ25" s="79">
        <v>145.44200187307706</v>
      </c>
      <c r="EA25" s="433">
        <f t="shared" si="42"/>
        <v>453.4990416733209</v>
      </c>
      <c r="EB25" s="41"/>
      <c r="EC25" s="14" t="s">
        <v>176</v>
      </c>
      <c r="ED25" s="1196">
        <f t="shared" si="10"/>
        <v>232</v>
      </c>
      <c r="EE25" s="1196">
        <v>237.47255341628602</v>
      </c>
      <c r="EF25" s="793">
        <f t="shared" si="43"/>
        <v>-5.4725534162860185</v>
      </c>
      <c r="EG25" s="1196">
        <f t="shared" si="11"/>
        <v>326</v>
      </c>
      <c r="EH25" s="399">
        <f t="shared" si="44"/>
        <v>-0.28834355828220859</v>
      </c>
      <c r="EI25" s="11"/>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row>
    <row r="26" spans="1:259" s="337" customFormat="1" x14ac:dyDescent="0.2">
      <c r="A26" s="431" t="s">
        <v>446</v>
      </c>
      <c r="B26" s="1357">
        <v>550</v>
      </c>
      <c r="C26" s="1357">
        <v>573</v>
      </c>
      <c r="D26" s="1357">
        <v>592</v>
      </c>
      <c r="E26" s="1357">
        <v>735</v>
      </c>
      <c r="F26" s="1375">
        <f>SUM(B26:E26)</f>
        <v>2450</v>
      </c>
      <c r="G26" s="1772">
        <v>472</v>
      </c>
      <c r="H26" s="1357">
        <v>471</v>
      </c>
      <c r="I26" s="1357">
        <v>478.5</v>
      </c>
      <c r="J26" s="1394">
        <v>612</v>
      </c>
      <c r="K26" s="1394">
        <f>SUM(G26:J26)</f>
        <v>2033.5</v>
      </c>
      <c r="L26" s="1772">
        <v>412</v>
      </c>
      <c r="M26" s="1357">
        <v>437</v>
      </c>
      <c r="N26" s="1357">
        <v>419</v>
      </c>
      <c r="O26" s="1394">
        <v>546</v>
      </c>
      <c r="P26" s="1375">
        <f>SUM(L26:O26)</f>
        <v>1814</v>
      </c>
      <c r="Q26" s="1772">
        <v>373</v>
      </c>
      <c r="R26" s="1357">
        <v>387</v>
      </c>
      <c r="S26" s="1357">
        <v>394</v>
      </c>
      <c r="T26" s="1357">
        <v>512</v>
      </c>
      <c r="U26" s="1375">
        <f>SUM(Q26:T26)</f>
        <v>1666</v>
      </c>
      <c r="V26" s="1772">
        <v>360</v>
      </c>
      <c r="W26" s="1357">
        <v>378</v>
      </c>
      <c r="X26" s="1357">
        <v>388</v>
      </c>
      <c r="Y26" s="1357">
        <v>533</v>
      </c>
      <c r="Z26" s="1375">
        <f t="shared" si="25"/>
        <v>1659</v>
      </c>
      <c r="AA26" s="1772">
        <v>369</v>
      </c>
      <c r="AB26" s="1357">
        <v>405</v>
      </c>
      <c r="AC26" s="1357">
        <v>450</v>
      </c>
      <c r="AD26" s="1357">
        <v>582</v>
      </c>
      <c r="AE26" s="1375">
        <f>SUM(AA26:AD26)</f>
        <v>1806</v>
      </c>
      <c r="AF26" s="1772">
        <v>430</v>
      </c>
      <c r="AG26" s="1357">
        <v>462</v>
      </c>
      <c r="AH26" s="1357">
        <v>481</v>
      </c>
      <c r="AI26" s="1361">
        <v>640</v>
      </c>
      <c r="AJ26" s="1375">
        <f>SUM(AF26:AI26)</f>
        <v>2013</v>
      </c>
      <c r="AK26" s="1357">
        <v>471</v>
      </c>
      <c r="AL26" s="1357">
        <v>495</v>
      </c>
      <c r="AM26" s="1357">
        <v>525</v>
      </c>
      <c r="AN26" s="1357">
        <v>692</v>
      </c>
      <c r="AO26" s="1375">
        <f t="shared" si="26"/>
        <v>2183</v>
      </c>
      <c r="AP26" s="1357">
        <v>491</v>
      </c>
      <c r="AQ26" s="1357">
        <v>530</v>
      </c>
      <c r="AR26" s="1357">
        <v>561</v>
      </c>
      <c r="AS26" s="1357">
        <v>733</v>
      </c>
      <c r="AT26" s="1375">
        <f>SUM(AP26:AS26)</f>
        <v>2315</v>
      </c>
      <c r="AU26" s="1357">
        <v>501</v>
      </c>
      <c r="AV26" s="1357">
        <v>536</v>
      </c>
      <c r="AW26" s="1357">
        <v>570</v>
      </c>
      <c r="AX26" s="1357">
        <v>796</v>
      </c>
      <c r="AY26" s="1375">
        <f t="shared" si="27"/>
        <v>2403</v>
      </c>
      <c r="AZ26" s="1357">
        <v>554</v>
      </c>
      <c r="BA26" s="1357">
        <v>598</v>
      </c>
      <c r="BB26" s="1357">
        <v>646</v>
      </c>
      <c r="BC26" s="1357">
        <v>846</v>
      </c>
      <c r="BD26" s="1375">
        <f>SUM(AZ26:BC26)</f>
        <v>2644</v>
      </c>
      <c r="BE26" s="1357">
        <v>584</v>
      </c>
      <c r="BF26" s="1357">
        <v>672</v>
      </c>
      <c r="BG26" s="1357">
        <v>719</v>
      </c>
      <c r="BH26" s="1357">
        <v>881</v>
      </c>
      <c r="BI26" s="1375">
        <f t="shared" si="28"/>
        <v>2856</v>
      </c>
      <c r="BJ26" s="1357">
        <v>542</v>
      </c>
      <c r="BK26" s="1357">
        <v>630</v>
      </c>
      <c r="BL26" s="1357">
        <v>707</v>
      </c>
      <c r="BM26" s="1357">
        <v>898</v>
      </c>
      <c r="BN26" s="1377">
        <f t="shared" si="29"/>
        <v>2777</v>
      </c>
      <c r="BO26" s="1357">
        <v>570</v>
      </c>
      <c r="BP26" s="1357">
        <v>652</v>
      </c>
      <c r="BQ26" s="1357">
        <v>713</v>
      </c>
      <c r="BR26" s="1357">
        <v>922</v>
      </c>
      <c r="BS26" s="1377">
        <f t="shared" si="30"/>
        <v>2857</v>
      </c>
      <c r="BT26" s="1357">
        <v>568</v>
      </c>
      <c r="BU26" s="1357">
        <v>705</v>
      </c>
      <c r="BV26" s="1357">
        <v>790</v>
      </c>
      <c r="BW26" s="1357">
        <v>1026</v>
      </c>
      <c r="BX26" s="1377">
        <f t="shared" si="31"/>
        <v>3089</v>
      </c>
      <c r="BY26" s="1357">
        <v>624</v>
      </c>
      <c r="BZ26" s="1357">
        <v>800</v>
      </c>
      <c r="CA26" s="1357">
        <v>864</v>
      </c>
      <c r="CB26" s="1357">
        <v>1070</v>
      </c>
      <c r="CC26" s="1377">
        <f t="shared" si="32"/>
        <v>3358</v>
      </c>
      <c r="CD26" s="1395">
        <v>257</v>
      </c>
      <c r="CE26" s="1395">
        <v>280</v>
      </c>
      <c r="CF26" s="1395">
        <v>282</v>
      </c>
      <c r="CG26" s="1395">
        <v>382</v>
      </c>
      <c r="CH26" s="1342">
        <f t="shared" si="33"/>
        <v>1201</v>
      </c>
      <c r="CI26" s="1395">
        <v>253</v>
      </c>
      <c r="CJ26" s="1395">
        <v>292</v>
      </c>
      <c r="CK26" s="1395">
        <v>293</v>
      </c>
      <c r="CL26" s="1395">
        <v>389</v>
      </c>
      <c r="CM26" s="1342">
        <f t="shared" si="34"/>
        <v>1227</v>
      </c>
      <c r="CN26" s="1395">
        <v>250</v>
      </c>
      <c r="CO26" s="1395">
        <v>279</v>
      </c>
      <c r="CP26" s="1395">
        <v>282</v>
      </c>
      <c r="CQ26" s="71">
        <v>357</v>
      </c>
      <c r="CR26" s="1940">
        <f t="shared" si="35"/>
        <v>1168</v>
      </c>
      <c r="CS26" s="975">
        <v>261</v>
      </c>
      <c r="CT26" s="975">
        <v>269</v>
      </c>
      <c r="CU26" s="975">
        <v>268</v>
      </c>
      <c r="CV26" s="71">
        <v>318</v>
      </c>
      <c r="CW26" s="1047">
        <f t="shared" si="36"/>
        <v>1116</v>
      </c>
      <c r="CX26" s="71">
        <v>238</v>
      </c>
      <c r="CY26" s="71">
        <v>229</v>
      </c>
      <c r="CZ26" s="71">
        <v>218</v>
      </c>
      <c r="DA26" s="71">
        <v>227</v>
      </c>
      <c r="DB26" s="433">
        <f t="shared" si="37"/>
        <v>912</v>
      </c>
      <c r="DC26" s="79">
        <v>129.79815009536918</v>
      </c>
      <c r="DD26" s="79">
        <v>115.23346722505796</v>
      </c>
      <c r="DE26" s="79">
        <v>106.39368416446433</v>
      </c>
      <c r="DF26" s="79">
        <v>132.465418647234</v>
      </c>
      <c r="DG26" s="433">
        <f t="shared" si="38"/>
        <v>483.89072013212547</v>
      </c>
      <c r="DH26" s="79">
        <v>92.654882700828168</v>
      </c>
      <c r="DI26" s="79">
        <v>85.551584841751207</v>
      </c>
      <c r="DJ26" s="79">
        <v>80.855679115001436</v>
      </c>
      <c r="DK26" s="79">
        <v>98.213776472658026</v>
      </c>
      <c r="DL26" s="433">
        <f t="shared" si="39"/>
        <v>357.27592313023882</v>
      </c>
      <c r="DM26" s="79">
        <v>69.315095301575752</v>
      </c>
      <c r="DN26" s="79">
        <v>71.501409413530297</v>
      </c>
      <c r="DO26" s="79">
        <v>75.700630288888192</v>
      </c>
      <c r="DP26" s="79">
        <v>104.20788825869033</v>
      </c>
      <c r="DQ26" s="433">
        <f t="shared" si="40"/>
        <v>320.72502326268454</v>
      </c>
      <c r="DR26" s="79">
        <v>78.611715305281606</v>
      </c>
      <c r="DS26" s="79">
        <v>80.812118663291329</v>
      </c>
      <c r="DT26" s="79">
        <v>85.367820963351562</v>
      </c>
      <c r="DU26" s="79">
        <v>117.2902629453353</v>
      </c>
      <c r="DV26" s="433">
        <f t="shared" si="41"/>
        <v>362.0819178772598</v>
      </c>
      <c r="DW26" s="79">
        <v>88.770597435858463</v>
      </c>
      <c r="DX26" s="79">
        <v>92.044021058997998</v>
      </c>
      <c r="DY26" s="79">
        <v>98.162942497566689</v>
      </c>
      <c r="DZ26" s="79">
        <v>136.00976147063039</v>
      </c>
      <c r="EA26" s="433">
        <f t="shared" si="42"/>
        <v>414.98732246305354</v>
      </c>
      <c r="EB26" s="41"/>
      <c r="EC26" s="14" t="s">
        <v>446</v>
      </c>
      <c r="ED26" s="1196">
        <f t="shared" si="10"/>
        <v>227</v>
      </c>
      <c r="EE26" s="1196">
        <v>235.93449134536627</v>
      </c>
      <c r="EF26" s="793">
        <f t="shared" si="43"/>
        <v>-8.9344913453662684</v>
      </c>
      <c r="EG26" s="1196">
        <f t="shared" si="11"/>
        <v>318</v>
      </c>
      <c r="EH26" s="399">
        <f t="shared" si="44"/>
        <v>-0.28616352201257866</v>
      </c>
      <c r="EI26" s="11"/>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row>
    <row r="27" spans="1:259" s="337" customFormat="1" ht="1.5" customHeight="1" x14ac:dyDescent="0.2">
      <c r="A27" s="431"/>
      <c r="B27" s="1357"/>
      <c r="C27" s="1357"/>
      <c r="D27" s="1357"/>
      <c r="E27" s="1357"/>
      <c r="F27" s="1375"/>
      <c r="G27" s="1772"/>
      <c r="H27" s="1357"/>
      <c r="I27" s="1357"/>
      <c r="J27" s="1394"/>
      <c r="K27" s="1394"/>
      <c r="L27" s="1357"/>
      <c r="M27" s="1357"/>
      <c r="N27" s="1357"/>
      <c r="O27" s="1394"/>
      <c r="P27" s="1375"/>
      <c r="Q27" s="1357"/>
      <c r="R27" s="1357"/>
      <c r="S27" s="1357"/>
      <c r="T27" s="1357"/>
      <c r="U27" s="1375"/>
      <c r="V27" s="1772"/>
      <c r="W27" s="1357"/>
      <c r="X27" s="1357"/>
      <c r="Y27" s="1357"/>
      <c r="Z27" s="1375"/>
      <c r="AA27" s="1357"/>
      <c r="AB27" s="1357"/>
      <c r="AC27" s="1357"/>
      <c r="AD27" s="1357"/>
      <c r="AE27" s="1375"/>
      <c r="AF27" s="1772"/>
      <c r="AG27" s="1357"/>
      <c r="AH27" s="1357"/>
      <c r="AI27" s="1361"/>
      <c r="AJ27" s="1375"/>
      <c r="AK27" s="1357"/>
      <c r="AL27" s="1357"/>
      <c r="AM27" s="1357"/>
      <c r="AN27" s="1357"/>
      <c r="AO27" s="1375"/>
      <c r="AP27" s="1357"/>
      <c r="AQ27" s="1357"/>
      <c r="AR27" s="1357"/>
      <c r="AS27" s="1357"/>
      <c r="AT27" s="1375"/>
      <c r="AU27" s="1357"/>
      <c r="AV27" s="1357"/>
      <c r="AW27" s="1357"/>
      <c r="AX27" s="1357"/>
      <c r="AY27" s="1375"/>
      <c r="AZ27" s="1357"/>
      <c r="BA27" s="1357"/>
      <c r="BB27" s="1357"/>
      <c r="BC27" s="1357"/>
      <c r="BD27" s="1375"/>
      <c r="BE27" s="1357"/>
      <c r="BF27" s="1357"/>
      <c r="BG27" s="1357"/>
      <c r="BH27" s="1357"/>
      <c r="BI27" s="1375"/>
      <c r="BJ27" s="1357"/>
      <c r="BK27" s="1357"/>
      <c r="BL27" s="1357"/>
      <c r="BM27" s="1357"/>
      <c r="BN27" s="1377"/>
      <c r="BO27" s="1357"/>
      <c r="BP27" s="1357"/>
      <c r="BQ27" s="1357"/>
      <c r="BR27" s="1357"/>
      <c r="BS27" s="1377"/>
      <c r="BT27" s="1357"/>
      <c r="BU27" s="1357"/>
      <c r="BV27" s="1357"/>
      <c r="BW27" s="1357"/>
      <c r="BX27" s="1377"/>
      <c r="BY27" s="1357"/>
      <c r="BZ27" s="1357"/>
      <c r="CA27" s="1357"/>
      <c r="CB27" s="1357"/>
      <c r="CC27" s="1377"/>
      <c r="CD27" s="1395"/>
      <c r="CE27" s="1395"/>
      <c r="CF27" s="1395"/>
      <c r="CG27" s="1395"/>
      <c r="CH27" s="1342"/>
      <c r="CI27" s="1395"/>
      <c r="CJ27" s="1395"/>
      <c r="CK27" s="1395"/>
      <c r="CL27" s="1395"/>
      <c r="CM27" s="1342"/>
      <c r="CN27" s="1395"/>
      <c r="CO27" s="1395"/>
      <c r="CP27" s="1395"/>
      <c r="CQ27" s="1889"/>
      <c r="CR27" s="1940">
        <f t="shared" si="35"/>
        <v>0</v>
      </c>
      <c r="CS27" s="975"/>
      <c r="CT27" s="975"/>
      <c r="CU27" s="975"/>
      <c r="CV27" s="1007"/>
      <c r="CW27" s="1047">
        <f t="shared" si="36"/>
        <v>0</v>
      </c>
      <c r="CX27" s="71"/>
      <c r="CY27" s="71"/>
      <c r="CZ27" s="71"/>
      <c r="DA27" s="71"/>
      <c r="DB27" s="433"/>
      <c r="DC27" s="79"/>
      <c r="DD27" s="79"/>
      <c r="DE27" s="79"/>
      <c r="DF27" s="79"/>
      <c r="DG27" s="433"/>
      <c r="DH27" s="79"/>
      <c r="DI27" s="79"/>
      <c r="DJ27" s="79"/>
      <c r="DK27" s="79"/>
      <c r="DL27" s="433"/>
      <c r="DM27" s="79"/>
      <c r="DN27" s="79"/>
      <c r="DO27" s="79"/>
      <c r="DP27" s="79"/>
      <c r="DQ27" s="433"/>
      <c r="DR27" s="79"/>
      <c r="DS27" s="79"/>
      <c r="DT27" s="79"/>
      <c r="DU27" s="79"/>
      <c r="DV27" s="433"/>
      <c r="DW27" s="79"/>
      <c r="DX27" s="79"/>
      <c r="DY27" s="79"/>
      <c r="DZ27" s="79"/>
      <c r="EA27" s="433"/>
      <c r="EB27" s="41"/>
      <c r="EC27" s="14"/>
      <c r="ED27" s="1196"/>
      <c r="EE27" s="1196"/>
      <c r="EF27" s="793"/>
      <c r="EG27" s="1196"/>
      <c r="EH27" s="399"/>
      <c r="EI27" s="11"/>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row>
    <row r="28" spans="1:259" s="337" customFormat="1" ht="15" x14ac:dyDescent="0.35">
      <c r="A28" s="431" t="s">
        <v>447</v>
      </c>
      <c r="B28" s="1396">
        <v>190</v>
      </c>
      <c r="C28" s="1396">
        <v>213</v>
      </c>
      <c r="D28" s="1396">
        <v>236</v>
      </c>
      <c r="E28" s="1396">
        <v>301</v>
      </c>
      <c r="F28" s="1397">
        <f>SUM(B28:E28)</f>
        <v>940</v>
      </c>
      <c r="G28" s="1779">
        <v>193.5</v>
      </c>
      <c r="H28" s="1396">
        <v>205</v>
      </c>
      <c r="I28" s="1396">
        <v>207.5</v>
      </c>
      <c r="J28" s="1398">
        <v>302.39999999999998</v>
      </c>
      <c r="K28" s="1399">
        <f>SUM(G28:J28)</f>
        <v>908.4</v>
      </c>
      <c r="L28" s="1396">
        <v>208</v>
      </c>
      <c r="M28" s="1396">
        <v>220</v>
      </c>
      <c r="N28" s="1396">
        <v>201</v>
      </c>
      <c r="O28" s="1399">
        <v>293</v>
      </c>
      <c r="P28" s="1397">
        <f>SUM(L28:O28)</f>
        <v>922</v>
      </c>
      <c r="Q28" s="1396">
        <v>174</v>
      </c>
      <c r="R28" s="1396">
        <v>187</v>
      </c>
      <c r="S28" s="1396">
        <v>194</v>
      </c>
      <c r="T28" s="1399">
        <v>299</v>
      </c>
      <c r="U28" s="1397">
        <f>SUM(Q28:T28)</f>
        <v>854</v>
      </c>
      <c r="V28" s="1772">
        <v>173</v>
      </c>
      <c r="W28" s="1357">
        <v>190</v>
      </c>
      <c r="X28" s="1357">
        <v>177</v>
      </c>
      <c r="Y28" s="1357">
        <v>257</v>
      </c>
      <c r="Z28" s="1375">
        <f t="shared" si="25"/>
        <v>797</v>
      </c>
      <c r="AA28" s="1357">
        <v>182</v>
      </c>
      <c r="AB28" s="1357">
        <v>215</v>
      </c>
      <c r="AC28" s="1357">
        <v>219</v>
      </c>
      <c r="AD28" s="1357">
        <v>297</v>
      </c>
      <c r="AE28" s="1375">
        <f>SUM(AA28:AD28)</f>
        <v>913</v>
      </c>
      <c r="AF28" s="1772">
        <v>203</v>
      </c>
      <c r="AG28" s="1357">
        <v>208</v>
      </c>
      <c r="AH28" s="1357">
        <v>212</v>
      </c>
      <c r="AI28" s="1361">
        <v>322</v>
      </c>
      <c r="AJ28" s="1375">
        <f>SUM(AF28:AI28)</f>
        <v>945</v>
      </c>
      <c r="AK28" s="1357">
        <v>237</v>
      </c>
      <c r="AL28" s="1357">
        <v>234</v>
      </c>
      <c r="AM28" s="1357">
        <v>250</v>
      </c>
      <c r="AN28" s="1357">
        <v>335</v>
      </c>
      <c r="AO28" s="1375">
        <f>SUM(AK28:AN28)</f>
        <v>1056</v>
      </c>
      <c r="AP28" s="1357">
        <v>247</v>
      </c>
      <c r="AQ28" s="1357">
        <v>273</v>
      </c>
      <c r="AR28" s="1357">
        <v>264</v>
      </c>
      <c r="AS28" s="1357">
        <v>374</v>
      </c>
      <c r="AT28" s="1375">
        <f>SUM(AP28:AS28)</f>
        <v>1158</v>
      </c>
      <c r="AU28" s="1357">
        <v>254</v>
      </c>
      <c r="AV28" s="1357">
        <v>264</v>
      </c>
      <c r="AW28" s="1357">
        <v>271</v>
      </c>
      <c r="AX28" s="1357">
        <v>398</v>
      </c>
      <c r="AY28" s="1375">
        <f>SUM(AU28:AX28)</f>
        <v>1187</v>
      </c>
      <c r="AZ28" s="1357">
        <v>262</v>
      </c>
      <c r="BA28" s="1357">
        <v>287</v>
      </c>
      <c r="BB28" s="1357">
        <v>281</v>
      </c>
      <c r="BC28" s="1357">
        <v>463</v>
      </c>
      <c r="BD28" s="1375">
        <f t="shared" ref="BD28:BD37" si="45">SUM(AZ28:BC28)</f>
        <v>1293</v>
      </c>
      <c r="BE28" s="1357">
        <v>276</v>
      </c>
      <c r="BF28" s="1357">
        <v>317</v>
      </c>
      <c r="BG28" s="1357">
        <v>305</v>
      </c>
      <c r="BH28" s="1357">
        <f>444</f>
        <v>444</v>
      </c>
      <c r="BI28" s="1375">
        <f t="shared" si="28"/>
        <v>1342</v>
      </c>
      <c r="BJ28" s="1357">
        <v>255</v>
      </c>
      <c r="BK28" s="1357">
        <v>281</v>
      </c>
      <c r="BL28" s="1357">
        <v>276</v>
      </c>
      <c r="BM28" s="1357">
        <v>409</v>
      </c>
      <c r="BN28" s="1377">
        <f>SUM(BJ28:BM28)</f>
        <v>1221</v>
      </c>
      <c r="BO28" s="1357">
        <v>245</v>
      </c>
      <c r="BP28" s="1357">
        <v>283</v>
      </c>
      <c r="BQ28" s="1357">
        <v>285</v>
      </c>
      <c r="BR28" s="1357">
        <v>464</v>
      </c>
      <c r="BS28" s="1377">
        <f t="shared" si="30"/>
        <v>1277</v>
      </c>
      <c r="BT28" s="1357">
        <v>255</v>
      </c>
      <c r="BU28" s="1357">
        <v>308</v>
      </c>
      <c r="BV28" s="1357">
        <v>310</v>
      </c>
      <c r="BW28" s="1357">
        <v>499</v>
      </c>
      <c r="BX28" s="1377">
        <f t="shared" si="31"/>
        <v>1372</v>
      </c>
      <c r="BY28" s="1357">
        <v>272</v>
      </c>
      <c r="BZ28" s="1357">
        <v>346</v>
      </c>
      <c r="CA28" s="1357">
        <v>332</v>
      </c>
      <c r="CB28" s="1357">
        <v>560</v>
      </c>
      <c r="CC28" s="1377">
        <v>1510</v>
      </c>
      <c r="CD28" s="1400">
        <v>209</v>
      </c>
      <c r="CE28" s="1400">
        <v>250</v>
      </c>
      <c r="CF28" s="1400">
        <v>228</v>
      </c>
      <c r="CG28" s="1400">
        <f>CH28-CF28-CE28-CD28</f>
        <v>383</v>
      </c>
      <c r="CH28" s="1771">
        <v>1070</v>
      </c>
      <c r="CI28" s="1395">
        <v>209</v>
      </c>
      <c r="CJ28" s="1395">
        <v>250</v>
      </c>
      <c r="CK28" s="1395">
        <v>228</v>
      </c>
      <c r="CL28" s="1395">
        <f>CM28-CK28-CJ28-CI28</f>
        <v>357</v>
      </c>
      <c r="CM28" s="1342">
        <v>1044</v>
      </c>
      <c r="CN28" s="1395">
        <v>227</v>
      </c>
      <c r="CO28" s="1395">
        <v>253</v>
      </c>
      <c r="CP28" s="1395">
        <v>238</v>
      </c>
      <c r="CQ28" s="1889">
        <v>381</v>
      </c>
      <c r="CR28" s="1940">
        <f t="shared" si="35"/>
        <v>1099</v>
      </c>
      <c r="CS28" s="975">
        <v>243</v>
      </c>
      <c r="CT28" s="975">
        <v>254</v>
      </c>
      <c r="CU28" s="975">
        <v>270</v>
      </c>
      <c r="CV28" s="1007">
        <v>362</v>
      </c>
      <c r="CW28" s="1047">
        <f t="shared" si="36"/>
        <v>1129</v>
      </c>
      <c r="CX28" s="71">
        <v>237</v>
      </c>
      <c r="CY28" s="71">
        <v>247</v>
      </c>
      <c r="CZ28" s="71">
        <v>215</v>
      </c>
      <c r="DA28" s="71">
        <v>300</v>
      </c>
      <c r="DB28" s="433">
        <f t="shared" ref="DB28:DB36" si="46">SUM(CX28:DA28)</f>
        <v>999</v>
      </c>
      <c r="DC28" s="79">
        <v>210.23499999999999</v>
      </c>
      <c r="DD28" s="79">
        <v>215.625</v>
      </c>
      <c r="DE28" s="79">
        <v>191.6</v>
      </c>
      <c r="DF28" s="79">
        <v>264.435</v>
      </c>
      <c r="DG28" s="433">
        <f t="shared" ref="DG28:DG36" si="47">SUM(DC28:DF28)</f>
        <v>881.89499999999998</v>
      </c>
      <c r="DH28" s="79">
        <v>212.32649999999998</v>
      </c>
      <c r="DI28" s="79">
        <v>216.41550000000001</v>
      </c>
      <c r="DJ28" s="79">
        <v>191.6</v>
      </c>
      <c r="DK28" s="79">
        <v>264.435</v>
      </c>
      <c r="DL28" s="433">
        <f t="shared" ref="DL28" si="48">SUM(DH28:DK28)</f>
        <v>884.77700000000004</v>
      </c>
      <c r="DM28" s="79">
        <v>223.38007500000001</v>
      </c>
      <c r="DN28" s="79">
        <v>227.80552499999996</v>
      </c>
      <c r="DO28" s="79">
        <v>201.5625</v>
      </c>
      <c r="DP28" s="79">
        <v>278.19225</v>
      </c>
      <c r="DQ28" s="433">
        <f t="shared" ref="DQ28" si="49">SUM(DM28:DP28)</f>
        <v>930.94035000000008</v>
      </c>
      <c r="DR28" s="79">
        <v>237.00911624999998</v>
      </c>
      <c r="DS28" s="79">
        <v>243.13903874999997</v>
      </c>
      <c r="DT28" s="79">
        <v>213.74475000000001</v>
      </c>
      <c r="DU28" s="79">
        <v>294.96678750000001</v>
      </c>
      <c r="DV28" s="433">
        <f t="shared" ref="DV28" si="50">SUM(DR28:DU28)</f>
        <v>988.85969249999994</v>
      </c>
      <c r="DW28" s="79">
        <v>254.18964956249999</v>
      </c>
      <c r="DX28" s="79">
        <v>262.23514818749999</v>
      </c>
      <c r="DY28" s="79">
        <v>229.09466250000003</v>
      </c>
      <c r="DZ28" s="79">
        <v>316.24287187499999</v>
      </c>
      <c r="EA28" s="433">
        <f t="shared" ref="EA28" si="51">SUM(DW28:DZ28)</f>
        <v>1061.7623321249998</v>
      </c>
      <c r="EB28" s="41"/>
      <c r="EC28" s="14" t="s">
        <v>356</v>
      </c>
      <c r="ED28" s="1196">
        <f>DA28</f>
        <v>300</v>
      </c>
      <c r="EE28" s="1196">
        <v>301.10000000000002</v>
      </c>
      <c r="EF28" s="793">
        <f t="shared" si="43"/>
        <v>-1.1000000000000227</v>
      </c>
      <c r="EG28" s="1196">
        <f>CV28</f>
        <v>362</v>
      </c>
      <c r="EH28" s="399">
        <f t="shared" si="44"/>
        <v>-0.17127071823204421</v>
      </c>
      <c r="EI28" s="11"/>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row>
    <row r="29" spans="1:259" s="933" customFormat="1" ht="15" x14ac:dyDescent="0.35">
      <c r="A29" s="2010" t="s">
        <v>686</v>
      </c>
      <c r="B29" s="2011"/>
      <c r="C29" s="2011"/>
      <c r="D29" s="2011"/>
      <c r="E29" s="2011"/>
      <c r="F29" s="2012"/>
      <c r="G29" s="2013"/>
      <c r="H29" s="2011"/>
      <c r="I29" s="2011"/>
      <c r="J29" s="2014"/>
      <c r="K29" s="2015"/>
      <c r="L29" s="2011"/>
      <c r="M29" s="2011"/>
      <c r="N29" s="2011"/>
      <c r="O29" s="2015"/>
      <c r="P29" s="2012"/>
      <c r="Q29" s="2011"/>
      <c r="R29" s="2011"/>
      <c r="S29" s="2011"/>
      <c r="T29" s="2011"/>
      <c r="U29" s="2012"/>
      <c r="V29" s="2016"/>
      <c r="W29" s="1412"/>
      <c r="X29" s="1412"/>
      <c r="Y29" s="1412"/>
      <c r="Z29" s="2017"/>
      <c r="AA29" s="1412"/>
      <c r="AB29" s="1412"/>
      <c r="AC29" s="1412"/>
      <c r="AD29" s="1412"/>
      <c r="AE29" s="2017"/>
      <c r="AF29" s="2016"/>
      <c r="AG29" s="1412"/>
      <c r="AH29" s="1412"/>
      <c r="AI29" s="1413"/>
      <c r="AJ29" s="2017"/>
      <c r="AK29" s="1412"/>
      <c r="AL29" s="1412"/>
      <c r="AM29" s="1412"/>
      <c r="AN29" s="1412"/>
      <c r="AO29" s="2017"/>
      <c r="AP29" s="1412"/>
      <c r="AQ29" s="1412"/>
      <c r="AR29" s="1412"/>
      <c r="AS29" s="1412"/>
      <c r="AT29" s="2017"/>
      <c r="AU29" s="1412"/>
      <c r="AV29" s="1412"/>
      <c r="AW29" s="1412"/>
      <c r="AX29" s="1412"/>
      <c r="AY29" s="2017"/>
      <c r="AZ29" s="1412"/>
      <c r="BA29" s="1412"/>
      <c r="BB29" s="1412"/>
      <c r="BC29" s="1412"/>
      <c r="BD29" s="2017"/>
      <c r="BE29" s="1412"/>
      <c r="BF29" s="1412"/>
      <c r="BG29" s="1412"/>
      <c r="BH29" s="1412"/>
      <c r="BI29" s="2017"/>
      <c r="BJ29" s="1412"/>
      <c r="BK29" s="1412"/>
      <c r="BL29" s="1412"/>
      <c r="BM29" s="1412"/>
      <c r="BN29" s="2018"/>
      <c r="BO29" s="1412"/>
      <c r="BP29" s="1412"/>
      <c r="BQ29" s="1412"/>
      <c r="BR29" s="1412"/>
      <c r="BS29" s="2018"/>
      <c r="BT29" s="1412"/>
      <c r="BU29" s="1412"/>
      <c r="BV29" s="1412"/>
      <c r="BW29" s="1412"/>
      <c r="BX29" s="2018"/>
      <c r="BY29" s="1412"/>
      <c r="BZ29" s="1412"/>
      <c r="CA29" s="1412"/>
      <c r="CB29" s="1412"/>
      <c r="CC29" s="2018"/>
      <c r="CD29" s="1414"/>
      <c r="CE29" s="1414"/>
      <c r="CF29" s="1414"/>
      <c r="CG29" s="1414"/>
      <c r="CH29" s="2019"/>
      <c r="CI29" s="1417"/>
      <c r="CJ29" s="1417"/>
      <c r="CK29" s="1417"/>
      <c r="CL29" s="1417"/>
      <c r="CM29" s="2020"/>
      <c r="CN29" s="1417"/>
      <c r="CO29" s="1417"/>
      <c r="CP29" s="1417"/>
      <c r="CQ29" s="1075">
        <f>CQ28+CQ141+CQ143+CQ147</f>
        <v>381</v>
      </c>
      <c r="CR29" s="2021"/>
      <c r="CS29" s="2063"/>
      <c r="CT29" s="2063"/>
      <c r="CU29" s="2063"/>
      <c r="CV29" s="1075">
        <f>CV28+CV141+CV143+CV147</f>
        <v>273</v>
      </c>
      <c r="CW29" s="1076">
        <f>CW28+CW141+CW143+CW147</f>
        <v>1006</v>
      </c>
      <c r="CX29" s="729"/>
      <c r="CY29" s="1103"/>
      <c r="CZ29" s="1103"/>
      <c r="DA29" s="1103"/>
      <c r="DB29" s="1076">
        <f>DB28+DB141+DB143+DB147</f>
        <v>960</v>
      </c>
      <c r="DC29" s="2022"/>
      <c r="DD29" s="2022"/>
      <c r="DE29" s="2022"/>
      <c r="DF29" s="2022"/>
      <c r="DG29" s="2023"/>
      <c r="DH29" s="2022"/>
      <c r="DI29" s="2022"/>
      <c r="DJ29" s="2022"/>
      <c r="DK29" s="2022"/>
      <c r="DL29" s="2023"/>
      <c r="DM29" s="2022"/>
      <c r="DN29" s="2022"/>
      <c r="DO29" s="2022"/>
      <c r="DP29" s="2022"/>
      <c r="DQ29" s="2023"/>
      <c r="DR29" s="2022"/>
      <c r="DS29" s="2022"/>
      <c r="DT29" s="2022"/>
      <c r="DU29" s="2022"/>
      <c r="DV29" s="2023"/>
      <c r="DW29" s="2022"/>
      <c r="DX29" s="2022"/>
      <c r="DY29" s="2022"/>
      <c r="DZ29" s="2022"/>
      <c r="EA29" s="2023"/>
      <c r="EB29" s="1104"/>
      <c r="EC29" s="2024"/>
      <c r="ED29" s="1200"/>
      <c r="EE29" s="1200"/>
      <c r="EF29" s="1105"/>
      <c r="EG29" s="1200"/>
      <c r="EH29" s="427"/>
      <c r="EI29" s="137"/>
      <c r="EK29"/>
      <c r="EL29"/>
      <c r="EM29"/>
      <c r="EN29"/>
      <c r="EO29"/>
      <c r="EP29"/>
      <c r="EQ29" s="845"/>
      <c r="ER29" s="845"/>
      <c r="ES29" s="845"/>
      <c r="ET29" s="845"/>
      <c r="EU29" s="845"/>
      <c r="EV29" s="845"/>
      <c r="EW29" s="845"/>
      <c r="EX29" s="845"/>
      <c r="EY29" s="845"/>
      <c r="EZ29" s="845"/>
      <c r="FA29" s="845"/>
      <c r="FB29" s="845"/>
      <c r="FC29" s="845"/>
      <c r="FD29" s="845"/>
      <c r="FE29" s="845"/>
      <c r="FF29" s="845"/>
      <c r="FG29" s="845"/>
      <c r="FH29" s="845"/>
      <c r="FI29" s="845"/>
      <c r="FJ29" s="845"/>
      <c r="FK29" s="845"/>
      <c r="FL29" s="845"/>
      <c r="FM29" s="845"/>
      <c r="FN29" s="845"/>
      <c r="FO29" s="845"/>
      <c r="FP29" s="845"/>
      <c r="FQ29" s="845"/>
      <c r="FR29" s="845"/>
      <c r="FS29" s="845"/>
      <c r="FT29" s="845"/>
      <c r="FU29" s="845"/>
      <c r="FV29" s="845"/>
      <c r="FW29" s="845"/>
      <c r="FX29" s="845"/>
      <c r="FY29" s="845"/>
      <c r="FZ29" s="845"/>
      <c r="GA29" s="845"/>
      <c r="GB29" s="845"/>
      <c r="GC29" s="845"/>
      <c r="GD29" s="845"/>
      <c r="GE29" s="845"/>
      <c r="GF29" s="845"/>
      <c r="GG29" s="845"/>
      <c r="GH29" s="845"/>
      <c r="GI29" s="845"/>
      <c r="GJ29" s="845"/>
      <c r="GK29" s="845"/>
      <c r="GL29" s="845"/>
      <c r="GM29" s="845"/>
      <c r="GN29" s="845"/>
      <c r="GO29" s="845"/>
      <c r="GP29" s="845"/>
      <c r="GQ29" s="845"/>
      <c r="GR29" s="845"/>
      <c r="GS29" s="845"/>
      <c r="GT29" s="845"/>
      <c r="GU29" s="845"/>
      <c r="GV29" s="845"/>
      <c r="GW29" s="845"/>
      <c r="GX29" s="845"/>
      <c r="GY29" s="845"/>
      <c r="GZ29" s="845"/>
      <c r="HA29" s="845"/>
      <c r="HB29" s="845"/>
      <c r="HC29" s="845"/>
      <c r="HD29" s="845"/>
      <c r="HE29" s="845"/>
      <c r="HF29" s="845"/>
      <c r="HG29" s="845"/>
      <c r="HH29" s="845"/>
      <c r="HI29" s="845"/>
      <c r="HJ29" s="845"/>
      <c r="HK29" s="845"/>
      <c r="HL29" s="845"/>
      <c r="HM29" s="845"/>
      <c r="HN29" s="845"/>
      <c r="HO29" s="845"/>
      <c r="HP29" s="845"/>
      <c r="HQ29" s="845"/>
      <c r="HR29" s="845"/>
      <c r="HS29" s="845"/>
      <c r="HT29" s="845"/>
      <c r="HU29" s="845"/>
      <c r="HV29" s="845"/>
      <c r="HW29" s="845"/>
      <c r="HX29" s="845"/>
      <c r="HY29" s="845"/>
      <c r="HZ29" s="845"/>
      <c r="IA29" s="845"/>
      <c r="IB29" s="845"/>
      <c r="IC29" s="845"/>
      <c r="ID29" s="845"/>
      <c r="IE29" s="845"/>
      <c r="IF29" s="845"/>
      <c r="IG29" s="845"/>
      <c r="IH29" s="845"/>
      <c r="II29" s="845"/>
      <c r="IJ29" s="845"/>
      <c r="IK29" s="845"/>
      <c r="IL29" s="845"/>
      <c r="IM29" s="845"/>
      <c r="IN29" s="845"/>
      <c r="IO29" s="845"/>
      <c r="IP29" s="845"/>
      <c r="IQ29" s="845"/>
      <c r="IR29" s="845"/>
      <c r="IS29" s="845"/>
      <c r="IT29" s="845"/>
      <c r="IU29" s="845"/>
      <c r="IV29" s="845"/>
      <c r="IW29" s="845"/>
      <c r="IX29" s="845"/>
      <c r="IY29" s="845"/>
    </row>
    <row r="30" spans="1:259" s="337" customFormat="1" ht="15" x14ac:dyDescent="0.35">
      <c r="A30" s="431" t="s">
        <v>448</v>
      </c>
      <c r="B30" s="1396"/>
      <c r="C30" s="1396"/>
      <c r="D30" s="1396"/>
      <c r="E30" s="1396"/>
      <c r="F30" s="1397"/>
      <c r="G30" s="1779"/>
      <c r="H30" s="1396"/>
      <c r="I30" s="1396"/>
      <c r="J30" s="1398"/>
      <c r="K30" s="1399"/>
      <c r="L30" s="1396"/>
      <c r="M30" s="1396"/>
      <c r="N30" s="1396"/>
      <c r="O30" s="1399"/>
      <c r="P30" s="1397"/>
      <c r="Q30" s="1779"/>
      <c r="R30" s="1396"/>
      <c r="S30" s="1396"/>
      <c r="T30" s="1396"/>
      <c r="U30" s="1397"/>
      <c r="V30" s="1772">
        <v>17</v>
      </c>
      <c r="W30" s="1357">
        <v>17</v>
      </c>
      <c r="X30" s="1357">
        <v>11</v>
      </c>
      <c r="Y30" s="1357">
        <v>13</v>
      </c>
      <c r="Z30" s="1375">
        <f t="shared" si="25"/>
        <v>58</v>
      </c>
      <c r="AA30" s="1357">
        <v>10</v>
      </c>
      <c r="AB30" s="1357">
        <v>9</v>
      </c>
      <c r="AC30" s="1357">
        <v>12</v>
      </c>
      <c r="AD30" s="1357">
        <v>18</v>
      </c>
      <c r="AE30" s="1375">
        <f>SUM(AA30:AD30)</f>
        <v>49</v>
      </c>
      <c r="AF30" s="1772">
        <v>7</v>
      </c>
      <c r="AG30" s="1357">
        <v>6</v>
      </c>
      <c r="AH30" s="1357">
        <v>7</v>
      </c>
      <c r="AI30" s="1361">
        <v>8</v>
      </c>
      <c r="AJ30" s="1375">
        <f>SUM(AF30:AI30)</f>
        <v>28</v>
      </c>
      <c r="AK30" s="1357">
        <v>2</v>
      </c>
      <c r="AL30" s="1357">
        <v>6</v>
      </c>
      <c r="AM30" s="1357">
        <v>8</v>
      </c>
      <c r="AN30" s="1357">
        <v>10</v>
      </c>
      <c r="AO30" s="1375">
        <f t="shared" si="26"/>
        <v>26</v>
      </c>
      <c r="AP30" s="1357">
        <v>8</v>
      </c>
      <c r="AQ30" s="1357">
        <v>4</v>
      </c>
      <c r="AR30" s="1357">
        <v>12</v>
      </c>
      <c r="AS30" s="1357">
        <v>9</v>
      </c>
      <c r="AT30" s="1375">
        <f>SUM(AP30:AS30)</f>
        <v>33</v>
      </c>
      <c r="AU30" s="1357">
        <v>8</v>
      </c>
      <c r="AV30" s="1357">
        <v>9</v>
      </c>
      <c r="AW30" s="1357">
        <v>7</v>
      </c>
      <c r="AX30" s="1357">
        <v>11</v>
      </c>
      <c r="AY30" s="1375">
        <f t="shared" si="27"/>
        <v>35</v>
      </c>
      <c r="AZ30" s="1357">
        <v>8</v>
      </c>
      <c r="BA30" s="1357">
        <v>10</v>
      </c>
      <c r="BB30" s="1357">
        <v>12</v>
      </c>
      <c r="BC30" s="1357">
        <v>10</v>
      </c>
      <c r="BD30" s="1375">
        <f t="shared" si="45"/>
        <v>40</v>
      </c>
      <c r="BE30" s="1357">
        <v>19</v>
      </c>
      <c r="BF30" s="1357">
        <v>13</v>
      </c>
      <c r="BG30" s="1357">
        <v>25</v>
      </c>
      <c r="BH30" s="1357">
        <v>29</v>
      </c>
      <c r="BI30" s="1375">
        <f t="shared" si="28"/>
        <v>86</v>
      </c>
      <c r="BJ30" s="1357">
        <v>20</v>
      </c>
      <c r="BK30" s="1357">
        <v>25</v>
      </c>
      <c r="BL30" s="1357">
        <v>29</v>
      </c>
      <c r="BM30" s="1357">
        <v>44</v>
      </c>
      <c r="BN30" s="1377">
        <f t="shared" si="29"/>
        <v>118</v>
      </c>
      <c r="BO30" s="1357">
        <v>23</v>
      </c>
      <c r="BP30" s="1357">
        <v>24</v>
      </c>
      <c r="BQ30" s="1357">
        <v>24</v>
      </c>
      <c r="BR30" s="1357">
        <v>39</v>
      </c>
      <c r="BS30" s="1377">
        <f t="shared" si="30"/>
        <v>110</v>
      </c>
      <c r="BT30" s="1357">
        <v>30</v>
      </c>
      <c r="BU30" s="1357">
        <v>33</v>
      </c>
      <c r="BV30" s="1357">
        <v>41</v>
      </c>
      <c r="BW30" s="1357">
        <v>41</v>
      </c>
      <c r="BX30" s="1377">
        <f t="shared" si="31"/>
        <v>145</v>
      </c>
      <c r="BY30" s="1357">
        <v>26</v>
      </c>
      <c r="BZ30" s="1357">
        <v>26</v>
      </c>
      <c r="CA30" s="1357">
        <v>32</v>
      </c>
      <c r="CB30" s="1357">
        <v>49</v>
      </c>
      <c r="CC30" s="1377">
        <f t="shared" si="32"/>
        <v>133</v>
      </c>
      <c r="CD30" s="1395">
        <v>28</v>
      </c>
      <c r="CE30" s="1395">
        <v>31</v>
      </c>
      <c r="CF30" s="1395">
        <v>41</v>
      </c>
      <c r="CG30" s="1395">
        <v>45</v>
      </c>
      <c r="CH30" s="1342">
        <f t="shared" ref="CH30" si="52">SUM(CD30:CG30)</f>
        <v>145</v>
      </c>
      <c r="CI30" s="1395">
        <v>30</v>
      </c>
      <c r="CJ30" s="1395">
        <v>31</v>
      </c>
      <c r="CK30" s="1395">
        <v>37</v>
      </c>
      <c r="CL30" s="1395">
        <v>46</v>
      </c>
      <c r="CM30" s="1342">
        <f t="shared" si="34"/>
        <v>144</v>
      </c>
      <c r="CN30" s="1395">
        <v>30</v>
      </c>
      <c r="CO30" s="1395">
        <v>42</v>
      </c>
      <c r="CP30" s="1395">
        <v>69</v>
      </c>
      <c r="CQ30" s="1889">
        <v>96</v>
      </c>
      <c r="CR30" s="1940">
        <f>SUM(CN30:CQ30)</f>
        <v>237</v>
      </c>
      <c r="CS30" s="71">
        <v>51</v>
      </c>
      <c r="CT30" s="71">
        <v>54</v>
      </c>
      <c r="CU30" s="71">
        <v>40</v>
      </c>
      <c r="CV30" s="71">
        <v>56</v>
      </c>
      <c r="CW30" s="1047">
        <f t="shared" si="36"/>
        <v>201</v>
      </c>
      <c r="CX30" s="71">
        <v>46</v>
      </c>
      <c r="CY30" s="71">
        <v>54</v>
      </c>
      <c r="CZ30" s="71">
        <v>61</v>
      </c>
      <c r="DA30" s="71">
        <v>76</v>
      </c>
      <c r="DB30" s="433">
        <f>SUM(CX30:DA30)</f>
        <v>237</v>
      </c>
      <c r="DC30" s="79">
        <v>63.234988756150578</v>
      </c>
      <c r="DD30" s="79">
        <v>59.398468818709659</v>
      </c>
      <c r="DE30" s="79">
        <v>68.962273423049723</v>
      </c>
      <c r="DF30" s="79">
        <v>79.450696562802833</v>
      </c>
      <c r="DG30" s="433">
        <f>SUM(DC30:DF30)</f>
        <v>271.0464275607128</v>
      </c>
      <c r="DH30" s="79">
        <v>47.438340177383928</v>
      </c>
      <c r="DI30" s="79">
        <v>43.119433882002276</v>
      </c>
      <c r="DJ30" s="79">
        <v>53.060214698824005</v>
      </c>
      <c r="DK30" s="79">
        <v>63.771825973272911</v>
      </c>
      <c r="DL30" s="433">
        <f>SUM(DH30:DK30)</f>
        <v>207.38981473148311</v>
      </c>
      <c r="DM30" s="79">
        <v>48.268149669580112</v>
      </c>
      <c r="DN30" s="79">
        <v>43.469865617918501</v>
      </c>
      <c r="DO30" s="79">
        <v>53.79900579731062</v>
      </c>
      <c r="DP30" s="79">
        <v>64.524161572952963</v>
      </c>
      <c r="DQ30" s="433">
        <f>SUM(DM30:DP30)</f>
        <v>210.06118265776217</v>
      </c>
      <c r="DR30" s="79">
        <v>48.639837974033149</v>
      </c>
      <c r="DS30" s="79">
        <v>43.439363901553037</v>
      </c>
      <c r="DT30" s="79">
        <v>54.224261136257319</v>
      </c>
      <c r="DU30" s="79">
        <v>64.988902244867759</v>
      </c>
      <c r="DV30" s="433">
        <f>SUM(DR30:DU30)</f>
        <v>211.29236525671126</v>
      </c>
      <c r="DW30" s="79">
        <v>48.828211945938712</v>
      </c>
      <c r="DX30" s="79">
        <v>43.194859355828271</v>
      </c>
      <c r="DY30" s="79">
        <v>54.4363956885324</v>
      </c>
      <c r="DZ30" s="79">
        <v>65.175682088550246</v>
      </c>
      <c r="EA30" s="433">
        <f>SUM(DW30:DZ30)</f>
        <v>211.63514907884962</v>
      </c>
      <c r="EB30" s="41"/>
      <c r="EC30" s="14" t="s">
        <v>448</v>
      </c>
      <c r="ED30" s="1196">
        <f>DA30</f>
        <v>76</v>
      </c>
      <c r="EE30" s="1196">
        <v>82.11376166396083</v>
      </c>
      <c r="EF30" s="793">
        <f t="shared" si="43"/>
        <v>-6.1137616639608297</v>
      </c>
      <c r="EG30" s="1196">
        <f>CV30</f>
        <v>56</v>
      </c>
      <c r="EH30" s="399">
        <f t="shared" si="44"/>
        <v>0.35714285714285721</v>
      </c>
      <c r="EI30" s="479">
        <v>-10</v>
      </c>
      <c r="EJ30" s="337">
        <f>EI30/ED65</f>
        <v>-2.8985507246376812E-2</v>
      </c>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row>
    <row r="31" spans="1:259" s="337" customFormat="1" ht="1.5" customHeight="1" x14ac:dyDescent="0.35">
      <c r="A31" s="431"/>
      <c r="B31" s="1396"/>
      <c r="C31" s="1396"/>
      <c r="D31" s="1396"/>
      <c r="E31" s="1396"/>
      <c r="F31" s="1397"/>
      <c r="G31" s="1779"/>
      <c r="H31" s="1396"/>
      <c r="I31" s="1396"/>
      <c r="J31" s="1398"/>
      <c r="K31" s="1399"/>
      <c r="L31" s="1396"/>
      <c r="M31" s="1396"/>
      <c r="N31" s="1396"/>
      <c r="O31" s="1399"/>
      <c r="P31" s="1397"/>
      <c r="Q31" s="1779"/>
      <c r="R31" s="1396"/>
      <c r="S31" s="1396"/>
      <c r="T31" s="1396"/>
      <c r="U31" s="1397"/>
      <c r="V31" s="1772"/>
      <c r="W31" s="1357"/>
      <c r="X31" s="1357"/>
      <c r="Y31" s="1357"/>
      <c r="Z31" s="1375"/>
      <c r="AA31" s="1357"/>
      <c r="AB31" s="1357"/>
      <c r="AC31" s="1357"/>
      <c r="AD31" s="1357"/>
      <c r="AE31" s="1375"/>
      <c r="AF31" s="1772"/>
      <c r="AG31" s="1357"/>
      <c r="AH31" s="1357"/>
      <c r="AI31" s="1361"/>
      <c r="AJ31" s="1375"/>
      <c r="AK31" s="1357"/>
      <c r="AL31" s="1357"/>
      <c r="AM31" s="1357"/>
      <c r="AN31" s="1357"/>
      <c r="AO31" s="1375"/>
      <c r="AP31" s="1357"/>
      <c r="AQ31" s="1357"/>
      <c r="AR31" s="1357"/>
      <c r="AS31" s="1357"/>
      <c r="AT31" s="1375"/>
      <c r="AU31" s="1357"/>
      <c r="AV31" s="1357"/>
      <c r="AW31" s="1357"/>
      <c r="AX31" s="1357"/>
      <c r="AY31" s="1375"/>
      <c r="AZ31" s="1357"/>
      <c r="BA31" s="1357"/>
      <c r="BB31" s="1357"/>
      <c r="BC31" s="1357"/>
      <c r="BD31" s="1375"/>
      <c r="BE31" s="1357"/>
      <c r="BF31" s="1357"/>
      <c r="BG31" s="1357"/>
      <c r="BH31" s="1357"/>
      <c r="BI31" s="1375"/>
      <c r="BJ31" s="1357"/>
      <c r="BK31" s="1357"/>
      <c r="BL31" s="1357"/>
      <c r="BM31" s="1357"/>
      <c r="BN31" s="1377"/>
      <c r="BO31" s="1357"/>
      <c r="BP31" s="1357"/>
      <c r="BQ31" s="1357"/>
      <c r="BR31" s="1357"/>
      <c r="BS31" s="1377"/>
      <c r="BT31" s="1357"/>
      <c r="BU31" s="1357"/>
      <c r="BV31" s="1357"/>
      <c r="BW31" s="1357"/>
      <c r="BX31" s="1377"/>
      <c r="BY31" s="1357"/>
      <c r="BZ31" s="1357"/>
      <c r="CA31" s="1357"/>
      <c r="CB31" s="1357"/>
      <c r="CC31" s="1377"/>
      <c r="CD31" s="1400"/>
      <c r="CE31" s="1400"/>
      <c r="CF31" s="1400"/>
      <c r="CG31" s="1400"/>
      <c r="CH31" s="1771"/>
      <c r="CI31" s="1395"/>
      <c r="CJ31" s="1395"/>
      <c r="CK31" s="1395"/>
      <c r="CL31" s="1395"/>
      <c r="CM31" s="1342"/>
      <c r="CN31" s="1395"/>
      <c r="CO31" s="1395"/>
      <c r="CP31" s="1395"/>
      <c r="CQ31" s="1889"/>
      <c r="CR31" s="1940">
        <f t="shared" ref="CR31:CR35" si="53">SUM(CN31:CQ31)</f>
        <v>0</v>
      </c>
      <c r="CS31" s="975"/>
      <c r="CT31" s="975"/>
      <c r="CU31" s="975"/>
      <c r="CV31" s="1007"/>
      <c r="CW31" s="1047">
        <f t="shared" si="36"/>
        <v>0</v>
      </c>
      <c r="CX31" s="71"/>
      <c r="CY31" s="71"/>
      <c r="CZ31" s="71"/>
      <c r="DA31" s="71"/>
      <c r="DB31" s="433"/>
      <c r="DC31" s="79"/>
      <c r="DD31" s="79"/>
      <c r="DE31" s="79"/>
      <c r="DF31" s="79"/>
      <c r="DG31" s="433"/>
      <c r="DH31" s="79"/>
      <c r="DI31" s="79"/>
      <c r="DJ31" s="79"/>
      <c r="DK31" s="79"/>
      <c r="DL31" s="433"/>
      <c r="DM31" s="79"/>
      <c r="DN31" s="79"/>
      <c r="DO31" s="79"/>
      <c r="DP31" s="79"/>
      <c r="DQ31" s="433"/>
      <c r="DR31" s="79"/>
      <c r="DS31" s="79"/>
      <c r="DT31" s="79"/>
      <c r="DU31" s="79"/>
      <c r="DV31" s="433"/>
      <c r="DW31" s="79"/>
      <c r="DX31" s="79"/>
      <c r="DY31" s="79"/>
      <c r="DZ31" s="79"/>
      <c r="EA31" s="433"/>
      <c r="EB31" s="41"/>
      <c r="EC31" s="14"/>
      <c r="ED31" s="1196"/>
      <c r="EE31" s="1196"/>
      <c r="EF31" s="793"/>
      <c r="EG31" s="1196"/>
      <c r="EH31" s="399"/>
      <c r="EI31" s="1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row>
    <row r="32" spans="1:259" s="337" customFormat="1" ht="13.5" hidden="1" customHeight="1" outlineLevel="1" x14ac:dyDescent="0.35">
      <c r="A32" s="685" t="s">
        <v>211</v>
      </c>
      <c r="B32" s="1396"/>
      <c r="C32" s="1396"/>
      <c r="D32" s="1396"/>
      <c r="E32" s="1396"/>
      <c r="F32" s="1397"/>
      <c r="G32" s="1779"/>
      <c r="H32" s="1396"/>
      <c r="I32" s="1396"/>
      <c r="J32" s="1398"/>
      <c r="K32" s="1399"/>
      <c r="L32" s="1396"/>
      <c r="M32" s="1396"/>
      <c r="N32" s="1396"/>
      <c r="O32" s="1399"/>
      <c r="P32" s="1397"/>
      <c r="Q32" s="1779"/>
      <c r="R32" s="1396"/>
      <c r="S32" s="1396"/>
      <c r="T32" s="1396"/>
      <c r="U32" s="1397"/>
      <c r="V32" s="1772"/>
      <c r="W32" s="1357"/>
      <c r="X32" s="1357"/>
      <c r="Y32" s="1357"/>
      <c r="Z32" s="1375"/>
      <c r="AA32" s="1357"/>
      <c r="AB32" s="1357"/>
      <c r="AC32" s="1357"/>
      <c r="AD32" s="1357"/>
      <c r="AE32" s="1375"/>
      <c r="AF32" s="1772"/>
      <c r="AG32" s="1357"/>
      <c r="AH32" s="1357"/>
      <c r="AI32" s="1361"/>
      <c r="AJ32" s="1375"/>
      <c r="AK32" s="1357"/>
      <c r="AL32" s="1357"/>
      <c r="AM32" s="1357"/>
      <c r="AN32" s="1357"/>
      <c r="AO32" s="1375"/>
      <c r="AP32" s="1357">
        <v>9</v>
      </c>
      <c r="AQ32" s="1357">
        <v>17</v>
      </c>
      <c r="AR32" s="1357">
        <v>17</v>
      </c>
      <c r="AS32" s="1357"/>
      <c r="AT32" s="1375">
        <f>SUM(AP32:AS32)</f>
        <v>43</v>
      </c>
      <c r="AU32" s="1357">
        <v>6</v>
      </c>
      <c r="AV32" s="1357">
        <v>18</v>
      </c>
      <c r="AW32" s="1357">
        <v>1</v>
      </c>
      <c r="AX32" s="1357">
        <v>34</v>
      </c>
      <c r="AY32" s="1375">
        <f>SUM(AU32:AX32)</f>
        <v>59</v>
      </c>
      <c r="AZ32" s="1357">
        <v>4</v>
      </c>
      <c r="BA32" s="1357">
        <v>9</v>
      </c>
      <c r="BB32" s="1357">
        <v>-1</v>
      </c>
      <c r="BC32" s="1357">
        <v>23</v>
      </c>
      <c r="BD32" s="1375">
        <f t="shared" si="45"/>
        <v>35</v>
      </c>
      <c r="BE32" s="1357">
        <v>-2</v>
      </c>
      <c r="BF32" s="1357">
        <v>8</v>
      </c>
      <c r="BG32" s="1357">
        <v>3</v>
      </c>
      <c r="BH32" s="1357">
        <v>34</v>
      </c>
      <c r="BI32" s="1375">
        <f t="shared" si="28"/>
        <v>43</v>
      </c>
      <c r="BJ32" s="1357">
        <v>4</v>
      </c>
      <c r="BK32" s="1357">
        <v>22</v>
      </c>
      <c r="BL32" s="1357">
        <v>5</v>
      </c>
      <c r="BM32" s="1357">
        <v>72</v>
      </c>
      <c r="BN32" s="1377">
        <f t="shared" si="29"/>
        <v>103</v>
      </c>
      <c r="BO32" s="1357">
        <v>4</v>
      </c>
      <c r="BP32" s="1357">
        <v>12</v>
      </c>
      <c r="BQ32" s="1357">
        <v>5</v>
      </c>
      <c r="BR32" s="1357">
        <v>26</v>
      </c>
      <c r="BS32" s="1377">
        <f t="shared" si="30"/>
        <v>47</v>
      </c>
      <c r="BT32" s="1357">
        <v>69</v>
      </c>
      <c r="BU32" s="1357">
        <v>19</v>
      </c>
      <c r="BV32" s="1357">
        <v>25</v>
      </c>
      <c r="BW32" s="1357">
        <v>22</v>
      </c>
      <c r="BX32" s="1377">
        <v>135</v>
      </c>
      <c r="BY32" s="1357">
        <v>1</v>
      </c>
      <c r="BZ32" s="1357">
        <v>4</v>
      </c>
      <c r="CA32" s="1357">
        <v>4</v>
      </c>
      <c r="CB32" s="1357">
        <v>28</v>
      </c>
      <c r="CC32" s="1377">
        <v>37</v>
      </c>
      <c r="CD32" s="1400">
        <v>2</v>
      </c>
      <c r="CE32" s="1400">
        <v>2</v>
      </c>
      <c r="CF32" s="1400">
        <v>2</v>
      </c>
      <c r="CG32" s="1400">
        <v>0</v>
      </c>
      <c r="CH32" s="1771">
        <f>SUM(CD32:CG32)</f>
        <v>6</v>
      </c>
      <c r="CI32" s="1371">
        <v>1</v>
      </c>
      <c r="CJ32" s="1371">
        <v>24</v>
      </c>
      <c r="CK32" s="1371">
        <v>3</v>
      </c>
      <c r="CL32" s="1371">
        <f>CM32-CK32-CJ32-CI32</f>
        <v>-10</v>
      </c>
      <c r="CM32" s="1342">
        <v>18</v>
      </c>
      <c r="CN32" s="1371">
        <v>1</v>
      </c>
      <c r="CO32" s="1371">
        <v>7</v>
      </c>
      <c r="CP32" s="1371">
        <v>0</v>
      </c>
      <c r="CQ32" s="1308">
        <v>7</v>
      </c>
      <c r="CR32" s="1940">
        <f t="shared" si="53"/>
        <v>15</v>
      </c>
      <c r="CS32" s="71">
        <v>2</v>
      </c>
      <c r="CT32" s="71">
        <v>7</v>
      </c>
      <c r="CU32" s="71">
        <v>1</v>
      </c>
      <c r="CV32" s="71">
        <v>5</v>
      </c>
      <c r="CW32" s="433">
        <f t="shared" ref="CW32" si="54">SUM(CS32:CV32)</f>
        <v>15</v>
      </c>
      <c r="CX32" s="71">
        <v>1</v>
      </c>
      <c r="CY32" s="71">
        <v>1</v>
      </c>
      <c r="CZ32" s="71">
        <v>1</v>
      </c>
      <c r="DA32" s="71">
        <v>0</v>
      </c>
      <c r="DB32" s="433">
        <f t="shared" si="46"/>
        <v>3</v>
      </c>
      <c r="DC32" s="71">
        <v>5</v>
      </c>
      <c r="DD32" s="71">
        <v>5</v>
      </c>
      <c r="DE32" s="71">
        <v>4</v>
      </c>
      <c r="DF32" s="71">
        <v>5</v>
      </c>
      <c r="DG32" s="433">
        <f t="shared" si="47"/>
        <v>19</v>
      </c>
      <c r="DH32" s="71">
        <v>5</v>
      </c>
      <c r="DI32" s="71">
        <v>5</v>
      </c>
      <c r="DJ32" s="71">
        <v>4</v>
      </c>
      <c r="DK32" s="71">
        <v>5</v>
      </c>
      <c r="DL32" s="433">
        <f>SUM(DH32:DK32)</f>
        <v>19</v>
      </c>
      <c r="DM32" s="71">
        <v>5</v>
      </c>
      <c r="DN32" s="71">
        <v>5</v>
      </c>
      <c r="DO32" s="71">
        <v>4</v>
      </c>
      <c r="DP32" s="71">
        <v>5</v>
      </c>
      <c r="DQ32" s="433">
        <f>SUM(DM32:DP32)</f>
        <v>19</v>
      </c>
      <c r="DR32" s="71">
        <v>5</v>
      </c>
      <c r="DS32" s="71">
        <v>5</v>
      </c>
      <c r="DT32" s="71">
        <v>4</v>
      </c>
      <c r="DU32" s="71">
        <v>5</v>
      </c>
      <c r="DV32" s="433">
        <f>SUM(DR32:DU32)</f>
        <v>19</v>
      </c>
      <c r="DW32" s="71">
        <v>5</v>
      </c>
      <c r="DX32" s="71">
        <v>5</v>
      </c>
      <c r="DY32" s="71">
        <v>4</v>
      </c>
      <c r="DZ32" s="71">
        <v>5</v>
      </c>
      <c r="EA32" s="433">
        <f>SUM(DW32:DZ32)</f>
        <v>19</v>
      </c>
      <c r="EB32" s="41"/>
      <c r="EC32" s="14" t="s">
        <v>211</v>
      </c>
      <c r="ED32" s="1196">
        <f>DA32</f>
        <v>0</v>
      </c>
      <c r="EE32" s="1196">
        <v>5</v>
      </c>
      <c r="EF32" s="793">
        <f t="shared" si="43"/>
        <v>-5</v>
      </c>
      <c r="EG32" s="1196">
        <f>CV32</f>
        <v>5</v>
      </c>
      <c r="EH32" s="399"/>
      <c r="EI32" s="84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row>
    <row r="33" spans="1:259" s="337" customFormat="1" ht="2.25" hidden="1" customHeight="1" outlineLevel="1" x14ac:dyDescent="0.35">
      <c r="A33" s="685"/>
      <c r="B33" s="1396"/>
      <c r="C33" s="1396"/>
      <c r="D33" s="1396"/>
      <c r="E33" s="1396"/>
      <c r="F33" s="1397"/>
      <c r="G33" s="1779"/>
      <c r="H33" s="1396"/>
      <c r="I33" s="1396"/>
      <c r="J33" s="1398"/>
      <c r="K33" s="1399"/>
      <c r="L33" s="1396"/>
      <c r="M33" s="1396"/>
      <c r="N33" s="1396"/>
      <c r="O33" s="1399"/>
      <c r="P33" s="1397"/>
      <c r="Q33" s="1396"/>
      <c r="R33" s="1396"/>
      <c r="S33" s="1396"/>
      <c r="T33" s="1396"/>
      <c r="U33" s="1397"/>
      <c r="V33" s="1772"/>
      <c r="W33" s="1357"/>
      <c r="X33" s="1357"/>
      <c r="Y33" s="1357"/>
      <c r="Z33" s="1375"/>
      <c r="AA33" s="1357"/>
      <c r="AB33" s="1357"/>
      <c r="AC33" s="1357"/>
      <c r="AD33" s="1357"/>
      <c r="AE33" s="1375"/>
      <c r="AF33" s="1772"/>
      <c r="AG33" s="1357"/>
      <c r="AH33" s="1357"/>
      <c r="AI33" s="1361"/>
      <c r="AJ33" s="1375"/>
      <c r="AK33" s="1357"/>
      <c r="AL33" s="1357"/>
      <c r="AM33" s="1357"/>
      <c r="AN33" s="1357"/>
      <c r="AO33" s="1375"/>
      <c r="AP33" s="1357"/>
      <c r="AQ33" s="1357"/>
      <c r="AR33" s="1357"/>
      <c r="AS33" s="1357"/>
      <c r="AT33" s="1375"/>
      <c r="AU33" s="1357"/>
      <c r="AV33" s="1357"/>
      <c r="AW33" s="1357"/>
      <c r="AX33" s="1357"/>
      <c r="AY33" s="1375"/>
      <c r="AZ33" s="1357"/>
      <c r="BA33" s="1357"/>
      <c r="BB33" s="1357"/>
      <c r="BC33" s="1357"/>
      <c r="BD33" s="1375"/>
      <c r="BE33" s="1357"/>
      <c r="BF33" s="1357"/>
      <c r="BG33" s="1357"/>
      <c r="BH33" s="1357"/>
      <c r="BI33" s="1375"/>
      <c r="BJ33" s="1357"/>
      <c r="BK33" s="1357"/>
      <c r="BL33" s="1357"/>
      <c r="BM33" s="1357"/>
      <c r="BN33" s="1377"/>
      <c r="BO33" s="1357"/>
      <c r="BP33" s="1357"/>
      <c r="BQ33" s="1357"/>
      <c r="BR33" s="1357"/>
      <c r="BS33" s="1377"/>
      <c r="BT33" s="1357"/>
      <c r="BU33" s="1357"/>
      <c r="BV33" s="1357"/>
      <c r="BW33" s="1357"/>
      <c r="BX33" s="1377"/>
      <c r="BY33" s="1357"/>
      <c r="BZ33" s="1357"/>
      <c r="CA33" s="1357"/>
      <c r="CB33" s="1357"/>
      <c r="CC33" s="1377"/>
      <c r="CD33" s="1400"/>
      <c r="CE33" s="1400"/>
      <c r="CF33" s="1400"/>
      <c r="CG33" s="1400"/>
      <c r="CH33" s="1771"/>
      <c r="CI33" s="1371"/>
      <c r="CJ33" s="1371"/>
      <c r="CK33" s="1371"/>
      <c r="CL33" s="1371"/>
      <c r="CM33" s="1342"/>
      <c r="CN33" s="1371"/>
      <c r="CO33" s="1371"/>
      <c r="CP33" s="1371"/>
      <c r="CQ33" s="1308"/>
      <c r="CR33" s="1940">
        <f t="shared" si="53"/>
        <v>0</v>
      </c>
      <c r="CS33" s="1308"/>
      <c r="CT33" s="1308"/>
      <c r="CU33" s="975"/>
      <c r="CV33" s="1007"/>
      <c r="CW33" s="1047">
        <f t="shared" si="36"/>
        <v>0</v>
      </c>
      <c r="CX33" s="71"/>
      <c r="CY33" s="71"/>
      <c r="CZ33" s="71"/>
      <c r="DA33" s="71"/>
      <c r="DB33" s="433"/>
      <c r="DC33" s="71"/>
      <c r="DD33" s="71"/>
      <c r="DE33" s="71"/>
      <c r="DF33" s="71"/>
      <c r="DG33" s="433"/>
      <c r="DH33" s="71"/>
      <c r="DI33" s="71"/>
      <c r="DJ33" s="71"/>
      <c r="DK33" s="71"/>
      <c r="DL33" s="433"/>
      <c r="DM33" s="71"/>
      <c r="DN33" s="71"/>
      <c r="DO33" s="71"/>
      <c r="DP33" s="71"/>
      <c r="DQ33" s="433"/>
      <c r="DR33" s="71"/>
      <c r="DS33" s="71"/>
      <c r="DT33" s="71"/>
      <c r="DU33" s="71"/>
      <c r="DV33" s="433"/>
      <c r="DW33" s="71"/>
      <c r="DX33" s="71"/>
      <c r="DY33" s="71"/>
      <c r="DZ33" s="71"/>
      <c r="EA33" s="433"/>
      <c r="EB33" s="41"/>
      <c r="EC33" s="14"/>
      <c r="ED33" s="1196"/>
      <c r="EE33" s="1196"/>
      <c r="EF33" s="793"/>
      <c r="EG33" s="1196"/>
      <c r="EH33" s="399"/>
      <c r="EI33" s="842"/>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row>
    <row r="34" spans="1:259" s="337" customFormat="1" ht="13.5" hidden="1" customHeight="1" outlineLevel="1" x14ac:dyDescent="0.35">
      <c r="A34" s="685"/>
      <c r="B34" s="1396"/>
      <c r="C34" s="1396"/>
      <c r="D34" s="1396"/>
      <c r="E34" s="1396"/>
      <c r="F34" s="1397"/>
      <c r="G34" s="1779"/>
      <c r="H34" s="1396"/>
      <c r="I34" s="1396"/>
      <c r="J34" s="1398"/>
      <c r="K34" s="1399"/>
      <c r="L34" s="1396"/>
      <c r="M34" s="1396"/>
      <c r="N34" s="1396"/>
      <c r="O34" s="1399"/>
      <c r="P34" s="1397"/>
      <c r="Q34" s="1396"/>
      <c r="R34" s="1396"/>
      <c r="S34" s="1396"/>
      <c r="T34" s="1396"/>
      <c r="U34" s="1397"/>
      <c r="V34" s="1772"/>
      <c r="W34" s="1357"/>
      <c r="X34" s="1357"/>
      <c r="Y34" s="1357"/>
      <c r="Z34" s="1375"/>
      <c r="AA34" s="1357"/>
      <c r="AB34" s="1357"/>
      <c r="AC34" s="1357"/>
      <c r="AD34" s="1357"/>
      <c r="AE34" s="1375"/>
      <c r="AF34" s="1772"/>
      <c r="AG34" s="1357"/>
      <c r="AH34" s="1357"/>
      <c r="AI34" s="1361"/>
      <c r="AJ34" s="1375"/>
      <c r="AK34" s="1357"/>
      <c r="AL34" s="1357"/>
      <c r="AM34" s="1357"/>
      <c r="AN34" s="1357"/>
      <c r="AO34" s="1375"/>
      <c r="AP34" s="1357"/>
      <c r="AQ34" s="1357"/>
      <c r="AR34" s="1357"/>
      <c r="AS34" s="1357"/>
      <c r="AT34" s="1375"/>
      <c r="AU34" s="1357"/>
      <c r="AV34" s="1357"/>
      <c r="AW34" s="1357"/>
      <c r="AX34" s="1357"/>
      <c r="AY34" s="1375"/>
      <c r="AZ34" s="1357"/>
      <c r="BA34" s="1357"/>
      <c r="BB34" s="1357"/>
      <c r="BC34" s="1357"/>
      <c r="BD34" s="1375"/>
      <c r="BE34" s="1357"/>
      <c r="BF34" s="1357"/>
      <c r="BG34" s="1357"/>
      <c r="BH34" s="1357"/>
      <c r="BI34" s="1375"/>
      <c r="BJ34" s="1357"/>
      <c r="BK34" s="1357"/>
      <c r="BL34" s="1357"/>
      <c r="BM34" s="1357"/>
      <c r="BN34" s="1377"/>
      <c r="BO34" s="1357"/>
      <c r="BP34" s="1357"/>
      <c r="BQ34" s="1357"/>
      <c r="BR34" s="1357"/>
      <c r="BS34" s="1377"/>
      <c r="BT34" s="1357"/>
      <c r="BU34" s="1357"/>
      <c r="BV34" s="1357"/>
      <c r="BW34" s="1357"/>
      <c r="BX34" s="1377"/>
      <c r="BY34" s="1357"/>
      <c r="BZ34" s="1357"/>
      <c r="CA34" s="1357"/>
      <c r="CB34" s="1357"/>
      <c r="CC34" s="1377"/>
      <c r="CD34" s="1400"/>
      <c r="CE34" s="1400"/>
      <c r="CF34" s="1400"/>
      <c r="CG34" s="1400"/>
      <c r="CH34" s="1771"/>
      <c r="CI34" s="1371"/>
      <c r="CJ34" s="1371"/>
      <c r="CK34" s="1371"/>
      <c r="CL34" s="1371"/>
      <c r="CM34" s="1342"/>
      <c r="CN34" s="1371"/>
      <c r="CO34" s="1371"/>
      <c r="CP34" s="1371"/>
      <c r="CQ34" s="1308"/>
      <c r="CR34" s="1940">
        <f t="shared" si="53"/>
        <v>0</v>
      </c>
      <c r="CS34" s="1308"/>
      <c r="CT34" s="1308"/>
      <c r="CU34" s="975"/>
      <c r="CV34" s="1007"/>
      <c r="CW34" s="1047">
        <f t="shared" si="36"/>
        <v>0</v>
      </c>
      <c r="CX34" s="71"/>
      <c r="CY34" s="71"/>
      <c r="CZ34" s="71"/>
      <c r="DA34" s="71"/>
      <c r="DB34" s="433"/>
      <c r="DC34" s="71"/>
      <c r="DD34" s="71"/>
      <c r="DE34" s="71"/>
      <c r="DF34" s="71"/>
      <c r="DG34" s="433"/>
      <c r="DH34" s="71"/>
      <c r="DI34" s="71"/>
      <c r="DJ34" s="71"/>
      <c r="DK34" s="71"/>
      <c r="DL34" s="433"/>
      <c r="DM34" s="71"/>
      <c r="DN34" s="71"/>
      <c r="DO34" s="71"/>
      <c r="DP34" s="71"/>
      <c r="DQ34" s="433"/>
      <c r="DR34" s="71"/>
      <c r="DS34" s="71"/>
      <c r="DT34" s="71"/>
      <c r="DU34" s="71"/>
      <c r="DV34" s="433"/>
      <c r="DW34" s="71"/>
      <c r="DX34" s="71"/>
      <c r="DY34" s="71"/>
      <c r="DZ34" s="71"/>
      <c r="EA34" s="433"/>
      <c r="EB34" s="41"/>
      <c r="EC34" s="14"/>
      <c r="ED34" s="1196"/>
      <c r="EE34" s="1196"/>
      <c r="EF34" s="793"/>
      <c r="EG34" s="1196"/>
      <c r="EH34" s="399"/>
      <c r="EI34" s="842"/>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row>
    <row r="35" spans="1:259" s="337" customFormat="1" ht="13.5" hidden="1" customHeight="1" outlineLevel="1" x14ac:dyDescent="0.35">
      <c r="A35" s="685" t="s">
        <v>451</v>
      </c>
      <c r="B35" s="1396"/>
      <c r="C35" s="1396"/>
      <c r="D35" s="1396"/>
      <c r="E35" s="1396"/>
      <c r="F35" s="1397"/>
      <c r="G35" s="1779"/>
      <c r="H35" s="1396"/>
      <c r="I35" s="1396"/>
      <c r="J35" s="1398"/>
      <c r="K35" s="1399"/>
      <c r="L35" s="1396"/>
      <c r="M35" s="1396"/>
      <c r="N35" s="1396"/>
      <c r="O35" s="1399"/>
      <c r="P35" s="1397"/>
      <c r="Q35" s="1396"/>
      <c r="R35" s="1396"/>
      <c r="S35" s="1396"/>
      <c r="T35" s="1396"/>
      <c r="U35" s="1397"/>
      <c r="V35" s="1779"/>
      <c r="W35" s="1396"/>
      <c r="X35" s="1396"/>
      <c r="Y35" s="1396"/>
      <c r="Z35" s="1397"/>
      <c r="AA35" s="1396">
        <v>-3</v>
      </c>
      <c r="AB35" s="1396">
        <v>-3</v>
      </c>
      <c r="AC35" s="1396">
        <v>-3</v>
      </c>
      <c r="AD35" s="1396">
        <v>0</v>
      </c>
      <c r="AE35" s="1375">
        <v>0</v>
      </c>
      <c r="AF35" s="1772">
        <v>0</v>
      </c>
      <c r="AG35" s="1357">
        <v>0</v>
      </c>
      <c r="AH35" s="1357">
        <v>0</v>
      </c>
      <c r="AI35" s="1361">
        <v>0</v>
      </c>
      <c r="AJ35" s="1375">
        <v>0</v>
      </c>
      <c r="AK35" s="1357">
        <v>0</v>
      </c>
      <c r="AL35" s="1357">
        <v>0</v>
      </c>
      <c r="AM35" s="1357">
        <v>0</v>
      </c>
      <c r="AN35" s="1357">
        <v>0</v>
      </c>
      <c r="AO35" s="1375">
        <f>SUM(AK35:AN35)</f>
        <v>0</v>
      </c>
      <c r="AP35" s="1357">
        <v>2</v>
      </c>
      <c r="AQ35" s="1357">
        <v>-13</v>
      </c>
      <c r="AR35" s="1357">
        <v>-10</v>
      </c>
      <c r="AS35" s="1357">
        <v>-3</v>
      </c>
      <c r="AT35" s="1375">
        <f>SUM(AP35:AS35)</f>
        <v>-24</v>
      </c>
      <c r="AU35" s="1357">
        <v>4</v>
      </c>
      <c r="AV35" s="1357">
        <v>-15</v>
      </c>
      <c r="AW35" s="1357">
        <v>4</v>
      </c>
      <c r="AX35" s="1357">
        <v>-17</v>
      </c>
      <c r="AY35" s="1375">
        <f>SUM(AU35:AX35)</f>
        <v>-24</v>
      </c>
      <c r="AZ35" s="1357">
        <v>-1</v>
      </c>
      <c r="BA35" s="1357">
        <v>-4</v>
      </c>
      <c r="BB35" s="1357">
        <v>0</v>
      </c>
      <c r="BC35" s="1357">
        <v>-6</v>
      </c>
      <c r="BD35" s="1375">
        <f t="shared" si="45"/>
        <v>-11</v>
      </c>
      <c r="BE35" s="1357">
        <v>25</v>
      </c>
      <c r="BF35" s="1357">
        <v>-1</v>
      </c>
      <c r="BG35" s="1357">
        <v>-8</v>
      </c>
      <c r="BH35" s="1357">
        <v>-21</v>
      </c>
      <c r="BI35" s="1375">
        <f t="shared" si="28"/>
        <v>-5</v>
      </c>
      <c r="BJ35" s="1357">
        <v>-14</v>
      </c>
      <c r="BK35" s="1357">
        <v>1</v>
      </c>
      <c r="BL35" s="1357">
        <v>4</v>
      </c>
      <c r="BM35" s="1357">
        <v>-17</v>
      </c>
      <c r="BN35" s="1377">
        <f t="shared" si="29"/>
        <v>-26</v>
      </c>
      <c r="BO35" s="1357">
        <v>63</v>
      </c>
      <c r="BP35" s="1357">
        <v>-10</v>
      </c>
      <c r="BQ35" s="1357">
        <v>-2</v>
      </c>
      <c r="BR35" s="1357">
        <v>12</v>
      </c>
      <c r="BS35" s="1377">
        <f t="shared" si="30"/>
        <v>63</v>
      </c>
      <c r="BT35" s="1357">
        <v>-2</v>
      </c>
      <c r="BU35" s="1357">
        <v>5</v>
      </c>
      <c r="BV35" s="1357">
        <v>66</v>
      </c>
      <c r="BW35" s="1357">
        <v>3</v>
      </c>
      <c r="BX35" s="1377">
        <f t="shared" si="31"/>
        <v>72</v>
      </c>
      <c r="BY35" s="1357">
        <v>-26</v>
      </c>
      <c r="BZ35" s="1357">
        <v>-13</v>
      </c>
      <c r="CA35" s="1357">
        <v>-2</v>
      </c>
      <c r="CB35" s="1357">
        <v>-37</v>
      </c>
      <c r="CC35" s="1377">
        <f t="shared" si="32"/>
        <v>-78</v>
      </c>
      <c r="CD35" s="1400">
        <v>-17</v>
      </c>
      <c r="CE35" s="1400">
        <v>-32</v>
      </c>
      <c r="CF35" s="1400">
        <v>-38</v>
      </c>
      <c r="CG35" s="1400">
        <f>CH35-CF35-CE35-CD35</f>
        <v>-8</v>
      </c>
      <c r="CH35" s="1771">
        <v>-95</v>
      </c>
      <c r="CI35" s="1371">
        <v>1.25</v>
      </c>
      <c r="CJ35" s="1371">
        <v>0.25</v>
      </c>
      <c r="CK35" s="1371">
        <v>-15.75</v>
      </c>
      <c r="CL35" s="1371">
        <v>-1.75</v>
      </c>
      <c r="CM35" s="1342">
        <v>-16</v>
      </c>
      <c r="CN35" s="1371">
        <v>-6.75</v>
      </c>
      <c r="CO35" s="1371">
        <v>71.25</v>
      </c>
      <c r="CP35" s="1371">
        <v>2</v>
      </c>
      <c r="CQ35" s="1308">
        <v>-44</v>
      </c>
      <c r="CR35" s="1940">
        <f t="shared" si="53"/>
        <v>22.5</v>
      </c>
      <c r="CS35" s="79">
        <v>0</v>
      </c>
      <c r="CT35" s="79">
        <v>-54</v>
      </c>
      <c r="CU35" s="79">
        <v>-21</v>
      </c>
      <c r="CV35" s="71">
        <v>-88</v>
      </c>
      <c r="CW35" s="433">
        <f t="shared" ref="CW35" si="55">SUM(CS35:CV35)</f>
        <v>-163</v>
      </c>
      <c r="CX35" s="71">
        <v>-111</v>
      </c>
      <c r="CY35" s="71">
        <v>-19</v>
      </c>
      <c r="CZ35" s="71">
        <v>-201</v>
      </c>
      <c r="DA35" s="71">
        <v>-752</v>
      </c>
      <c r="DB35" s="433">
        <f t="shared" si="46"/>
        <v>-1083</v>
      </c>
      <c r="DC35" s="79">
        <v>0</v>
      </c>
      <c r="DD35" s="79">
        <v>0</v>
      </c>
      <c r="DE35" s="79">
        <v>0</v>
      </c>
      <c r="DF35" s="79">
        <v>0</v>
      </c>
      <c r="DG35" s="433">
        <f t="shared" si="47"/>
        <v>0</v>
      </c>
      <c r="DH35" s="79">
        <v>0</v>
      </c>
      <c r="DI35" s="79">
        <v>0</v>
      </c>
      <c r="DJ35" s="79">
        <v>0</v>
      </c>
      <c r="DK35" s="79">
        <v>0</v>
      </c>
      <c r="DL35" s="433">
        <f>SUM(DH35:DK35)</f>
        <v>0</v>
      </c>
      <c r="DM35" s="79">
        <v>0</v>
      </c>
      <c r="DN35" s="79">
        <v>0</v>
      </c>
      <c r="DO35" s="79">
        <v>0</v>
      </c>
      <c r="DP35" s="79">
        <v>0</v>
      </c>
      <c r="DQ35" s="433">
        <f>SUM(DM35:DP35)</f>
        <v>0</v>
      </c>
      <c r="DR35" s="79">
        <v>0</v>
      </c>
      <c r="DS35" s="79">
        <v>0</v>
      </c>
      <c r="DT35" s="79">
        <v>0</v>
      </c>
      <c r="DU35" s="79">
        <v>0</v>
      </c>
      <c r="DV35" s="433">
        <f>SUM(DR35:DU35)</f>
        <v>0</v>
      </c>
      <c r="DW35" s="79">
        <v>0</v>
      </c>
      <c r="DX35" s="79">
        <v>0</v>
      </c>
      <c r="DY35" s="79">
        <v>0</v>
      </c>
      <c r="DZ35" s="79">
        <v>0</v>
      </c>
      <c r="EA35" s="433">
        <f>SUM(DW35:DZ35)</f>
        <v>0</v>
      </c>
      <c r="EB35" s="41"/>
      <c r="EC35" s="14" t="s">
        <v>451</v>
      </c>
      <c r="ED35" s="1196">
        <f t="shared" ref="ED35:ED43" si="56">DA35</f>
        <v>-752</v>
      </c>
      <c r="EE35" s="1196">
        <v>0</v>
      </c>
      <c r="EF35" s="793">
        <f t="shared" si="43"/>
        <v>-752</v>
      </c>
      <c r="EG35" s="1196">
        <f t="shared" ref="EG35:EG43" si="57">CV35</f>
        <v>-88</v>
      </c>
      <c r="EH35" s="399"/>
      <c r="EI35" s="11"/>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row>
    <row r="36" spans="1:259" s="337" customFormat="1" ht="15" collapsed="1" x14ac:dyDescent="0.35">
      <c r="A36" s="431" t="s">
        <v>364</v>
      </c>
      <c r="B36" s="1396"/>
      <c r="C36" s="1396"/>
      <c r="D36" s="1396"/>
      <c r="E36" s="1396"/>
      <c r="F36" s="1397"/>
      <c r="G36" s="1779"/>
      <c r="H36" s="1396"/>
      <c r="I36" s="1396"/>
      <c r="J36" s="1398"/>
      <c r="K36" s="1399"/>
      <c r="L36" s="1396"/>
      <c r="M36" s="1396"/>
      <c r="N36" s="1396"/>
      <c r="O36" s="1399"/>
      <c r="P36" s="1397"/>
      <c r="Q36" s="1779"/>
      <c r="R36" s="1396"/>
      <c r="S36" s="1396"/>
      <c r="T36" s="1396"/>
      <c r="U36" s="1397"/>
      <c r="V36" s="1772"/>
      <c r="W36" s="1357"/>
      <c r="X36" s="1357"/>
      <c r="Y36" s="1357"/>
      <c r="Z36" s="1375"/>
      <c r="AA36" s="1357"/>
      <c r="AB36" s="1357"/>
      <c r="AC36" s="1357"/>
      <c r="AD36" s="1357">
        <v>0</v>
      </c>
      <c r="AE36" s="1375">
        <v>32</v>
      </c>
      <c r="AF36" s="1772">
        <v>9</v>
      </c>
      <c r="AG36" s="1357">
        <v>6</v>
      </c>
      <c r="AH36" s="1357">
        <v>9</v>
      </c>
      <c r="AI36" s="1361">
        <v>12</v>
      </c>
      <c r="AJ36" s="1375">
        <v>36</v>
      </c>
      <c r="AK36" s="1357">
        <v>9</v>
      </c>
      <c r="AL36" s="1357">
        <v>10</v>
      </c>
      <c r="AM36" s="1357">
        <v>3</v>
      </c>
      <c r="AN36" s="1357">
        <v>4</v>
      </c>
      <c r="AO36" s="1375">
        <f t="shared" si="26"/>
        <v>26</v>
      </c>
      <c r="AP36" s="1357">
        <f t="shared" ref="AP36:AX36" si="58">SUM(AP32:AP35)</f>
        <v>11</v>
      </c>
      <c r="AQ36" s="1357">
        <f t="shared" si="58"/>
        <v>4</v>
      </c>
      <c r="AR36" s="1357">
        <f t="shared" si="58"/>
        <v>7</v>
      </c>
      <c r="AS36" s="1357">
        <f t="shared" si="58"/>
        <v>-3</v>
      </c>
      <c r="AT36" s="1375">
        <f t="shared" si="58"/>
        <v>19</v>
      </c>
      <c r="AU36" s="1357">
        <f t="shared" si="58"/>
        <v>10</v>
      </c>
      <c r="AV36" s="1357">
        <f t="shared" si="58"/>
        <v>3</v>
      </c>
      <c r="AW36" s="1357">
        <f t="shared" si="58"/>
        <v>5</v>
      </c>
      <c r="AX36" s="1357">
        <f t="shared" si="58"/>
        <v>17</v>
      </c>
      <c r="AY36" s="1375">
        <f t="shared" si="27"/>
        <v>35</v>
      </c>
      <c r="AZ36" s="1357">
        <f>SUM(AZ32:AZ35)</f>
        <v>3</v>
      </c>
      <c r="BA36" s="1357">
        <f>SUM(BA32:BA35)</f>
        <v>5</v>
      </c>
      <c r="BB36" s="1357">
        <f>SUM(BB32:BB35)</f>
        <v>-1</v>
      </c>
      <c r="BC36" s="1357">
        <f>SUM(BC32:BC35)</f>
        <v>17</v>
      </c>
      <c r="BD36" s="1375">
        <f t="shared" si="45"/>
        <v>24</v>
      </c>
      <c r="BE36" s="1357">
        <f>SUM(BE32:BE35)</f>
        <v>23</v>
      </c>
      <c r="BF36" s="1357">
        <f>SUM(BF32:BF35)</f>
        <v>7</v>
      </c>
      <c r="BG36" s="1357">
        <f>SUM(BG32:BG35)</f>
        <v>-5</v>
      </c>
      <c r="BH36" s="1357">
        <f>SUM(BH32:BH35)</f>
        <v>13</v>
      </c>
      <c r="BI36" s="1375">
        <f t="shared" si="28"/>
        <v>38</v>
      </c>
      <c r="BJ36" s="1357">
        <f>SUM(BJ32:BJ35)</f>
        <v>-10</v>
      </c>
      <c r="BK36" s="1357">
        <f>SUM(BK32:BK35)</f>
        <v>23</v>
      </c>
      <c r="BL36" s="1357">
        <f>SUM(BL32:BL35)</f>
        <v>9</v>
      </c>
      <c r="BM36" s="1357">
        <f>SUM(BM32:BM35)</f>
        <v>55</v>
      </c>
      <c r="BN36" s="1377">
        <f t="shared" si="29"/>
        <v>77</v>
      </c>
      <c r="BO36" s="1357">
        <f>SUM(BO32:BO35)</f>
        <v>67</v>
      </c>
      <c r="BP36" s="1357">
        <f>SUM(BP32:BP35)</f>
        <v>2</v>
      </c>
      <c r="BQ36" s="1357">
        <f>SUM(BQ32:BQ35)</f>
        <v>3</v>
      </c>
      <c r="BR36" s="1357">
        <f>SUM(BR32:BR35)</f>
        <v>38</v>
      </c>
      <c r="BS36" s="1377">
        <f t="shared" si="30"/>
        <v>110</v>
      </c>
      <c r="BT36" s="1357">
        <f>SUM(BT32:BT35)</f>
        <v>67</v>
      </c>
      <c r="BU36" s="1357">
        <f>SUM(BU32:BU35)</f>
        <v>24</v>
      </c>
      <c r="BV36" s="1357">
        <f>SUM(BV32:BV35)</f>
        <v>91</v>
      </c>
      <c r="BW36" s="1357">
        <f>SUM(BW32:BW35)</f>
        <v>25</v>
      </c>
      <c r="BX36" s="1377">
        <f t="shared" si="31"/>
        <v>207</v>
      </c>
      <c r="BY36" s="1357">
        <f>SUM(BY32:BY35)</f>
        <v>-25</v>
      </c>
      <c r="BZ36" s="1357">
        <f>SUM(BZ32:BZ35)</f>
        <v>-9</v>
      </c>
      <c r="CA36" s="1357">
        <f>SUM(CA32:CA35)</f>
        <v>2</v>
      </c>
      <c r="CB36" s="1357">
        <f>SUM(CB32:CB35)</f>
        <v>-9</v>
      </c>
      <c r="CC36" s="1377">
        <f t="shared" si="32"/>
        <v>-41</v>
      </c>
      <c r="CD36" s="1400">
        <f>SUM(CD32:CD35)</f>
        <v>-15</v>
      </c>
      <c r="CE36" s="1400">
        <f>SUM(CE32:CE35)</f>
        <v>-30</v>
      </c>
      <c r="CF36" s="1400">
        <f>SUM(CF32:CF35)</f>
        <v>-36</v>
      </c>
      <c r="CG36" s="1400">
        <f>SUM(CG32:CG35)</f>
        <v>-8</v>
      </c>
      <c r="CH36" s="1771">
        <f t="shared" ref="CH36:CH37" si="59">SUM(CD36:CG36)</f>
        <v>-89</v>
      </c>
      <c r="CI36" s="1395">
        <f>SUM(CI32:CI35)</f>
        <v>2.25</v>
      </c>
      <c r="CJ36" s="1395">
        <f>SUM(CJ32:CJ35)</f>
        <v>24.25</v>
      </c>
      <c r="CK36" s="1395">
        <f>SUM(CK32:CK35)</f>
        <v>-12.75</v>
      </c>
      <c r="CL36" s="1395">
        <f>SUM(CL32:CL35)</f>
        <v>-11.75</v>
      </c>
      <c r="CM36" s="1342">
        <f t="shared" si="34"/>
        <v>2</v>
      </c>
      <c r="CN36" s="1395">
        <f>SUM(CN32:CN35)</f>
        <v>-5.75</v>
      </c>
      <c r="CO36" s="1395">
        <f>SUM(CO32:CO35)</f>
        <v>78.25</v>
      </c>
      <c r="CP36" s="1395">
        <f>SUM(CP32:CP35)</f>
        <v>2</v>
      </c>
      <c r="CQ36" s="1889">
        <f>SUM(CQ32:CQ35)</f>
        <v>-37</v>
      </c>
      <c r="CR36" s="1940">
        <f>SUM(CN36:CQ36)</f>
        <v>37.5</v>
      </c>
      <c r="CS36" s="975">
        <f>SUM(CS32:CS35)</f>
        <v>2</v>
      </c>
      <c r="CT36" s="975">
        <f>SUM(CT32:CT35)</f>
        <v>-47</v>
      </c>
      <c r="CU36" s="975">
        <f>SUM(CU32:CU35)</f>
        <v>-20</v>
      </c>
      <c r="CV36" s="1007">
        <f>SUM(CV32:CV35)</f>
        <v>-83</v>
      </c>
      <c r="CW36" s="1047">
        <f t="shared" si="36"/>
        <v>-148</v>
      </c>
      <c r="CX36" s="71">
        <f>SUM(CX32:CX35)</f>
        <v>-110</v>
      </c>
      <c r="CY36" s="71">
        <f>SUM(CY32:CY35)</f>
        <v>-18</v>
      </c>
      <c r="CZ36" s="71">
        <f>SUM(CZ32:CZ35)</f>
        <v>-200</v>
      </c>
      <c r="DA36" s="71">
        <f>SUM(DA32:DA35)</f>
        <v>-752</v>
      </c>
      <c r="DB36" s="433">
        <f t="shared" si="46"/>
        <v>-1080</v>
      </c>
      <c r="DC36" s="71">
        <f>SUM(DC32:DC35)</f>
        <v>5</v>
      </c>
      <c r="DD36" s="71">
        <f>SUM(DD32:DD35)</f>
        <v>5</v>
      </c>
      <c r="DE36" s="71">
        <f>SUM(DE32:DE35)</f>
        <v>4</v>
      </c>
      <c r="DF36" s="71">
        <f>SUM(DF32:DF35)</f>
        <v>5</v>
      </c>
      <c r="DG36" s="433">
        <f t="shared" si="47"/>
        <v>19</v>
      </c>
      <c r="DH36" s="71">
        <f>SUM(DH32:DH35)</f>
        <v>5</v>
      </c>
      <c r="DI36" s="71">
        <f>SUM(DI32:DI35)</f>
        <v>5</v>
      </c>
      <c r="DJ36" s="71">
        <f>SUM(DJ32:DJ35)</f>
        <v>4</v>
      </c>
      <c r="DK36" s="71">
        <f>SUM(DK32:DK35)</f>
        <v>5</v>
      </c>
      <c r="DL36" s="433">
        <f>SUM(DH36:DK36)</f>
        <v>19</v>
      </c>
      <c r="DM36" s="71">
        <f>SUM(DM32:DM35)</f>
        <v>5</v>
      </c>
      <c r="DN36" s="71">
        <f>SUM(DN32:DN35)</f>
        <v>5</v>
      </c>
      <c r="DO36" s="71">
        <f>SUM(DO32:DO35)</f>
        <v>4</v>
      </c>
      <c r="DP36" s="71">
        <f>SUM(DP32:DP35)</f>
        <v>5</v>
      </c>
      <c r="DQ36" s="433">
        <f>SUM(DM36:DP36)</f>
        <v>19</v>
      </c>
      <c r="DR36" s="71">
        <f>SUM(DR32:DR35)</f>
        <v>5</v>
      </c>
      <c r="DS36" s="71">
        <f>SUM(DS32:DS35)</f>
        <v>5</v>
      </c>
      <c r="DT36" s="71">
        <f>SUM(DT32:DT35)</f>
        <v>4</v>
      </c>
      <c r="DU36" s="71">
        <f>SUM(DU32:DU35)</f>
        <v>5</v>
      </c>
      <c r="DV36" s="433">
        <f>SUM(DR36:DU36)</f>
        <v>19</v>
      </c>
      <c r="DW36" s="71">
        <f>SUM(DW32:DW35)</f>
        <v>5</v>
      </c>
      <c r="DX36" s="71">
        <f>SUM(DX32:DX35)</f>
        <v>5</v>
      </c>
      <c r="DY36" s="71">
        <f>SUM(DY32:DY35)</f>
        <v>4</v>
      </c>
      <c r="DZ36" s="71">
        <f>SUM(DZ32:DZ35)</f>
        <v>5</v>
      </c>
      <c r="EA36" s="433">
        <f>SUM(DW36:DZ36)</f>
        <v>19</v>
      </c>
      <c r="EB36" s="41"/>
      <c r="EC36" s="14" t="s">
        <v>449</v>
      </c>
      <c r="ED36" s="1196">
        <f t="shared" si="56"/>
        <v>-752</v>
      </c>
      <c r="EE36" s="1196">
        <v>5</v>
      </c>
      <c r="EF36" s="793">
        <f t="shared" si="43"/>
        <v>-757</v>
      </c>
      <c r="EG36" s="1196">
        <f t="shared" si="57"/>
        <v>-83</v>
      </c>
      <c r="EH36" s="399">
        <f t="shared" si="44"/>
        <v>8.0602409638554224</v>
      </c>
      <c r="EI36" s="11"/>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row>
    <row r="37" spans="1:259" s="337" customFormat="1" ht="15" x14ac:dyDescent="0.35">
      <c r="A37" s="431" t="s">
        <v>366</v>
      </c>
      <c r="B37" s="1396"/>
      <c r="C37" s="1396"/>
      <c r="D37" s="1396"/>
      <c r="E37" s="1396"/>
      <c r="F37" s="1397"/>
      <c r="G37" s="1779"/>
      <c r="H37" s="1396"/>
      <c r="I37" s="1396"/>
      <c r="J37" s="1398"/>
      <c r="K37" s="1399"/>
      <c r="L37" s="1396"/>
      <c r="M37" s="1396"/>
      <c r="N37" s="1396"/>
      <c r="O37" s="1399"/>
      <c r="P37" s="1397"/>
      <c r="Q37" s="1779"/>
      <c r="R37" s="1396"/>
      <c r="S37" s="1396"/>
      <c r="T37" s="1396"/>
      <c r="U37" s="1397"/>
      <c r="V37" s="1779">
        <v>-4</v>
      </c>
      <c r="W37" s="1396">
        <v>-5</v>
      </c>
      <c r="X37" s="1396">
        <v>-6</v>
      </c>
      <c r="Y37" s="1396">
        <v>-8</v>
      </c>
      <c r="Z37" s="1397">
        <f t="shared" si="25"/>
        <v>-23</v>
      </c>
      <c r="AA37" s="1396">
        <v>7</v>
      </c>
      <c r="AB37" s="1396">
        <v>5</v>
      </c>
      <c r="AC37" s="1396">
        <v>9</v>
      </c>
      <c r="AD37" s="1396">
        <v>-10</v>
      </c>
      <c r="AE37" s="1397">
        <v>-30</v>
      </c>
      <c r="AF37" s="1779">
        <v>-6</v>
      </c>
      <c r="AG37" s="1396">
        <v>-8</v>
      </c>
      <c r="AH37" s="1396">
        <v>-10</v>
      </c>
      <c r="AI37" s="1399">
        <v>-17</v>
      </c>
      <c r="AJ37" s="1397">
        <f>SUM(AF37:AI37)</f>
        <v>-41</v>
      </c>
      <c r="AK37" s="1396">
        <v>-12</v>
      </c>
      <c r="AL37" s="1396">
        <v>-10</v>
      </c>
      <c r="AM37" s="1396">
        <v>-13</v>
      </c>
      <c r="AN37" s="1396">
        <v>-20</v>
      </c>
      <c r="AO37" s="1397">
        <f t="shared" si="26"/>
        <v>-55</v>
      </c>
      <c r="AP37" s="1396">
        <v>-14</v>
      </c>
      <c r="AQ37" s="1396">
        <v>-25</v>
      </c>
      <c r="AR37" s="1396">
        <f>-27-2</f>
        <v>-29</v>
      </c>
      <c r="AS37" s="1396">
        <v>-14</v>
      </c>
      <c r="AT37" s="1397">
        <f>SUM(AP37:AS37)</f>
        <v>-82</v>
      </c>
      <c r="AU37" s="1396">
        <v>-4</v>
      </c>
      <c r="AV37" s="1396">
        <v>-12</v>
      </c>
      <c r="AW37" s="1396">
        <v>-17</v>
      </c>
      <c r="AX37" s="1396">
        <v>-19</v>
      </c>
      <c r="AY37" s="1397">
        <f>SUM(AU37:AX37)</f>
        <v>-52</v>
      </c>
      <c r="AZ37" s="1396">
        <v>-20</v>
      </c>
      <c r="BA37" s="1396">
        <v>-8</v>
      </c>
      <c r="BB37" s="1396">
        <v>-19</v>
      </c>
      <c r="BC37" s="1396">
        <v>-24</v>
      </c>
      <c r="BD37" s="1397">
        <f t="shared" si="45"/>
        <v>-71</v>
      </c>
      <c r="BE37" s="1396">
        <v>-117</v>
      </c>
      <c r="BF37" s="1396">
        <v>-11</v>
      </c>
      <c r="BG37" s="1396">
        <v>-18</v>
      </c>
      <c r="BH37" s="1396">
        <v>-9</v>
      </c>
      <c r="BI37" s="1397">
        <f t="shared" si="28"/>
        <v>-155</v>
      </c>
      <c r="BJ37" s="1396">
        <v>-9</v>
      </c>
      <c r="BK37" s="1396">
        <v>-75</v>
      </c>
      <c r="BL37" s="1396">
        <v>-13</v>
      </c>
      <c r="BM37" s="1396">
        <v>-7</v>
      </c>
      <c r="BN37" s="1401">
        <f t="shared" si="29"/>
        <v>-104</v>
      </c>
      <c r="BO37" s="1396">
        <v>-10</v>
      </c>
      <c r="BP37" s="1396">
        <v>-10</v>
      </c>
      <c r="BQ37" s="1396">
        <v>-11</v>
      </c>
      <c r="BR37" s="1396">
        <v>-12</v>
      </c>
      <c r="BS37" s="1401">
        <f t="shared" si="30"/>
        <v>-43</v>
      </c>
      <c r="BT37" s="1396">
        <v>-19</v>
      </c>
      <c r="BU37" s="1396">
        <v>-13</v>
      </c>
      <c r="BV37" s="1396">
        <v>-16</v>
      </c>
      <c r="BW37" s="1396">
        <v>-5</v>
      </c>
      <c r="BX37" s="1401">
        <f t="shared" si="31"/>
        <v>-53</v>
      </c>
      <c r="BY37" s="1396">
        <v>-79</v>
      </c>
      <c r="BZ37" s="1396">
        <v>-7</v>
      </c>
      <c r="CA37" s="1396">
        <v>-11</v>
      </c>
      <c r="CB37" s="1396">
        <v>-18</v>
      </c>
      <c r="CC37" s="1401">
        <f t="shared" si="32"/>
        <v>-115</v>
      </c>
      <c r="CD37" s="1402">
        <v>0</v>
      </c>
      <c r="CE37" s="1402">
        <v>9</v>
      </c>
      <c r="CF37" s="1402">
        <v>0</v>
      </c>
      <c r="CG37" s="1402">
        <v>0</v>
      </c>
      <c r="CH37" s="1799">
        <f t="shared" si="59"/>
        <v>9</v>
      </c>
      <c r="CI37" s="1403">
        <v>10</v>
      </c>
      <c r="CJ37" s="1403">
        <v>-1</v>
      </c>
      <c r="CK37" s="1403">
        <v>-3</v>
      </c>
      <c r="CL37" s="1403">
        <f>CM37-CK37-CJ37-CI37</f>
        <v>6</v>
      </c>
      <c r="CM37" s="1348">
        <v>12</v>
      </c>
      <c r="CN37" s="1403">
        <v>3.5</v>
      </c>
      <c r="CO37" s="1403">
        <v>0.5</v>
      </c>
      <c r="CP37" s="1403">
        <v>11.5</v>
      </c>
      <c r="CQ37" s="1890">
        <v>2</v>
      </c>
      <c r="CR37" s="1941">
        <f t="shared" ref="CR37" si="60">SUM(CN37:CQ37)</f>
        <v>17.5</v>
      </c>
      <c r="CS37" s="1124">
        <v>-7</v>
      </c>
      <c r="CT37" s="1124">
        <v>-6</v>
      </c>
      <c r="CU37" s="1124">
        <v>-1</v>
      </c>
      <c r="CV37" s="80">
        <v>17</v>
      </c>
      <c r="CW37" s="1049">
        <f t="shared" ref="CW37" si="61">SUM(CS37:CV37)</f>
        <v>3</v>
      </c>
      <c r="CX37" s="80">
        <v>2</v>
      </c>
      <c r="CY37" s="80">
        <v>-2</v>
      </c>
      <c r="CZ37" s="80">
        <v>0</v>
      </c>
      <c r="DA37" s="80">
        <v>7</v>
      </c>
      <c r="DB37" s="2370">
        <f t="shared" ref="DB37" si="62">SUM(CX37:DA37)</f>
        <v>7</v>
      </c>
      <c r="DC37" s="1124">
        <v>2</v>
      </c>
      <c r="DD37" s="1124">
        <v>2</v>
      </c>
      <c r="DE37" s="1124">
        <v>2</v>
      </c>
      <c r="DF37" s="1124">
        <v>2</v>
      </c>
      <c r="DG37" s="1125">
        <f t="shared" ref="DG37" si="63">SUM(DC37:DF37)</f>
        <v>8</v>
      </c>
      <c r="DH37" s="1124">
        <v>2</v>
      </c>
      <c r="DI37" s="1124">
        <v>2</v>
      </c>
      <c r="DJ37" s="1124">
        <v>2</v>
      </c>
      <c r="DK37" s="1124">
        <v>2</v>
      </c>
      <c r="DL37" s="1125">
        <f t="shared" ref="DL37" si="64">SUM(DH37:DK37)</f>
        <v>8</v>
      </c>
      <c r="DM37" s="1124">
        <v>2</v>
      </c>
      <c r="DN37" s="1124">
        <v>2</v>
      </c>
      <c r="DO37" s="1124">
        <v>2</v>
      </c>
      <c r="DP37" s="1124">
        <v>2</v>
      </c>
      <c r="DQ37" s="1125">
        <f t="shared" ref="DQ37" si="65">SUM(DM37:DP37)</f>
        <v>8</v>
      </c>
      <c r="DR37" s="1124">
        <v>2</v>
      </c>
      <c r="DS37" s="1124">
        <v>2</v>
      </c>
      <c r="DT37" s="1124">
        <v>2</v>
      </c>
      <c r="DU37" s="1124">
        <v>2</v>
      </c>
      <c r="DV37" s="1125">
        <f t="shared" ref="DV37" si="66">SUM(DR37:DU37)</f>
        <v>8</v>
      </c>
      <c r="DW37" s="1124">
        <v>2</v>
      </c>
      <c r="DX37" s="1124">
        <v>2</v>
      </c>
      <c r="DY37" s="1124">
        <v>2</v>
      </c>
      <c r="DZ37" s="1124">
        <v>2</v>
      </c>
      <c r="EA37" s="1125">
        <f t="shared" ref="EA37" si="67">SUM(DW37:DZ37)</f>
        <v>8</v>
      </c>
      <c r="EB37" s="41"/>
      <c r="EC37" s="14" t="s">
        <v>450</v>
      </c>
      <c r="ED37" s="1197">
        <f t="shared" si="56"/>
        <v>7</v>
      </c>
      <c r="EE37" s="1197">
        <v>2</v>
      </c>
      <c r="EF37" s="793">
        <f t="shared" si="43"/>
        <v>5</v>
      </c>
      <c r="EG37" s="1197">
        <f t="shared" si="57"/>
        <v>17</v>
      </c>
      <c r="EH37" s="399">
        <f t="shared" si="44"/>
        <v>-0.58823529411764708</v>
      </c>
      <c r="EI37" s="11">
        <f>30*(1-0.265)</f>
        <v>22.05</v>
      </c>
      <c r="EJ37" s="1019"/>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row>
    <row r="38" spans="1:259" s="337" customFormat="1" x14ac:dyDescent="0.2">
      <c r="A38" s="684" t="s">
        <v>452</v>
      </c>
      <c r="B38" s="1364">
        <f>B22-B24-B25-B26-B28-B36</f>
        <v>146</v>
      </c>
      <c r="C38" s="1364">
        <f>C22-C24-C25-C26-C28-C36</f>
        <v>193</v>
      </c>
      <c r="D38" s="1364">
        <f>D22-D24-D25-D26-D28-D36</f>
        <v>159</v>
      </c>
      <c r="E38" s="1364">
        <f>E22-E24-E25-E26-E28-E36</f>
        <v>164</v>
      </c>
      <c r="F38" s="1404">
        <f>SUM(B38:E38)</f>
        <v>662</v>
      </c>
      <c r="G38" s="1364">
        <f>G22-G24-G25-G26-G28-G36</f>
        <v>138.5</v>
      </c>
      <c r="H38" s="1364">
        <f>H22-H24-H25-H26-H28-H36</f>
        <v>189</v>
      </c>
      <c r="I38" s="1364">
        <f>I22-I24-I25-I26-I28-I36</f>
        <v>219.79999999999995</v>
      </c>
      <c r="J38" s="1364">
        <f>J22-J24-J25-J26-J28-J36</f>
        <v>219.60000000000002</v>
      </c>
      <c r="K38" s="1404">
        <f>SUM(G38:J38)</f>
        <v>766.9</v>
      </c>
      <c r="L38" s="1364">
        <f>L22-L24-L25-L26-L28</f>
        <v>202</v>
      </c>
      <c r="M38" s="1364">
        <f>M22-M24-M25-M26-M28</f>
        <v>214</v>
      </c>
      <c r="N38" s="1364">
        <f>N22-N24-N25-N26-N28</f>
        <v>232</v>
      </c>
      <c r="O38" s="1387">
        <f>O22-O24-O25-O26-O28</f>
        <v>244</v>
      </c>
      <c r="P38" s="1404">
        <f>P22-P24-P25-P26-P28</f>
        <v>892</v>
      </c>
      <c r="Q38" s="1364">
        <f t="shared" ref="Q38:Z38" si="68">Q22-Q24-Q25-Q26-Q28-Q30-Q37</f>
        <v>199</v>
      </c>
      <c r="R38" s="1364">
        <f t="shared" si="68"/>
        <v>226</v>
      </c>
      <c r="S38" s="1364">
        <f t="shared" si="68"/>
        <v>220</v>
      </c>
      <c r="T38" s="1364">
        <f t="shared" si="68"/>
        <v>242</v>
      </c>
      <c r="U38" s="1404">
        <f t="shared" si="68"/>
        <v>887</v>
      </c>
      <c r="V38" s="1797">
        <f t="shared" si="68"/>
        <v>180</v>
      </c>
      <c r="W38" s="1364">
        <f t="shared" si="68"/>
        <v>193</v>
      </c>
      <c r="X38" s="1364">
        <f t="shared" si="68"/>
        <v>222</v>
      </c>
      <c r="Y38" s="1364">
        <f t="shared" si="68"/>
        <v>294</v>
      </c>
      <c r="Z38" s="1404">
        <f t="shared" si="68"/>
        <v>889</v>
      </c>
      <c r="AA38" s="1364">
        <f>AA22-AA24-AA25-AA26-AA28-AA30-AA37-AA35</f>
        <v>215</v>
      </c>
      <c r="AB38" s="1364">
        <f>AB22-AB24-AB25-AB26-AB28-AB30-AB37-AB35</f>
        <v>232</v>
      </c>
      <c r="AC38" s="1364">
        <f>AC22-AC24-AC25-AC26-AC28-AC30-AC37-AC35</f>
        <v>254</v>
      </c>
      <c r="AD38" s="1364">
        <f>AD22-AD24-AD25-AD26-AD28-AD30-AD37-AD35</f>
        <v>302</v>
      </c>
      <c r="AE38" s="1404">
        <f t="shared" ref="AE38:AN38" si="69">AE22-AE24-AE25-AE26-AE28-AE30-AE37-AE35-AE36</f>
        <v>1003</v>
      </c>
      <c r="AF38" s="1797">
        <f t="shared" si="69"/>
        <v>217</v>
      </c>
      <c r="AG38" s="1364">
        <f t="shared" si="69"/>
        <v>257</v>
      </c>
      <c r="AH38" s="1364">
        <f t="shared" si="69"/>
        <v>273</v>
      </c>
      <c r="AI38" s="1387">
        <f t="shared" si="69"/>
        <v>328</v>
      </c>
      <c r="AJ38" s="1404">
        <f t="shared" si="69"/>
        <v>1075</v>
      </c>
      <c r="AK38" s="1364">
        <f t="shared" si="69"/>
        <v>243</v>
      </c>
      <c r="AL38" s="1364">
        <f t="shared" si="69"/>
        <v>261</v>
      </c>
      <c r="AM38" s="1364">
        <f t="shared" si="69"/>
        <v>291</v>
      </c>
      <c r="AN38" s="1364">
        <f t="shared" si="69"/>
        <v>330</v>
      </c>
      <c r="AO38" s="1404">
        <f t="shared" ref="AO38:BT38" si="70">AO22-AO24-AO25-AO26-AO28-AO30-AO37-AO36</f>
        <v>1125</v>
      </c>
      <c r="AP38" s="1364">
        <f t="shared" si="70"/>
        <v>251</v>
      </c>
      <c r="AQ38" s="1364">
        <f t="shared" si="70"/>
        <v>261</v>
      </c>
      <c r="AR38" s="1364">
        <f t="shared" si="70"/>
        <v>308</v>
      </c>
      <c r="AS38" s="1364">
        <f t="shared" si="70"/>
        <v>331</v>
      </c>
      <c r="AT38" s="1404">
        <f t="shared" si="70"/>
        <v>1151</v>
      </c>
      <c r="AU38" s="1364">
        <f t="shared" si="70"/>
        <v>282</v>
      </c>
      <c r="AV38" s="1364">
        <f t="shared" si="70"/>
        <v>307</v>
      </c>
      <c r="AW38" s="1364">
        <f t="shared" si="70"/>
        <v>344</v>
      </c>
      <c r="AX38" s="1364">
        <f t="shared" si="70"/>
        <v>329</v>
      </c>
      <c r="AY38" s="1404">
        <f t="shared" si="70"/>
        <v>1262</v>
      </c>
      <c r="AZ38" s="1364">
        <f t="shared" si="70"/>
        <v>316</v>
      </c>
      <c r="BA38" s="1364">
        <f t="shared" si="70"/>
        <v>310</v>
      </c>
      <c r="BB38" s="1364">
        <f t="shared" si="70"/>
        <v>401</v>
      </c>
      <c r="BC38" s="1364">
        <f t="shared" si="70"/>
        <v>330</v>
      </c>
      <c r="BD38" s="1404">
        <f t="shared" si="70"/>
        <v>1357</v>
      </c>
      <c r="BE38" s="1364">
        <f t="shared" si="70"/>
        <v>426</v>
      </c>
      <c r="BF38" s="1364">
        <f t="shared" si="70"/>
        <v>315</v>
      </c>
      <c r="BG38" s="1364">
        <f t="shared" si="70"/>
        <v>411</v>
      </c>
      <c r="BH38" s="1364">
        <f t="shared" si="70"/>
        <v>363</v>
      </c>
      <c r="BI38" s="1404">
        <f t="shared" si="70"/>
        <v>1515</v>
      </c>
      <c r="BJ38" s="1364">
        <f t="shared" si="70"/>
        <v>351</v>
      </c>
      <c r="BK38" s="1364">
        <f t="shared" si="70"/>
        <v>394</v>
      </c>
      <c r="BL38" s="1364">
        <f t="shared" si="70"/>
        <v>470</v>
      </c>
      <c r="BM38" s="1364">
        <f t="shared" si="70"/>
        <v>375</v>
      </c>
      <c r="BN38" s="1405">
        <f t="shared" si="70"/>
        <v>1590</v>
      </c>
      <c r="BO38" s="1364">
        <f t="shared" si="70"/>
        <v>364</v>
      </c>
      <c r="BP38" s="1364">
        <f t="shared" si="70"/>
        <v>421</v>
      </c>
      <c r="BQ38" s="1364">
        <f t="shared" si="70"/>
        <v>544</v>
      </c>
      <c r="BR38" s="1364">
        <f t="shared" si="70"/>
        <v>440</v>
      </c>
      <c r="BS38" s="1405">
        <f t="shared" si="70"/>
        <v>1769</v>
      </c>
      <c r="BT38" s="1364">
        <f t="shared" si="70"/>
        <v>401</v>
      </c>
      <c r="BU38" s="1364">
        <f t="shared" ref="BU38:CY38" si="71">BU22-BU24-BU25-BU26-BU28-BU30-BU37-BU36</f>
        <v>419</v>
      </c>
      <c r="BV38" s="1364">
        <f t="shared" si="71"/>
        <v>488</v>
      </c>
      <c r="BW38" s="1364">
        <f t="shared" si="71"/>
        <v>507</v>
      </c>
      <c r="BX38" s="1405">
        <f t="shared" si="71"/>
        <v>1815</v>
      </c>
      <c r="BY38" s="1364">
        <f t="shared" si="71"/>
        <v>645</v>
      </c>
      <c r="BZ38" s="1364">
        <f t="shared" si="71"/>
        <v>473</v>
      </c>
      <c r="CA38" s="1364">
        <f t="shared" si="71"/>
        <v>671</v>
      </c>
      <c r="CB38" s="1364">
        <f t="shared" si="71"/>
        <v>505</v>
      </c>
      <c r="CC38" s="1405">
        <f t="shared" si="71"/>
        <v>2294</v>
      </c>
      <c r="CD38" s="1406">
        <f t="shared" si="71"/>
        <v>378.32650000000012</v>
      </c>
      <c r="CE38" s="1406">
        <f t="shared" si="71"/>
        <v>353.70749999999998</v>
      </c>
      <c r="CF38" s="1406">
        <f t="shared" si="71"/>
        <v>389.53749999999991</v>
      </c>
      <c r="CG38" s="1406">
        <f t="shared" si="71"/>
        <v>409.42849999999999</v>
      </c>
      <c r="CH38" s="1800">
        <f t="shared" si="71"/>
        <v>1531</v>
      </c>
      <c r="CI38" s="1407">
        <f t="shared" si="71"/>
        <v>328.18899999999985</v>
      </c>
      <c r="CJ38" s="1408">
        <f t="shared" si="71"/>
        <v>316.75299999999993</v>
      </c>
      <c r="CK38" s="1408">
        <f t="shared" si="71"/>
        <v>403.35500000000002</v>
      </c>
      <c r="CL38" s="1408">
        <f t="shared" si="71"/>
        <v>467.70299999999997</v>
      </c>
      <c r="CM38" s="1409">
        <f t="shared" si="71"/>
        <v>1516</v>
      </c>
      <c r="CN38" s="1407">
        <f t="shared" si="71"/>
        <v>426.57249999999999</v>
      </c>
      <c r="CO38" s="1408">
        <f t="shared" si="71"/>
        <v>282.76600000000008</v>
      </c>
      <c r="CP38" s="1408">
        <f t="shared" si="71"/>
        <v>325.94250000000011</v>
      </c>
      <c r="CQ38" s="1891">
        <f t="shared" si="71"/>
        <v>348</v>
      </c>
      <c r="CR38" s="1946">
        <f>CR22-CR24-CR25-CR26-CR28-CR30-CR37-CR36</f>
        <v>1383.2809999999999</v>
      </c>
      <c r="CS38" s="1310">
        <f t="shared" si="71"/>
        <v>349</v>
      </c>
      <c r="CT38" s="1310">
        <f t="shared" si="71"/>
        <v>416</v>
      </c>
      <c r="CU38" s="2064">
        <f t="shared" si="71"/>
        <v>397</v>
      </c>
      <c r="CV38" s="1056">
        <f>CV22-CV24-CV25-CV26-CV28-CV30-CV37-CV36</f>
        <v>521</v>
      </c>
      <c r="CW38" s="971">
        <f t="shared" si="71"/>
        <v>1683</v>
      </c>
      <c r="CX38" s="65">
        <f t="shared" si="71"/>
        <v>484</v>
      </c>
      <c r="CY38" s="65">
        <f t="shared" si="71"/>
        <v>419</v>
      </c>
      <c r="CZ38" s="65">
        <f>CZ22-CZ24-CZ25-CZ26-CZ28-CZ30-CZ37-CZ36</f>
        <v>643</v>
      </c>
      <c r="DA38" s="65">
        <f t="shared" ref="DA38:DQ38" si="72">DA22-DA24-DA25-DA26-DA28-DA30-DA37-DA36</f>
        <v>1215</v>
      </c>
      <c r="DB38" s="437">
        <f>DB22-DB24-DB25-DB26-DB28-DB30-DB37-DB36</f>
        <v>2761</v>
      </c>
      <c r="DC38" s="65">
        <f t="shared" si="72"/>
        <v>382.98668293142663</v>
      </c>
      <c r="DD38" s="65">
        <f t="shared" si="72"/>
        <v>403.03868294087664</v>
      </c>
      <c r="DE38" s="65">
        <f t="shared" si="72"/>
        <v>437.10979028617669</v>
      </c>
      <c r="DF38" s="65">
        <f t="shared" si="72"/>
        <v>506.79193321510422</v>
      </c>
      <c r="DG38" s="437">
        <f>DG22-DG24-DG25-DG26-DG28-DG30-DG37-DG36</f>
        <v>1729.9270893735838</v>
      </c>
      <c r="DH38" s="65">
        <f t="shared" si="72"/>
        <v>423.7701717640665</v>
      </c>
      <c r="DI38" s="65">
        <f t="shared" si="72"/>
        <v>445.26211901428735</v>
      </c>
      <c r="DJ38" s="65">
        <f t="shared" si="72"/>
        <v>484.21032773130889</v>
      </c>
      <c r="DK38" s="65">
        <f t="shared" si="72"/>
        <v>563.5888243330561</v>
      </c>
      <c r="DL38" s="437">
        <f t="shared" si="72"/>
        <v>1916.8314428427188</v>
      </c>
      <c r="DM38" s="65">
        <f t="shared" si="72"/>
        <v>441.71079082116762</v>
      </c>
      <c r="DN38" s="65">
        <f t="shared" si="72"/>
        <v>468.81057535815313</v>
      </c>
      <c r="DO38" s="65">
        <f t="shared" si="72"/>
        <v>516.5565941528231</v>
      </c>
      <c r="DP38" s="65">
        <f t="shared" si="72"/>
        <v>609.74454418099788</v>
      </c>
      <c r="DQ38" s="437">
        <f t="shared" si="72"/>
        <v>2036.8225045131421</v>
      </c>
      <c r="DR38" s="65">
        <f t="shared" ref="DR38:EA38" si="73">DR22-DR24-DR25-DR26-DR28-DR30-DR37-DR36</f>
        <v>478.11412326315411</v>
      </c>
      <c r="DS38" s="65">
        <f t="shared" si="73"/>
        <v>506.45053680814465</v>
      </c>
      <c r="DT38" s="65">
        <f t="shared" si="73"/>
        <v>558.73701193476688</v>
      </c>
      <c r="DU38" s="65">
        <f t="shared" si="73"/>
        <v>660.27304148395376</v>
      </c>
      <c r="DV38" s="437">
        <f t="shared" si="73"/>
        <v>2203.5747134900193</v>
      </c>
      <c r="DW38" s="65">
        <f t="shared" si="73"/>
        <v>514.79684077725142</v>
      </c>
      <c r="DX38" s="65">
        <f t="shared" si="73"/>
        <v>545.12985352469502</v>
      </c>
      <c r="DY38" s="65">
        <f t="shared" si="73"/>
        <v>603.4597854851927</v>
      </c>
      <c r="DZ38" s="65">
        <f t="shared" si="73"/>
        <v>714.23174828714809</v>
      </c>
      <c r="EA38" s="437">
        <f t="shared" si="73"/>
        <v>2377.6182280742869</v>
      </c>
      <c r="EB38" s="41"/>
      <c r="EC38" s="26" t="s">
        <v>452</v>
      </c>
      <c r="ED38" s="1199">
        <f t="shared" si="56"/>
        <v>1215</v>
      </c>
      <c r="EE38" s="1199">
        <v>467.06682285306562</v>
      </c>
      <c r="EF38" s="794">
        <f t="shared" si="43"/>
        <v>747.93317714693444</v>
      </c>
      <c r="EG38" s="1199">
        <f t="shared" si="57"/>
        <v>521</v>
      </c>
      <c r="EH38" s="637">
        <f t="shared" si="44"/>
        <v>1.3320537428023034</v>
      </c>
      <c r="EI38" s="11"/>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row>
    <row r="39" spans="1:259" s="337" customFormat="1" x14ac:dyDescent="0.2">
      <c r="A39" s="431" t="s">
        <v>221</v>
      </c>
      <c r="B39" s="1772"/>
      <c r="C39" s="1357"/>
      <c r="D39" s="1357"/>
      <c r="E39" s="1357"/>
      <c r="F39" s="1418">
        <f t="shared" ref="F39:AK39" si="74">F38+F56</f>
        <v>846</v>
      </c>
      <c r="G39" s="1772">
        <f t="shared" si="74"/>
        <v>138.5</v>
      </c>
      <c r="H39" s="1358">
        <f t="shared" si="74"/>
        <v>189</v>
      </c>
      <c r="I39" s="1358">
        <f t="shared" si="74"/>
        <v>214.79999999999995</v>
      </c>
      <c r="J39" s="1394">
        <f t="shared" si="74"/>
        <v>239.60000000000002</v>
      </c>
      <c r="K39" s="1361">
        <f t="shared" si="74"/>
        <v>781.9</v>
      </c>
      <c r="L39" s="1357">
        <f t="shared" si="74"/>
        <v>202</v>
      </c>
      <c r="M39" s="1357">
        <f t="shared" si="74"/>
        <v>216</v>
      </c>
      <c r="N39" s="1357">
        <f t="shared" si="74"/>
        <v>229</v>
      </c>
      <c r="O39" s="1361">
        <f t="shared" si="74"/>
        <v>280</v>
      </c>
      <c r="P39" s="1418">
        <f t="shared" si="74"/>
        <v>927</v>
      </c>
      <c r="Q39" s="1772">
        <f t="shared" si="74"/>
        <v>203</v>
      </c>
      <c r="R39" s="1357">
        <f t="shared" si="74"/>
        <v>298</v>
      </c>
      <c r="S39" s="1357">
        <f t="shared" si="74"/>
        <v>312</v>
      </c>
      <c r="T39" s="1361">
        <f t="shared" si="74"/>
        <v>278</v>
      </c>
      <c r="U39" s="1418">
        <f t="shared" si="74"/>
        <v>1091</v>
      </c>
      <c r="V39" s="1772">
        <f t="shared" si="74"/>
        <v>182</v>
      </c>
      <c r="W39" s="1357">
        <f t="shared" si="74"/>
        <v>189</v>
      </c>
      <c r="X39" s="1357">
        <f t="shared" si="74"/>
        <v>222</v>
      </c>
      <c r="Y39" s="1361">
        <f t="shared" si="74"/>
        <v>286</v>
      </c>
      <c r="Z39" s="1418">
        <f t="shared" si="74"/>
        <v>879</v>
      </c>
      <c r="AA39" s="1357">
        <f t="shared" si="74"/>
        <v>204</v>
      </c>
      <c r="AB39" s="1357">
        <f t="shared" si="74"/>
        <v>223</v>
      </c>
      <c r="AC39" s="1357">
        <f t="shared" si="74"/>
        <v>250</v>
      </c>
      <c r="AD39" s="1361">
        <f t="shared" si="74"/>
        <v>299</v>
      </c>
      <c r="AE39" s="1418">
        <f t="shared" si="74"/>
        <v>976</v>
      </c>
      <c r="AF39" s="1772">
        <f t="shared" si="74"/>
        <v>217</v>
      </c>
      <c r="AG39" s="1357">
        <f t="shared" si="74"/>
        <v>294</v>
      </c>
      <c r="AH39" s="1357">
        <f t="shared" si="74"/>
        <v>277</v>
      </c>
      <c r="AI39" s="1361">
        <f t="shared" si="74"/>
        <v>303</v>
      </c>
      <c r="AJ39" s="1418">
        <f t="shared" si="74"/>
        <v>1091</v>
      </c>
      <c r="AK39" s="1357">
        <f t="shared" si="74"/>
        <v>243</v>
      </c>
      <c r="AL39" s="1357">
        <f t="shared" ref="AL39:BC39" si="75">AL38+AL56</f>
        <v>247</v>
      </c>
      <c r="AM39" s="1357">
        <f t="shared" si="75"/>
        <v>291</v>
      </c>
      <c r="AN39" s="1361">
        <f t="shared" si="75"/>
        <v>314</v>
      </c>
      <c r="AO39" s="1418">
        <f t="shared" si="75"/>
        <v>1095</v>
      </c>
      <c r="AP39" s="1357">
        <f t="shared" si="75"/>
        <v>251</v>
      </c>
      <c r="AQ39" s="1357">
        <f t="shared" si="75"/>
        <v>261</v>
      </c>
      <c r="AR39" s="1357">
        <f t="shared" si="75"/>
        <v>306</v>
      </c>
      <c r="AS39" s="1361">
        <f t="shared" si="75"/>
        <v>329</v>
      </c>
      <c r="AT39" s="1418">
        <f t="shared" si="75"/>
        <v>1147</v>
      </c>
      <c r="AU39" s="1357">
        <f t="shared" si="75"/>
        <v>282</v>
      </c>
      <c r="AV39" s="1357">
        <f t="shared" si="75"/>
        <v>307</v>
      </c>
      <c r="AW39" s="1357">
        <f t="shared" si="75"/>
        <v>344</v>
      </c>
      <c r="AX39" s="1361">
        <f t="shared" si="75"/>
        <v>329</v>
      </c>
      <c r="AY39" s="1418">
        <f t="shared" si="75"/>
        <v>1262</v>
      </c>
      <c r="AZ39" s="1357">
        <f t="shared" si="75"/>
        <v>316</v>
      </c>
      <c r="BA39" s="1357">
        <f t="shared" si="75"/>
        <v>310</v>
      </c>
      <c r="BB39" s="1357">
        <f t="shared" si="75"/>
        <v>401</v>
      </c>
      <c r="BC39" s="1361">
        <f t="shared" si="75"/>
        <v>330</v>
      </c>
      <c r="BD39" s="1418">
        <f>SUM(AZ39:BC39)</f>
        <v>1357</v>
      </c>
      <c r="BE39" s="1357">
        <f>BE38+BE56</f>
        <v>358</v>
      </c>
      <c r="BF39" s="1357">
        <f>BF38+BF56</f>
        <v>318</v>
      </c>
      <c r="BG39" s="1357">
        <f>BG38+BG56</f>
        <v>411</v>
      </c>
      <c r="BH39" s="1361">
        <f>BH38+BH56</f>
        <v>389</v>
      </c>
      <c r="BI39" s="1418">
        <f>SUM(BE39:BH39)</f>
        <v>1476</v>
      </c>
      <c r="BJ39" s="1357">
        <f>BJ38+BJ56</f>
        <v>368</v>
      </c>
      <c r="BK39" s="1357">
        <f>BK38+BK56</f>
        <v>334</v>
      </c>
      <c r="BL39" s="1357">
        <f>BL38+BL56</f>
        <v>473</v>
      </c>
      <c r="BM39" s="1361">
        <f>BM38+BM56</f>
        <v>397</v>
      </c>
      <c r="BN39" s="1419">
        <f>SUM(BJ39:BM39)</f>
        <v>1572</v>
      </c>
      <c r="BO39" s="1357">
        <f>BO38-BO149</f>
        <v>423</v>
      </c>
      <c r="BP39" s="1357">
        <f>BP38-BP149</f>
        <v>415</v>
      </c>
      <c r="BQ39" s="1357">
        <f>BQ38-BQ149</f>
        <v>542</v>
      </c>
      <c r="BR39" s="1361">
        <f>BR38-BR149</f>
        <v>407</v>
      </c>
      <c r="BS39" s="1419">
        <f>SUM(BO39:BR39)</f>
        <v>1787</v>
      </c>
      <c r="BT39" s="1357">
        <f>BT38-BT149</f>
        <v>466</v>
      </c>
      <c r="BU39" s="1357">
        <f>BU38-BU149</f>
        <v>425</v>
      </c>
      <c r="BV39" s="1357">
        <f>BV38-BV149</f>
        <v>500</v>
      </c>
      <c r="BW39" s="1361">
        <f>BW38-BW149</f>
        <v>535</v>
      </c>
      <c r="BX39" s="1419">
        <f>BX38+BX56</f>
        <v>1926</v>
      </c>
      <c r="BY39" s="1357">
        <f>BY38-BY149</f>
        <v>523</v>
      </c>
      <c r="BZ39" s="1357">
        <f>BZ38-BZ149</f>
        <v>457</v>
      </c>
      <c r="CA39" s="1357">
        <f>CA38-CA149</f>
        <v>667</v>
      </c>
      <c r="CB39" s="1357">
        <f>CB38-CB149</f>
        <v>519</v>
      </c>
      <c r="CC39" s="1419">
        <f>SUM(BY39:CB39)</f>
        <v>2166</v>
      </c>
      <c r="CD39" s="1400">
        <f>CD38-CD149</f>
        <v>361.32650000000012</v>
      </c>
      <c r="CE39" s="1400">
        <f>CE38-CE149</f>
        <v>340.70749999999998</v>
      </c>
      <c r="CF39" s="1400">
        <f>CF38-CF149</f>
        <v>375.53749999999991</v>
      </c>
      <c r="CG39" s="1400">
        <f>CG38-CG149</f>
        <v>409.42849999999999</v>
      </c>
      <c r="CH39" s="1871">
        <f>SUM(CD39:CG39)</f>
        <v>1487</v>
      </c>
      <c r="CI39" s="1371">
        <f>CI38-CI149</f>
        <v>326.18899999999985</v>
      </c>
      <c r="CJ39" s="1395">
        <f>CJ38-CJ149</f>
        <v>315.75299999999993</v>
      </c>
      <c r="CK39" s="1395">
        <f>CK38-CK149</f>
        <v>395.35500000000002</v>
      </c>
      <c r="CL39" s="1395">
        <f>CL38-CL149</f>
        <v>472.60299999999995</v>
      </c>
      <c r="CM39" s="1421">
        <f>SUM(CI39:CL39)</f>
        <v>1509.8999999999996</v>
      </c>
      <c r="CN39" s="1371">
        <f>CN38-CN149</f>
        <v>426.57249999999999</v>
      </c>
      <c r="CO39" s="1395">
        <f>CO38-CO149</f>
        <v>359.51600000000008</v>
      </c>
      <c r="CP39" s="1395">
        <f>CP38-CP149</f>
        <v>348.19250000000011</v>
      </c>
      <c r="CQ39" s="1007">
        <f>CQ161</f>
        <v>341</v>
      </c>
      <c r="CR39" s="1939">
        <f>CR161</f>
        <v>1475.2809999999999</v>
      </c>
      <c r="CS39" s="1007">
        <f>CS159</f>
        <v>358</v>
      </c>
      <c r="CT39" s="1007">
        <f t="shared" ref="CT39:CV39" si="76">CT159</f>
        <v>376</v>
      </c>
      <c r="CU39" s="1007">
        <f t="shared" si="76"/>
        <v>407</v>
      </c>
      <c r="CV39" s="1007">
        <f t="shared" si="76"/>
        <v>507</v>
      </c>
      <c r="CW39" s="82">
        <f>SUM(CS39:CV39)</f>
        <v>1648</v>
      </c>
      <c r="CX39" s="71">
        <f>CX38-CX149</f>
        <v>385</v>
      </c>
      <c r="CY39" s="71">
        <f>CY38-CY149</f>
        <v>439</v>
      </c>
      <c r="CZ39" s="71">
        <f>CZ38-CZ149</f>
        <v>453</v>
      </c>
      <c r="DA39" s="71">
        <f>DA38-DA149</f>
        <v>483</v>
      </c>
      <c r="DB39" s="438">
        <f>SUM(CX39:DA39)</f>
        <v>1760</v>
      </c>
      <c r="DC39" s="71">
        <f>DC38-DC149</f>
        <v>397.98668293142663</v>
      </c>
      <c r="DD39" s="71">
        <f>DD38-DD149</f>
        <v>418.03868294087664</v>
      </c>
      <c r="DE39" s="71">
        <f>DE38-DE149</f>
        <v>452.10979028617669</v>
      </c>
      <c r="DF39" s="71">
        <f>DF38-DF149</f>
        <v>521.79193321510422</v>
      </c>
      <c r="DG39" s="438">
        <f>SUM(DC39:DF39)</f>
        <v>1789.9270893735843</v>
      </c>
      <c r="DH39" s="71">
        <f>DH38-DH149</f>
        <v>423.7701717640665</v>
      </c>
      <c r="DI39" s="71">
        <f>DI38-DI149</f>
        <v>445.26211901428735</v>
      </c>
      <c r="DJ39" s="71">
        <f>DJ38-DJ149</f>
        <v>484.21032773130889</v>
      </c>
      <c r="DK39" s="71">
        <f>DK38-DK149</f>
        <v>563.5888243330561</v>
      </c>
      <c r="DL39" s="438">
        <f>SUM(DH39:DK39)</f>
        <v>1916.8314428427188</v>
      </c>
      <c r="DM39" s="71">
        <f>DM38-DM149</f>
        <v>441.71079082116762</v>
      </c>
      <c r="DN39" s="71">
        <f>DN38-DN149</f>
        <v>468.81057535815313</v>
      </c>
      <c r="DO39" s="71">
        <f>DO38-DO149</f>
        <v>516.5565941528231</v>
      </c>
      <c r="DP39" s="71">
        <f>DP38-DP149</f>
        <v>609.74454418099788</v>
      </c>
      <c r="DQ39" s="438">
        <f>SUM(DM39:DP39)</f>
        <v>2036.8225045131417</v>
      </c>
      <c r="DR39" s="71">
        <f>DR38-DR149</f>
        <v>478.11412326315411</v>
      </c>
      <c r="DS39" s="71">
        <f>DS38-DS149</f>
        <v>506.45053680814465</v>
      </c>
      <c r="DT39" s="71">
        <f>DT38-DT149</f>
        <v>558.73701193476688</v>
      </c>
      <c r="DU39" s="71">
        <f>DU38-DU149</f>
        <v>660.27304148395376</v>
      </c>
      <c r="DV39" s="438">
        <f>SUM(DR39:DU39)</f>
        <v>2203.5747134900193</v>
      </c>
      <c r="DW39" s="71">
        <f>DW38-DW149</f>
        <v>514.79684077725142</v>
      </c>
      <c r="DX39" s="71">
        <f>DX38-DX149</f>
        <v>545.12985352469502</v>
      </c>
      <c r="DY39" s="71">
        <f>DY38-DY149</f>
        <v>603.4597854851927</v>
      </c>
      <c r="DZ39" s="71">
        <f>DZ38-DZ149</f>
        <v>714.23174828714809</v>
      </c>
      <c r="EA39" s="438">
        <f>SUM(DW39:DZ39)</f>
        <v>2377.6182280742873</v>
      </c>
      <c r="EB39" s="41"/>
      <c r="EC39" s="14" t="s">
        <v>221</v>
      </c>
      <c r="ED39" s="354">
        <f t="shared" si="56"/>
        <v>483</v>
      </c>
      <c r="EE39" s="354">
        <v>486.06682285306562</v>
      </c>
      <c r="EF39" s="793">
        <f>ED39-EE39</f>
        <v>-3.0668228530656165</v>
      </c>
      <c r="EG39" s="354">
        <f t="shared" si="57"/>
        <v>507</v>
      </c>
      <c r="EH39" s="399">
        <f>ED39/EG39-1</f>
        <v>-4.7337278106508895E-2</v>
      </c>
      <c r="EI39" s="1931">
        <v>-4</v>
      </c>
      <c r="EK39"/>
      <c r="EL39"/>
      <c r="EM39"/>
      <c r="EN39"/>
      <c r="EO39"/>
      <c r="EP39"/>
      <c r="EQ39" s="844"/>
      <c r="ER39" s="844"/>
      <c r="ES39" s="844"/>
      <c r="ET39" s="844"/>
      <c r="EU39" s="844"/>
      <c r="EV39" s="844"/>
      <c r="EW39" s="844"/>
      <c r="EX39" s="844"/>
      <c r="EY39" s="844"/>
      <c r="EZ39" s="844"/>
      <c r="FA39" s="844"/>
      <c r="FB39" s="844"/>
      <c r="FC39" s="844"/>
      <c r="FD39" s="844"/>
      <c r="FE39" s="844"/>
      <c r="FF39" s="844"/>
      <c r="FG39" s="844"/>
      <c r="FH39" s="844"/>
      <c r="FI39" s="844"/>
      <c r="FJ39" s="844"/>
      <c r="FK39" s="844"/>
      <c r="FL39" s="844"/>
      <c r="FM39" s="844"/>
      <c r="FN39" s="844"/>
      <c r="FO39" s="844"/>
      <c r="FP39" s="844"/>
      <c r="FQ39" s="844"/>
      <c r="FR39" s="844"/>
      <c r="FS39" s="844"/>
      <c r="FT39" s="844"/>
      <c r="FU39" s="844"/>
      <c r="FV39" s="844"/>
      <c r="FW39" s="844"/>
      <c r="FX39" s="844"/>
      <c r="FY39" s="844"/>
      <c r="FZ39" s="844"/>
      <c r="GA39" s="844"/>
      <c r="GB39" s="844"/>
      <c r="GC39" s="844"/>
      <c r="GD39" s="844"/>
      <c r="GE39" s="844"/>
      <c r="GF39" s="844"/>
      <c r="GG39" s="844"/>
      <c r="GH39" s="844"/>
      <c r="GI39" s="844"/>
      <c r="GJ39" s="844"/>
      <c r="GK39" s="844"/>
      <c r="GL39" s="844"/>
      <c r="GM39" s="844"/>
      <c r="GN39" s="844"/>
      <c r="GO39" s="844"/>
      <c r="GP39" s="844"/>
      <c r="GQ39" s="844"/>
      <c r="GR39" s="844"/>
      <c r="GS39" s="844"/>
      <c r="GT39" s="844"/>
      <c r="GU39" s="844"/>
      <c r="GV39" s="844"/>
      <c r="GW39" s="844"/>
      <c r="GX39" s="844"/>
      <c r="GY39" s="844"/>
      <c r="GZ39" s="844"/>
      <c r="HA39" s="844"/>
      <c r="HB39" s="844"/>
      <c r="HC39" s="844"/>
      <c r="HD39" s="844"/>
      <c r="HE39" s="844"/>
      <c r="HF39" s="844"/>
      <c r="HG39" s="844"/>
      <c r="HH39" s="844"/>
      <c r="HI39" s="844"/>
      <c r="HJ39" s="844"/>
      <c r="HK39" s="844"/>
      <c r="HL39" s="844"/>
      <c r="HM39" s="844"/>
      <c r="HN39" s="844"/>
      <c r="HO39" s="844"/>
      <c r="HP39" s="844"/>
      <c r="HQ39" s="844"/>
      <c r="HR39" s="844"/>
      <c r="HS39" s="844"/>
      <c r="HT39" s="844"/>
      <c r="HU39" s="844"/>
      <c r="HV39" s="844"/>
      <c r="HW39" s="844"/>
      <c r="HX39" s="844"/>
      <c r="HY39" s="844"/>
      <c r="HZ39" s="844"/>
      <c r="IA39" s="844"/>
      <c r="IB39" s="844"/>
      <c r="IC39" s="844"/>
      <c r="ID39" s="844"/>
      <c r="IE39" s="844"/>
      <c r="IF39" s="844"/>
      <c r="IG39" s="844"/>
      <c r="IH39" s="844"/>
      <c r="II39" s="844"/>
      <c r="IJ39" s="844"/>
      <c r="IK39" s="844"/>
      <c r="IL39" s="844"/>
      <c r="IM39" s="844"/>
      <c r="IN39" s="844"/>
      <c r="IO39" s="844"/>
      <c r="IP39" s="844"/>
      <c r="IQ39" s="844"/>
      <c r="IR39" s="844"/>
      <c r="IS39" s="844"/>
      <c r="IT39" s="844"/>
      <c r="IU39" s="844"/>
      <c r="IV39" s="844"/>
      <c r="IW39" s="844"/>
      <c r="IX39" s="844"/>
      <c r="IY39" s="844"/>
    </row>
    <row r="40" spans="1:259" s="340" customFormat="1" x14ac:dyDescent="0.2">
      <c r="A40" s="684" t="s">
        <v>661</v>
      </c>
      <c r="B40" s="1364"/>
      <c r="C40" s="1364"/>
      <c r="D40" s="1364"/>
      <c r="E40" s="1364"/>
      <c r="F40" s="1404"/>
      <c r="G40" s="1364"/>
      <c r="H40" s="1364"/>
      <c r="I40" s="1364"/>
      <c r="J40" s="1364"/>
      <c r="K40" s="1387"/>
      <c r="L40" s="1364"/>
      <c r="M40" s="1364"/>
      <c r="N40" s="1364"/>
      <c r="O40" s="1387"/>
      <c r="P40" s="1404"/>
      <c r="Q40" s="1364"/>
      <c r="R40" s="1364"/>
      <c r="S40" s="1364"/>
      <c r="T40" s="1364"/>
      <c r="U40" s="1404"/>
      <c r="V40" s="1797"/>
      <c r="W40" s="1364"/>
      <c r="X40" s="1364"/>
      <c r="Y40" s="1364"/>
      <c r="Z40" s="1404"/>
      <c r="AA40" s="1364"/>
      <c r="AB40" s="1364"/>
      <c r="AC40" s="1364"/>
      <c r="AD40" s="1364"/>
      <c r="AE40" s="1404"/>
      <c r="AF40" s="1797"/>
      <c r="AG40" s="1364"/>
      <c r="AH40" s="1364"/>
      <c r="AI40" s="1387"/>
      <c r="AJ40" s="1404"/>
      <c r="AK40" s="1364"/>
      <c r="AL40" s="1364"/>
      <c r="AM40" s="1364"/>
      <c r="AN40" s="1364"/>
      <c r="AO40" s="1404"/>
      <c r="AP40" s="1364"/>
      <c r="AQ40" s="1364"/>
      <c r="AR40" s="1364"/>
      <c r="AS40" s="1364"/>
      <c r="AT40" s="1404"/>
      <c r="AU40" s="1364"/>
      <c r="AV40" s="1364"/>
      <c r="AW40" s="1364"/>
      <c r="AX40" s="1364"/>
      <c r="AY40" s="1404"/>
      <c r="AZ40" s="1364"/>
      <c r="BA40" s="1364"/>
      <c r="BB40" s="1364"/>
      <c r="BC40" s="1364"/>
      <c r="BD40" s="1404"/>
      <c r="BE40" s="1364"/>
      <c r="BF40" s="1364"/>
      <c r="BG40" s="1364"/>
      <c r="BH40" s="1364"/>
      <c r="BI40" s="1404"/>
      <c r="BJ40" s="1364"/>
      <c r="BK40" s="1364"/>
      <c r="BL40" s="1364"/>
      <c r="BM40" s="1364"/>
      <c r="BN40" s="1405"/>
      <c r="BO40" s="1364"/>
      <c r="BP40" s="1364"/>
      <c r="BQ40" s="1364"/>
      <c r="BR40" s="1364"/>
      <c r="BS40" s="1405"/>
      <c r="BT40" s="1364"/>
      <c r="BU40" s="1364"/>
      <c r="BV40" s="1364"/>
      <c r="BW40" s="1364"/>
      <c r="BX40" s="1405"/>
      <c r="BY40" s="1364"/>
      <c r="BZ40" s="1364"/>
      <c r="CA40" s="1364"/>
      <c r="CB40" s="1364"/>
      <c r="CC40" s="1405"/>
      <c r="CD40" s="1406"/>
      <c r="CE40" s="1406"/>
      <c r="CF40" s="1406"/>
      <c r="CG40" s="1406"/>
      <c r="CH40" s="1800"/>
      <c r="CI40" s="1407">
        <v>326.18899999999985</v>
      </c>
      <c r="CJ40" s="1407">
        <v>315.75299999999993</v>
      </c>
      <c r="CK40" s="1407">
        <v>395.35500000000002</v>
      </c>
      <c r="CL40" s="1407">
        <v>472.60299999999995</v>
      </c>
      <c r="CM40" s="1410">
        <f>SUM(CI40:CL40)</f>
        <v>1509.8999999999996</v>
      </c>
      <c r="CN40" s="1407">
        <v>426.57249999999999</v>
      </c>
      <c r="CO40" s="1407">
        <v>359.51600000000008</v>
      </c>
      <c r="CP40" s="1407">
        <v>348.19250000000011</v>
      </c>
      <c r="CQ40" s="1310">
        <v>341</v>
      </c>
      <c r="CR40" s="1946">
        <f>CR39</f>
        <v>1475.2809999999999</v>
      </c>
      <c r="CS40" s="1310">
        <f>CS161</f>
        <v>373</v>
      </c>
      <c r="CT40" s="1310">
        <f t="shared" ref="CT40:CV40" si="77">CT161</f>
        <v>389</v>
      </c>
      <c r="CU40" s="1310">
        <f t="shared" si="77"/>
        <v>416</v>
      </c>
      <c r="CV40" s="1067">
        <f t="shared" si="77"/>
        <v>517</v>
      </c>
      <c r="CW40" s="81">
        <f>SUM(CS40:CV40)</f>
        <v>1695</v>
      </c>
      <c r="CX40" s="1013">
        <f>CX161</f>
        <v>390</v>
      </c>
      <c r="CY40" s="1013">
        <f>CY161</f>
        <v>445</v>
      </c>
      <c r="CZ40" s="1013">
        <f>CZ161</f>
        <v>451</v>
      </c>
      <c r="DA40" s="1013">
        <f>DA161</f>
        <v>474</v>
      </c>
      <c r="DB40" s="81">
        <f>SUM(CX40:DA40)</f>
        <v>1760</v>
      </c>
      <c r="DC40" s="1932">
        <v>387.65829426909255</v>
      </c>
      <c r="DD40" s="1932">
        <v>412.51570206030067</v>
      </c>
      <c r="DE40" s="1932">
        <v>448.04747912465211</v>
      </c>
      <c r="DF40" s="1932">
        <v>515.14365949246007</v>
      </c>
      <c r="DG40" s="1933">
        <f>SUM(DC40:DF40)</f>
        <v>1763.3651349465056</v>
      </c>
      <c r="DH40" s="1932">
        <v>423.7701717640665</v>
      </c>
      <c r="DI40" s="1932">
        <v>445.26211901428735</v>
      </c>
      <c r="DJ40" s="1932">
        <v>484.21032773130889</v>
      </c>
      <c r="DK40" s="1932">
        <v>563.5888243330561</v>
      </c>
      <c r="DL40" s="1933">
        <f>SUM(DH40:DK40)</f>
        <v>1916.8314428427188</v>
      </c>
      <c r="DM40" s="1932">
        <v>441.71079082116762</v>
      </c>
      <c r="DN40" s="1932">
        <v>468.81057535815313</v>
      </c>
      <c r="DO40" s="1932">
        <v>516.5565941528231</v>
      </c>
      <c r="DP40" s="1932">
        <v>609.74454418099788</v>
      </c>
      <c r="DQ40" s="1933">
        <f>SUM(DM40:DP40)</f>
        <v>2036.8225045131417</v>
      </c>
      <c r="DR40" s="1932">
        <v>478.11412326315411</v>
      </c>
      <c r="DS40" s="1932">
        <v>506.45053680814465</v>
      </c>
      <c r="DT40" s="1932">
        <v>558.73701193476688</v>
      </c>
      <c r="DU40" s="1932">
        <v>660.27304148395376</v>
      </c>
      <c r="DV40" s="1933">
        <f>SUM(DR40:DU40)</f>
        <v>2203.5747134900193</v>
      </c>
      <c r="DW40" s="1932">
        <v>514.79684077725142</v>
      </c>
      <c r="DX40" s="1932">
        <v>545.12985352469502</v>
      </c>
      <c r="DY40" s="1932">
        <v>603.4597854851927</v>
      </c>
      <c r="DZ40" s="1932">
        <v>714.23174828714809</v>
      </c>
      <c r="EA40" s="1933">
        <f>SUM(DW40:DZ40)</f>
        <v>2377.6182280742873</v>
      </c>
      <c r="EB40" s="1930"/>
      <c r="EC40" s="2378" t="s">
        <v>661</v>
      </c>
      <c r="ED40" s="1199">
        <f t="shared" si="56"/>
        <v>474</v>
      </c>
      <c r="EE40" s="1199">
        <v>484.06908267016598</v>
      </c>
      <c r="EF40" s="794">
        <f>ED40-EE40</f>
        <v>-10.069082670165983</v>
      </c>
      <c r="EG40" s="354">
        <f t="shared" si="57"/>
        <v>517</v>
      </c>
      <c r="EH40" s="399">
        <f>ED40/EG40-1</f>
        <v>-8.3172147001934205E-2</v>
      </c>
      <c r="EI40" s="18"/>
      <c r="EK40"/>
      <c r="EL40"/>
      <c r="EM40"/>
      <c r="EN40"/>
      <c r="EO40"/>
      <c r="EP40"/>
      <c r="EQ40" s="855"/>
      <c r="ER40" s="855"/>
      <c r="ES40" s="855"/>
      <c r="ET40" s="855"/>
      <c r="EU40" s="855"/>
      <c r="EV40" s="855"/>
      <c r="EW40" s="855"/>
      <c r="EX40" s="855"/>
      <c r="EY40" s="855"/>
      <c r="EZ40" s="855"/>
      <c r="FA40" s="855"/>
      <c r="FB40" s="855"/>
      <c r="FC40" s="855"/>
      <c r="FD40" s="855"/>
      <c r="FE40" s="855"/>
      <c r="FF40" s="855"/>
      <c r="FG40" s="855"/>
      <c r="FH40" s="855"/>
      <c r="FI40" s="855"/>
      <c r="FJ40" s="855"/>
      <c r="FK40" s="855"/>
      <c r="FL40" s="855"/>
      <c r="FM40" s="855"/>
      <c r="FN40" s="855"/>
      <c r="FO40" s="855"/>
      <c r="FP40" s="855"/>
      <c r="FQ40" s="855"/>
      <c r="FR40" s="855"/>
      <c r="FS40" s="855"/>
      <c r="FT40" s="855"/>
      <c r="FU40" s="855"/>
      <c r="FV40" s="855"/>
      <c r="FW40" s="855"/>
      <c r="FX40" s="855"/>
      <c r="FY40" s="855"/>
      <c r="FZ40" s="855"/>
      <c r="GA40" s="855"/>
      <c r="GB40" s="855"/>
      <c r="GC40" s="855"/>
      <c r="GD40" s="855"/>
      <c r="GE40" s="855"/>
      <c r="GF40" s="855"/>
      <c r="GG40" s="855"/>
      <c r="GH40" s="855"/>
      <c r="GI40" s="855"/>
      <c r="GJ40" s="855"/>
      <c r="GK40" s="855"/>
      <c r="GL40" s="855"/>
      <c r="GM40" s="855"/>
      <c r="GN40" s="855"/>
      <c r="GO40" s="855"/>
      <c r="GP40" s="855"/>
      <c r="GQ40" s="855"/>
      <c r="GR40" s="855"/>
      <c r="GS40" s="855"/>
      <c r="GT40" s="855"/>
      <c r="GU40" s="855"/>
      <c r="GV40" s="855"/>
      <c r="GW40" s="855"/>
      <c r="GX40" s="855"/>
      <c r="GY40" s="855"/>
      <c r="GZ40" s="855"/>
      <c r="HA40" s="855"/>
      <c r="HB40" s="855"/>
      <c r="HC40" s="855"/>
      <c r="HD40" s="855"/>
      <c r="HE40" s="855"/>
      <c r="HF40" s="855"/>
      <c r="HG40" s="855"/>
      <c r="HH40" s="855"/>
      <c r="HI40" s="855"/>
      <c r="HJ40" s="855"/>
      <c r="HK40" s="855"/>
      <c r="HL40" s="855"/>
      <c r="HM40" s="855"/>
      <c r="HN40" s="855"/>
      <c r="HO40" s="855"/>
      <c r="HP40" s="855"/>
      <c r="HQ40" s="855"/>
      <c r="HR40" s="855"/>
      <c r="HS40" s="855"/>
      <c r="HT40" s="855"/>
      <c r="HU40" s="855"/>
      <c r="HV40" s="855"/>
      <c r="HW40" s="855"/>
      <c r="HX40" s="855"/>
      <c r="HY40" s="855"/>
      <c r="HZ40" s="855"/>
      <c r="IA40" s="855"/>
      <c r="IB40" s="855"/>
      <c r="IC40" s="855"/>
      <c r="ID40" s="855"/>
      <c r="IE40" s="855"/>
      <c r="IF40" s="855"/>
      <c r="IG40" s="855"/>
      <c r="IH40" s="855"/>
      <c r="II40" s="855"/>
      <c r="IJ40" s="855"/>
      <c r="IK40" s="855"/>
      <c r="IL40" s="855"/>
      <c r="IM40" s="855"/>
      <c r="IN40" s="855"/>
      <c r="IO40" s="855"/>
      <c r="IP40" s="855"/>
      <c r="IQ40" s="855"/>
      <c r="IR40" s="855"/>
      <c r="IS40" s="855"/>
      <c r="IT40" s="855"/>
      <c r="IU40" s="855"/>
      <c r="IV40" s="855"/>
      <c r="IW40" s="855"/>
      <c r="IX40" s="855"/>
      <c r="IY40" s="855"/>
    </row>
    <row r="41" spans="1:259" s="337" customFormat="1" x14ac:dyDescent="0.2">
      <c r="A41" s="431" t="s">
        <v>314</v>
      </c>
      <c r="B41" s="1357"/>
      <c r="C41" s="1357"/>
      <c r="D41" s="1357"/>
      <c r="E41" s="1357"/>
      <c r="F41" s="1418"/>
      <c r="G41" s="1772"/>
      <c r="H41" s="1358"/>
      <c r="I41" s="1358"/>
      <c r="J41" s="1394"/>
      <c r="K41" s="1361"/>
      <c r="L41" s="1357">
        <f>L39+CF!L14</f>
        <v>297</v>
      </c>
      <c r="M41" s="1357">
        <f>M39+CF!M14</f>
        <v>304</v>
      </c>
      <c r="N41" s="1357">
        <f>N39+CF!N14</f>
        <v>311</v>
      </c>
      <c r="O41" s="1361">
        <f>O39+CF!O14</f>
        <v>401</v>
      </c>
      <c r="P41" s="1418">
        <f>P39+CF!P14</f>
        <v>1313</v>
      </c>
      <c r="Q41" s="1772">
        <f>Q39+CF!Q14</f>
        <v>285</v>
      </c>
      <c r="R41" s="1357">
        <f>R39+CF!R14</f>
        <v>379</v>
      </c>
      <c r="S41" s="1357">
        <f>S39+CF!S14</f>
        <v>394</v>
      </c>
      <c r="T41" s="1361">
        <f>T39+CF!T14</f>
        <v>387</v>
      </c>
      <c r="U41" s="1418">
        <f>U39+CF!U14</f>
        <v>1445</v>
      </c>
      <c r="V41" s="1772">
        <f>V39+CF!V14</f>
        <v>255</v>
      </c>
      <c r="W41" s="1357">
        <f>W39+CF!W14</f>
        <v>274</v>
      </c>
      <c r="X41" s="1357">
        <f>X39+CF!X14</f>
        <v>307</v>
      </c>
      <c r="Y41" s="1361">
        <f>Y39+CF!Y14</f>
        <v>397</v>
      </c>
      <c r="Z41" s="1418">
        <f>Z39+CF!Z14</f>
        <v>1233</v>
      </c>
      <c r="AA41" s="1357">
        <f>AA39+CF!AA14</f>
        <v>282</v>
      </c>
      <c r="AB41" s="1357">
        <f>AB39+CF!AB14</f>
        <v>303</v>
      </c>
      <c r="AC41" s="1357">
        <f>AC39+CF!AC14</f>
        <v>336</v>
      </c>
      <c r="AD41" s="1361">
        <f>AD39+CF!AD14</f>
        <v>425</v>
      </c>
      <c r="AE41" s="1418">
        <f>AE39+CF!AE14</f>
        <v>1346</v>
      </c>
      <c r="AF41" s="1772">
        <f>AF39+CF!AF14</f>
        <v>304</v>
      </c>
      <c r="AG41" s="1357">
        <f>AG39+CF!AG14</f>
        <v>388</v>
      </c>
      <c r="AH41" s="1357">
        <f>AH39+CF!AH14</f>
        <v>369</v>
      </c>
      <c r="AI41" s="1361">
        <f>AI39+CF!AI14</f>
        <v>431</v>
      </c>
      <c r="AJ41" s="1418">
        <f>AJ39+CF!AJ14</f>
        <v>1492</v>
      </c>
      <c r="AK41" s="1357">
        <f>AK39+CF!AK14</f>
        <v>338</v>
      </c>
      <c r="AL41" s="1357">
        <f>AL39+CF!AL14</f>
        <v>347</v>
      </c>
      <c r="AM41" s="1357">
        <f>AM39+CF!AM14</f>
        <v>398</v>
      </c>
      <c r="AN41" s="1361">
        <f>AN39+CF!AN14</f>
        <v>460</v>
      </c>
      <c r="AO41" s="1418">
        <f>AO39+CF!AO14</f>
        <v>1543</v>
      </c>
      <c r="AP41" s="1357">
        <f>AP39+CF!AP14</f>
        <v>348</v>
      </c>
      <c r="AQ41" s="1357">
        <f>AQ39+CF!AQ14</f>
        <v>372</v>
      </c>
      <c r="AR41" s="1357">
        <f>AR39+CF!AR14</f>
        <v>417</v>
      </c>
      <c r="AS41" s="1361">
        <f>AS39+CF!AS14</f>
        <v>479</v>
      </c>
      <c r="AT41" s="1418">
        <f>AT39+CF!AT14</f>
        <v>1616</v>
      </c>
      <c r="AU41" s="1357">
        <f>AU39+CF!AU14</f>
        <v>381</v>
      </c>
      <c r="AV41" s="1357">
        <f>AV39+CF!AV14</f>
        <v>418</v>
      </c>
      <c r="AW41" s="1357">
        <f>AW39+CF!AW14</f>
        <v>453</v>
      </c>
      <c r="AX41" s="1361">
        <f>AX39+CF!AX14</f>
        <v>489</v>
      </c>
      <c r="AY41" s="1418">
        <f>AY39+CF!AY14</f>
        <v>1741</v>
      </c>
      <c r="AZ41" s="1357">
        <f>AZ39+CF!AZ14</f>
        <v>428</v>
      </c>
      <c r="BA41" s="1357">
        <f>BA39+CF!BA14</f>
        <v>431</v>
      </c>
      <c r="BB41" s="1357">
        <f>BB39+CF!BB14</f>
        <v>530</v>
      </c>
      <c r="BC41" s="1361">
        <f>BC39+CF!BC14</f>
        <v>510</v>
      </c>
      <c r="BD41" s="1418">
        <f>BD39+CF!BD14</f>
        <v>1899</v>
      </c>
      <c r="BE41" s="1357">
        <f>BE39+CF!BE14</f>
        <v>478</v>
      </c>
      <c r="BF41" s="1357">
        <f>BF39+CF!BF14</f>
        <v>448</v>
      </c>
      <c r="BG41" s="1357">
        <f>BG39+CF!BG14</f>
        <v>550</v>
      </c>
      <c r="BH41" s="1361">
        <f>BH39+CF!BH14</f>
        <v>556</v>
      </c>
      <c r="BI41" s="1418">
        <f>BI39+CF!BI14</f>
        <v>2032</v>
      </c>
      <c r="BJ41" s="1357">
        <f>BJ39+CF!BJ14</f>
        <v>485</v>
      </c>
      <c r="BK41" s="1357">
        <f>BK39+CF!BK14</f>
        <v>463</v>
      </c>
      <c r="BL41" s="1357">
        <f>BL39+CF!BL14</f>
        <v>612</v>
      </c>
      <c r="BM41" s="1361">
        <f>BM39+CF!BM14</f>
        <v>592</v>
      </c>
      <c r="BN41" s="1419">
        <f>BN39+CF!BN14</f>
        <v>2152</v>
      </c>
      <c r="BO41" s="1357">
        <f>BO39+CF!BO14</f>
        <v>542</v>
      </c>
      <c r="BP41" s="1357">
        <f>BP39+CF!BP14</f>
        <v>552</v>
      </c>
      <c r="BQ41" s="1357">
        <f>BQ39+CF!BQ14</f>
        <v>669</v>
      </c>
      <c r="BR41" s="1361">
        <f>BR39+CF!BR14</f>
        <v>613</v>
      </c>
      <c r="BS41" s="1419">
        <f>BS39+CF!BS14</f>
        <v>2376</v>
      </c>
      <c r="BT41" s="1357">
        <f>BT39+CF!BT14</f>
        <v>589</v>
      </c>
      <c r="BU41" s="1357">
        <f>BU39+CF!BU14</f>
        <v>571</v>
      </c>
      <c r="BV41" s="1357">
        <f>BV39+CF!BV14</f>
        <v>657</v>
      </c>
      <c r="BW41" s="1361">
        <f>BW39+CF!BW14</f>
        <v>737</v>
      </c>
      <c r="BX41" s="1419">
        <f>BX39+CF!BX14</f>
        <v>2554</v>
      </c>
      <c r="BY41" s="1357">
        <f>BY39+CF!BY14</f>
        <v>661</v>
      </c>
      <c r="BZ41" s="1357">
        <f>BZ39+CF!BZ14</f>
        <v>598</v>
      </c>
      <c r="CA41" s="1357">
        <f>CA39+CF!CA14</f>
        <v>817</v>
      </c>
      <c r="CB41" s="1361">
        <f>CB39+CF!CB14</f>
        <v>735</v>
      </c>
      <c r="CC41" s="1419">
        <f>CC39+CF!CC14</f>
        <v>2811</v>
      </c>
      <c r="CD41" s="1400">
        <f>CD39+CF!CD14</f>
        <v>491.32650000000012</v>
      </c>
      <c r="CE41" s="1400">
        <f>CE39+CF!CE14</f>
        <v>510.70749999999998</v>
      </c>
      <c r="CF41" s="1400">
        <f>CF39+CF!CF14</f>
        <v>548.53749999999991</v>
      </c>
      <c r="CG41" s="1400">
        <f>CG39+CF!CG14</f>
        <v>657.42849999999999</v>
      </c>
      <c r="CH41" s="1871">
        <f>CH39+CF!CH14</f>
        <v>2208</v>
      </c>
      <c r="CI41" s="1395">
        <f>CI39+CF!CI14</f>
        <v>466.18899999999985</v>
      </c>
      <c r="CJ41" s="1395">
        <f>CJ39+CF!CJ14</f>
        <v>495.75299999999993</v>
      </c>
      <c r="CK41" s="1395">
        <f>CK39+CF!CK14</f>
        <v>576.35500000000002</v>
      </c>
      <c r="CL41" s="1420">
        <f>CL39+CF!CL14</f>
        <v>710.60299999999995</v>
      </c>
      <c r="CM41" s="1421">
        <f>CM39+CF!CM14</f>
        <v>2248.8999999999996</v>
      </c>
      <c r="CN41" s="1395">
        <f>CN38+CF!CN14</f>
        <v>486.48950133868811</v>
      </c>
      <c r="CO41" s="1395">
        <f>CO38+CF!CO14</f>
        <v>363.37376439089701</v>
      </c>
      <c r="CP41" s="1395">
        <f>CP38+CF!CP14</f>
        <v>403.10180388219555</v>
      </c>
      <c r="CQ41" s="1889">
        <f>CQ38+CF!CQ14</f>
        <v>452.31593038821956</v>
      </c>
      <c r="CR41" s="1939">
        <f>CR38+CF!CR14</f>
        <v>1705.2809999999999</v>
      </c>
      <c r="CS41" s="975">
        <f>CS38+CF!CS14</f>
        <v>404.84730062237662</v>
      </c>
      <c r="CT41" s="975">
        <f>CT38+CF!CT14</f>
        <v>503.15269937762338</v>
      </c>
      <c r="CU41" s="975">
        <f>CU38+CF!CU14</f>
        <v>456.16919959473148</v>
      </c>
      <c r="CV41" s="71">
        <f>CV38+CF!CV14</f>
        <v>632.83080040526852</v>
      </c>
      <c r="CW41" s="82">
        <f>CW38+CF!CW14</f>
        <v>1997</v>
      </c>
      <c r="CX41" s="71">
        <f>CX38+CF!CX14</f>
        <v>554</v>
      </c>
      <c r="CY41" s="71">
        <f>CY38+CF!CY14</f>
        <v>484</v>
      </c>
      <c r="CZ41" s="71">
        <f>CZ38+CF!CZ14</f>
        <v>703</v>
      </c>
      <c r="DA41" s="72">
        <f>DA38+CF!DA14</f>
        <v>1273</v>
      </c>
      <c r="DB41" s="438">
        <f>DB38+CF!DB14</f>
        <v>3014</v>
      </c>
      <c r="DC41" s="71">
        <f>DC38+CF!DC14</f>
        <v>426.4421341957858</v>
      </c>
      <c r="DD41" s="71">
        <f>DD38+CF!DD14</f>
        <v>451.10519545327998</v>
      </c>
      <c r="DE41" s="71">
        <f>DE38+CF!DE14</f>
        <v>468.81052657161092</v>
      </c>
      <c r="DF41" s="72">
        <f>DF38+CF!DF14</f>
        <v>551.84265663807685</v>
      </c>
      <c r="DG41" s="438">
        <f>DG38+CF!DG14</f>
        <v>1898.2005128587532</v>
      </c>
      <c r="DH41" s="71">
        <f>DH38+CF!DH14</f>
        <v>458.56749195335982</v>
      </c>
      <c r="DI41" s="71">
        <f>DI38+CF!DI14</f>
        <v>480.17386280996556</v>
      </c>
      <c r="DJ41" s="71">
        <f>DJ38+CF!DJ14</f>
        <v>519.37094089968434</v>
      </c>
      <c r="DK41" s="72">
        <f>DK38+CF!DK14</f>
        <v>606.26752359765055</v>
      </c>
      <c r="DL41" s="438">
        <f>DL38+CF!DL14</f>
        <v>2064.37981926066</v>
      </c>
      <c r="DM41" s="71">
        <f>DM38+CF!DM14</f>
        <v>470.18519303877497</v>
      </c>
      <c r="DN41" s="71">
        <f>DN38+CF!DN14</f>
        <v>500.39988104075951</v>
      </c>
      <c r="DO41" s="71">
        <f>DO38+CF!DO14</f>
        <v>538.21409818800896</v>
      </c>
      <c r="DP41" s="72">
        <f>DP38+CF!DP14</f>
        <v>648.74463865182315</v>
      </c>
      <c r="DQ41" s="438">
        <f>DQ38+CF!DQ14</f>
        <v>2157.5438109193669</v>
      </c>
      <c r="DR41" s="71">
        <f>DR38+CF!DR14</f>
        <v>509.01161284444277</v>
      </c>
      <c r="DS41" s="71">
        <f>DS38+CF!DS14</f>
        <v>540.73169879007685</v>
      </c>
      <c r="DT41" s="71">
        <f>DT38+CF!DT14</f>
        <v>582.21933863492222</v>
      </c>
      <c r="DU41" s="72">
        <f>DU38+CF!DU14</f>
        <v>702.57648597036962</v>
      </c>
      <c r="DV41" s="438">
        <f>DV38+CF!DV14</f>
        <v>2334.5391362398113</v>
      </c>
      <c r="DW41" s="71">
        <f>DW38+CF!DW14</f>
        <v>548.31179736526371</v>
      </c>
      <c r="DX41" s="71">
        <f>DX38+CF!DX14</f>
        <v>582.45199042429601</v>
      </c>
      <c r="DY41" s="71">
        <f>DY38+CF!DY14</f>
        <v>629.09400182710749</v>
      </c>
      <c r="DZ41" s="72">
        <f>DZ38+CF!DZ14</f>
        <v>760.59513949787151</v>
      </c>
      <c r="EA41" s="438">
        <f>EA38+CF!EA14</f>
        <v>2520.4529291145386</v>
      </c>
      <c r="EB41" s="41"/>
      <c r="EC41" s="14" t="s">
        <v>314</v>
      </c>
      <c r="ED41" s="354">
        <f t="shared" si="56"/>
        <v>1273</v>
      </c>
      <c r="EE41" s="354">
        <v>548.11566438849911</v>
      </c>
      <c r="EF41" s="793">
        <f t="shared" si="43"/>
        <v>724.88433561150089</v>
      </c>
      <c r="EG41" s="354">
        <f t="shared" si="57"/>
        <v>632.83080040526852</v>
      </c>
      <c r="EH41" s="399">
        <f t="shared" si="44"/>
        <v>1.011596147318941</v>
      </c>
      <c r="EI41" s="11"/>
      <c r="EK41"/>
      <c r="EL41"/>
      <c r="EM41"/>
      <c r="EN41"/>
      <c r="EO41"/>
      <c r="EP41"/>
      <c r="EQ41" s="844"/>
      <c r="ER41" s="844"/>
      <c r="ES41" s="844"/>
      <c r="ET41" s="844"/>
      <c r="EU41" s="844"/>
      <c r="EV41" s="844"/>
      <c r="EW41" s="844"/>
      <c r="EX41" s="844"/>
      <c r="EY41" s="844"/>
      <c r="EZ41" s="844"/>
      <c r="FA41" s="844"/>
      <c r="FB41" s="844"/>
      <c r="FC41" s="844"/>
      <c r="FD41" s="844"/>
      <c r="FE41" s="844"/>
      <c r="FF41" s="844"/>
      <c r="FG41" s="844"/>
      <c r="FH41" s="844"/>
      <c r="FI41" s="844"/>
      <c r="FJ41" s="844"/>
      <c r="FK41" s="844"/>
      <c r="FL41" s="844"/>
      <c r="FM41" s="844"/>
      <c r="FN41" s="844"/>
      <c r="FO41" s="844"/>
      <c r="FP41" s="844"/>
      <c r="FQ41" s="844"/>
      <c r="FR41" s="844"/>
      <c r="FS41" s="844"/>
      <c r="FT41" s="844"/>
      <c r="FU41" s="844"/>
      <c r="FV41" s="844"/>
      <c r="FW41" s="844"/>
      <c r="FX41" s="844"/>
      <c r="FY41" s="844"/>
      <c r="FZ41" s="844"/>
      <c r="GA41" s="844"/>
      <c r="GB41" s="844"/>
      <c r="GC41" s="844"/>
      <c r="GD41" s="844"/>
      <c r="GE41" s="844"/>
      <c r="GF41" s="844"/>
      <c r="GG41" s="844"/>
      <c r="GH41" s="844"/>
      <c r="GI41" s="844"/>
      <c r="GJ41" s="844"/>
      <c r="GK41" s="844"/>
      <c r="GL41" s="844"/>
      <c r="GM41" s="844"/>
      <c r="GN41" s="844"/>
      <c r="GO41" s="844"/>
      <c r="GP41" s="844"/>
      <c r="GQ41" s="844"/>
      <c r="GR41" s="844"/>
      <c r="GS41" s="844"/>
      <c r="GT41" s="844"/>
      <c r="GU41" s="844"/>
      <c r="GV41" s="844"/>
      <c r="GW41" s="844"/>
      <c r="GX41" s="844"/>
      <c r="GY41" s="844"/>
      <c r="GZ41" s="844"/>
      <c r="HA41" s="844"/>
      <c r="HB41" s="844"/>
      <c r="HC41" s="844"/>
      <c r="HD41" s="844"/>
      <c r="HE41" s="844"/>
      <c r="HF41" s="844"/>
      <c r="HG41" s="844"/>
      <c r="HH41" s="844"/>
      <c r="HI41" s="844"/>
      <c r="HJ41" s="844"/>
      <c r="HK41" s="844"/>
      <c r="HL41" s="844"/>
      <c r="HM41" s="844"/>
      <c r="HN41" s="844"/>
      <c r="HO41" s="844"/>
      <c r="HP41" s="844"/>
      <c r="HQ41" s="844"/>
      <c r="HR41" s="844"/>
      <c r="HS41" s="844"/>
      <c r="HT41" s="844"/>
      <c r="HU41" s="844"/>
      <c r="HV41" s="844"/>
      <c r="HW41" s="844"/>
      <c r="HX41" s="844"/>
      <c r="HY41" s="844"/>
      <c r="HZ41" s="844"/>
      <c r="IA41" s="844"/>
      <c r="IB41" s="844"/>
      <c r="IC41" s="844"/>
      <c r="ID41" s="844"/>
      <c r="IE41" s="844"/>
      <c r="IF41" s="844"/>
      <c r="IG41" s="844"/>
      <c r="IH41" s="844"/>
      <c r="II41" s="844"/>
      <c r="IJ41" s="844"/>
      <c r="IK41" s="844"/>
      <c r="IL41" s="844"/>
      <c r="IM41" s="844"/>
      <c r="IN41" s="844"/>
      <c r="IO41" s="844"/>
      <c r="IP41" s="844"/>
      <c r="IQ41" s="844"/>
      <c r="IR41" s="844"/>
      <c r="IS41" s="844"/>
      <c r="IT41" s="844"/>
      <c r="IU41" s="844"/>
      <c r="IV41" s="844"/>
      <c r="IW41" s="844"/>
      <c r="IX41" s="844"/>
      <c r="IY41" s="844"/>
    </row>
    <row r="42" spans="1:259" s="340" customFormat="1" hidden="1" outlineLevel="1" x14ac:dyDescent="0.2">
      <c r="A42" s="1934" t="s">
        <v>472</v>
      </c>
      <c r="B42" s="1364"/>
      <c r="C42" s="1364"/>
      <c r="D42" s="1364"/>
      <c r="E42" s="1364"/>
      <c r="F42" s="1404"/>
      <c r="G42" s="1797"/>
      <c r="H42" s="1365"/>
      <c r="I42" s="1365"/>
      <c r="J42" s="1411"/>
      <c r="K42" s="1387"/>
      <c r="L42" s="1364"/>
      <c r="M42" s="1364"/>
      <c r="N42" s="1364"/>
      <c r="O42" s="1387"/>
      <c r="P42" s="1404">
        <f>P39+CF!P14</f>
        <v>1313</v>
      </c>
      <c r="Q42" s="1797">
        <f>Q39+CF!Q14</f>
        <v>285</v>
      </c>
      <c r="R42" s="1364">
        <f>R39+CF!R14</f>
        <v>379</v>
      </c>
      <c r="S42" s="1364">
        <f>S39+CF!S14</f>
        <v>394</v>
      </c>
      <c r="T42" s="1387">
        <f>T39+CF!T14</f>
        <v>387</v>
      </c>
      <c r="U42" s="1404">
        <f>U39+CF!U14</f>
        <v>1445</v>
      </c>
      <c r="V42" s="1797">
        <f>V39+CF!V14</f>
        <v>255</v>
      </c>
      <c r="W42" s="1364">
        <f>W39+CF!W14</f>
        <v>274</v>
      </c>
      <c r="X42" s="1364">
        <f>X39+CF!X14</f>
        <v>307</v>
      </c>
      <c r="Y42" s="1387">
        <f>Y39+CF!Y14</f>
        <v>397</v>
      </c>
      <c r="Z42" s="1404">
        <f>Z39+CF!Z14</f>
        <v>1233</v>
      </c>
      <c r="AA42" s="1364">
        <f>AA39+CF!AA14</f>
        <v>282</v>
      </c>
      <c r="AB42" s="1364">
        <f>AB39+CF!AB14</f>
        <v>303</v>
      </c>
      <c r="AC42" s="1364">
        <f>AC39+CF!AC14</f>
        <v>336</v>
      </c>
      <c r="AD42" s="1387">
        <f>AD39+CF!AD14</f>
        <v>425</v>
      </c>
      <c r="AE42" s="1404">
        <f>AE39+CF!AE14</f>
        <v>1346</v>
      </c>
      <c r="AF42" s="1797">
        <f>AF39+CF!AF14</f>
        <v>304</v>
      </c>
      <c r="AG42" s="1364">
        <f>AG39+CF!AG14</f>
        <v>388</v>
      </c>
      <c r="AH42" s="1364">
        <f>AH39+CF!AH14</f>
        <v>369</v>
      </c>
      <c r="AI42" s="1387">
        <f>AI39+CF!AI14</f>
        <v>431</v>
      </c>
      <c r="AJ42" s="1404">
        <f>AJ39+CF!AJ14</f>
        <v>1492</v>
      </c>
      <c r="AK42" s="1364">
        <f>AK39+CF!AK14</f>
        <v>338</v>
      </c>
      <c r="AL42" s="1364">
        <f>AL39+CF!AL14</f>
        <v>347</v>
      </c>
      <c r="AM42" s="1364">
        <f>AM39+CF!AM14</f>
        <v>398</v>
      </c>
      <c r="AN42" s="1387">
        <f>AN39+CF!AN14</f>
        <v>460</v>
      </c>
      <c r="AO42" s="1404">
        <f>AO39+CF!AO14</f>
        <v>1543</v>
      </c>
      <c r="AP42" s="1364">
        <f>AP39+CF!AP14</f>
        <v>348</v>
      </c>
      <c r="AQ42" s="1364">
        <f>AQ39+CF!AQ14</f>
        <v>372</v>
      </c>
      <c r="AR42" s="1364">
        <f>AR39+CF!AR14</f>
        <v>417</v>
      </c>
      <c r="AS42" s="1387">
        <f>AS39+CF!AS14</f>
        <v>479</v>
      </c>
      <c r="AT42" s="1404">
        <f>AT39+CF!AT14</f>
        <v>1616</v>
      </c>
      <c r="AU42" s="1364">
        <f>AU39+CF!AU14</f>
        <v>381</v>
      </c>
      <c r="AV42" s="1364">
        <f>AV39+CF!AV14</f>
        <v>418</v>
      </c>
      <c r="AW42" s="1364">
        <f>AW39+CF!AW14</f>
        <v>453</v>
      </c>
      <c r="AX42" s="1387">
        <f>AX39+CF!AX14</f>
        <v>489</v>
      </c>
      <c r="AY42" s="1404">
        <f>AY39+CF!AY14</f>
        <v>1741</v>
      </c>
      <c r="AZ42" s="1364">
        <f>AZ39+CF!AZ14</f>
        <v>428</v>
      </c>
      <c r="BA42" s="1364">
        <f>BA39+CF!BA14</f>
        <v>431</v>
      </c>
      <c r="BB42" s="1364">
        <f>BB39+CF!BB14</f>
        <v>530</v>
      </c>
      <c r="BC42" s="1387">
        <f>BC39+CF!BC14</f>
        <v>510</v>
      </c>
      <c r="BD42" s="1404">
        <f>BD39+CF!BD14</f>
        <v>1899</v>
      </c>
      <c r="BE42" s="1364">
        <f>BE39+CF!BE14</f>
        <v>478</v>
      </c>
      <c r="BF42" s="1364">
        <f>BF39+CF!BF14</f>
        <v>448</v>
      </c>
      <c r="BG42" s="1364">
        <f>BG39+CF!BG14</f>
        <v>550</v>
      </c>
      <c r="BH42" s="1387">
        <f>BH39+CF!BH14</f>
        <v>556</v>
      </c>
      <c r="BI42" s="1404">
        <f>BI39+CF!BI14</f>
        <v>2032</v>
      </c>
      <c r="BJ42" s="1364">
        <f>BJ39+CF!BJ14</f>
        <v>485</v>
      </c>
      <c r="BK42" s="1364">
        <f>BK39+CF!BK14</f>
        <v>463</v>
      </c>
      <c r="BL42" s="1364">
        <f>BL39+CF!BL14</f>
        <v>612</v>
      </c>
      <c r="BM42" s="1387">
        <f>BM39+CF!BM14</f>
        <v>592</v>
      </c>
      <c r="BN42" s="1405">
        <f>BN39+CF!BN14</f>
        <v>2152</v>
      </c>
      <c r="BO42" s="1364">
        <f>BO39+CF!BO14</f>
        <v>542</v>
      </c>
      <c r="BP42" s="1364">
        <f>BP39+CF!BP14</f>
        <v>552</v>
      </c>
      <c r="BQ42" s="1364">
        <f>BQ39+CF!BQ14</f>
        <v>669</v>
      </c>
      <c r="BR42" s="1387">
        <f>BR39+CF!BR14</f>
        <v>613</v>
      </c>
      <c r="BS42" s="1405">
        <f>BS39+CF!BS14</f>
        <v>2376</v>
      </c>
      <c r="BT42" s="1364">
        <f>BT39+CF!BT14</f>
        <v>589</v>
      </c>
      <c r="BU42" s="1364">
        <f>BU39+CF!BU14</f>
        <v>571</v>
      </c>
      <c r="BV42" s="1364">
        <f>BV39+CF!BV14</f>
        <v>657</v>
      </c>
      <c r="BW42" s="1387">
        <f>BW39+CF!BW14</f>
        <v>737</v>
      </c>
      <c r="BX42" s="1405">
        <f>BX39+CF!BX14</f>
        <v>2554</v>
      </c>
      <c r="BY42" s="1364">
        <f>BY39+CF!BY14</f>
        <v>661</v>
      </c>
      <c r="BZ42" s="1364">
        <f>BZ39+CF!BZ14</f>
        <v>598</v>
      </c>
      <c r="CA42" s="1364">
        <f>CA39+CF!CA14</f>
        <v>817</v>
      </c>
      <c r="CB42" s="1387">
        <f>CB39+CF!CB14</f>
        <v>735</v>
      </c>
      <c r="CC42" s="1405">
        <f>CC39+CF!CC14</f>
        <v>2811</v>
      </c>
      <c r="CD42" s="1406">
        <f>CD39+CF!CD14</f>
        <v>491.32650000000012</v>
      </c>
      <c r="CE42" s="1406">
        <f>CE39+CF!CE14</f>
        <v>510.70749999999998</v>
      </c>
      <c r="CF42" s="1406">
        <f>CF39+CF!CF14</f>
        <v>548.53749999999991</v>
      </c>
      <c r="CG42" s="1406">
        <f>CG39+CF!CG14</f>
        <v>657.42849999999999</v>
      </c>
      <c r="CH42" s="1800">
        <f>CH39+CF!CH14</f>
        <v>2208</v>
      </c>
      <c r="CI42" s="1408">
        <f>CI39+CF!CI14</f>
        <v>466.18899999999985</v>
      </c>
      <c r="CJ42" s="1408">
        <f>CJ39+CF!CJ14</f>
        <v>495.75299999999993</v>
      </c>
      <c r="CK42" s="1408">
        <f>CK39+CF!CK14</f>
        <v>576.35500000000002</v>
      </c>
      <c r="CL42" s="1415">
        <f>CL39+CF!CL14</f>
        <v>710.60299999999995</v>
      </c>
      <c r="CM42" s="1409">
        <f>CM39+CF!CM14</f>
        <v>2248.8999999999996</v>
      </c>
      <c r="CN42" s="1408">
        <v>469.98950133868811</v>
      </c>
      <c r="CO42" s="1408">
        <v>439.62376439089701</v>
      </c>
      <c r="CP42" s="1408">
        <v>408.85180388219555</v>
      </c>
      <c r="CQ42" s="1891">
        <v>513.31593038821961</v>
      </c>
      <c r="CR42" s="1946">
        <v>1884.2809999999999</v>
      </c>
      <c r="CS42" s="2064">
        <f>CS39+CF!CS14</f>
        <v>413.84730062237662</v>
      </c>
      <c r="CT42" s="2064">
        <f>CT39+CF!CT14</f>
        <v>463.15269937762338</v>
      </c>
      <c r="CU42" s="2064">
        <f>CU39+CF!CU14</f>
        <v>466.16919959473148</v>
      </c>
      <c r="CV42" s="65">
        <f>CV39+CF!CV14</f>
        <v>618.83080040526852</v>
      </c>
      <c r="CW42" s="81">
        <f>CW39+CF!CW14</f>
        <v>1962</v>
      </c>
      <c r="CX42" s="65">
        <f>CX39+CF!CX14</f>
        <v>455</v>
      </c>
      <c r="CY42" s="65">
        <f>CY39+CF!CY14</f>
        <v>504</v>
      </c>
      <c r="CZ42" s="65">
        <f>CZ39+CF!CZ14</f>
        <v>513</v>
      </c>
      <c r="DA42" s="68">
        <f>DA39+CF!DA14</f>
        <v>541</v>
      </c>
      <c r="DB42" s="437">
        <f>DB39+CF!DB14</f>
        <v>2013</v>
      </c>
      <c r="DC42" s="65">
        <f>DC39+CF!DC14</f>
        <v>441.4421341957858</v>
      </c>
      <c r="DD42" s="65">
        <f>DD39+CF!DD14</f>
        <v>466.10519545327998</v>
      </c>
      <c r="DE42" s="65">
        <f>DE39+CF!DE14</f>
        <v>483.81052657161092</v>
      </c>
      <c r="DF42" s="68">
        <f>DF39+CF!DF14</f>
        <v>566.84265663807685</v>
      </c>
      <c r="DG42" s="437">
        <f>DG39+CF!DG14</f>
        <v>1958.2005128587537</v>
      </c>
      <c r="DH42" s="65">
        <f>DH39+CF!DH14</f>
        <v>458.56749195335982</v>
      </c>
      <c r="DI42" s="65">
        <f>DI39+CF!DI14</f>
        <v>480.17386280996556</v>
      </c>
      <c r="DJ42" s="65">
        <f>DJ39+CF!DJ14</f>
        <v>519.37094089968434</v>
      </c>
      <c r="DK42" s="68">
        <f>DK39+CF!DK14</f>
        <v>606.26752359765055</v>
      </c>
      <c r="DL42" s="437">
        <f>DL39+CF!DL14</f>
        <v>2064.37981926066</v>
      </c>
      <c r="DM42" s="65">
        <f>DM39+CF!DM14</f>
        <v>470.18519303877497</v>
      </c>
      <c r="DN42" s="65">
        <f>DN39+CF!DN14</f>
        <v>500.39988104075951</v>
      </c>
      <c r="DO42" s="65">
        <f>DO39+CF!DO14</f>
        <v>538.21409818800896</v>
      </c>
      <c r="DP42" s="68">
        <f>DP39+CF!DP14</f>
        <v>648.74463865182315</v>
      </c>
      <c r="DQ42" s="437">
        <f>DQ39+CF!DQ14</f>
        <v>2157.5438109193665</v>
      </c>
      <c r="DR42" s="65">
        <f>DR39+CF!DR14</f>
        <v>509.01161284444277</v>
      </c>
      <c r="DS42" s="65">
        <f>DS39+CF!DS14</f>
        <v>540.73169879007685</v>
      </c>
      <c r="DT42" s="65">
        <f>DT39+CF!DT14</f>
        <v>582.21933863492222</v>
      </c>
      <c r="DU42" s="68">
        <f>DU39+CF!DU14</f>
        <v>702.57648597036962</v>
      </c>
      <c r="DV42" s="437">
        <f>DV39+CF!DV14</f>
        <v>2334.5391362398113</v>
      </c>
      <c r="DW42" s="65">
        <f>DW39+CF!DW14</f>
        <v>548.31179736526371</v>
      </c>
      <c r="DX42" s="65">
        <f>DX39+CF!DX14</f>
        <v>582.45199042429601</v>
      </c>
      <c r="DY42" s="65">
        <f>DY39+CF!DY14</f>
        <v>629.09400182710749</v>
      </c>
      <c r="DZ42" s="68">
        <f>DZ39+CF!DZ14</f>
        <v>760.59513949787151</v>
      </c>
      <c r="EA42" s="437">
        <f>EA39+CF!EA14</f>
        <v>2520.4529291145391</v>
      </c>
      <c r="EB42" s="18"/>
      <c r="EC42" s="26"/>
      <c r="ED42" s="1199">
        <f t="shared" si="56"/>
        <v>541</v>
      </c>
      <c r="EE42" s="1199">
        <v>567.11566438849911</v>
      </c>
      <c r="EF42" s="794"/>
      <c r="EG42" s="1199">
        <f t="shared" si="57"/>
        <v>618.83080040526852</v>
      </c>
      <c r="EH42" s="637"/>
      <c r="EI42" s="18"/>
      <c r="EK42"/>
      <c r="EL42"/>
      <c r="EM42"/>
      <c r="EN42"/>
      <c r="EO42"/>
      <c r="EP42"/>
      <c r="EQ42" s="855"/>
      <c r="ER42" s="855"/>
      <c r="ES42" s="855"/>
      <c r="ET42" s="855"/>
      <c r="EU42" s="855"/>
      <c r="EV42" s="855"/>
      <c r="EW42" s="855"/>
      <c r="EX42" s="855"/>
      <c r="EY42" s="855"/>
      <c r="EZ42" s="855"/>
      <c r="FA42" s="855"/>
      <c r="FB42" s="855"/>
      <c r="FC42" s="855"/>
      <c r="FD42" s="855"/>
      <c r="FE42" s="855"/>
      <c r="FF42" s="855"/>
      <c r="FG42" s="855"/>
      <c r="FH42" s="855"/>
      <c r="FI42" s="855"/>
      <c r="FJ42" s="855"/>
      <c r="FK42" s="855"/>
      <c r="FL42" s="855"/>
      <c r="FM42" s="855"/>
      <c r="FN42" s="855"/>
      <c r="FO42" s="855"/>
      <c r="FP42" s="855"/>
      <c r="FQ42" s="855"/>
      <c r="FR42" s="855"/>
      <c r="FS42" s="855"/>
      <c r="FT42" s="855"/>
      <c r="FU42" s="855"/>
      <c r="FV42" s="855"/>
      <c r="FW42" s="855"/>
      <c r="FX42" s="855"/>
      <c r="FY42" s="855"/>
      <c r="FZ42" s="855"/>
      <c r="GA42" s="855"/>
      <c r="GB42" s="855"/>
      <c r="GC42" s="855"/>
      <c r="GD42" s="855"/>
      <c r="GE42" s="855"/>
      <c r="GF42" s="855"/>
      <c r="GG42" s="855"/>
      <c r="GH42" s="855"/>
      <c r="GI42" s="855"/>
      <c r="GJ42" s="855"/>
      <c r="GK42" s="855"/>
      <c r="GL42" s="855"/>
      <c r="GM42" s="855"/>
      <c r="GN42" s="855"/>
      <c r="GO42" s="855"/>
      <c r="GP42" s="855"/>
      <c r="GQ42" s="855"/>
      <c r="GR42" s="855"/>
      <c r="GS42" s="855"/>
      <c r="GT42" s="855"/>
      <c r="GU42" s="855"/>
      <c r="GV42" s="855"/>
      <c r="GW42" s="855"/>
      <c r="GX42" s="855"/>
      <c r="GY42" s="855"/>
      <c r="GZ42" s="855"/>
      <c r="HA42" s="855"/>
      <c r="HB42" s="855"/>
      <c r="HC42" s="855"/>
      <c r="HD42" s="855"/>
      <c r="HE42" s="855"/>
      <c r="HF42" s="855"/>
      <c r="HG42" s="855"/>
      <c r="HH42" s="855"/>
      <c r="HI42" s="855"/>
      <c r="HJ42" s="855"/>
      <c r="HK42" s="855"/>
      <c r="HL42" s="855"/>
      <c r="HM42" s="855"/>
      <c r="HN42" s="855"/>
      <c r="HO42" s="855"/>
      <c r="HP42" s="855"/>
      <c r="HQ42" s="855"/>
      <c r="HR42" s="855"/>
      <c r="HS42" s="855"/>
      <c r="HT42" s="855"/>
      <c r="HU42" s="855"/>
      <c r="HV42" s="855"/>
      <c r="HW42" s="855"/>
      <c r="HX42" s="855"/>
      <c r="HY42" s="855"/>
      <c r="HZ42" s="855"/>
      <c r="IA42" s="855"/>
      <c r="IB42" s="855"/>
      <c r="IC42" s="855"/>
      <c r="ID42" s="855"/>
      <c r="IE42" s="855"/>
      <c r="IF42" s="855"/>
      <c r="IG42" s="855"/>
      <c r="IH42" s="855"/>
      <c r="II42" s="855"/>
      <c r="IJ42" s="855"/>
      <c r="IK42" s="855"/>
      <c r="IL42" s="855"/>
      <c r="IM42" s="855"/>
      <c r="IN42" s="855"/>
      <c r="IO42" s="855"/>
      <c r="IP42" s="855"/>
      <c r="IQ42" s="855"/>
      <c r="IR42" s="855"/>
      <c r="IS42" s="855"/>
      <c r="IT42" s="855"/>
      <c r="IU42" s="855"/>
      <c r="IV42" s="855"/>
      <c r="IW42" s="855"/>
      <c r="IX42" s="855"/>
      <c r="IY42" s="855"/>
    </row>
    <row r="43" spans="1:259" s="337" customFormat="1" collapsed="1" x14ac:dyDescent="0.2">
      <c r="A43" s="431" t="s">
        <v>453</v>
      </c>
      <c r="B43" s="1357">
        <v>65</v>
      </c>
      <c r="C43" s="1357">
        <v>64</v>
      </c>
      <c r="D43" s="1357">
        <v>57</v>
      </c>
      <c r="E43" s="1357">
        <v>88</v>
      </c>
      <c r="F43" s="1801">
        <f>SUM(B43:E43)</f>
        <v>274</v>
      </c>
      <c r="G43" s="1772">
        <v>69</v>
      </c>
      <c r="H43" s="1357">
        <v>67</v>
      </c>
      <c r="I43" s="1357">
        <v>62</v>
      </c>
      <c r="J43" s="1361">
        <v>74</v>
      </c>
      <c r="K43" s="1361">
        <f>SUM(G43:J43)</f>
        <v>272</v>
      </c>
      <c r="L43" s="1357">
        <v>52</v>
      </c>
      <c r="M43" s="1357">
        <v>51</v>
      </c>
      <c r="N43" s="1357">
        <v>42</v>
      </c>
      <c r="O43" s="1361">
        <v>57</v>
      </c>
      <c r="P43" s="1801">
        <f>SUM(L43:O43)</f>
        <v>202</v>
      </c>
      <c r="Q43" s="1772">
        <v>41</v>
      </c>
      <c r="R43" s="1357">
        <v>41</v>
      </c>
      <c r="S43" s="1357">
        <v>39</v>
      </c>
      <c r="T43" s="1361">
        <v>55</v>
      </c>
      <c r="U43" s="1801">
        <f>SUM(Q43:T43)</f>
        <v>176</v>
      </c>
      <c r="V43" s="1772">
        <v>39</v>
      </c>
      <c r="W43" s="1357">
        <v>37</v>
      </c>
      <c r="X43" s="1357">
        <v>36</v>
      </c>
      <c r="Y43" s="1361">
        <v>46</v>
      </c>
      <c r="Z43" s="1801">
        <f>SUM(V43:Y43)</f>
        <v>158</v>
      </c>
      <c r="AA43" s="1357">
        <v>34</v>
      </c>
      <c r="AB43" s="1357">
        <v>33</v>
      </c>
      <c r="AC43" s="1357">
        <v>45</v>
      </c>
      <c r="AD43" s="1361">
        <v>60</v>
      </c>
      <c r="AE43" s="1801">
        <v>172.4</v>
      </c>
      <c r="AF43" s="1772">
        <v>42</v>
      </c>
      <c r="AG43" s="1357">
        <v>42</v>
      </c>
      <c r="AH43" s="1357">
        <v>39</v>
      </c>
      <c r="AI43" s="1361">
        <v>50</v>
      </c>
      <c r="AJ43" s="1801">
        <f>SUM(AF43:AI43)</f>
        <v>173</v>
      </c>
      <c r="AK43" s="1357">
        <v>35</v>
      </c>
      <c r="AL43" s="1357">
        <v>32</v>
      </c>
      <c r="AM43" s="1357">
        <v>29</v>
      </c>
      <c r="AN43" s="1361">
        <v>33</v>
      </c>
      <c r="AO43" s="1801">
        <f>SUM(AK43:AN43)</f>
        <v>129</v>
      </c>
      <c r="AP43" s="1357">
        <v>28</v>
      </c>
      <c r="AQ43" s="1357">
        <v>30</v>
      </c>
      <c r="AR43" s="1357">
        <v>28</v>
      </c>
      <c r="AS43" s="1361">
        <v>41</v>
      </c>
      <c r="AT43" s="1801">
        <f>SUM(AP43:AS43)</f>
        <v>127</v>
      </c>
      <c r="AU43" s="1357">
        <v>35</v>
      </c>
      <c r="AV43" s="1357">
        <v>36</v>
      </c>
      <c r="AW43" s="1357">
        <v>34</v>
      </c>
      <c r="AX43" s="1361">
        <v>49</v>
      </c>
      <c r="AY43" s="1801">
        <f>SUM(AU43:AX43)</f>
        <v>154</v>
      </c>
      <c r="AZ43" s="1357">
        <v>36.4</v>
      </c>
      <c r="BA43" s="1357">
        <v>38</v>
      </c>
      <c r="BB43" s="1357">
        <v>38</v>
      </c>
      <c r="BC43" s="1361">
        <v>54</v>
      </c>
      <c r="BD43" s="1801">
        <f>SUM(AZ43:BC43)</f>
        <v>166.4</v>
      </c>
      <c r="BE43" s="1357">
        <v>53</v>
      </c>
      <c r="BF43" s="1357">
        <v>52</v>
      </c>
      <c r="BG43" s="1357">
        <v>47</v>
      </c>
      <c r="BH43" s="1361">
        <v>74</v>
      </c>
      <c r="BI43" s="1801">
        <f>SUM(BE43:BH43)</f>
        <v>226</v>
      </c>
      <c r="BJ43" s="1357">
        <v>53</v>
      </c>
      <c r="BK43" s="1357">
        <v>43</v>
      </c>
      <c r="BL43" s="1357">
        <v>42</v>
      </c>
      <c r="BM43" s="1361">
        <v>56</v>
      </c>
      <c r="BN43" s="1377">
        <f>SUM(BJ43:BM43)</f>
        <v>194</v>
      </c>
      <c r="BO43" s="1357">
        <v>41</v>
      </c>
      <c r="BP43" s="1357">
        <v>42</v>
      </c>
      <c r="BQ43" s="1357">
        <v>38</v>
      </c>
      <c r="BR43" s="1361">
        <v>54</v>
      </c>
      <c r="BS43" s="1377">
        <f>SUM(BO43:BR43)</f>
        <v>175</v>
      </c>
      <c r="BT43" s="1357">
        <v>43</v>
      </c>
      <c r="BU43" s="1357">
        <v>35</v>
      </c>
      <c r="BV43" s="1357">
        <v>32</v>
      </c>
      <c r="BW43" s="1361">
        <v>46</v>
      </c>
      <c r="BX43" s="1377">
        <f>SUM(BT43:BW43)</f>
        <v>156</v>
      </c>
      <c r="BY43" s="1357">
        <v>37</v>
      </c>
      <c r="BZ43" s="1357">
        <v>38</v>
      </c>
      <c r="CA43" s="1357">
        <v>32</v>
      </c>
      <c r="CB43" s="1361">
        <v>42</v>
      </c>
      <c r="CC43" s="1377">
        <f>SUM(BY43:CB43)</f>
        <v>149</v>
      </c>
      <c r="CD43" s="1400">
        <v>31</v>
      </c>
      <c r="CE43" s="1400">
        <v>32</v>
      </c>
      <c r="CF43" s="1400">
        <v>31</v>
      </c>
      <c r="CG43" s="1400">
        <f>CH43-CF43-CE43-CD43</f>
        <v>158</v>
      </c>
      <c r="CH43" s="1802">
        <v>252</v>
      </c>
      <c r="CI43" s="1371">
        <v>36.5</v>
      </c>
      <c r="CJ43" s="1395">
        <v>32.5</v>
      </c>
      <c r="CK43" s="1395">
        <v>31.5</v>
      </c>
      <c r="CL43" s="1395">
        <v>43.5</v>
      </c>
      <c r="CM43" s="1342">
        <v>144</v>
      </c>
      <c r="CN43" s="1371">
        <v>36</v>
      </c>
      <c r="CO43" s="1395">
        <v>35</v>
      </c>
      <c r="CP43" s="1395">
        <v>32</v>
      </c>
      <c r="CQ43" s="1889">
        <v>38</v>
      </c>
      <c r="CR43" s="1940">
        <f>SUM(CN43:CQ43)</f>
        <v>141</v>
      </c>
      <c r="CS43" s="1308">
        <v>42</v>
      </c>
      <c r="CT43" s="975">
        <v>51</v>
      </c>
      <c r="CU43" s="975">
        <v>98</v>
      </c>
      <c r="CV43" s="71">
        <v>114</v>
      </c>
      <c r="CW43" s="60">
        <f>SUM(CS43:CV43)</f>
        <v>305</v>
      </c>
      <c r="CX43" s="71">
        <v>109</v>
      </c>
      <c r="CY43" s="71">
        <v>104</v>
      </c>
      <c r="CZ43" s="71">
        <v>109</v>
      </c>
      <c r="DA43" s="71">
        <v>118</v>
      </c>
      <c r="DB43" s="433">
        <f>SUM(CX43:DA43)</f>
        <v>440</v>
      </c>
      <c r="DC43" s="71">
        <f>DC186</f>
        <v>108.47648219178083</v>
      </c>
      <c r="DD43" s="71">
        <f>DD186</f>
        <v>107.7695298630137</v>
      </c>
      <c r="DE43" s="71">
        <f>DE186</f>
        <v>107.7695298630137</v>
      </c>
      <c r="DF43" s="71">
        <f>DF186</f>
        <v>108.95381041095891</v>
      </c>
      <c r="DG43" s="433">
        <f>SUM(DC43:DF43)</f>
        <v>432.96935232876717</v>
      </c>
      <c r="DH43" s="71">
        <f>DH186</f>
        <v>106.58524931506849</v>
      </c>
      <c r="DI43" s="71">
        <f>DI186</f>
        <v>107.7695298630137</v>
      </c>
      <c r="DJ43" s="71">
        <f>DJ186</f>
        <v>107.7695298630137</v>
      </c>
      <c r="DK43" s="71">
        <f>DK186</f>
        <v>107.95189260273972</v>
      </c>
      <c r="DL43" s="433">
        <f>SUM(DH43:DK43)</f>
        <v>430.07620164383559</v>
      </c>
      <c r="DM43" s="71">
        <f>DM186</f>
        <v>105.60511232876713</v>
      </c>
      <c r="DN43" s="71">
        <f>DN186</f>
        <v>106.77850246575342</v>
      </c>
      <c r="DO43" s="71">
        <f>DO186</f>
        <v>107.11358191780823</v>
      </c>
      <c r="DP43" s="71">
        <f>DP186</f>
        <v>108.29065424657536</v>
      </c>
      <c r="DQ43" s="433">
        <f>SUM(DM43:DP43)</f>
        <v>427.78785095890413</v>
      </c>
      <c r="DR43" s="71">
        <f>DR186</f>
        <v>105.93650958904109</v>
      </c>
      <c r="DS43" s="71">
        <f>DS186</f>
        <v>107.11358191780823</v>
      </c>
      <c r="DT43" s="71">
        <f>DT186</f>
        <v>107.11358191780823</v>
      </c>
      <c r="DU43" s="71">
        <f>DU186</f>
        <v>108.29065424657536</v>
      </c>
      <c r="DV43" s="433">
        <f>SUM(DR43:DU43)</f>
        <v>428.45432767123287</v>
      </c>
      <c r="DW43" s="71">
        <f>DW186</f>
        <v>105.93650958904109</v>
      </c>
      <c r="DX43" s="71">
        <f>DX186</f>
        <v>107.11358191780823</v>
      </c>
      <c r="DY43" s="71">
        <f>DY186</f>
        <v>107.11358191780823</v>
      </c>
      <c r="DZ43" s="71">
        <f>DZ186</f>
        <v>108.29065424657536</v>
      </c>
      <c r="EA43" s="433">
        <f>SUM(DW43:DZ43)</f>
        <v>428.45432767123287</v>
      </c>
      <c r="EB43" s="41"/>
      <c r="EC43" s="14" t="s">
        <v>453</v>
      </c>
      <c r="ED43" s="1196">
        <f t="shared" si="56"/>
        <v>118</v>
      </c>
      <c r="EE43" s="1196">
        <v>110.8870706849315</v>
      </c>
      <c r="EF43" s="793">
        <f t="shared" ref="EF43:EF49" si="78">ED43-EE43</f>
        <v>7.1129293150684987</v>
      </c>
      <c r="EG43" s="1196">
        <f t="shared" si="57"/>
        <v>114</v>
      </c>
      <c r="EH43" s="399">
        <f t="shared" ref="EH43:EH49" si="79">ED43/EG43-1</f>
        <v>3.5087719298245723E-2</v>
      </c>
      <c r="EI43" s="842">
        <f>EF43*(1-0.265)/ED65</f>
        <v>1.5153632019058975E-2</v>
      </c>
      <c r="EJ43" s="415"/>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row>
    <row r="44" spans="1:259" s="337" customFormat="1" x14ac:dyDescent="0.2">
      <c r="A44" s="1870" t="s">
        <v>689</v>
      </c>
      <c r="B44" s="1357"/>
      <c r="C44" s="1357"/>
      <c r="D44" s="1357"/>
      <c r="E44" s="1357"/>
      <c r="F44" s="1375"/>
      <c r="G44" s="1803"/>
      <c r="H44" s="1357"/>
      <c r="I44" s="1357"/>
      <c r="J44" s="1361"/>
      <c r="K44" s="1361"/>
      <c r="L44" s="1357"/>
      <c r="M44" s="1357"/>
      <c r="N44" s="1357"/>
      <c r="O44" s="1361"/>
      <c r="P44" s="1375"/>
      <c r="Q44" s="1803"/>
      <c r="R44" s="1357"/>
      <c r="S44" s="1357"/>
      <c r="T44" s="1357"/>
      <c r="U44" s="1375"/>
      <c r="V44" s="1803"/>
      <c r="W44" s="1357"/>
      <c r="X44" s="1357"/>
      <c r="Y44" s="1357"/>
      <c r="Z44" s="1375"/>
      <c r="AA44" s="1357"/>
      <c r="AB44" s="1357"/>
      <c r="AC44" s="1357"/>
      <c r="AD44" s="1357"/>
      <c r="AE44" s="1375"/>
      <c r="AF44" s="1803"/>
      <c r="AG44" s="1357"/>
      <c r="AH44" s="1357"/>
      <c r="AI44" s="1361"/>
      <c r="AJ44" s="1375"/>
      <c r="AK44" s="1357"/>
      <c r="AL44" s="1357"/>
      <c r="AM44" s="1357"/>
      <c r="AN44" s="1357"/>
      <c r="AO44" s="1375"/>
      <c r="AP44" s="1357"/>
      <c r="AQ44" s="1357"/>
      <c r="AR44" s="1357"/>
      <c r="AS44" s="1357"/>
      <c r="AT44" s="1375"/>
      <c r="AU44" s="1357"/>
      <c r="AV44" s="1357"/>
      <c r="AW44" s="1357"/>
      <c r="AX44" s="1357"/>
      <c r="AY44" s="1375"/>
      <c r="AZ44" s="1357"/>
      <c r="BA44" s="1357"/>
      <c r="BB44" s="1357"/>
      <c r="BC44" s="1357"/>
      <c r="BD44" s="1375"/>
      <c r="BE44" s="1357"/>
      <c r="BF44" s="1357"/>
      <c r="BG44" s="1357"/>
      <c r="BH44" s="1357"/>
      <c r="BI44" s="1375"/>
      <c r="BJ44" s="1357"/>
      <c r="BK44" s="1357"/>
      <c r="BL44" s="1357"/>
      <c r="BM44" s="1357"/>
      <c r="BN44" s="1377"/>
      <c r="BO44" s="1357"/>
      <c r="BP44" s="1357"/>
      <c r="BQ44" s="1357"/>
      <c r="BR44" s="1357"/>
      <c r="BS44" s="1377"/>
      <c r="BT44" s="1357"/>
      <c r="BU44" s="1357"/>
      <c r="BV44" s="1357"/>
      <c r="BW44" s="1357"/>
      <c r="BX44" s="1377"/>
      <c r="BY44" s="1357"/>
      <c r="BZ44" s="1357"/>
      <c r="CA44" s="1357"/>
      <c r="CB44" s="1357"/>
      <c r="CC44" s="1377"/>
      <c r="CD44" s="1400"/>
      <c r="CE44" s="1400"/>
      <c r="CF44" s="1400"/>
      <c r="CG44" s="1400"/>
      <c r="CH44" s="1771"/>
      <c r="CI44" s="1395"/>
      <c r="CJ44" s="1395"/>
      <c r="CK44" s="1395"/>
      <c r="CL44" s="1395"/>
      <c r="CM44" s="1342"/>
      <c r="CN44" s="1395"/>
      <c r="CO44" s="1395"/>
      <c r="CP44" s="1395"/>
      <c r="CQ44" s="1889"/>
      <c r="CR44" s="1940"/>
      <c r="CS44" s="975">
        <v>-1</v>
      </c>
      <c r="CT44" s="975">
        <v>0</v>
      </c>
      <c r="CU44" s="1007">
        <v>-1</v>
      </c>
      <c r="CV44" s="71">
        <v>34</v>
      </c>
      <c r="CW44" s="82">
        <f>SUM(CS44:CV44)</f>
        <v>32</v>
      </c>
      <c r="CX44" s="71">
        <v>28</v>
      </c>
      <c r="CY44" s="71">
        <v>4</v>
      </c>
      <c r="CZ44" s="71">
        <v>10</v>
      </c>
      <c r="DA44" s="71">
        <v>5</v>
      </c>
      <c r="DB44" s="433">
        <f>SUM(CX44:DA44)</f>
        <v>47</v>
      </c>
      <c r="DC44" s="71">
        <v>0</v>
      </c>
      <c r="DD44" s="71">
        <v>0</v>
      </c>
      <c r="DE44" s="71">
        <v>0</v>
      </c>
      <c r="DF44" s="71">
        <v>10</v>
      </c>
      <c r="DG44" s="433">
        <f>SUM(DC44:DF44)</f>
        <v>10</v>
      </c>
      <c r="DH44" s="71">
        <v>0</v>
      </c>
      <c r="DI44" s="71">
        <v>0</v>
      </c>
      <c r="DJ44" s="71">
        <v>0</v>
      </c>
      <c r="DK44" s="71">
        <v>10</v>
      </c>
      <c r="DL44" s="433">
        <f>SUM(DH44:DK44)</f>
        <v>10</v>
      </c>
      <c r="DM44" s="71">
        <v>0</v>
      </c>
      <c r="DN44" s="71">
        <v>0</v>
      </c>
      <c r="DO44" s="71">
        <v>0</v>
      </c>
      <c r="DP44" s="71">
        <v>10</v>
      </c>
      <c r="DQ44" s="433">
        <f>SUM(DM44:DP44)</f>
        <v>10</v>
      </c>
      <c r="DR44" s="71">
        <v>0</v>
      </c>
      <c r="DS44" s="71">
        <v>0</v>
      </c>
      <c r="DT44" s="71">
        <v>0</v>
      </c>
      <c r="DU44" s="71">
        <v>10</v>
      </c>
      <c r="DV44" s="433">
        <f>SUM(DR44:DU44)</f>
        <v>10</v>
      </c>
      <c r="DW44" s="71">
        <v>0</v>
      </c>
      <c r="DX44" s="71">
        <v>0</v>
      </c>
      <c r="DY44" s="71">
        <v>0</v>
      </c>
      <c r="DZ44" s="71">
        <v>10</v>
      </c>
      <c r="EA44" s="433">
        <f>SUM(DW44:DZ44)</f>
        <v>10</v>
      </c>
      <c r="EB44" s="41"/>
      <c r="EC44" s="1872"/>
      <c r="ED44" s="1196"/>
      <c r="EE44" s="1196"/>
      <c r="EF44" s="793"/>
      <c r="EG44" s="1196"/>
      <c r="EH44" s="399"/>
      <c r="EI44" s="842"/>
      <c r="EK44"/>
      <c r="EL44"/>
      <c r="EM44"/>
      <c r="EN44"/>
      <c r="EO44"/>
      <c r="EP44"/>
      <c r="EQ44" s="2112"/>
      <c r="ER44" s="2112"/>
      <c r="ES44" s="2112"/>
      <c r="ET44" s="2112"/>
      <c r="EU44" s="2112"/>
      <c r="EV44" s="2112"/>
      <c r="EW44" s="2112"/>
      <c r="EX44" s="2112"/>
      <c r="EY44" s="2112"/>
      <c r="EZ44" s="2112"/>
      <c r="FA44" s="2112"/>
      <c r="FB44" s="2112"/>
      <c r="FC44" s="2112"/>
      <c r="FD44" s="2112"/>
      <c r="FE44" s="2112"/>
      <c r="FF44" s="2112"/>
      <c r="FG44" s="2112"/>
      <c r="FH44" s="2112"/>
      <c r="FI44" s="2112"/>
      <c r="FJ44" s="2112"/>
      <c r="FK44" s="2112"/>
      <c r="FL44" s="2112"/>
      <c r="FM44" s="2112"/>
      <c r="FN44" s="2112"/>
      <c r="FO44" s="2112"/>
      <c r="FP44" s="2112"/>
      <c r="FQ44" s="2112"/>
      <c r="FR44" s="2112"/>
      <c r="FS44" s="2112"/>
      <c r="FT44" s="2112"/>
      <c r="FU44" s="2112"/>
      <c r="FV44" s="2112"/>
      <c r="FW44" s="2112"/>
      <c r="FX44" s="2112"/>
      <c r="FY44" s="2112"/>
      <c r="FZ44" s="2112"/>
      <c r="GA44" s="2112"/>
      <c r="GB44" s="2112"/>
      <c r="GC44" s="2112"/>
      <c r="GD44" s="2112"/>
      <c r="GE44" s="2112"/>
      <c r="GF44" s="2112"/>
      <c r="GG44" s="2112"/>
      <c r="GH44" s="2112"/>
      <c r="GI44" s="2112"/>
      <c r="GJ44" s="2112"/>
      <c r="GK44" s="2112"/>
      <c r="GL44" s="2112"/>
      <c r="GM44" s="2112"/>
      <c r="GN44" s="2112"/>
      <c r="GO44" s="2112"/>
      <c r="GP44" s="2112"/>
      <c r="GQ44" s="2112"/>
      <c r="GR44" s="2112"/>
      <c r="GS44" s="2112"/>
      <c r="GT44" s="2112"/>
      <c r="GU44" s="2112"/>
      <c r="GV44" s="2112"/>
      <c r="GW44" s="2112"/>
      <c r="GX44" s="2112"/>
      <c r="GY44" s="2112"/>
      <c r="GZ44" s="2112"/>
      <c r="HA44" s="2112"/>
      <c r="HB44" s="2112"/>
      <c r="HC44" s="2112"/>
      <c r="HD44" s="2112"/>
      <c r="HE44" s="2112"/>
      <c r="HF44" s="2112"/>
      <c r="HG44" s="2112"/>
      <c r="HH44" s="2112"/>
      <c r="HI44" s="2112"/>
      <c r="HJ44" s="2112"/>
      <c r="HK44" s="2112"/>
      <c r="HL44" s="2112"/>
      <c r="HM44" s="2112"/>
      <c r="HN44" s="2112"/>
      <c r="HO44" s="2112"/>
      <c r="HP44" s="2112"/>
      <c r="HQ44" s="2112"/>
      <c r="HR44" s="2112"/>
      <c r="HS44" s="2112"/>
      <c r="HT44" s="2112"/>
      <c r="HU44" s="2112"/>
      <c r="HV44" s="2112"/>
      <c r="HW44" s="2112"/>
      <c r="HX44" s="2112"/>
      <c r="HY44" s="2112"/>
      <c r="HZ44" s="2112"/>
      <c r="IA44" s="2112"/>
      <c r="IB44" s="2112"/>
      <c r="IC44" s="2112"/>
      <c r="ID44" s="2112"/>
      <c r="IE44" s="2112"/>
      <c r="IF44" s="2112"/>
      <c r="IG44" s="2112"/>
      <c r="IH44" s="2112"/>
      <c r="II44" s="2112"/>
      <c r="IJ44" s="2112"/>
      <c r="IK44" s="2112"/>
      <c r="IL44" s="2112"/>
      <c r="IM44" s="2112"/>
      <c r="IN44" s="2112"/>
      <c r="IO44" s="2112"/>
      <c r="IP44" s="2112"/>
      <c r="IQ44" s="2112"/>
      <c r="IR44" s="2112"/>
      <c r="IS44" s="2112"/>
      <c r="IT44" s="2112"/>
      <c r="IU44" s="2112"/>
      <c r="IV44" s="2112"/>
      <c r="IW44" s="2112"/>
      <c r="IX44" s="2112"/>
      <c r="IY44" s="2112"/>
    </row>
    <row r="45" spans="1:259" s="337" customFormat="1" x14ac:dyDescent="0.2">
      <c r="A45" s="431" t="s">
        <v>375</v>
      </c>
      <c r="B45" s="1357">
        <v>80</v>
      </c>
      <c r="C45" s="1357">
        <f t="shared" ref="C45:J45" si="80">C38-C43</f>
        <v>129</v>
      </c>
      <c r="D45" s="1357">
        <f t="shared" si="80"/>
        <v>102</v>
      </c>
      <c r="E45" s="1357">
        <f t="shared" si="80"/>
        <v>76</v>
      </c>
      <c r="F45" s="1418">
        <f t="shared" si="80"/>
        <v>388</v>
      </c>
      <c r="G45" s="1803">
        <f t="shared" si="80"/>
        <v>69.5</v>
      </c>
      <c r="H45" s="1357">
        <f t="shared" si="80"/>
        <v>122</v>
      </c>
      <c r="I45" s="1357">
        <f t="shared" si="80"/>
        <v>157.79999999999995</v>
      </c>
      <c r="J45" s="1394">
        <f t="shared" si="80"/>
        <v>145.60000000000002</v>
      </c>
      <c r="K45" s="1361">
        <f>SUM(G45:J45)</f>
        <v>494.9</v>
      </c>
      <c r="L45" s="1357">
        <f t="shared" ref="L45:AQ45" si="81">L38-L43</f>
        <v>150</v>
      </c>
      <c r="M45" s="1357">
        <f t="shared" si="81"/>
        <v>163</v>
      </c>
      <c r="N45" s="1357">
        <f t="shared" si="81"/>
        <v>190</v>
      </c>
      <c r="O45" s="1361">
        <f t="shared" si="81"/>
        <v>187</v>
      </c>
      <c r="P45" s="1804">
        <f t="shared" si="81"/>
        <v>690</v>
      </c>
      <c r="Q45" s="1772">
        <f t="shared" si="81"/>
        <v>158</v>
      </c>
      <c r="R45" s="1357">
        <f t="shared" si="81"/>
        <v>185</v>
      </c>
      <c r="S45" s="1357">
        <f t="shared" si="81"/>
        <v>181</v>
      </c>
      <c r="T45" s="1361">
        <f t="shared" si="81"/>
        <v>187</v>
      </c>
      <c r="U45" s="1804">
        <f t="shared" si="81"/>
        <v>711</v>
      </c>
      <c r="V45" s="1772">
        <f t="shared" si="81"/>
        <v>141</v>
      </c>
      <c r="W45" s="1357">
        <f t="shared" si="81"/>
        <v>156</v>
      </c>
      <c r="X45" s="1357">
        <f t="shared" si="81"/>
        <v>186</v>
      </c>
      <c r="Y45" s="1361">
        <f t="shared" si="81"/>
        <v>248</v>
      </c>
      <c r="Z45" s="1804">
        <f t="shared" si="81"/>
        <v>731</v>
      </c>
      <c r="AA45" s="1357">
        <f t="shared" si="81"/>
        <v>181</v>
      </c>
      <c r="AB45" s="1357">
        <f t="shared" si="81"/>
        <v>199</v>
      </c>
      <c r="AC45" s="1357">
        <f t="shared" si="81"/>
        <v>209</v>
      </c>
      <c r="AD45" s="1361">
        <f t="shared" si="81"/>
        <v>242</v>
      </c>
      <c r="AE45" s="1804">
        <f t="shared" si="81"/>
        <v>830.6</v>
      </c>
      <c r="AF45" s="1772">
        <f t="shared" si="81"/>
        <v>175</v>
      </c>
      <c r="AG45" s="1357">
        <f t="shared" si="81"/>
        <v>215</v>
      </c>
      <c r="AH45" s="1357">
        <f t="shared" si="81"/>
        <v>234</v>
      </c>
      <c r="AI45" s="1361">
        <f t="shared" si="81"/>
        <v>278</v>
      </c>
      <c r="AJ45" s="1804">
        <f t="shared" si="81"/>
        <v>902</v>
      </c>
      <c r="AK45" s="1357">
        <f t="shared" si="81"/>
        <v>208</v>
      </c>
      <c r="AL45" s="1357">
        <f t="shared" si="81"/>
        <v>229</v>
      </c>
      <c r="AM45" s="1357">
        <f t="shared" si="81"/>
        <v>262</v>
      </c>
      <c r="AN45" s="1361">
        <f t="shared" si="81"/>
        <v>297</v>
      </c>
      <c r="AO45" s="1804">
        <f t="shared" si="81"/>
        <v>996</v>
      </c>
      <c r="AP45" s="1357">
        <f t="shared" si="81"/>
        <v>223</v>
      </c>
      <c r="AQ45" s="1357">
        <f t="shared" si="81"/>
        <v>231</v>
      </c>
      <c r="AR45" s="1357">
        <f t="shared" ref="AR45:BW45" si="82">AR38-AR43</f>
        <v>280</v>
      </c>
      <c r="AS45" s="1361">
        <f t="shared" si="82"/>
        <v>290</v>
      </c>
      <c r="AT45" s="1804">
        <f t="shared" si="82"/>
        <v>1024</v>
      </c>
      <c r="AU45" s="1357">
        <f t="shared" si="82"/>
        <v>247</v>
      </c>
      <c r="AV45" s="1357">
        <f t="shared" si="82"/>
        <v>271</v>
      </c>
      <c r="AW45" s="1357">
        <f t="shared" si="82"/>
        <v>310</v>
      </c>
      <c r="AX45" s="1361">
        <f t="shared" si="82"/>
        <v>280</v>
      </c>
      <c r="AY45" s="1804">
        <f t="shared" si="82"/>
        <v>1108</v>
      </c>
      <c r="AZ45" s="1357">
        <f t="shared" si="82"/>
        <v>279.60000000000002</v>
      </c>
      <c r="BA45" s="1357">
        <f t="shared" si="82"/>
        <v>272</v>
      </c>
      <c r="BB45" s="1357">
        <f t="shared" si="82"/>
        <v>363</v>
      </c>
      <c r="BC45" s="1361">
        <f t="shared" si="82"/>
        <v>276</v>
      </c>
      <c r="BD45" s="1804">
        <f t="shared" si="82"/>
        <v>1190.5999999999999</v>
      </c>
      <c r="BE45" s="1357">
        <f t="shared" si="82"/>
        <v>373</v>
      </c>
      <c r="BF45" s="1357">
        <f t="shared" si="82"/>
        <v>263</v>
      </c>
      <c r="BG45" s="1357">
        <f t="shared" si="82"/>
        <v>364</v>
      </c>
      <c r="BH45" s="1361">
        <f t="shared" si="82"/>
        <v>289</v>
      </c>
      <c r="BI45" s="1804">
        <f t="shared" si="82"/>
        <v>1289</v>
      </c>
      <c r="BJ45" s="1357">
        <f t="shared" si="82"/>
        <v>298</v>
      </c>
      <c r="BK45" s="1357">
        <f t="shared" si="82"/>
        <v>351</v>
      </c>
      <c r="BL45" s="1357">
        <f t="shared" si="82"/>
        <v>428</v>
      </c>
      <c r="BM45" s="1361">
        <f t="shared" si="82"/>
        <v>319</v>
      </c>
      <c r="BN45" s="1419">
        <f t="shared" si="82"/>
        <v>1396</v>
      </c>
      <c r="BO45" s="1357">
        <f t="shared" si="82"/>
        <v>323</v>
      </c>
      <c r="BP45" s="1357">
        <f t="shared" si="82"/>
        <v>379</v>
      </c>
      <c r="BQ45" s="1357">
        <f t="shared" si="82"/>
        <v>506</v>
      </c>
      <c r="BR45" s="1361">
        <f t="shared" si="82"/>
        <v>386</v>
      </c>
      <c r="BS45" s="1419">
        <f t="shared" si="82"/>
        <v>1594</v>
      </c>
      <c r="BT45" s="1357">
        <f t="shared" si="82"/>
        <v>358</v>
      </c>
      <c r="BU45" s="1357">
        <f t="shared" si="82"/>
        <v>384</v>
      </c>
      <c r="BV45" s="1357">
        <f t="shared" si="82"/>
        <v>456</v>
      </c>
      <c r="BW45" s="1361">
        <f t="shared" si="82"/>
        <v>461</v>
      </c>
      <c r="BX45" s="1419">
        <f t="shared" ref="BX45:CR45" si="83">BX38-BX43</f>
        <v>1659</v>
      </c>
      <c r="BY45" s="1357">
        <f t="shared" si="83"/>
        <v>608</v>
      </c>
      <c r="BZ45" s="1357">
        <f t="shared" si="83"/>
        <v>435</v>
      </c>
      <c r="CA45" s="1357">
        <f t="shared" si="83"/>
        <v>639</v>
      </c>
      <c r="CB45" s="1361">
        <f t="shared" si="83"/>
        <v>463</v>
      </c>
      <c r="CC45" s="1419">
        <f t="shared" si="83"/>
        <v>2145</v>
      </c>
      <c r="CD45" s="1400">
        <f t="shared" si="83"/>
        <v>347.32650000000012</v>
      </c>
      <c r="CE45" s="1400">
        <f t="shared" si="83"/>
        <v>321.70749999999998</v>
      </c>
      <c r="CF45" s="1400">
        <f t="shared" si="83"/>
        <v>358.53749999999991</v>
      </c>
      <c r="CG45" s="1400">
        <f t="shared" si="83"/>
        <v>251.42849999999999</v>
      </c>
      <c r="CH45" s="1805">
        <f t="shared" si="83"/>
        <v>1279</v>
      </c>
      <c r="CI45" s="1371">
        <f t="shared" si="83"/>
        <v>291.68899999999985</v>
      </c>
      <c r="CJ45" s="1395">
        <f t="shared" si="83"/>
        <v>284.25299999999993</v>
      </c>
      <c r="CK45" s="1395">
        <f t="shared" si="83"/>
        <v>371.85500000000002</v>
      </c>
      <c r="CL45" s="1420">
        <f t="shared" si="83"/>
        <v>424.20299999999997</v>
      </c>
      <c r="CM45" s="1421">
        <f t="shared" si="83"/>
        <v>1372</v>
      </c>
      <c r="CN45" s="1371">
        <f t="shared" si="83"/>
        <v>390.57249999999999</v>
      </c>
      <c r="CO45" s="1395">
        <f t="shared" si="83"/>
        <v>247.76600000000008</v>
      </c>
      <c r="CP45" s="1395">
        <f t="shared" si="83"/>
        <v>293.94250000000011</v>
      </c>
      <c r="CQ45" s="1889">
        <f t="shared" si="83"/>
        <v>310</v>
      </c>
      <c r="CR45" s="1939">
        <f t="shared" si="83"/>
        <v>1242.2809999999999</v>
      </c>
      <c r="CS45" s="975">
        <f t="shared" ref="CS45:DG45" si="84">CS38-CS43-CS44</f>
        <v>308</v>
      </c>
      <c r="CT45" s="975">
        <f t="shared" si="84"/>
        <v>365</v>
      </c>
      <c r="CU45" s="975">
        <f t="shared" si="84"/>
        <v>300</v>
      </c>
      <c r="CV45" s="1007">
        <f t="shared" si="84"/>
        <v>373</v>
      </c>
      <c r="CW45" s="970">
        <f t="shared" si="84"/>
        <v>1346</v>
      </c>
      <c r="CX45" s="71">
        <f t="shared" si="84"/>
        <v>347</v>
      </c>
      <c r="CY45" s="71">
        <f t="shared" si="84"/>
        <v>311</v>
      </c>
      <c r="CZ45" s="71">
        <f t="shared" si="84"/>
        <v>524</v>
      </c>
      <c r="DA45" s="71">
        <f t="shared" si="84"/>
        <v>1092</v>
      </c>
      <c r="DB45" s="82">
        <f t="shared" si="84"/>
        <v>2274</v>
      </c>
      <c r="DC45" s="71">
        <f t="shared" si="84"/>
        <v>274.51020073964582</v>
      </c>
      <c r="DD45" s="71">
        <f t="shared" si="84"/>
        <v>295.26915307786294</v>
      </c>
      <c r="DE45" s="71">
        <f t="shared" si="84"/>
        <v>329.34026042316299</v>
      </c>
      <c r="DF45" s="71">
        <f t="shared" si="84"/>
        <v>387.83812280414531</v>
      </c>
      <c r="DG45" s="82">
        <f t="shared" si="84"/>
        <v>1286.9577370448167</v>
      </c>
      <c r="DH45" s="71">
        <f t="shared" ref="DH45:DQ45" si="85">DH38-DH43-DH44</f>
        <v>317.18492244899801</v>
      </c>
      <c r="DI45" s="71">
        <f t="shared" si="85"/>
        <v>337.49258915127365</v>
      </c>
      <c r="DJ45" s="71">
        <f t="shared" si="85"/>
        <v>376.44079786829519</v>
      </c>
      <c r="DK45" s="71">
        <f t="shared" si="85"/>
        <v>445.63693173031641</v>
      </c>
      <c r="DL45" s="82">
        <f t="shared" si="85"/>
        <v>1476.7552411988831</v>
      </c>
      <c r="DM45" s="71">
        <f t="shared" si="85"/>
        <v>336.1056784924005</v>
      </c>
      <c r="DN45" s="71">
        <f t="shared" si="85"/>
        <v>362.0320728923997</v>
      </c>
      <c r="DO45" s="71">
        <f t="shared" si="85"/>
        <v>409.44301223501486</v>
      </c>
      <c r="DP45" s="71">
        <f t="shared" si="85"/>
        <v>491.45388993442253</v>
      </c>
      <c r="DQ45" s="82">
        <f t="shared" si="85"/>
        <v>1599.034653554238</v>
      </c>
      <c r="DR45" s="71">
        <f t="shared" ref="DR45:EA45" si="86">DR38-DR43-DR44</f>
        <v>372.17761367411299</v>
      </c>
      <c r="DS45" s="71">
        <f t="shared" si="86"/>
        <v>399.33695489033641</v>
      </c>
      <c r="DT45" s="71">
        <f t="shared" si="86"/>
        <v>451.62343001695865</v>
      </c>
      <c r="DU45" s="71">
        <f t="shared" si="86"/>
        <v>541.98238723737836</v>
      </c>
      <c r="DV45" s="82">
        <f t="shared" si="86"/>
        <v>1765.1203858187864</v>
      </c>
      <c r="DW45" s="71">
        <f t="shared" si="86"/>
        <v>408.86033118821035</v>
      </c>
      <c r="DX45" s="71">
        <f t="shared" si="86"/>
        <v>438.01627160688679</v>
      </c>
      <c r="DY45" s="71">
        <f t="shared" si="86"/>
        <v>496.34620356738446</v>
      </c>
      <c r="DZ45" s="71">
        <f t="shared" si="86"/>
        <v>595.94109404057269</v>
      </c>
      <c r="EA45" s="82">
        <f t="shared" si="86"/>
        <v>1939.163900403054</v>
      </c>
      <c r="EB45" s="41"/>
      <c r="EC45" s="14" t="s">
        <v>454</v>
      </c>
      <c r="ED45" s="1196">
        <f t="shared" ref="ED45:ED53" si="87">DA45</f>
        <v>1092</v>
      </c>
      <c r="EE45" s="1196">
        <v>346.17975216813409</v>
      </c>
      <c r="EF45" s="793">
        <f t="shared" si="78"/>
        <v>745.82024783186591</v>
      </c>
      <c r="EG45" s="1196">
        <f t="shared" ref="EG45:EG53" si="88">CV45</f>
        <v>373</v>
      </c>
      <c r="EH45" s="399">
        <f t="shared" si="79"/>
        <v>1.9276139410187669</v>
      </c>
      <c r="EI45" s="11"/>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row>
    <row r="46" spans="1:259" s="337" customFormat="1" x14ac:dyDescent="0.2">
      <c r="A46" s="431" t="s">
        <v>455</v>
      </c>
      <c r="B46" s="1357">
        <v>38</v>
      </c>
      <c r="C46" s="1357">
        <v>55</v>
      </c>
      <c r="D46" s="1357">
        <f>59+(D52-D53)+(D56-D57)</f>
        <v>11</v>
      </c>
      <c r="E46" s="1357">
        <v>31</v>
      </c>
      <c r="F46" s="1375">
        <f>SUM(B46:E46)</f>
        <v>135</v>
      </c>
      <c r="G46" s="1803">
        <v>32</v>
      </c>
      <c r="H46" s="1357">
        <v>83</v>
      </c>
      <c r="I46" s="1357">
        <f>88.5+(I52-I53)+(I56-I57)</f>
        <v>66.5</v>
      </c>
      <c r="J46" s="1361">
        <v>59</v>
      </c>
      <c r="K46" s="1361">
        <f>SUM(G46:J46)</f>
        <v>240.5</v>
      </c>
      <c r="L46" s="1357">
        <v>63</v>
      </c>
      <c r="M46" s="1357">
        <v>66</v>
      </c>
      <c r="N46" s="1357">
        <v>78</v>
      </c>
      <c r="O46" s="1361">
        <v>64</v>
      </c>
      <c r="P46" s="1375">
        <f>SUM(L46:O46)</f>
        <v>271</v>
      </c>
      <c r="Q46" s="1803">
        <f>81+(Q52-Q53)+(Q56-Q57)</f>
        <v>61.7</v>
      </c>
      <c r="R46" s="1357">
        <f>73+(R52-R53)+(R56-R57)</f>
        <v>72</v>
      </c>
      <c r="S46" s="1357">
        <f>34+(S52-S53)+(S56-S57)</f>
        <v>68.879120879120876</v>
      </c>
      <c r="T46" s="1357">
        <v>67</v>
      </c>
      <c r="U46" s="1375">
        <f>SUM(Q46:T46)</f>
        <v>269.57912087912086</v>
      </c>
      <c r="V46" s="1803">
        <v>53</v>
      </c>
      <c r="W46" s="1357">
        <v>45</v>
      </c>
      <c r="X46" s="1357">
        <v>61</v>
      </c>
      <c r="Y46" s="1357">
        <v>84</v>
      </c>
      <c r="Z46" s="1375">
        <f>SUM(V46:Y46)</f>
        <v>243</v>
      </c>
      <c r="AA46" s="1357">
        <v>64.5</v>
      </c>
      <c r="AB46" s="1357">
        <v>65</v>
      </c>
      <c r="AC46" s="1357">
        <v>66</v>
      </c>
      <c r="AD46" s="1361">
        <v>71</v>
      </c>
      <c r="AE46" s="1375">
        <v>265</v>
      </c>
      <c r="AF46" s="1803">
        <v>57</v>
      </c>
      <c r="AG46" s="1357">
        <v>70</v>
      </c>
      <c r="AH46" s="1357">
        <v>68</v>
      </c>
      <c r="AI46" s="1361">
        <v>79.5</v>
      </c>
      <c r="AJ46" s="1375">
        <f>SUM(AF46:AI46)</f>
        <v>274.5</v>
      </c>
      <c r="AK46" s="1357">
        <v>66</v>
      </c>
      <c r="AL46" s="1357">
        <v>60.4</v>
      </c>
      <c r="AM46" s="1357">
        <v>77</v>
      </c>
      <c r="AN46" s="1361">
        <v>72</v>
      </c>
      <c r="AO46" s="1375">
        <f>SUM(AK46:AN46)</f>
        <v>275.39999999999998</v>
      </c>
      <c r="AP46" s="1357">
        <v>70</v>
      </c>
      <c r="AQ46" s="1357">
        <v>53</v>
      </c>
      <c r="AR46" s="1357">
        <v>75</v>
      </c>
      <c r="AS46" s="1361">
        <v>66</v>
      </c>
      <c r="AT46" s="1375">
        <v>264</v>
      </c>
      <c r="AU46" s="1357">
        <v>77</v>
      </c>
      <c r="AV46" s="1357">
        <v>79</v>
      </c>
      <c r="AW46" s="1357">
        <v>80</v>
      </c>
      <c r="AX46" s="1361">
        <v>48</v>
      </c>
      <c r="AY46" s="1375">
        <f>SUM(AU46:AX46)</f>
        <v>284</v>
      </c>
      <c r="AZ46" s="1357">
        <v>86</v>
      </c>
      <c r="BA46" s="1357">
        <v>58</v>
      </c>
      <c r="BB46" s="1357">
        <v>93</v>
      </c>
      <c r="BC46" s="1361">
        <v>45</v>
      </c>
      <c r="BD46" s="1375">
        <f>SUM(AZ46:BC46)</f>
        <v>282</v>
      </c>
      <c r="BE46" s="1357">
        <v>117</v>
      </c>
      <c r="BF46" s="1357">
        <v>39</v>
      </c>
      <c r="BG46" s="1357">
        <v>79</v>
      </c>
      <c r="BH46" s="1361">
        <v>82</v>
      </c>
      <c r="BI46" s="1375">
        <f>SUM(BE46:BH46)</f>
        <v>317</v>
      </c>
      <c r="BJ46" s="1357">
        <v>79</v>
      </c>
      <c r="BK46" s="1357">
        <v>45</v>
      </c>
      <c r="BL46" s="1357">
        <v>88</v>
      </c>
      <c r="BM46" s="1361">
        <v>101</v>
      </c>
      <c r="BN46" s="1377">
        <f>SUM(BJ46:BM46)</f>
        <v>313</v>
      </c>
      <c r="BO46" s="1357">
        <v>78</v>
      </c>
      <c r="BP46" s="1357">
        <v>90</v>
      </c>
      <c r="BQ46" s="1357">
        <v>139</v>
      </c>
      <c r="BR46" s="1361">
        <v>109</v>
      </c>
      <c r="BS46" s="1377">
        <f>SUM(BO46:BR46)</f>
        <v>416</v>
      </c>
      <c r="BT46" s="1357">
        <v>91</v>
      </c>
      <c r="BU46" s="1357">
        <v>62</v>
      </c>
      <c r="BV46" s="1357">
        <v>67</v>
      </c>
      <c r="BW46" s="1361">
        <v>104</v>
      </c>
      <c r="BX46" s="1377">
        <f>SUM(BT46:BW46)</f>
        <v>324</v>
      </c>
      <c r="BY46" s="1357">
        <v>147</v>
      </c>
      <c r="BZ46" s="1357">
        <v>102</v>
      </c>
      <c r="CA46" s="1357">
        <v>161</v>
      </c>
      <c r="CB46" s="1361">
        <v>127</v>
      </c>
      <c r="CC46" s="1377">
        <f>SUM(BY46:CB46)</f>
        <v>537</v>
      </c>
      <c r="CD46" s="1400">
        <f>CD45*CD79</f>
        <v>95.167461000000046</v>
      </c>
      <c r="CE46" s="1400">
        <f>CE45*CE79</f>
        <v>88.147855000000007</v>
      </c>
      <c r="CF46" s="1400">
        <f>CF45*CF79</f>
        <v>98.239274999999978</v>
      </c>
      <c r="CG46" s="1400">
        <f>CG45*CG79</f>
        <v>68.891408999999996</v>
      </c>
      <c r="CH46" s="1802">
        <v>350</v>
      </c>
      <c r="CI46" s="1395">
        <v>54.985720000000015</v>
      </c>
      <c r="CJ46" s="1395">
        <v>64.237284999999986</v>
      </c>
      <c r="CK46" s="1395">
        <v>70.192254999999989</v>
      </c>
      <c r="CL46" s="1395">
        <f>CM46-SUM(CI46:CK46)</f>
        <v>177.58474000000001</v>
      </c>
      <c r="CM46" s="1342">
        <v>367</v>
      </c>
      <c r="CN46" s="1395">
        <v>63.880619999999986</v>
      </c>
      <c r="CO46" s="1395">
        <v>77</v>
      </c>
      <c r="CP46" s="1395">
        <v>83</v>
      </c>
      <c r="CQ46" s="1889">
        <v>101</v>
      </c>
      <c r="CR46" s="1940">
        <f>SUM(CN46:CQ46)</f>
        <v>324.88062000000002</v>
      </c>
      <c r="CS46" s="975">
        <v>82</v>
      </c>
      <c r="CT46" s="975">
        <v>98</v>
      </c>
      <c r="CU46" s="1007">
        <v>83</v>
      </c>
      <c r="CV46" s="71">
        <v>64</v>
      </c>
      <c r="CW46" s="82">
        <f>SUM(CS46:CV46)</f>
        <v>327</v>
      </c>
      <c r="CX46" s="71">
        <v>67</v>
      </c>
      <c r="CY46" s="71">
        <v>105</v>
      </c>
      <c r="CZ46" s="71">
        <v>106</v>
      </c>
      <c r="DA46" s="71">
        <v>656</v>
      </c>
      <c r="DB46" s="433">
        <f>SUM(CX46:DA46)</f>
        <v>934</v>
      </c>
      <c r="DC46" s="71">
        <f>DC78*DC45</f>
        <v>53.529489144230936</v>
      </c>
      <c r="DD46" s="71">
        <f>DD78*DD45</f>
        <v>57.577484850183275</v>
      </c>
      <c r="DE46" s="71">
        <f>DE78*DE45</f>
        <v>64.22135078251678</v>
      </c>
      <c r="DF46" s="71">
        <f>DF78*DF45</f>
        <v>75.628433946808343</v>
      </c>
      <c r="DG46" s="433">
        <f>SUM(DC46:DF46)</f>
        <v>250.95675872373931</v>
      </c>
      <c r="DH46" s="71">
        <f>DH78*DH45</f>
        <v>63.436984489799606</v>
      </c>
      <c r="DI46" s="71">
        <f>DI78*DI45</f>
        <v>67.498517830254727</v>
      </c>
      <c r="DJ46" s="71">
        <f>DJ78*DJ45</f>
        <v>75.288159573659044</v>
      </c>
      <c r="DK46" s="71">
        <f>DK78*DK45</f>
        <v>89.12738634606329</v>
      </c>
      <c r="DL46" s="433">
        <f>SUM(DH46:DK46)</f>
        <v>295.35104823977667</v>
      </c>
      <c r="DM46" s="71">
        <f>DM78*DM45</f>
        <v>70.5821924834041</v>
      </c>
      <c r="DN46" s="71">
        <f>DN78*DN45</f>
        <v>76.026735307403939</v>
      </c>
      <c r="DO46" s="71">
        <f>DO78*DO45</f>
        <v>85.983032569353114</v>
      </c>
      <c r="DP46" s="71">
        <f>DP78*DP45</f>
        <v>103.20531688622873</v>
      </c>
      <c r="DQ46" s="433">
        <f>SUM(DM46:DP46)</f>
        <v>335.79727724638985</v>
      </c>
      <c r="DR46" s="71">
        <f>DR78*DR45</f>
        <v>78.157298871563725</v>
      </c>
      <c r="DS46" s="71">
        <f>DS78*DS45</f>
        <v>83.860760526970651</v>
      </c>
      <c r="DT46" s="71">
        <f>DT78*DT45</f>
        <v>94.840920303561319</v>
      </c>
      <c r="DU46" s="71">
        <f>DU78*DU45</f>
        <v>113.81630131984946</v>
      </c>
      <c r="DV46" s="433">
        <f>SUM(DR46:DU46)</f>
        <v>370.67528102194512</v>
      </c>
      <c r="DW46" s="71">
        <f>DW78*DW45</f>
        <v>85.860669549524175</v>
      </c>
      <c r="DX46" s="71">
        <f>DX78*DX45</f>
        <v>91.983417037446216</v>
      </c>
      <c r="DY46" s="71">
        <f>DY78*DY45</f>
        <v>104.23270274915073</v>
      </c>
      <c r="DZ46" s="71">
        <f>DZ78*DZ45</f>
        <v>125.14762974852026</v>
      </c>
      <c r="EA46" s="433">
        <f>SUM(DW46:DZ46)</f>
        <v>407.2244190846414</v>
      </c>
      <c r="EB46" s="41"/>
      <c r="EC46" s="14" t="s">
        <v>455</v>
      </c>
      <c r="ED46" s="1196">
        <f t="shared" si="87"/>
        <v>656</v>
      </c>
      <c r="EE46" s="1196">
        <v>91.737634324555543</v>
      </c>
      <c r="EF46" s="793">
        <f t="shared" si="78"/>
        <v>564.26236567544447</v>
      </c>
      <c r="EG46" s="1196">
        <f t="shared" si="88"/>
        <v>64</v>
      </c>
      <c r="EH46" s="399">
        <f t="shared" si="79"/>
        <v>9.25</v>
      </c>
      <c r="EI46" s="842">
        <f>EF46/ED65</f>
        <v>1.6355430889143319</v>
      </c>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row>
    <row r="47" spans="1:259" s="337" customFormat="1" x14ac:dyDescent="0.2">
      <c r="A47" s="431" t="s">
        <v>384</v>
      </c>
      <c r="B47" s="1357"/>
      <c r="C47" s="1357"/>
      <c r="D47" s="1357"/>
      <c r="E47" s="1357"/>
      <c r="F47" s="1375"/>
      <c r="G47" s="1803"/>
      <c r="H47" s="1357"/>
      <c r="I47" s="1357"/>
      <c r="J47" s="1361"/>
      <c r="K47" s="1361"/>
      <c r="L47" s="1357"/>
      <c r="M47" s="1357"/>
      <c r="N47" s="1357"/>
      <c r="O47" s="1361"/>
      <c r="P47" s="1375"/>
      <c r="Q47" s="1803"/>
      <c r="R47" s="1357"/>
      <c r="S47" s="1357"/>
      <c r="T47" s="1357"/>
      <c r="U47" s="1375"/>
      <c r="V47" s="1803"/>
      <c r="W47" s="1357"/>
      <c r="X47" s="1357"/>
      <c r="Y47" s="1357"/>
      <c r="Z47" s="1375"/>
      <c r="AA47" s="1357"/>
      <c r="AB47" s="1357"/>
      <c r="AC47" s="1357"/>
      <c r="AD47" s="1357"/>
      <c r="AE47" s="1375"/>
      <c r="AF47" s="1803"/>
      <c r="AG47" s="1357"/>
      <c r="AH47" s="1357"/>
      <c r="AI47" s="1361"/>
      <c r="AJ47" s="1375"/>
      <c r="AK47" s="1357"/>
      <c r="AL47" s="1357"/>
      <c r="AM47" s="1357"/>
      <c r="AN47" s="1357"/>
      <c r="AO47" s="1375"/>
      <c r="AP47" s="1357"/>
      <c r="AQ47" s="1357"/>
      <c r="AR47" s="1357"/>
      <c r="AS47" s="1357"/>
      <c r="AT47" s="1375"/>
      <c r="AU47" s="1357"/>
      <c r="AV47" s="1357"/>
      <c r="AW47" s="1357"/>
      <c r="AX47" s="1357"/>
      <c r="AY47" s="1375"/>
      <c r="AZ47" s="1357"/>
      <c r="BA47" s="1357"/>
      <c r="BB47" s="1357"/>
      <c r="BC47" s="1357"/>
      <c r="BD47" s="1375"/>
      <c r="BE47" s="1357">
        <f t="shared" ref="BE47:CJ47" si="89">BE45-BE46</f>
        <v>256</v>
      </c>
      <c r="BF47" s="1357">
        <f t="shared" si="89"/>
        <v>224</v>
      </c>
      <c r="BG47" s="1357">
        <f t="shared" si="89"/>
        <v>285</v>
      </c>
      <c r="BH47" s="1357">
        <f t="shared" si="89"/>
        <v>207</v>
      </c>
      <c r="BI47" s="1375">
        <f t="shared" si="89"/>
        <v>972</v>
      </c>
      <c r="BJ47" s="1357">
        <f t="shared" si="89"/>
        <v>219</v>
      </c>
      <c r="BK47" s="1357">
        <f t="shared" si="89"/>
        <v>306</v>
      </c>
      <c r="BL47" s="1357">
        <f t="shared" si="89"/>
        <v>340</v>
      </c>
      <c r="BM47" s="1357">
        <f t="shared" si="89"/>
        <v>218</v>
      </c>
      <c r="BN47" s="1377">
        <f t="shared" si="89"/>
        <v>1083</v>
      </c>
      <c r="BO47" s="1357">
        <f t="shared" si="89"/>
        <v>245</v>
      </c>
      <c r="BP47" s="1357">
        <f t="shared" si="89"/>
        <v>289</v>
      </c>
      <c r="BQ47" s="1357">
        <f t="shared" si="89"/>
        <v>367</v>
      </c>
      <c r="BR47" s="1357">
        <f t="shared" si="89"/>
        <v>277</v>
      </c>
      <c r="BS47" s="1377">
        <f t="shared" si="89"/>
        <v>1178</v>
      </c>
      <c r="BT47" s="1357">
        <f t="shared" si="89"/>
        <v>267</v>
      </c>
      <c r="BU47" s="1357">
        <f t="shared" si="89"/>
        <v>322</v>
      </c>
      <c r="BV47" s="1357">
        <f t="shared" si="89"/>
        <v>389</v>
      </c>
      <c r="BW47" s="1357">
        <f t="shared" si="89"/>
        <v>357</v>
      </c>
      <c r="BX47" s="1377">
        <f t="shared" si="89"/>
        <v>1335</v>
      </c>
      <c r="BY47" s="1357">
        <f t="shared" si="89"/>
        <v>461</v>
      </c>
      <c r="BZ47" s="1357">
        <f t="shared" si="89"/>
        <v>333</v>
      </c>
      <c r="CA47" s="1357">
        <f t="shared" si="89"/>
        <v>478</v>
      </c>
      <c r="CB47" s="1357">
        <f t="shared" si="89"/>
        <v>336</v>
      </c>
      <c r="CC47" s="1377">
        <f t="shared" si="89"/>
        <v>1608</v>
      </c>
      <c r="CD47" s="1400">
        <f t="shared" si="89"/>
        <v>252.15903900000006</v>
      </c>
      <c r="CE47" s="1400">
        <f t="shared" si="89"/>
        <v>233.55964499999999</v>
      </c>
      <c r="CF47" s="1400">
        <f t="shared" si="89"/>
        <v>260.29822499999995</v>
      </c>
      <c r="CG47" s="1400">
        <f t="shared" si="89"/>
        <v>182.53709099999998</v>
      </c>
      <c r="CH47" s="1802">
        <f t="shared" si="89"/>
        <v>929</v>
      </c>
      <c r="CI47" s="1371">
        <f t="shared" si="89"/>
        <v>236.70327999999984</v>
      </c>
      <c r="CJ47" s="1395">
        <f t="shared" si="89"/>
        <v>220.01571499999994</v>
      </c>
      <c r="CK47" s="1395">
        <f t="shared" ref="CK47:DP47" si="90">CK45-CK46</f>
        <v>301.66274500000003</v>
      </c>
      <c r="CL47" s="1395">
        <f t="shared" si="90"/>
        <v>246.61825999999996</v>
      </c>
      <c r="CM47" s="1342">
        <f t="shared" si="90"/>
        <v>1005</v>
      </c>
      <c r="CN47" s="1371">
        <f t="shared" si="90"/>
        <v>326.69188000000003</v>
      </c>
      <c r="CO47" s="1395">
        <f t="shared" si="90"/>
        <v>170.76600000000008</v>
      </c>
      <c r="CP47" s="1395">
        <f t="shared" si="90"/>
        <v>210.94250000000011</v>
      </c>
      <c r="CQ47" s="1889">
        <f t="shared" si="90"/>
        <v>209</v>
      </c>
      <c r="CR47" s="1940">
        <f t="shared" si="90"/>
        <v>917.40037999999993</v>
      </c>
      <c r="CS47" s="975">
        <f t="shared" si="90"/>
        <v>226</v>
      </c>
      <c r="CT47" s="975">
        <f t="shared" si="90"/>
        <v>267</v>
      </c>
      <c r="CU47" s="975">
        <f t="shared" si="90"/>
        <v>217</v>
      </c>
      <c r="CV47" s="71">
        <f t="shared" si="90"/>
        <v>309</v>
      </c>
      <c r="CW47" s="60">
        <f t="shared" si="90"/>
        <v>1019</v>
      </c>
      <c r="CX47" s="71">
        <f t="shared" si="90"/>
        <v>280</v>
      </c>
      <c r="CY47" s="71">
        <f t="shared" si="90"/>
        <v>206</v>
      </c>
      <c r="CZ47" s="71">
        <f t="shared" si="90"/>
        <v>418</v>
      </c>
      <c r="DA47" s="71">
        <f t="shared" si="90"/>
        <v>436</v>
      </c>
      <c r="DB47" s="433">
        <f t="shared" si="90"/>
        <v>1340</v>
      </c>
      <c r="DC47" s="71">
        <f t="shared" si="90"/>
        <v>220.9807115954149</v>
      </c>
      <c r="DD47" s="71">
        <f t="shared" si="90"/>
        <v>237.69166822767966</v>
      </c>
      <c r="DE47" s="71">
        <f t="shared" si="90"/>
        <v>265.11890964064622</v>
      </c>
      <c r="DF47" s="71">
        <f t="shared" si="90"/>
        <v>312.20968885733697</v>
      </c>
      <c r="DG47" s="433">
        <f t="shared" si="90"/>
        <v>1036.0009783210774</v>
      </c>
      <c r="DH47" s="71">
        <f t="shared" si="90"/>
        <v>253.7479379591984</v>
      </c>
      <c r="DI47" s="71">
        <f t="shared" si="90"/>
        <v>269.99407132101891</v>
      </c>
      <c r="DJ47" s="71">
        <f t="shared" si="90"/>
        <v>301.15263829463618</v>
      </c>
      <c r="DK47" s="71">
        <f t="shared" si="90"/>
        <v>356.5095453842531</v>
      </c>
      <c r="DL47" s="433">
        <f t="shared" si="90"/>
        <v>1181.4041929591065</v>
      </c>
      <c r="DM47" s="71">
        <f t="shared" si="90"/>
        <v>265.52348600899643</v>
      </c>
      <c r="DN47" s="71">
        <f t="shared" si="90"/>
        <v>286.00533758499574</v>
      </c>
      <c r="DO47" s="71">
        <f t="shared" si="90"/>
        <v>323.45997966566176</v>
      </c>
      <c r="DP47" s="71">
        <f t="shared" si="90"/>
        <v>388.2485730481938</v>
      </c>
      <c r="DQ47" s="433">
        <f t="shared" ref="DQ47:DU47" si="91">DQ45-DQ46</f>
        <v>1263.2373763078481</v>
      </c>
      <c r="DR47" s="71">
        <f t="shared" si="91"/>
        <v>294.02031480254925</v>
      </c>
      <c r="DS47" s="71">
        <f t="shared" si="91"/>
        <v>315.47619436336578</v>
      </c>
      <c r="DT47" s="71">
        <f t="shared" si="91"/>
        <v>356.7825097133973</v>
      </c>
      <c r="DU47" s="71">
        <f t="shared" si="91"/>
        <v>428.1660859175289</v>
      </c>
      <c r="DV47" s="433">
        <f t="shared" ref="DV47:EA47" si="92">DV45-DV46</f>
        <v>1394.4451047968414</v>
      </c>
      <c r="DW47" s="71">
        <f t="shared" si="92"/>
        <v>322.99966163868618</v>
      </c>
      <c r="DX47" s="71">
        <f t="shared" si="92"/>
        <v>346.03285456944059</v>
      </c>
      <c r="DY47" s="71">
        <f t="shared" si="92"/>
        <v>392.11350081823372</v>
      </c>
      <c r="DZ47" s="71">
        <f t="shared" si="92"/>
        <v>470.79346429205242</v>
      </c>
      <c r="EA47" s="433">
        <f t="shared" si="92"/>
        <v>1531.9394813184126</v>
      </c>
      <c r="EB47" s="41"/>
      <c r="EC47" s="14" t="s">
        <v>354</v>
      </c>
      <c r="ED47" s="1196">
        <f t="shared" si="87"/>
        <v>436</v>
      </c>
      <c r="EE47" s="1196">
        <v>254.44211784357856</v>
      </c>
      <c r="EF47" s="793">
        <f t="shared" si="78"/>
        <v>181.55788215642144</v>
      </c>
      <c r="EG47" s="1196">
        <f t="shared" si="88"/>
        <v>309</v>
      </c>
      <c r="EH47" s="399">
        <f t="shared" si="79"/>
        <v>0.41100323624595458</v>
      </c>
      <c r="EI47" s="842"/>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row>
    <row r="48" spans="1:259" s="337" customFormat="1" x14ac:dyDescent="0.2">
      <c r="A48" s="431" t="s">
        <v>385</v>
      </c>
      <c r="B48" s="1357"/>
      <c r="C48" s="1357"/>
      <c r="D48" s="1357"/>
      <c r="E48" s="1357"/>
      <c r="F48" s="1375"/>
      <c r="G48" s="1803"/>
      <c r="H48" s="1357"/>
      <c r="I48" s="1357"/>
      <c r="J48" s="1361"/>
      <c r="K48" s="1361"/>
      <c r="L48" s="1357"/>
      <c r="M48" s="1357"/>
      <c r="N48" s="1357"/>
      <c r="O48" s="1361"/>
      <c r="P48" s="1375"/>
      <c r="Q48" s="1803"/>
      <c r="R48" s="1357"/>
      <c r="S48" s="1357"/>
      <c r="T48" s="1357"/>
      <c r="U48" s="1375"/>
      <c r="V48" s="1803"/>
      <c r="W48" s="1357"/>
      <c r="X48" s="1357"/>
      <c r="Y48" s="1357"/>
      <c r="Z48" s="1375"/>
      <c r="AA48" s="1357"/>
      <c r="AB48" s="1357"/>
      <c r="AC48" s="1357"/>
      <c r="AD48" s="1357"/>
      <c r="AE48" s="1375"/>
      <c r="AF48" s="1803"/>
      <c r="AG48" s="1357"/>
      <c r="AH48" s="1357"/>
      <c r="AI48" s="1361"/>
      <c r="AJ48" s="1375"/>
      <c r="AK48" s="1357"/>
      <c r="AL48" s="1357"/>
      <c r="AM48" s="1357"/>
      <c r="AN48" s="1357"/>
      <c r="AO48" s="1375"/>
      <c r="AP48" s="1357"/>
      <c r="AQ48" s="1357"/>
      <c r="AR48" s="1357"/>
      <c r="AS48" s="1357"/>
      <c r="AT48" s="1375"/>
      <c r="AU48" s="1357"/>
      <c r="AV48" s="1357"/>
      <c r="AW48" s="1357"/>
      <c r="AX48" s="1357"/>
      <c r="AY48" s="1375"/>
      <c r="AZ48" s="1357"/>
      <c r="BA48" s="1357"/>
      <c r="BB48" s="1357"/>
      <c r="BC48" s="1357"/>
      <c r="BD48" s="1375"/>
      <c r="BE48" s="1357">
        <v>2</v>
      </c>
      <c r="BF48" s="1357"/>
      <c r="BG48" s="1357">
        <v>3</v>
      </c>
      <c r="BH48" s="1357">
        <v>2</v>
      </c>
      <c r="BI48" s="1375">
        <f>SUM(BE48:BH48)</f>
        <v>7</v>
      </c>
      <c r="BJ48" s="1357">
        <v>1</v>
      </c>
      <c r="BK48" s="1357">
        <v>3</v>
      </c>
      <c r="BL48" s="1357">
        <v>6</v>
      </c>
      <c r="BM48" s="1357">
        <v>2</v>
      </c>
      <c r="BN48" s="1375">
        <f>SUM(BJ48:BM48)</f>
        <v>12</v>
      </c>
      <c r="BO48" s="1357">
        <v>4</v>
      </c>
      <c r="BP48" s="1357">
        <v>3</v>
      </c>
      <c r="BQ48" s="1357">
        <v>10</v>
      </c>
      <c r="BR48" s="1357">
        <v>3</v>
      </c>
      <c r="BS48" s="1377">
        <f>SUM(BO48:BR48)</f>
        <v>20</v>
      </c>
      <c r="BT48" s="1357">
        <v>3</v>
      </c>
      <c r="BU48" s="1357">
        <v>6</v>
      </c>
      <c r="BV48" s="1357">
        <v>6</v>
      </c>
      <c r="BW48" s="1357">
        <v>1</v>
      </c>
      <c r="BX48" s="1377">
        <f>SUM(BT48:BW48)</f>
        <v>16</v>
      </c>
      <c r="BY48" s="1357">
        <v>3</v>
      </c>
      <c r="BZ48" s="1357">
        <v>2</v>
      </c>
      <c r="CA48" s="1357">
        <v>7</v>
      </c>
      <c r="CB48" s="1357">
        <v>-1</v>
      </c>
      <c r="CC48" s="1377">
        <f>SUM(BY48:CB48)</f>
        <v>11</v>
      </c>
      <c r="CD48" s="1371">
        <v>0</v>
      </c>
      <c r="CE48" s="1395">
        <v>0</v>
      </c>
      <c r="CF48" s="1395">
        <v>0</v>
      </c>
      <c r="CG48" s="1395">
        <v>0</v>
      </c>
      <c r="CH48" s="1342">
        <v>0</v>
      </c>
      <c r="CI48" s="1371">
        <v>0</v>
      </c>
      <c r="CJ48" s="1395">
        <v>0</v>
      </c>
      <c r="CK48" s="1395">
        <v>0</v>
      </c>
      <c r="CL48" s="1395">
        <v>0</v>
      </c>
      <c r="CM48" s="1342">
        <v>0</v>
      </c>
      <c r="CN48" s="1371">
        <v>0</v>
      </c>
      <c r="CO48" s="1395">
        <v>0</v>
      </c>
      <c r="CP48" s="1395">
        <v>0</v>
      </c>
      <c r="CQ48" s="1889">
        <v>0</v>
      </c>
      <c r="CR48" s="1940">
        <v>0</v>
      </c>
      <c r="CS48" s="975">
        <v>0</v>
      </c>
      <c r="CT48" s="975">
        <v>0</v>
      </c>
      <c r="CU48" s="975">
        <v>0</v>
      </c>
      <c r="CV48" s="71">
        <v>0</v>
      </c>
      <c r="CW48" s="60">
        <v>0</v>
      </c>
      <c r="CX48" s="71">
        <v>0</v>
      </c>
      <c r="CY48" s="71">
        <v>0</v>
      </c>
      <c r="CZ48" s="71">
        <v>0</v>
      </c>
      <c r="DA48" s="71">
        <v>0</v>
      </c>
      <c r="DB48" s="433">
        <f>SUM(CX48:DA48)</f>
        <v>0</v>
      </c>
      <c r="DC48" s="71">
        <v>0</v>
      </c>
      <c r="DD48" s="71">
        <v>0</v>
      </c>
      <c r="DE48" s="71">
        <v>0</v>
      </c>
      <c r="DF48" s="71">
        <v>0</v>
      </c>
      <c r="DG48" s="433">
        <f>SUM(DC48:DF48)</f>
        <v>0</v>
      </c>
      <c r="DH48" s="71">
        <v>0</v>
      </c>
      <c r="DI48" s="71">
        <v>0</v>
      </c>
      <c r="DJ48" s="71">
        <v>0</v>
      </c>
      <c r="DK48" s="71">
        <v>0</v>
      </c>
      <c r="DL48" s="433">
        <f>SUM(DH48:DK48)</f>
        <v>0</v>
      </c>
      <c r="DM48" s="71">
        <v>0</v>
      </c>
      <c r="DN48" s="71">
        <v>0</v>
      </c>
      <c r="DO48" s="71">
        <v>0</v>
      </c>
      <c r="DP48" s="71">
        <v>0</v>
      </c>
      <c r="DQ48" s="433">
        <f>SUM(DM48:DP48)</f>
        <v>0</v>
      </c>
      <c r="DR48" s="71">
        <v>0</v>
      </c>
      <c r="DS48" s="71">
        <v>0</v>
      </c>
      <c r="DT48" s="71">
        <v>0</v>
      </c>
      <c r="DU48" s="71">
        <v>0</v>
      </c>
      <c r="DV48" s="433">
        <f>SUM(DR48:DU48)</f>
        <v>0</v>
      </c>
      <c r="DW48" s="71">
        <v>0</v>
      </c>
      <c r="DX48" s="71">
        <v>0</v>
      </c>
      <c r="DY48" s="71">
        <v>0</v>
      </c>
      <c r="DZ48" s="71">
        <v>0</v>
      </c>
      <c r="EA48" s="433">
        <f>SUM(DW48:DZ48)</f>
        <v>0</v>
      </c>
      <c r="EB48" s="41"/>
      <c r="EC48" s="14" t="s">
        <v>385</v>
      </c>
      <c r="ED48" s="1196">
        <f t="shared" si="87"/>
        <v>0</v>
      </c>
      <c r="EE48" s="1196">
        <v>0</v>
      </c>
      <c r="EF48" s="793">
        <f t="shared" si="78"/>
        <v>0</v>
      </c>
      <c r="EG48" s="1196">
        <f t="shared" si="88"/>
        <v>0</v>
      </c>
      <c r="EH48" s="399"/>
      <c r="EI48" s="11"/>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row>
    <row r="49" spans="1:259" s="337" customFormat="1" x14ac:dyDescent="0.2">
      <c r="A49" s="684" t="s">
        <v>678</v>
      </c>
      <c r="B49" s="1364">
        <f t="shared" ref="B49:AC49" si="93">B45-B46</f>
        <v>42</v>
      </c>
      <c r="C49" s="1364">
        <f t="shared" si="93"/>
        <v>74</v>
      </c>
      <c r="D49" s="1364">
        <f t="shared" si="93"/>
        <v>91</v>
      </c>
      <c r="E49" s="1364">
        <f t="shared" si="93"/>
        <v>45</v>
      </c>
      <c r="F49" s="1386">
        <f t="shared" si="93"/>
        <v>253</v>
      </c>
      <c r="G49" s="1806">
        <f t="shared" si="93"/>
        <v>37.5</v>
      </c>
      <c r="H49" s="1385">
        <f t="shared" si="93"/>
        <v>39</v>
      </c>
      <c r="I49" s="1385">
        <f t="shared" si="93"/>
        <v>91.299999999999955</v>
      </c>
      <c r="J49" s="1411">
        <f t="shared" si="93"/>
        <v>86.600000000000023</v>
      </c>
      <c r="K49" s="1387">
        <f t="shared" si="93"/>
        <v>254.39999999999998</v>
      </c>
      <c r="L49" s="1385">
        <f t="shared" si="93"/>
        <v>87</v>
      </c>
      <c r="M49" s="1385">
        <f t="shared" si="93"/>
        <v>97</v>
      </c>
      <c r="N49" s="1385">
        <f t="shared" si="93"/>
        <v>112</v>
      </c>
      <c r="O49" s="1388">
        <f t="shared" si="93"/>
        <v>123</v>
      </c>
      <c r="P49" s="1386">
        <f t="shared" si="93"/>
        <v>419</v>
      </c>
      <c r="Q49" s="1806">
        <f t="shared" si="93"/>
        <v>96.3</v>
      </c>
      <c r="R49" s="1385">
        <f t="shared" si="93"/>
        <v>113</v>
      </c>
      <c r="S49" s="1385">
        <f t="shared" si="93"/>
        <v>112.12087912087912</v>
      </c>
      <c r="T49" s="1388">
        <f t="shared" si="93"/>
        <v>120</v>
      </c>
      <c r="U49" s="1386">
        <f t="shared" si="93"/>
        <v>441.42087912087914</v>
      </c>
      <c r="V49" s="1806">
        <f t="shared" si="93"/>
        <v>88</v>
      </c>
      <c r="W49" s="1385">
        <f t="shared" si="93"/>
        <v>111</v>
      </c>
      <c r="X49" s="1385">
        <f t="shared" si="93"/>
        <v>125</v>
      </c>
      <c r="Y49" s="1388">
        <f t="shared" si="93"/>
        <v>164</v>
      </c>
      <c r="Z49" s="1386">
        <f t="shared" si="93"/>
        <v>488</v>
      </c>
      <c r="AA49" s="1385">
        <f t="shared" si="93"/>
        <v>116.5</v>
      </c>
      <c r="AB49" s="1385">
        <f t="shared" si="93"/>
        <v>134</v>
      </c>
      <c r="AC49" s="1385">
        <f t="shared" si="93"/>
        <v>143</v>
      </c>
      <c r="AD49" s="1385">
        <v>170</v>
      </c>
      <c r="AE49" s="1386">
        <f t="shared" ref="AE49:BD49" si="94">AE45-AE46</f>
        <v>565.6</v>
      </c>
      <c r="AF49" s="1806">
        <f t="shared" si="94"/>
        <v>118</v>
      </c>
      <c r="AG49" s="1385">
        <f t="shared" si="94"/>
        <v>145</v>
      </c>
      <c r="AH49" s="1385">
        <f t="shared" si="94"/>
        <v>166</v>
      </c>
      <c r="AI49" s="1388">
        <f t="shared" si="94"/>
        <v>198.5</v>
      </c>
      <c r="AJ49" s="1386">
        <f t="shared" si="94"/>
        <v>627.5</v>
      </c>
      <c r="AK49" s="1385">
        <f t="shared" si="94"/>
        <v>142</v>
      </c>
      <c r="AL49" s="1385">
        <f t="shared" si="94"/>
        <v>168.6</v>
      </c>
      <c r="AM49" s="1385">
        <f t="shared" si="94"/>
        <v>185</v>
      </c>
      <c r="AN49" s="1385">
        <f t="shared" si="94"/>
        <v>225</v>
      </c>
      <c r="AO49" s="1386">
        <f t="shared" si="94"/>
        <v>720.6</v>
      </c>
      <c r="AP49" s="1385">
        <f t="shared" si="94"/>
        <v>153</v>
      </c>
      <c r="AQ49" s="1385">
        <f t="shared" si="94"/>
        <v>178</v>
      </c>
      <c r="AR49" s="1385">
        <f t="shared" si="94"/>
        <v>205</v>
      </c>
      <c r="AS49" s="1385">
        <f t="shared" si="94"/>
        <v>224</v>
      </c>
      <c r="AT49" s="1386">
        <f t="shared" si="94"/>
        <v>760</v>
      </c>
      <c r="AU49" s="1385">
        <f t="shared" si="94"/>
        <v>170</v>
      </c>
      <c r="AV49" s="1385">
        <f t="shared" si="94"/>
        <v>192</v>
      </c>
      <c r="AW49" s="1385">
        <f t="shared" si="94"/>
        <v>230</v>
      </c>
      <c r="AX49" s="1385">
        <f t="shared" si="94"/>
        <v>232</v>
      </c>
      <c r="AY49" s="1386">
        <f t="shared" si="94"/>
        <v>824</v>
      </c>
      <c r="AZ49" s="1385">
        <f t="shared" si="94"/>
        <v>193.60000000000002</v>
      </c>
      <c r="BA49" s="1385">
        <f t="shared" si="94"/>
        <v>214</v>
      </c>
      <c r="BB49" s="1385">
        <f t="shared" si="94"/>
        <v>270</v>
      </c>
      <c r="BC49" s="1385">
        <f t="shared" si="94"/>
        <v>231</v>
      </c>
      <c r="BD49" s="1386">
        <f t="shared" si="94"/>
        <v>908.59999999999991</v>
      </c>
      <c r="BE49" s="1385">
        <f t="shared" ref="BE49:CJ49" si="95">BE45-BE46-BE48</f>
        <v>254</v>
      </c>
      <c r="BF49" s="1385">
        <f t="shared" si="95"/>
        <v>224</v>
      </c>
      <c r="BG49" s="1385">
        <f t="shared" si="95"/>
        <v>282</v>
      </c>
      <c r="BH49" s="1385">
        <f t="shared" si="95"/>
        <v>205</v>
      </c>
      <c r="BI49" s="1386">
        <f t="shared" si="95"/>
        <v>965</v>
      </c>
      <c r="BJ49" s="1385">
        <f t="shared" si="95"/>
        <v>218</v>
      </c>
      <c r="BK49" s="1385">
        <f t="shared" si="95"/>
        <v>303</v>
      </c>
      <c r="BL49" s="1385">
        <f t="shared" si="95"/>
        <v>334</v>
      </c>
      <c r="BM49" s="1385">
        <f t="shared" si="95"/>
        <v>216</v>
      </c>
      <c r="BN49" s="1389">
        <f t="shared" si="95"/>
        <v>1071</v>
      </c>
      <c r="BO49" s="1385">
        <f t="shared" si="95"/>
        <v>241</v>
      </c>
      <c r="BP49" s="1385">
        <f t="shared" si="95"/>
        <v>286</v>
      </c>
      <c r="BQ49" s="1385">
        <f t="shared" si="95"/>
        <v>357</v>
      </c>
      <c r="BR49" s="1385">
        <f t="shared" si="95"/>
        <v>274</v>
      </c>
      <c r="BS49" s="1389">
        <f t="shared" si="95"/>
        <v>1158</v>
      </c>
      <c r="BT49" s="1385">
        <f t="shared" si="95"/>
        <v>264</v>
      </c>
      <c r="BU49" s="1385">
        <f t="shared" si="95"/>
        <v>316</v>
      </c>
      <c r="BV49" s="1385">
        <f t="shared" si="95"/>
        <v>383</v>
      </c>
      <c r="BW49" s="1385">
        <f t="shared" si="95"/>
        <v>356</v>
      </c>
      <c r="BX49" s="1389">
        <f t="shared" si="95"/>
        <v>1319</v>
      </c>
      <c r="BY49" s="1385">
        <f t="shared" si="95"/>
        <v>458</v>
      </c>
      <c r="BZ49" s="1385">
        <f t="shared" si="95"/>
        <v>331</v>
      </c>
      <c r="CA49" s="1385">
        <f t="shared" si="95"/>
        <v>471</v>
      </c>
      <c r="CB49" s="1385">
        <f t="shared" si="95"/>
        <v>337</v>
      </c>
      <c r="CC49" s="1389">
        <f t="shared" si="95"/>
        <v>1597</v>
      </c>
      <c r="CD49" s="1390">
        <f t="shared" si="95"/>
        <v>252.15903900000006</v>
      </c>
      <c r="CE49" s="1390">
        <f t="shared" si="95"/>
        <v>233.55964499999999</v>
      </c>
      <c r="CF49" s="1390">
        <f t="shared" si="95"/>
        <v>260.29822499999995</v>
      </c>
      <c r="CG49" s="1390">
        <f t="shared" si="95"/>
        <v>182.53709099999998</v>
      </c>
      <c r="CH49" s="1807">
        <f t="shared" si="95"/>
        <v>929</v>
      </c>
      <c r="CI49" s="1355">
        <f t="shared" si="95"/>
        <v>236.70327999999984</v>
      </c>
      <c r="CJ49" s="1355">
        <f t="shared" si="95"/>
        <v>220.01571499999994</v>
      </c>
      <c r="CK49" s="1355">
        <f t="shared" ref="CK49:DP49" si="96">CK45-CK46-CK48</f>
        <v>301.66274500000003</v>
      </c>
      <c r="CL49" s="1355">
        <f t="shared" si="96"/>
        <v>246.61825999999996</v>
      </c>
      <c r="CM49" s="1356">
        <f t="shared" si="96"/>
        <v>1005</v>
      </c>
      <c r="CN49" s="1355">
        <f t="shared" si="96"/>
        <v>326.69188000000003</v>
      </c>
      <c r="CO49" s="1355">
        <f t="shared" si="96"/>
        <v>170.76600000000008</v>
      </c>
      <c r="CP49" s="1355">
        <f t="shared" si="96"/>
        <v>210.94250000000011</v>
      </c>
      <c r="CQ49" s="1886">
        <f t="shared" si="96"/>
        <v>209</v>
      </c>
      <c r="CR49" s="1942">
        <f t="shared" si="96"/>
        <v>917.40037999999993</v>
      </c>
      <c r="CS49" s="2059">
        <f t="shared" si="96"/>
        <v>226</v>
      </c>
      <c r="CT49" s="2059">
        <f t="shared" si="96"/>
        <v>267</v>
      </c>
      <c r="CU49" s="2059">
        <f t="shared" si="96"/>
        <v>217</v>
      </c>
      <c r="CV49" s="64">
        <f t="shared" si="96"/>
        <v>309</v>
      </c>
      <c r="CW49" s="66">
        <f t="shared" si="96"/>
        <v>1019</v>
      </c>
      <c r="CX49" s="64">
        <f t="shared" si="96"/>
        <v>280</v>
      </c>
      <c r="CY49" s="64">
        <f t="shared" si="96"/>
        <v>206</v>
      </c>
      <c r="CZ49" s="64">
        <f t="shared" si="96"/>
        <v>418</v>
      </c>
      <c r="DA49" s="64">
        <f t="shared" si="96"/>
        <v>436</v>
      </c>
      <c r="DB49" s="434">
        <f t="shared" si="96"/>
        <v>1340</v>
      </c>
      <c r="DC49" s="64">
        <f t="shared" si="96"/>
        <v>220.9807115954149</v>
      </c>
      <c r="DD49" s="64">
        <f t="shared" si="96"/>
        <v>237.69166822767966</v>
      </c>
      <c r="DE49" s="64">
        <f t="shared" si="96"/>
        <v>265.11890964064622</v>
      </c>
      <c r="DF49" s="64">
        <f t="shared" si="96"/>
        <v>312.20968885733697</v>
      </c>
      <c r="DG49" s="434">
        <f t="shared" si="96"/>
        <v>1036.0009783210774</v>
      </c>
      <c r="DH49" s="64">
        <f t="shared" si="96"/>
        <v>253.7479379591984</v>
      </c>
      <c r="DI49" s="64">
        <f t="shared" si="96"/>
        <v>269.99407132101891</v>
      </c>
      <c r="DJ49" s="64">
        <f t="shared" si="96"/>
        <v>301.15263829463618</v>
      </c>
      <c r="DK49" s="64">
        <f t="shared" si="96"/>
        <v>356.5095453842531</v>
      </c>
      <c r="DL49" s="434">
        <f t="shared" si="96"/>
        <v>1181.4041929591065</v>
      </c>
      <c r="DM49" s="64">
        <f t="shared" si="96"/>
        <v>265.52348600899643</v>
      </c>
      <c r="DN49" s="64">
        <f t="shared" si="96"/>
        <v>286.00533758499574</v>
      </c>
      <c r="DO49" s="64">
        <f t="shared" si="96"/>
        <v>323.45997966566176</v>
      </c>
      <c r="DP49" s="64">
        <f t="shared" si="96"/>
        <v>388.2485730481938</v>
      </c>
      <c r="DQ49" s="434">
        <f t="shared" ref="DQ49:DU49" si="97">DQ45-DQ46-DQ48</f>
        <v>1263.2373763078481</v>
      </c>
      <c r="DR49" s="64">
        <f t="shared" si="97"/>
        <v>294.02031480254925</v>
      </c>
      <c r="DS49" s="64">
        <f t="shared" si="97"/>
        <v>315.47619436336578</v>
      </c>
      <c r="DT49" s="64">
        <f t="shared" si="97"/>
        <v>356.7825097133973</v>
      </c>
      <c r="DU49" s="64">
        <f t="shared" si="97"/>
        <v>428.1660859175289</v>
      </c>
      <c r="DV49" s="434">
        <f t="shared" ref="DV49:EA49" si="98">DV45-DV46-DV48</f>
        <v>1394.4451047968414</v>
      </c>
      <c r="DW49" s="64">
        <f t="shared" si="98"/>
        <v>322.99966163868618</v>
      </c>
      <c r="DX49" s="64">
        <f t="shared" si="98"/>
        <v>346.03285456944059</v>
      </c>
      <c r="DY49" s="64">
        <f t="shared" si="98"/>
        <v>392.11350081823372</v>
      </c>
      <c r="DZ49" s="64">
        <f t="shared" si="98"/>
        <v>470.79346429205242</v>
      </c>
      <c r="EA49" s="434">
        <f t="shared" si="98"/>
        <v>1531.9394813184126</v>
      </c>
      <c r="EB49" s="41"/>
      <c r="EC49" s="26" t="s">
        <v>456</v>
      </c>
      <c r="ED49" s="1198">
        <f t="shared" si="87"/>
        <v>436</v>
      </c>
      <c r="EE49" s="1198">
        <v>254.44211784357856</v>
      </c>
      <c r="EF49" s="793">
        <f t="shared" si="78"/>
        <v>181.55788215642144</v>
      </c>
      <c r="EG49" s="1198">
        <f t="shared" si="88"/>
        <v>309</v>
      </c>
      <c r="EH49" s="399">
        <f t="shared" si="79"/>
        <v>0.41100323624595458</v>
      </c>
      <c r="EI49" s="11"/>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row>
    <row r="50" spans="1:259" s="337" customFormat="1" hidden="1" outlineLevel="1" x14ac:dyDescent="0.2">
      <c r="A50" s="431"/>
      <c r="B50" s="1808"/>
      <c r="C50" s="1357"/>
      <c r="D50" s="1358"/>
      <c r="E50" s="1359"/>
      <c r="F50" s="1375"/>
      <c r="G50" s="1808"/>
      <c r="H50" s="1358"/>
      <c r="I50" s="1358"/>
      <c r="J50" s="1422"/>
      <c r="K50" s="1361"/>
      <c r="L50" s="1358"/>
      <c r="M50" s="1358"/>
      <c r="N50" s="1358"/>
      <c r="O50" s="1362"/>
      <c r="P50" s="1375"/>
      <c r="Q50" s="1809"/>
      <c r="R50" s="1358"/>
      <c r="S50" s="1358"/>
      <c r="T50" s="1362"/>
      <c r="U50" s="1375"/>
      <c r="V50" s="1809"/>
      <c r="W50" s="1358"/>
      <c r="X50" s="1358"/>
      <c r="Y50" s="1362"/>
      <c r="Z50" s="1375"/>
      <c r="AA50" s="1359"/>
      <c r="AB50" s="1358"/>
      <c r="AC50" s="1358"/>
      <c r="AD50" s="1362"/>
      <c r="AE50" s="1375"/>
      <c r="AF50" s="1809"/>
      <c r="AG50" s="1358"/>
      <c r="AH50" s="1358"/>
      <c r="AI50" s="1362"/>
      <c r="AJ50" s="1375"/>
      <c r="AK50" s="1359"/>
      <c r="AL50" s="1358"/>
      <c r="AM50" s="1358"/>
      <c r="AN50" s="1362"/>
      <c r="AO50" s="1375"/>
      <c r="AP50" s="1359"/>
      <c r="AQ50" s="1358"/>
      <c r="AR50" s="1358"/>
      <c r="AS50" s="1362"/>
      <c r="AT50" s="1375"/>
      <c r="AU50" s="1359"/>
      <c r="AV50" s="1358"/>
      <c r="AW50" s="1358"/>
      <c r="AX50" s="1362"/>
      <c r="AY50" s="1375"/>
      <c r="AZ50" s="1359"/>
      <c r="BA50" s="1358"/>
      <c r="BB50" s="1358"/>
      <c r="BC50" s="1362"/>
      <c r="BD50" s="1375"/>
      <c r="BE50" s="1359"/>
      <c r="BF50" s="1358"/>
      <c r="BG50" s="1358"/>
      <c r="BH50" s="1362"/>
      <c r="BI50" s="1375"/>
      <c r="BJ50" s="1359"/>
      <c r="BK50" s="1358"/>
      <c r="BL50" s="1358"/>
      <c r="BM50" s="1362"/>
      <c r="BN50" s="1377"/>
      <c r="BO50" s="1359"/>
      <c r="BP50" s="1358"/>
      <c r="BQ50" s="1358"/>
      <c r="BR50" s="1362"/>
      <c r="BS50" s="1377"/>
      <c r="BT50" s="1359"/>
      <c r="BU50" s="1358"/>
      <c r="BV50" s="1358"/>
      <c r="BW50" s="1362"/>
      <c r="BX50" s="1377"/>
      <c r="BY50" s="1359"/>
      <c r="BZ50" s="1358"/>
      <c r="CA50" s="1358"/>
      <c r="CB50" s="1362"/>
      <c r="CC50" s="1377"/>
      <c r="CD50" s="1363"/>
      <c r="CE50" s="1328"/>
      <c r="CF50" s="1328"/>
      <c r="CG50" s="1328"/>
      <c r="CH50" s="1802"/>
      <c r="CI50" s="1392"/>
      <c r="CJ50" s="1423"/>
      <c r="CK50" s="1423"/>
      <c r="CL50" s="1424"/>
      <c r="CM50" s="1342"/>
      <c r="CN50" s="1392"/>
      <c r="CO50" s="1423"/>
      <c r="CP50" s="1423"/>
      <c r="CQ50" s="1935"/>
      <c r="CR50" s="1940"/>
      <c r="CS50" s="2062"/>
      <c r="CT50" s="1119"/>
      <c r="CU50" s="1119"/>
      <c r="CV50" s="15"/>
      <c r="CW50" s="60"/>
      <c r="CX50" s="62"/>
      <c r="CY50" s="15"/>
      <c r="CZ50" s="15"/>
      <c r="DA50" s="17"/>
      <c r="DB50" s="433"/>
      <c r="DC50" s="62"/>
      <c r="DD50" s="15"/>
      <c r="DE50" s="15"/>
      <c r="DF50" s="17"/>
      <c r="DG50" s="433"/>
      <c r="DH50" s="62"/>
      <c r="DI50" s="15"/>
      <c r="DJ50" s="15"/>
      <c r="DK50" s="17"/>
      <c r="DL50" s="433"/>
      <c r="DM50" s="62"/>
      <c r="DN50" s="15"/>
      <c r="DO50" s="15"/>
      <c r="DP50" s="17"/>
      <c r="DQ50" s="433"/>
      <c r="DR50" s="62"/>
      <c r="DS50" s="15"/>
      <c r="DT50" s="15"/>
      <c r="DU50" s="17"/>
      <c r="DV50" s="433"/>
      <c r="DW50" s="62"/>
      <c r="DX50" s="15"/>
      <c r="DY50" s="15"/>
      <c r="DZ50" s="17"/>
      <c r="EA50" s="433"/>
      <c r="EB50" s="11"/>
      <c r="EC50" s="14"/>
      <c r="ED50" s="354">
        <f t="shared" si="87"/>
        <v>0</v>
      </c>
      <c r="EE50" s="354">
        <v>0</v>
      </c>
      <c r="EF50" s="793"/>
      <c r="EG50" s="354">
        <f t="shared" si="88"/>
        <v>0</v>
      </c>
      <c r="EH50" s="399"/>
      <c r="EI50" s="11"/>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row>
    <row r="51" spans="1:259" s="337" customFormat="1" hidden="1" outlineLevel="1" x14ac:dyDescent="0.2">
      <c r="A51" s="431" t="s">
        <v>7</v>
      </c>
      <c r="B51" s="1358"/>
      <c r="C51" s="1357"/>
      <c r="D51" s="1358"/>
      <c r="E51" s="1359"/>
      <c r="F51" s="1375"/>
      <c r="G51" s="1808"/>
      <c r="H51" s="1358"/>
      <c r="I51" s="1358"/>
      <c r="J51" s="1422"/>
      <c r="K51" s="1361"/>
      <c r="L51" s="1358"/>
      <c r="M51" s="1358"/>
      <c r="N51" s="1358"/>
      <c r="O51" s="1362"/>
      <c r="P51" s="1425"/>
      <c r="Q51" s="1809"/>
      <c r="R51" s="1358"/>
      <c r="S51" s="1358"/>
      <c r="T51" s="1362"/>
      <c r="U51" s="1425">
        <v>-0.01</v>
      </c>
      <c r="V51" s="1809"/>
      <c r="W51" s="1358"/>
      <c r="X51" s="1358"/>
      <c r="Y51" s="1362"/>
      <c r="Z51" s="1425">
        <v>0</v>
      </c>
      <c r="AA51" s="1359"/>
      <c r="AB51" s="1358"/>
      <c r="AC51" s="1358"/>
      <c r="AD51" s="1362"/>
      <c r="AE51" s="1425">
        <v>0.05</v>
      </c>
      <c r="AF51" s="1426">
        <v>5.5634134842055634E-3</v>
      </c>
      <c r="AG51" s="1426">
        <v>5.5462056303549568E-3</v>
      </c>
      <c r="AH51" s="1426">
        <v>6.9322642612544881E-3</v>
      </c>
      <c r="AI51" s="1426">
        <v>8.1382113821138226E-3</v>
      </c>
      <c r="AJ51" s="1425">
        <f>SUM(AF51:AI51)</f>
        <v>2.6180094757928832E-2</v>
      </c>
      <c r="AK51" s="1426">
        <v>8.9442622950819672E-3</v>
      </c>
      <c r="AL51" s="1426">
        <v>9.671838700577572E-3</v>
      </c>
      <c r="AM51" s="1426">
        <v>5.7877612313853083E-3</v>
      </c>
      <c r="AN51" s="1426">
        <v>7.4030204323363921E-3</v>
      </c>
      <c r="AO51" s="1425">
        <f>SUM(AK51:AN51)</f>
        <v>3.1806882659381239E-2</v>
      </c>
      <c r="AP51" s="1426">
        <v>4.4868421052631571E-3</v>
      </c>
      <c r="AQ51" s="1426">
        <v>6.37883088214214E-3</v>
      </c>
      <c r="AR51" s="1426">
        <v>4.9137104506232028E-3</v>
      </c>
      <c r="AS51" s="1426">
        <v>-3.3412611077109642E-3</v>
      </c>
      <c r="AT51" s="1425">
        <f>SUM(AP51:AS51)</f>
        <v>1.2438122330317537E-2</v>
      </c>
      <c r="AU51" s="1427">
        <v>-2.8772108622067277E-3</v>
      </c>
      <c r="AV51" s="1427">
        <v>1.0380132477409892E-4</v>
      </c>
      <c r="AW51" s="1427">
        <v>3.2144845822013289E-3</v>
      </c>
      <c r="AX51" s="1427">
        <v>7.8416889915305966E-3</v>
      </c>
      <c r="AY51" s="1428">
        <f>SUM(AU51:AX51)</f>
        <v>8.2827640362992967E-3</v>
      </c>
      <c r="AZ51" s="1427">
        <v>9.914767172608651E-3</v>
      </c>
      <c r="BA51" s="1427">
        <v>8.7591741282696568E-3</v>
      </c>
      <c r="BB51" s="1427">
        <v>1.6090208096974777E-2</v>
      </c>
      <c r="BC51" s="1427">
        <v>1.7746233621288444E-2</v>
      </c>
      <c r="BD51" s="1429">
        <f>SUM(AZ51:BC51)</f>
        <v>5.2510383019141529E-2</v>
      </c>
      <c r="BE51" s="1427">
        <v>1.5330935141320398E-2</v>
      </c>
      <c r="BF51" s="1427">
        <v>1.8361679966020408E-2</v>
      </c>
      <c r="BG51" s="1427">
        <v>2.6758768573444038E-2</v>
      </c>
      <c r="BH51" s="1427">
        <v>-8.8931994939206831E-3</v>
      </c>
      <c r="BI51" s="1429">
        <f>SUM(BE51:BH51)</f>
        <v>5.1558184186864156E-2</v>
      </c>
      <c r="BJ51" s="1427">
        <v>-3.1333304995924453E-2</v>
      </c>
      <c r="BK51" s="1427">
        <v>-2.5200090650102341E-2</v>
      </c>
      <c r="BL51" s="1427">
        <v>-2.2380253198473102E-2</v>
      </c>
      <c r="BM51" s="1427">
        <v>6.8587510218646236E-3</v>
      </c>
      <c r="BN51" s="1430">
        <f>SUM(BJ51:BM51)</f>
        <v>-7.2054897822635272E-2</v>
      </c>
      <c r="BO51" s="1427">
        <v>2.0831127933725293E-2</v>
      </c>
      <c r="BP51" s="1427">
        <v>2.1819379481074871E-2</v>
      </c>
      <c r="BQ51" s="1427">
        <v>7.2116145133169088E-4</v>
      </c>
      <c r="BR51" s="1427">
        <v>7.515371203378367E-3</v>
      </c>
      <c r="BS51" s="1430">
        <v>4.9911657610162349E-2</v>
      </c>
      <c r="BT51" s="1427">
        <v>4.0306013480480487E-3</v>
      </c>
      <c r="BU51" s="1427">
        <v>8.6303663362925411E-3</v>
      </c>
      <c r="BV51" s="1427">
        <v>1.5633668013828338E-2</v>
      </c>
      <c r="BW51" s="1427">
        <v>1.3847294432738216E-3</v>
      </c>
      <c r="BX51" s="1430">
        <v>5.8893137974938239E-2</v>
      </c>
      <c r="BY51" s="1427">
        <v>-4.9330775865328164E-3</v>
      </c>
      <c r="BZ51" s="1427">
        <v>-5.6113932988005833E-3</v>
      </c>
      <c r="CA51" s="1427">
        <v>-1.3256960921608413E-2</v>
      </c>
      <c r="CB51" s="1427">
        <v>-6.2828077853555103E-3</v>
      </c>
      <c r="CC51" s="1430">
        <v>-3.0149292528993458E-2</v>
      </c>
      <c r="CD51" s="1431">
        <v>2.8321135125339227E-3</v>
      </c>
      <c r="CE51" s="1431">
        <v>-1.484794105314107E-3</v>
      </c>
      <c r="CF51" s="1431">
        <v>-3.260091428797685E-3</v>
      </c>
      <c r="CG51" s="1431">
        <v>-5.4518626066801168E-3</v>
      </c>
      <c r="CH51" s="1810">
        <v>-7.3177580652539495E-3</v>
      </c>
      <c r="CI51" s="1431">
        <v>-9.8077351814912159E-3</v>
      </c>
      <c r="CJ51" s="1431">
        <v>-1.190790300839799E-2</v>
      </c>
      <c r="CK51" s="1431">
        <v>-1.0768640252891417E-2</v>
      </c>
      <c r="CL51" s="1431">
        <v>-8.3106111833836458E-3</v>
      </c>
      <c r="CM51" s="1432">
        <v>-4.0130587245597461E-2</v>
      </c>
      <c r="CN51" s="1431">
        <v>-4.3042900752645982E-2</v>
      </c>
      <c r="CO51" s="1431">
        <v>-3.138863728149989E-2</v>
      </c>
      <c r="CP51" s="1431">
        <v>-2.965350338898062E-2</v>
      </c>
      <c r="CQ51" s="1892">
        <v>-3.9275244644080352E-2</v>
      </c>
      <c r="CR51" s="1947">
        <v>-0.14528899777700355</v>
      </c>
      <c r="CS51" s="2065">
        <v>-3.6345835810640575E-2</v>
      </c>
      <c r="CT51" s="2065">
        <v>-2.0910213499239463E-2</v>
      </c>
      <c r="CU51" s="2065">
        <v>-1.9607391415511263E-2</v>
      </c>
      <c r="CV51" s="30">
        <f>CV160/CV65</f>
        <v>-2.6881720430107527E-2</v>
      </c>
      <c r="CW51" s="411">
        <f>CW160/CW65</f>
        <v>-0.11749999999999999</v>
      </c>
      <c r="CX51" s="30">
        <f>CX160/CX65</f>
        <v>-1.3736263736263736E-2</v>
      </c>
      <c r="CY51" s="30">
        <f>CY160/CY65</f>
        <v>-1.6759776536312849E-2</v>
      </c>
      <c r="CZ51" s="30">
        <f>CZ160/CZ65</f>
        <v>5.6657223796033997E-3</v>
      </c>
      <c r="DA51" s="30">
        <v>1.1599871579692687E-3</v>
      </c>
      <c r="DB51" s="2371">
        <v>-9.2626107750484014E-3</v>
      </c>
      <c r="DC51" s="83">
        <v>2.4369826237727921E-2</v>
      </c>
      <c r="DD51" s="83">
        <v>1.3284168025084961E-2</v>
      </c>
      <c r="DE51" s="83">
        <v>9.9574525572265083E-3</v>
      </c>
      <c r="DF51" s="83">
        <v>1.6542728615682147E-2</v>
      </c>
      <c r="DG51" s="482">
        <v>6.4229448453904325E-2</v>
      </c>
      <c r="DH51" s="83">
        <v>0</v>
      </c>
      <c r="DI51" s="83">
        <v>0</v>
      </c>
      <c r="DJ51" s="83">
        <v>0</v>
      </c>
      <c r="DK51" s="83">
        <v>0</v>
      </c>
      <c r="DL51" s="482">
        <v>0</v>
      </c>
      <c r="DM51" s="83">
        <v>0</v>
      </c>
      <c r="DN51" s="83">
        <v>0</v>
      </c>
      <c r="DO51" s="83">
        <v>0</v>
      </c>
      <c r="DP51" s="83">
        <v>0</v>
      </c>
      <c r="DQ51" s="482">
        <v>-5.8731158057649865E-16</v>
      </c>
      <c r="DR51" s="83">
        <v>0</v>
      </c>
      <c r="DS51" s="83">
        <v>0</v>
      </c>
      <c r="DT51" s="83">
        <v>0</v>
      </c>
      <c r="DU51" s="83">
        <v>0</v>
      </c>
      <c r="DV51" s="482">
        <v>0</v>
      </c>
      <c r="DW51" s="83">
        <v>0</v>
      </c>
      <c r="DX51" s="83">
        <v>0</v>
      </c>
      <c r="DY51" s="83">
        <v>0</v>
      </c>
      <c r="DZ51" s="83">
        <v>0</v>
      </c>
      <c r="EA51" s="482">
        <v>-6.0134734199715372E-16</v>
      </c>
      <c r="EB51" s="11"/>
      <c r="EC51" s="14"/>
      <c r="ED51" s="795">
        <f t="shared" si="87"/>
        <v>1.1599871579692687E-3</v>
      </c>
      <c r="EE51" s="795">
        <v>4.22268157467712E-3</v>
      </c>
      <c r="EF51" s="793"/>
      <c r="EG51" s="795">
        <f t="shared" si="88"/>
        <v>-2.6881720430107527E-2</v>
      </c>
      <c r="EH51" s="399"/>
      <c r="EI51" s="1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row>
    <row r="52" spans="1:259" s="337" customFormat="1" hidden="1" outlineLevel="1" x14ac:dyDescent="0.2">
      <c r="A52" s="431" t="s">
        <v>457</v>
      </c>
      <c r="B52" s="1357">
        <v>-12</v>
      </c>
      <c r="C52" s="1357">
        <v>-73</v>
      </c>
      <c r="D52" s="1357">
        <v>-51</v>
      </c>
      <c r="E52" s="1357">
        <v>383</v>
      </c>
      <c r="F52" s="1418">
        <f>SUM(B52:E52)</f>
        <v>247</v>
      </c>
      <c r="G52" s="1803">
        <v>-29</v>
      </c>
      <c r="H52" s="1357">
        <v>-73</v>
      </c>
      <c r="I52" s="1357">
        <v>-54</v>
      </c>
      <c r="J52" s="1394">
        <v>-119</v>
      </c>
      <c r="K52" s="1361">
        <f>SUM(G52:J52)</f>
        <v>-275</v>
      </c>
      <c r="L52" s="1357">
        <v>-34</v>
      </c>
      <c r="M52" s="1357">
        <v>-133</v>
      </c>
      <c r="N52" s="1357">
        <v>-144</v>
      </c>
      <c r="O52" s="1361">
        <v>-70</v>
      </c>
      <c r="P52" s="1375">
        <f>SUM(L52:O52)</f>
        <v>-381</v>
      </c>
      <c r="Q52" s="1803">
        <v>-47</v>
      </c>
      <c r="R52" s="1357">
        <v>-66</v>
      </c>
      <c r="S52" s="1357">
        <v>-3</v>
      </c>
      <c r="T52" s="1361">
        <v>-60</v>
      </c>
      <c r="U52" s="1375">
        <f>SUM(Q52:T52)</f>
        <v>-176</v>
      </c>
      <c r="V52" s="1803">
        <v>2</v>
      </c>
      <c r="W52" s="1357">
        <v>-18</v>
      </c>
      <c r="X52" s="1357">
        <v>9</v>
      </c>
      <c r="Y52" s="1361">
        <v>13</v>
      </c>
      <c r="Z52" s="1418">
        <f>SUM(V52:Y52)</f>
        <v>6</v>
      </c>
      <c r="AA52" s="1357"/>
      <c r="AB52" s="1357"/>
      <c r="AC52" s="1357"/>
      <c r="AD52" s="1361"/>
      <c r="AE52" s="1418">
        <f>SUM(AA52:AD52)</f>
        <v>0</v>
      </c>
      <c r="AF52" s="1803"/>
      <c r="AG52" s="1357"/>
      <c r="AH52" s="1357"/>
      <c r="AI52" s="1361"/>
      <c r="AJ52" s="1418">
        <f>SUM(AF52:AI52)</f>
        <v>0</v>
      </c>
      <c r="AK52" s="1357"/>
      <c r="AL52" s="1357"/>
      <c r="AM52" s="1357"/>
      <c r="AN52" s="1357"/>
      <c r="AO52" s="1418">
        <f>SUM(AK52:AN52)</f>
        <v>0</v>
      </c>
      <c r="AP52" s="1357"/>
      <c r="AQ52" s="1357"/>
      <c r="AR52" s="1357"/>
      <c r="AS52" s="1357"/>
      <c r="AT52" s="1418">
        <f>SUM(AP52:AS52)</f>
        <v>0</v>
      </c>
      <c r="AU52" s="1433"/>
      <c r="AV52" s="1357"/>
      <c r="AW52" s="1357"/>
      <c r="AX52" s="1357"/>
      <c r="AY52" s="1418">
        <f>SUM(AU52:AX52)</f>
        <v>0</v>
      </c>
      <c r="AZ52" s="1357"/>
      <c r="BA52" s="1357"/>
      <c r="BB52" s="1357"/>
      <c r="BC52" s="1357"/>
      <c r="BD52" s="1418">
        <f>SUM(AZ52:BC52)</f>
        <v>0</v>
      </c>
      <c r="BE52" s="1357"/>
      <c r="BF52" s="1357"/>
      <c r="BG52" s="1357"/>
      <c r="BH52" s="1357"/>
      <c r="BI52" s="1418">
        <f>SUM(BE52:BH52)</f>
        <v>0</v>
      </c>
      <c r="BJ52" s="1357"/>
      <c r="BK52" s="1357"/>
      <c r="BL52" s="1357"/>
      <c r="BM52" s="1357"/>
      <c r="BN52" s="1419">
        <f>SUM(BJ52:BM52)</f>
        <v>0</v>
      </c>
      <c r="BO52" s="1357"/>
      <c r="BP52" s="1357"/>
      <c r="BQ52" s="1357"/>
      <c r="BR52" s="1357"/>
      <c r="BS52" s="1419">
        <f>SUM(BO52:BR52)</f>
        <v>0</v>
      </c>
      <c r="BT52" s="1357"/>
      <c r="BU52" s="1357"/>
      <c r="BV52" s="1357"/>
      <c r="BW52" s="1357"/>
      <c r="BX52" s="1419">
        <f>SUM(BT52:BW52)</f>
        <v>0</v>
      </c>
      <c r="BY52" s="1357"/>
      <c r="BZ52" s="1357"/>
      <c r="CA52" s="1433"/>
      <c r="CB52" s="1357"/>
      <c r="CC52" s="1419">
        <f>SUM(BY52:CB52)</f>
        <v>0</v>
      </c>
      <c r="CD52" s="1434"/>
      <c r="CE52" s="1434"/>
      <c r="CF52" s="1434"/>
      <c r="CG52" s="1434"/>
      <c r="CH52" s="1805">
        <f>SUM(CD52:CG52)</f>
        <v>0</v>
      </c>
      <c r="CI52" s="1371"/>
      <c r="CJ52" s="1395"/>
      <c r="CK52" s="1395"/>
      <c r="CL52" s="1395"/>
      <c r="CM52" s="1421">
        <f>SUM(CI52:CL52)</f>
        <v>0</v>
      </c>
      <c r="CN52" s="1371"/>
      <c r="CO52" s="1395"/>
      <c r="CP52" s="1395"/>
      <c r="CQ52" s="1889"/>
      <c r="CR52" s="1939">
        <f>SUM(CN52:CQ52)</f>
        <v>0</v>
      </c>
      <c r="CS52" s="975"/>
      <c r="CT52" s="975"/>
      <c r="CU52" s="975"/>
      <c r="CV52" s="71"/>
      <c r="CW52" s="82">
        <f>SUM(CS52:CV52)</f>
        <v>0</v>
      </c>
      <c r="CX52" s="2149"/>
      <c r="CY52" s="2149"/>
      <c r="CZ52" s="71"/>
      <c r="DA52" s="71"/>
      <c r="DB52" s="438">
        <f>SUM(CX52:DA52)</f>
        <v>0</v>
      </c>
      <c r="DC52" s="84"/>
      <c r="DD52" s="84"/>
      <c r="DE52" s="84"/>
      <c r="DF52" s="84"/>
      <c r="DG52" s="438">
        <f>SUM(DC52:DF52)</f>
        <v>0</v>
      </c>
      <c r="DH52" s="84"/>
      <c r="DI52" s="84"/>
      <c r="DJ52" s="84"/>
      <c r="DK52" s="84"/>
      <c r="DL52" s="438">
        <f>SUM(DH52:DK52)</f>
        <v>0</v>
      </c>
      <c r="DM52" s="84"/>
      <c r="DN52" s="84"/>
      <c r="DO52" s="84"/>
      <c r="DP52" s="84"/>
      <c r="DQ52" s="438">
        <f>SUM(DM52:DP52)</f>
        <v>0</v>
      </c>
      <c r="DR52" s="84"/>
      <c r="DS52" s="84"/>
      <c r="DT52" s="84"/>
      <c r="DU52" s="84"/>
      <c r="DV52" s="438">
        <f>SUM(DR52:DU52)</f>
        <v>0</v>
      </c>
      <c r="DW52" s="84"/>
      <c r="DX52" s="84"/>
      <c r="DY52" s="84"/>
      <c r="DZ52" s="84"/>
      <c r="EA52" s="438">
        <f>SUM(DW52:DZ52)</f>
        <v>0</v>
      </c>
      <c r="EB52" s="11"/>
      <c r="EC52" s="14" t="s">
        <v>457</v>
      </c>
      <c r="ED52" s="796">
        <f t="shared" si="87"/>
        <v>0</v>
      </c>
      <c r="EE52" s="797">
        <v>0</v>
      </c>
      <c r="EF52" s="793">
        <f t="shared" ref="EF52:EF63" si="99">ED52-EE52</f>
        <v>0</v>
      </c>
      <c r="EG52" s="796">
        <f t="shared" si="88"/>
        <v>0</v>
      </c>
      <c r="EH52" s="399"/>
      <c r="EI52" s="11"/>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row>
    <row r="53" spans="1:259" s="337" customFormat="1" hidden="1" outlineLevel="1" x14ac:dyDescent="0.2">
      <c r="A53" s="431" t="s">
        <v>458</v>
      </c>
      <c r="B53" s="1357">
        <v>-6</v>
      </c>
      <c r="C53" s="1357">
        <v>-65</v>
      </c>
      <c r="D53" s="1357">
        <v>0</v>
      </c>
      <c r="E53" s="1357">
        <v>276.39999999999998</v>
      </c>
      <c r="F53" s="1435">
        <f>SUM(B53:E53)</f>
        <v>205.39999999999998</v>
      </c>
      <c r="G53" s="1803">
        <v>-16</v>
      </c>
      <c r="H53" s="1357">
        <v>0</v>
      </c>
      <c r="I53" s="1357">
        <v>-34</v>
      </c>
      <c r="J53" s="1394">
        <v>-70</v>
      </c>
      <c r="K53" s="1361">
        <f>SUM(G53:J53)</f>
        <v>-120</v>
      </c>
      <c r="L53" s="1357">
        <v>-19</v>
      </c>
      <c r="M53" s="1357">
        <v>-80</v>
      </c>
      <c r="N53" s="1357">
        <v>-84</v>
      </c>
      <c r="O53" s="1361">
        <v>-43</v>
      </c>
      <c r="P53" s="1375">
        <f>SUM(L53:O53)</f>
        <v>-226</v>
      </c>
      <c r="Q53" s="1803">
        <v>-26</v>
      </c>
      <c r="R53" s="1357">
        <v>-39</v>
      </c>
      <c r="S53" s="1357">
        <v>-3</v>
      </c>
      <c r="T53" s="1361">
        <v>-30</v>
      </c>
      <c r="U53" s="1375">
        <f>SUM(Q53:T53)</f>
        <v>-98</v>
      </c>
      <c r="V53" s="1803">
        <v>-1</v>
      </c>
      <c r="W53" s="1357">
        <f>W52*(1-W78)</f>
        <v>-11.736000000000001</v>
      </c>
      <c r="X53" s="1357">
        <f>X52*(1-X78)</f>
        <v>6.0570000000000004</v>
      </c>
      <c r="Y53" s="1357">
        <f>Y52*(1-Y78)</f>
        <v>8.5967741935483879</v>
      </c>
      <c r="Z53" s="1418">
        <f>SUM(V53:Y53)</f>
        <v>1.9177741935483876</v>
      </c>
      <c r="AA53" s="1357"/>
      <c r="AB53" s="1357"/>
      <c r="AC53" s="1357"/>
      <c r="AD53" s="1357"/>
      <c r="AE53" s="1418">
        <f>SUM(AA53:AD53)</f>
        <v>0</v>
      </c>
      <c r="AF53" s="1803"/>
      <c r="AG53" s="1357"/>
      <c r="AH53" s="1357"/>
      <c r="AI53" s="1361"/>
      <c r="AJ53" s="1418">
        <f>SUM(AF53:AI53)</f>
        <v>0</v>
      </c>
      <c r="AK53" s="1357"/>
      <c r="AL53" s="1357"/>
      <c r="AM53" s="1357"/>
      <c r="AN53" s="1357"/>
      <c r="AO53" s="1418">
        <f>SUM(AK53:AN53)</f>
        <v>0</v>
      </c>
      <c r="AP53" s="1357"/>
      <c r="AQ53" s="1357"/>
      <c r="AR53" s="1357"/>
      <c r="AS53" s="1357"/>
      <c r="AT53" s="1418">
        <f>SUM(AP53:AS53)</f>
        <v>0</v>
      </c>
      <c r="AU53" s="1433"/>
      <c r="AV53" s="1357"/>
      <c r="AW53" s="1357"/>
      <c r="AX53" s="1357"/>
      <c r="AY53" s="1418">
        <f>SUM(AU53:AX53)</f>
        <v>0</v>
      </c>
      <c r="AZ53" s="1357"/>
      <c r="BA53" s="1357"/>
      <c r="BB53" s="1357"/>
      <c r="BC53" s="1357"/>
      <c r="BD53" s="1418">
        <f>SUM(AZ53:BC53)</f>
        <v>0</v>
      </c>
      <c r="BE53" s="1357"/>
      <c r="BF53" s="1357"/>
      <c r="BG53" s="1357"/>
      <c r="BH53" s="1357"/>
      <c r="BI53" s="1418">
        <f>SUM(BE53:BH53)</f>
        <v>0</v>
      </c>
      <c r="BJ53" s="1357"/>
      <c r="BK53" s="1357"/>
      <c r="BL53" s="1357"/>
      <c r="BM53" s="1357"/>
      <c r="BN53" s="1419">
        <f>SUM(BJ53:BM53)</f>
        <v>0</v>
      </c>
      <c r="BO53" s="1357"/>
      <c r="BP53" s="1357"/>
      <c r="BQ53" s="1357"/>
      <c r="BR53" s="1357"/>
      <c r="BS53" s="1419">
        <f>SUM(BO53:BR53)</f>
        <v>0</v>
      </c>
      <c r="BT53" s="1357"/>
      <c r="BU53" s="1357"/>
      <c r="BV53" s="1357"/>
      <c r="BW53" s="1357"/>
      <c r="BX53" s="1419">
        <f>SUM(BT53:BW53)</f>
        <v>0</v>
      </c>
      <c r="BY53" s="1357"/>
      <c r="BZ53" s="1357"/>
      <c r="CA53" s="1433"/>
      <c r="CB53" s="1357"/>
      <c r="CC53" s="1419">
        <f>SUM(BY53:CB53)</f>
        <v>0</v>
      </c>
      <c r="CD53" s="1434"/>
      <c r="CE53" s="1434"/>
      <c r="CF53" s="1434"/>
      <c r="CG53" s="1434"/>
      <c r="CH53" s="1805">
        <f>SUM(CD53:CG53)</f>
        <v>0</v>
      </c>
      <c r="CI53" s="1371"/>
      <c r="CJ53" s="1395"/>
      <c r="CK53" s="1395"/>
      <c r="CL53" s="1395"/>
      <c r="CM53" s="1421">
        <f>SUM(CI53:CL53)</f>
        <v>0</v>
      </c>
      <c r="CN53" s="1371"/>
      <c r="CO53" s="1395"/>
      <c r="CP53" s="1395"/>
      <c r="CQ53" s="1889"/>
      <c r="CR53" s="1939">
        <f>SUM(CN53:CQ53)</f>
        <v>0</v>
      </c>
      <c r="CS53" s="975"/>
      <c r="CT53" s="975"/>
      <c r="CU53" s="975"/>
      <c r="CV53" s="71"/>
      <c r="CW53" s="82">
        <f>SUM(CS53:CV53)</f>
        <v>0</v>
      </c>
      <c r="CX53" s="71"/>
      <c r="CY53" s="71"/>
      <c r="CZ53" s="71"/>
      <c r="DA53" s="71"/>
      <c r="DB53" s="438">
        <f>SUM(CX53:DA53)</f>
        <v>0</v>
      </c>
      <c r="DC53" s="84"/>
      <c r="DD53" s="84"/>
      <c r="DE53" s="84"/>
      <c r="DF53" s="84"/>
      <c r="DG53" s="438">
        <f>SUM(DC53:DF53)</f>
        <v>0</v>
      </c>
      <c r="DH53" s="84"/>
      <c r="DI53" s="84"/>
      <c r="DJ53" s="84"/>
      <c r="DK53" s="84"/>
      <c r="DL53" s="438">
        <f>SUM(DH53:DK53)</f>
        <v>0</v>
      </c>
      <c r="DM53" s="84"/>
      <c r="DN53" s="84"/>
      <c r="DO53" s="84"/>
      <c r="DP53" s="84"/>
      <c r="DQ53" s="438">
        <f>SUM(DM53:DP53)</f>
        <v>0</v>
      </c>
      <c r="DR53" s="84"/>
      <c r="DS53" s="84"/>
      <c r="DT53" s="84"/>
      <c r="DU53" s="84"/>
      <c r="DV53" s="438">
        <f>SUM(DR53:DU53)</f>
        <v>0</v>
      </c>
      <c r="DW53" s="84"/>
      <c r="DX53" s="84"/>
      <c r="DY53" s="84"/>
      <c r="DZ53" s="84"/>
      <c r="EA53" s="438">
        <f>SUM(DW53:DZ53)</f>
        <v>0</v>
      </c>
      <c r="EB53" s="11"/>
      <c r="EC53" s="14" t="s">
        <v>458</v>
      </c>
      <c r="ED53" s="796">
        <f t="shared" si="87"/>
        <v>0</v>
      </c>
      <c r="EE53" s="797">
        <v>0</v>
      </c>
      <c r="EF53" s="793">
        <f t="shared" si="99"/>
        <v>0</v>
      </c>
      <c r="EG53" s="796">
        <f t="shared" si="88"/>
        <v>0</v>
      </c>
      <c r="EH53" s="399"/>
      <c r="EI53" s="11"/>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row>
    <row r="54" spans="1:259" s="340" customFormat="1" hidden="1" outlineLevel="1" x14ac:dyDescent="0.2">
      <c r="A54" s="2049" t="s">
        <v>679</v>
      </c>
      <c r="B54" s="1364"/>
      <c r="C54" s="1364"/>
      <c r="D54" s="1364"/>
      <c r="E54" s="1364"/>
      <c r="F54" s="2050"/>
      <c r="G54" s="2051"/>
      <c r="H54" s="1364"/>
      <c r="I54" s="1364"/>
      <c r="J54" s="1411"/>
      <c r="K54" s="1387"/>
      <c r="L54" s="1364"/>
      <c r="M54" s="1364"/>
      <c r="N54" s="1364"/>
      <c r="O54" s="1387"/>
      <c r="P54" s="1386"/>
      <c r="Q54" s="2051"/>
      <c r="R54" s="1364"/>
      <c r="S54" s="1364"/>
      <c r="T54" s="1387"/>
      <c r="U54" s="1386"/>
      <c r="V54" s="2051"/>
      <c r="W54" s="1364"/>
      <c r="X54" s="1364"/>
      <c r="Y54" s="1364"/>
      <c r="Z54" s="1404"/>
      <c r="AA54" s="1364"/>
      <c r="AB54" s="1364"/>
      <c r="AC54" s="1364"/>
      <c r="AD54" s="1364"/>
      <c r="AE54" s="1404"/>
      <c r="AF54" s="2051"/>
      <c r="AG54" s="1364"/>
      <c r="AH54" s="1364"/>
      <c r="AI54" s="1387"/>
      <c r="AJ54" s="1404"/>
      <c r="AK54" s="1364"/>
      <c r="AL54" s="1364"/>
      <c r="AM54" s="1364"/>
      <c r="AN54" s="1364"/>
      <c r="AO54" s="1404"/>
      <c r="AP54" s="1364"/>
      <c r="AQ54" s="1364"/>
      <c r="AR54" s="1364"/>
      <c r="AS54" s="1364"/>
      <c r="AT54" s="1404"/>
      <c r="AU54" s="2052"/>
      <c r="AV54" s="1364"/>
      <c r="AW54" s="1364"/>
      <c r="AX54" s="1364"/>
      <c r="AY54" s="1404"/>
      <c r="AZ54" s="1364"/>
      <c r="BA54" s="1364"/>
      <c r="BB54" s="1364"/>
      <c r="BC54" s="1364"/>
      <c r="BD54" s="1404"/>
      <c r="BE54" s="1364"/>
      <c r="BF54" s="1364"/>
      <c r="BG54" s="1364"/>
      <c r="BH54" s="1364"/>
      <c r="BI54" s="1404"/>
      <c r="BJ54" s="1364"/>
      <c r="BK54" s="1364"/>
      <c r="BL54" s="1364"/>
      <c r="BM54" s="1364"/>
      <c r="BN54" s="1405"/>
      <c r="BO54" s="1364"/>
      <c r="BP54" s="1364"/>
      <c r="BQ54" s="1364"/>
      <c r="BR54" s="1364"/>
      <c r="BS54" s="1405"/>
      <c r="BT54" s="1364"/>
      <c r="BU54" s="1364"/>
      <c r="BV54" s="1364"/>
      <c r="BW54" s="1364"/>
      <c r="BX54" s="1405"/>
      <c r="BY54" s="1364"/>
      <c r="BZ54" s="1364"/>
      <c r="CA54" s="2052"/>
      <c r="CB54" s="1364"/>
      <c r="CC54" s="1405"/>
      <c r="CD54" s="2053"/>
      <c r="CE54" s="2053"/>
      <c r="CF54" s="2053"/>
      <c r="CG54" s="2053"/>
      <c r="CH54" s="1800"/>
      <c r="CI54" s="1407"/>
      <c r="CJ54" s="1408"/>
      <c r="CK54" s="1408"/>
      <c r="CL54" s="1408"/>
      <c r="CM54" s="1409"/>
      <c r="CN54" s="1989">
        <f>CR54+CQ54</f>
        <v>342</v>
      </c>
      <c r="CO54" s="1408"/>
      <c r="CP54" s="1408"/>
      <c r="CQ54" s="1891">
        <v>-15</v>
      </c>
      <c r="CR54" s="1946">
        <v>357</v>
      </c>
      <c r="CS54" s="2064">
        <v>138</v>
      </c>
      <c r="CT54" s="2064">
        <v>70</v>
      </c>
      <c r="CU54" s="2064">
        <v>422</v>
      </c>
      <c r="CV54" s="65">
        <v>-5</v>
      </c>
      <c r="CW54" s="81">
        <f>SUM(CS54:CV54)</f>
        <v>625</v>
      </c>
      <c r="CX54" s="65"/>
      <c r="CY54" s="65"/>
      <c r="CZ54" s="65"/>
      <c r="DA54" s="65"/>
      <c r="DB54" s="437"/>
      <c r="DC54" s="2054"/>
      <c r="DD54" s="2054"/>
      <c r="DE54" s="2054"/>
      <c r="DF54" s="2054"/>
      <c r="DG54" s="437"/>
      <c r="DH54" s="2054"/>
      <c r="DI54" s="2054"/>
      <c r="DJ54" s="2054"/>
      <c r="DK54" s="2054"/>
      <c r="DL54" s="437"/>
      <c r="DM54" s="2054"/>
      <c r="DN54" s="2054"/>
      <c r="DO54" s="2054"/>
      <c r="DP54" s="2054"/>
      <c r="DQ54" s="437"/>
      <c r="DR54" s="2054"/>
      <c r="DS54" s="2054"/>
      <c r="DT54" s="2054"/>
      <c r="DU54" s="2054"/>
      <c r="DV54" s="437"/>
      <c r="DW54" s="2054"/>
      <c r="DX54" s="2054"/>
      <c r="DY54" s="2054"/>
      <c r="DZ54" s="2054"/>
      <c r="EA54" s="437"/>
      <c r="EB54" s="18"/>
      <c r="EC54" s="1874"/>
      <c r="ED54" s="2055"/>
      <c r="EE54" s="2056"/>
      <c r="EF54" s="794"/>
      <c r="EG54" s="2055"/>
      <c r="EH54" s="637"/>
      <c r="EI54" s="18"/>
      <c r="EK54"/>
      <c r="EL54"/>
      <c r="EM54"/>
      <c r="EN54"/>
      <c r="EO54"/>
      <c r="EP54"/>
      <c r="EQ54" s="855"/>
      <c r="ER54" s="855"/>
      <c r="ES54" s="855"/>
      <c r="ET54" s="855"/>
      <c r="EU54" s="855"/>
      <c r="EV54" s="855"/>
      <c r="EW54" s="855"/>
      <c r="EX54" s="855"/>
      <c r="EY54" s="855"/>
      <c r="EZ54" s="855"/>
      <c r="FA54" s="855"/>
      <c r="FB54" s="855"/>
      <c r="FC54" s="855"/>
      <c r="FD54" s="855"/>
      <c r="FE54" s="855"/>
      <c r="FF54" s="855"/>
      <c r="FG54" s="855"/>
      <c r="FH54" s="855"/>
      <c r="FI54" s="855"/>
      <c r="FJ54" s="855"/>
      <c r="FK54" s="855"/>
      <c r="FL54" s="855"/>
      <c r="FM54" s="855"/>
      <c r="FN54" s="855"/>
      <c r="FO54" s="855"/>
      <c r="FP54" s="855"/>
      <c r="FQ54" s="855"/>
      <c r="FR54" s="855"/>
      <c r="FS54" s="855"/>
      <c r="FT54" s="855"/>
      <c r="FU54" s="855"/>
      <c r="FV54" s="855"/>
      <c r="FW54" s="855"/>
      <c r="FX54" s="855"/>
      <c r="FY54" s="855"/>
      <c r="FZ54" s="855"/>
      <c r="GA54" s="855"/>
      <c r="GB54" s="855"/>
      <c r="GC54" s="855"/>
      <c r="GD54" s="855"/>
      <c r="GE54" s="855"/>
      <c r="GF54" s="855"/>
      <c r="GG54" s="855"/>
      <c r="GH54" s="855"/>
      <c r="GI54" s="855"/>
      <c r="GJ54" s="855"/>
      <c r="GK54" s="855"/>
      <c r="GL54" s="855"/>
      <c r="GM54" s="855"/>
      <c r="GN54" s="855"/>
      <c r="GO54" s="855"/>
      <c r="GP54" s="855"/>
      <c r="GQ54" s="855"/>
      <c r="GR54" s="855"/>
      <c r="GS54" s="855"/>
      <c r="GT54" s="855"/>
      <c r="GU54" s="855"/>
      <c r="GV54" s="855"/>
      <c r="GW54" s="855"/>
      <c r="GX54" s="855"/>
      <c r="GY54" s="855"/>
      <c r="GZ54" s="855"/>
      <c r="HA54" s="855"/>
      <c r="HB54" s="855"/>
      <c r="HC54" s="855"/>
      <c r="HD54" s="855"/>
      <c r="HE54" s="855"/>
      <c r="HF54" s="855"/>
      <c r="HG54" s="855"/>
      <c r="HH54" s="855"/>
      <c r="HI54" s="855"/>
      <c r="HJ54" s="855"/>
      <c r="HK54" s="855"/>
      <c r="HL54" s="855"/>
      <c r="HM54" s="855"/>
      <c r="HN54" s="855"/>
      <c r="HO54" s="855"/>
      <c r="HP54" s="855"/>
      <c r="HQ54" s="855"/>
      <c r="HR54" s="855"/>
      <c r="HS54" s="855"/>
      <c r="HT54" s="855"/>
      <c r="HU54" s="855"/>
      <c r="HV54" s="855"/>
      <c r="HW54" s="855"/>
      <c r="HX54" s="855"/>
      <c r="HY54" s="855"/>
      <c r="HZ54" s="855"/>
      <c r="IA54" s="855"/>
      <c r="IB54" s="855"/>
      <c r="IC54" s="855"/>
      <c r="ID54" s="855"/>
      <c r="IE54" s="855"/>
      <c r="IF54" s="855"/>
      <c r="IG54" s="855"/>
      <c r="IH54" s="855"/>
      <c r="II54" s="855"/>
      <c r="IJ54" s="855"/>
      <c r="IK54" s="855"/>
      <c r="IL54" s="855"/>
      <c r="IM54" s="855"/>
      <c r="IN54" s="855"/>
      <c r="IO54" s="855"/>
      <c r="IP54" s="855"/>
      <c r="IQ54" s="855"/>
      <c r="IR54" s="855"/>
      <c r="IS54" s="855"/>
      <c r="IT54" s="855"/>
      <c r="IU54" s="855"/>
      <c r="IV54" s="855"/>
      <c r="IW54" s="855"/>
      <c r="IX54" s="855"/>
      <c r="IY54" s="855"/>
    </row>
    <row r="55" spans="1:259" s="337" customFormat="1" hidden="1" outlineLevel="1" x14ac:dyDescent="0.2">
      <c r="A55" s="1870"/>
      <c r="B55" s="1357"/>
      <c r="C55" s="1357"/>
      <c r="D55" s="1357"/>
      <c r="E55" s="1357"/>
      <c r="F55" s="1435"/>
      <c r="G55" s="1803"/>
      <c r="H55" s="1357"/>
      <c r="I55" s="1357"/>
      <c r="J55" s="1394"/>
      <c r="K55" s="1361"/>
      <c r="L55" s="1357"/>
      <c r="M55" s="1357"/>
      <c r="N55" s="1357"/>
      <c r="O55" s="1361"/>
      <c r="P55" s="1375"/>
      <c r="Q55" s="1803"/>
      <c r="R55" s="1357"/>
      <c r="S55" s="1357"/>
      <c r="T55" s="1361"/>
      <c r="U55" s="1375"/>
      <c r="V55" s="1803"/>
      <c r="W55" s="1357"/>
      <c r="X55" s="1357"/>
      <c r="Y55" s="1357"/>
      <c r="Z55" s="1418"/>
      <c r="AA55" s="1357"/>
      <c r="AB55" s="1357"/>
      <c r="AC55" s="1357"/>
      <c r="AD55" s="1357"/>
      <c r="AE55" s="1418"/>
      <c r="AF55" s="1803"/>
      <c r="AG55" s="1357"/>
      <c r="AH55" s="1357"/>
      <c r="AI55" s="1361"/>
      <c r="AJ55" s="1418"/>
      <c r="AK55" s="1357"/>
      <c r="AL55" s="1357"/>
      <c r="AM55" s="1357"/>
      <c r="AN55" s="1357"/>
      <c r="AO55" s="1418"/>
      <c r="AP55" s="1357"/>
      <c r="AQ55" s="1357"/>
      <c r="AR55" s="1357"/>
      <c r="AS55" s="1357"/>
      <c r="AT55" s="1418"/>
      <c r="AU55" s="1433"/>
      <c r="AV55" s="1357"/>
      <c r="AW55" s="1357"/>
      <c r="AX55" s="1357"/>
      <c r="AY55" s="1418"/>
      <c r="AZ55" s="1357"/>
      <c r="BA55" s="1357"/>
      <c r="BB55" s="1357"/>
      <c r="BC55" s="1357"/>
      <c r="BD55" s="1418"/>
      <c r="BE55" s="1357"/>
      <c r="BF55" s="1357"/>
      <c r="BG55" s="1357"/>
      <c r="BH55" s="1357"/>
      <c r="BI55" s="1418"/>
      <c r="BJ55" s="1357"/>
      <c r="BK55" s="1357"/>
      <c r="BL55" s="1357"/>
      <c r="BM55" s="1357"/>
      <c r="BN55" s="1419"/>
      <c r="BO55" s="1357"/>
      <c r="BP55" s="1357"/>
      <c r="BQ55" s="1357"/>
      <c r="BR55" s="1357"/>
      <c r="BS55" s="1419"/>
      <c r="BT55" s="1357"/>
      <c r="BU55" s="1357"/>
      <c r="BV55" s="1357"/>
      <c r="BW55" s="1357"/>
      <c r="BX55" s="1419"/>
      <c r="BY55" s="1357"/>
      <c r="BZ55" s="1357"/>
      <c r="CA55" s="1433"/>
      <c r="CB55" s="1357"/>
      <c r="CC55" s="1419"/>
      <c r="CD55" s="1434"/>
      <c r="CE55" s="1434"/>
      <c r="CF55" s="1434"/>
      <c r="CG55" s="1434"/>
      <c r="CH55" s="1871"/>
      <c r="CI55" s="1371"/>
      <c r="CJ55" s="1395"/>
      <c r="CK55" s="1395"/>
      <c r="CL55" s="1395"/>
      <c r="CM55" s="1421"/>
      <c r="CN55" s="1371"/>
      <c r="CO55" s="1395"/>
      <c r="CP55" s="1395"/>
      <c r="CQ55" s="1889"/>
      <c r="CR55" s="1939"/>
      <c r="CS55" s="975"/>
      <c r="CT55" s="975"/>
      <c r="CU55" s="975"/>
      <c r="CV55" s="71"/>
      <c r="CW55" s="82"/>
      <c r="CX55" s="2150"/>
      <c r="CY55" s="71"/>
      <c r="CZ55" s="71"/>
      <c r="DA55" s="71"/>
      <c r="DB55" s="438"/>
      <c r="DC55" s="84"/>
      <c r="DD55" s="84"/>
      <c r="DE55" s="84"/>
      <c r="DF55" s="84"/>
      <c r="DG55" s="438"/>
      <c r="DH55" s="84"/>
      <c r="DI55" s="84"/>
      <c r="DJ55" s="84"/>
      <c r="DK55" s="84"/>
      <c r="DL55" s="438"/>
      <c r="DM55" s="84"/>
      <c r="DN55" s="84"/>
      <c r="DO55" s="84"/>
      <c r="DP55" s="84"/>
      <c r="DQ55" s="438"/>
      <c r="DR55" s="84"/>
      <c r="DS55" s="84"/>
      <c r="DT55" s="84"/>
      <c r="DU55" s="84"/>
      <c r="DV55" s="438"/>
      <c r="DW55" s="84"/>
      <c r="DX55" s="84"/>
      <c r="DY55" s="84"/>
      <c r="DZ55" s="84"/>
      <c r="EA55" s="438"/>
      <c r="EB55" s="11"/>
      <c r="EC55" s="1872"/>
      <c r="ED55" s="796"/>
      <c r="EE55" s="797"/>
      <c r="EF55" s="793"/>
      <c r="EG55" s="796"/>
      <c r="EH55" s="399"/>
      <c r="EI55" s="11"/>
      <c r="EK55"/>
      <c r="EL55"/>
      <c r="EM55"/>
      <c r="EN55"/>
      <c r="EO55"/>
      <c r="EP55"/>
      <c r="EQ55" s="1869"/>
      <c r="ER55" s="1869"/>
      <c r="ES55" s="1869"/>
      <c r="ET55" s="1869"/>
      <c r="EU55" s="1869"/>
      <c r="EV55" s="1869"/>
      <c r="EW55" s="1869"/>
      <c r="EX55" s="1869"/>
      <c r="EY55" s="1869"/>
      <c r="EZ55" s="1869"/>
      <c r="FA55" s="1869"/>
      <c r="FB55" s="1869"/>
      <c r="FC55" s="1869"/>
      <c r="FD55" s="1869"/>
      <c r="FE55" s="1869"/>
      <c r="FF55" s="1869"/>
      <c r="FG55" s="1869"/>
      <c r="FH55" s="1869"/>
      <c r="FI55" s="1869"/>
      <c r="FJ55" s="1869"/>
      <c r="FK55" s="1869"/>
      <c r="FL55" s="1869"/>
      <c r="FM55" s="1869"/>
      <c r="FN55" s="1869"/>
      <c r="FO55" s="1869"/>
      <c r="FP55" s="1869"/>
      <c r="FQ55" s="1869"/>
      <c r="FR55" s="1869"/>
      <c r="FS55" s="1869"/>
      <c r="FT55" s="1869"/>
      <c r="FU55" s="1869"/>
      <c r="FV55" s="1869"/>
      <c r="FW55" s="1869"/>
      <c r="FX55" s="1869"/>
      <c r="FY55" s="1869"/>
      <c r="FZ55" s="1869"/>
      <c r="GA55" s="1869"/>
      <c r="GB55" s="1869"/>
      <c r="GC55" s="1869"/>
      <c r="GD55" s="1869"/>
      <c r="GE55" s="1869"/>
      <c r="GF55" s="1869"/>
      <c r="GG55" s="1869"/>
      <c r="GH55" s="1869"/>
      <c r="GI55" s="1869"/>
      <c r="GJ55" s="1869"/>
      <c r="GK55" s="1869"/>
      <c r="GL55" s="1869"/>
      <c r="GM55" s="1869"/>
      <c r="GN55" s="1869"/>
      <c r="GO55" s="1869"/>
      <c r="GP55" s="1869"/>
      <c r="GQ55" s="1869"/>
      <c r="GR55" s="1869"/>
      <c r="GS55" s="1869"/>
      <c r="GT55" s="1869"/>
      <c r="GU55" s="1869"/>
      <c r="GV55" s="1869"/>
      <c r="GW55" s="1869"/>
      <c r="GX55" s="1869"/>
      <c r="GY55" s="1869"/>
      <c r="GZ55" s="1869"/>
      <c r="HA55" s="1869"/>
      <c r="HB55" s="1869"/>
      <c r="HC55" s="1869"/>
      <c r="HD55" s="1869"/>
      <c r="HE55" s="1869"/>
      <c r="HF55" s="1869"/>
      <c r="HG55" s="1869"/>
      <c r="HH55" s="1869"/>
      <c r="HI55" s="1869"/>
      <c r="HJ55" s="1869"/>
      <c r="HK55" s="1869"/>
      <c r="HL55" s="1869"/>
      <c r="HM55" s="1869"/>
      <c r="HN55" s="1869"/>
      <c r="HO55" s="1869"/>
      <c r="HP55" s="1869"/>
      <c r="HQ55" s="1869"/>
      <c r="HR55" s="1869"/>
      <c r="HS55" s="1869"/>
      <c r="HT55" s="1869"/>
      <c r="HU55" s="1869"/>
      <c r="HV55" s="1869"/>
      <c r="HW55" s="1869"/>
      <c r="HX55" s="1869"/>
      <c r="HY55" s="1869"/>
      <c r="HZ55" s="1869"/>
      <c r="IA55" s="1869"/>
      <c r="IB55" s="1869"/>
      <c r="IC55" s="1869"/>
      <c r="ID55" s="1869"/>
      <c r="IE55" s="1869"/>
      <c r="IF55" s="1869"/>
      <c r="IG55" s="1869"/>
      <c r="IH55" s="1869"/>
      <c r="II55" s="1869"/>
      <c r="IJ55" s="1869"/>
      <c r="IK55" s="1869"/>
      <c r="IL55" s="1869"/>
      <c r="IM55" s="1869"/>
      <c r="IN55" s="1869"/>
      <c r="IO55" s="1869"/>
      <c r="IP55" s="1869"/>
      <c r="IQ55" s="1869"/>
      <c r="IR55" s="1869"/>
      <c r="IS55" s="1869"/>
      <c r="IT55" s="1869"/>
      <c r="IU55" s="1869"/>
      <c r="IV55" s="1869"/>
      <c r="IW55" s="1869"/>
      <c r="IX55" s="1869"/>
      <c r="IY55" s="1869"/>
    </row>
    <row r="56" spans="1:259" s="337" customFormat="1" collapsed="1" x14ac:dyDescent="0.2">
      <c r="A56" s="431" t="s">
        <v>465</v>
      </c>
      <c r="B56" s="1357"/>
      <c r="C56" s="1357">
        <v>39</v>
      </c>
      <c r="D56" s="1357">
        <v>15</v>
      </c>
      <c r="E56" s="1359">
        <v>130</v>
      </c>
      <c r="F56" s="1435">
        <f>SUM(B56:E56)</f>
        <v>184</v>
      </c>
      <c r="G56" s="1808"/>
      <c r="H56" s="1358"/>
      <c r="I56" s="1436">
        <v>-5</v>
      </c>
      <c r="J56" s="1360">
        <v>20</v>
      </c>
      <c r="K56" s="1361">
        <f>SUM(G56:J56)</f>
        <v>15</v>
      </c>
      <c r="L56" s="1357"/>
      <c r="M56" s="1357">
        <v>2</v>
      </c>
      <c r="N56" s="1357">
        <v>-3</v>
      </c>
      <c r="O56" s="1361">
        <v>36</v>
      </c>
      <c r="P56" s="1375">
        <f>SUM(L56:O56)</f>
        <v>35</v>
      </c>
      <c r="Q56" s="1803">
        <v>4</v>
      </c>
      <c r="R56" s="1357">
        <v>72</v>
      </c>
      <c r="S56" s="1357">
        <v>92</v>
      </c>
      <c r="T56" s="1361">
        <v>36</v>
      </c>
      <c r="U56" s="1375">
        <f>SUM(Q56:T56)</f>
        <v>204</v>
      </c>
      <c r="V56" s="1803">
        <f>4-2</f>
        <v>2</v>
      </c>
      <c r="W56" s="1357">
        <v>-4</v>
      </c>
      <c r="X56" s="1357">
        <v>0</v>
      </c>
      <c r="Y56" s="1361">
        <v>-8</v>
      </c>
      <c r="Z56" s="1375">
        <f>SUM(V56:Y56)</f>
        <v>-10</v>
      </c>
      <c r="AA56" s="1803">
        <v>-11</v>
      </c>
      <c r="AB56" s="1357">
        <v>-9</v>
      </c>
      <c r="AC56" s="1357">
        <v>-4</v>
      </c>
      <c r="AD56" s="1361">
        <v>-3</v>
      </c>
      <c r="AE56" s="1418">
        <f>SUM(AA56:AD56)</f>
        <v>-27</v>
      </c>
      <c r="AF56" s="1803">
        <v>0</v>
      </c>
      <c r="AG56" s="1357">
        <v>37</v>
      </c>
      <c r="AH56" s="1357">
        <v>4</v>
      </c>
      <c r="AI56" s="1361">
        <v>-25</v>
      </c>
      <c r="AJ56" s="1418">
        <f>SUM(AF56:AI56)</f>
        <v>16</v>
      </c>
      <c r="AK56" s="1357">
        <v>0</v>
      </c>
      <c r="AL56" s="1357">
        <v>-14</v>
      </c>
      <c r="AM56" s="1357">
        <v>0</v>
      </c>
      <c r="AN56" s="1361">
        <v>-16</v>
      </c>
      <c r="AO56" s="1418">
        <f>SUM(AK56:AN56)</f>
        <v>-30</v>
      </c>
      <c r="AP56" s="1357">
        <v>0</v>
      </c>
      <c r="AQ56" s="1357"/>
      <c r="AR56" s="1357">
        <v>-2</v>
      </c>
      <c r="AS56" s="1361">
        <v>-2</v>
      </c>
      <c r="AT56" s="1418">
        <f>SUM(AP56:AS56)</f>
        <v>-4</v>
      </c>
      <c r="AU56" s="1357">
        <v>0</v>
      </c>
      <c r="AV56" s="1357">
        <v>0</v>
      </c>
      <c r="AW56" s="1357">
        <v>0</v>
      </c>
      <c r="AX56" s="1361">
        <v>0</v>
      </c>
      <c r="AY56" s="1437">
        <v>0</v>
      </c>
      <c r="AZ56" s="1357">
        <v>0</v>
      </c>
      <c r="BA56" s="1357">
        <v>0</v>
      </c>
      <c r="BB56" s="1357">
        <v>0</v>
      </c>
      <c r="BC56" s="1361">
        <v>0</v>
      </c>
      <c r="BD56" s="1437">
        <v>0</v>
      </c>
      <c r="BE56" s="1357">
        <v>-68</v>
      </c>
      <c r="BF56" s="1357">
        <v>3</v>
      </c>
      <c r="BG56" s="1357">
        <v>0</v>
      </c>
      <c r="BH56" s="1361">
        <v>26</v>
      </c>
      <c r="BI56" s="1418">
        <f>SUM(BE56:BH56)</f>
        <v>-39</v>
      </c>
      <c r="BJ56" s="1357">
        <v>17</v>
      </c>
      <c r="BK56" s="1357">
        <v>-60</v>
      </c>
      <c r="BL56" s="1357">
        <v>3</v>
      </c>
      <c r="BM56" s="1361">
        <v>22</v>
      </c>
      <c r="BN56" s="1419">
        <f>SUM(BJ56:BM56)</f>
        <v>-18</v>
      </c>
      <c r="BO56" s="1357">
        <f>-BO152</f>
        <v>59</v>
      </c>
      <c r="BP56" s="1357">
        <f>-BP152</f>
        <v>-6</v>
      </c>
      <c r="BQ56" s="1357">
        <f>-BQ152</f>
        <v>-2</v>
      </c>
      <c r="BR56" s="1361">
        <f>-BR152</f>
        <v>-33</v>
      </c>
      <c r="BS56" s="1419">
        <f>SUM(BO56:BR56)</f>
        <v>18</v>
      </c>
      <c r="BT56" s="1357">
        <f>-BT152</f>
        <v>65</v>
      </c>
      <c r="BU56" s="1357">
        <f>-BU152</f>
        <v>6</v>
      </c>
      <c r="BV56" s="1357">
        <f>-BV152</f>
        <v>12</v>
      </c>
      <c r="BW56" s="1361">
        <f>-BW152</f>
        <v>28</v>
      </c>
      <c r="BX56" s="1419">
        <f>SUM(BT56:BW56)</f>
        <v>111</v>
      </c>
      <c r="BY56" s="1357">
        <f>-BY152</f>
        <v>-122</v>
      </c>
      <c r="BZ56" s="1357">
        <f>-BZ152</f>
        <v>-16</v>
      </c>
      <c r="CA56" s="1357">
        <f>-CA152</f>
        <v>-4</v>
      </c>
      <c r="CB56" s="1361">
        <f>-CB152</f>
        <v>14</v>
      </c>
      <c r="CC56" s="1419">
        <f>SUM(BY56:CB56)</f>
        <v>-128</v>
      </c>
      <c r="CD56" s="1400">
        <f>-CD152</f>
        <v>-17</v>
      </c>
      <c r="CE56" s="1400">
        <f>-CE152</f>
        <v>-13</v>
      </c>
      <c r="CF56" s="1400">
        <f>-CF152</f>
        <v>-14</v>
      </c>
      <c r="CG56" s="1400">
        <f>-CG152</f>
        <v>118</v>
      </c>
      <c r="CH56" s="1805">
        <f>SUM(CD56:CG56)</f>
        <v>74</v>
      </c>
      <c r="CI56" s="1395">
        <f>-CI152</f>
        <v>-2</v>
      </c>
      <c r="CJ56" s="1395">
        <f>-CJ152</f>
        <v>-1</v>
      </c>
      <c r="CK56" s="1395">
        <f>-CK152</f>
        <v>-8</v>
      </c>
      <c r="CL56" s="1395">
        <f>-CL152</f>
        <v>4.9000000000000004</v>
      </c>
      <c r="CM56" s="1421">
        <f>SUM(CI56:CL56)</f>
        <v>-6.1</v>
      </c>
      <c r="CN56" s="1395">
        <f t="shared" ref="CN56:CP56" si="100">-CN152</f>
        <v>0</v>
      </c>
      <c r="CO56" s="1395">
        <f t="shared" si="100"/>
        <v>76.75</v>
      </c>
      <c r="CP56" s="1395">
        <f t="shared" si="100"/>
        <v>22.25</v>
      </c>
      <c r="CQ56" s="1889">
        <f>-CQ152</f>
        <v>-7</v>
      </c>
      <c r="CR56" s="1948">
        <f>SUM(CN56:CQ56)</f>
        <v>92</v>
      </c>
      <c r="CS56" s="975">
        <f>-CS152</f>
        <v>9</v>
      </c>
      <c r="CT56" s="975">
        <f>-CT152</f>
        <v>-40</v>
      </c>
      <c r="CU56" s="975">
        <f>-CU152</f>
        <v>10</v>
      </c>
      <c r="CV56" s="71">
        <f>-CV152</f>
        <v>12</v>
      </c>
      <c r="CW56" s="82">
        <f>SUM(CS56:CV56)</f>
        <v>-9</v>
      </c>
      <c r="CX56" s="1007">
        <f>-CX152</f>
        <v>-77</v>
      </c>
      <c r="CY56" s="1007">
        <f t="shared" ref="CY56:DA56" si="101">-CY152</f>
        <v>20</v>
      </c>
      <c r="CZ56" s="1007">
        <f t="shared" si="101"/>
        <v>-189</v>
      </c>
      <c r="DA56" s="1007">
        <f t="shared" si="101"/>
        <v>-732</v>
      </c>
      <c r="DB56" s="438">
        <f>SUM(CX56:DA56)</f>
        <v>-978</v>
      </c>
      <c r="DC56" s="975">
        <f t="shared" ref="DC56:DE56" si="102">-DC152</f>
        <v>15</v>
      </c>
      <c r="DD56" s="975">
        <f t="shared" si="102"/>
        <v>15</v>
      </c>
      <c r="DE56" s="975">
        <f t="shared" si="102"/>
        <v>15</v>
      </c>
      <c r="DF56" s="975">
        <f t="shared" ref="DF56" si="103">-DF152</f>
        <v>15</v>
      </c>
      <c r="DG56" s="526">
        <f>SUM(DC56:DF56)</f>
        <v>60</v>
      </c>
      <c r="DH56" s="71">
        <v>0</v>
      </c>
      <c r="DI56" s="71">
        <v>0</v>
      </c>
      <c r="DJ56" s="71">
        <v>0</v>
      </c>
      <c r="DK56" s="72">
        <v>0</v>
      </c>
      <c r="DL56" s="526">
        <f>SUM(DH56:DK56)</f>
        <v>0</v>
      </c>
      <c r="DM56" s="71">
        <v>0</v>
      </c>
      <c r="DN56" s="71">
        <v>0</v>
      </c>
      <c r="DO56" s="71">
        <v>0</v>
      </c>
      <c r="DP56" s="72">
        <v>0</v>
      </c>
      <c r="DQ56" s="526">
        <f>SUM(DM56:DP56)</f>
        <v>0</v>
      </c>
      <c r="DR56" s="71">
        <v>0</v>
      </c>
      <c r="DS56" s="71">
        <v>0</v>
      </c>
      <c r="DT56" s="71">
        <v>0</v>
      </c>
      <c r="DU56" s="72">
        <v>0</v>
      </c>
      <c r="DV56" s="526">
        <f>SUM(DR56:DU56)</f>
        <v>0</v>
      </c>
      <c r="DW56" s="71">
        <v>0</v>
      </c>
      <c r="DX56" s="71">
        <v>0</v>
      </c>
      <c r="DY56" s="71">
        <v>0</v>
      </c>
      <c r="DZ56" s="72">
        <v>0</v>
      </c>
      <c r="EA56" s="526">
        <f>SUM(DW56:DZ56)</f>
        <v>0</v>
      </c>
      <c r="EB56" s="11"/>
      <c r="EC56" s="14" t="s">
        <v>465</v>
      </c>
      <c r="ED56" s="1196">
        <f>DA56</f>
        <v>-732</v>
      </c>
      <c r="EE56" s="1196">
        <v>19</v>
      </c>
      <c r="EF56" s="793">
        <f t="shared" si="99"/>
        <v>-751</v>
      </c>
      <c r="EG56" s="1196">
        <f>CV56</f>
        <v>12</v>
      </c>
      <c r="EH56" s="399"/>
      <c r="EI56" s="11"/>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row>
    <row r="57" spans="1:259" s="337" customFormat="1" x14ac:dyDescent="0.2">
      <c r="A57" s="431" t="s">
        <v>474</v>
      </c>
      <c r="B57" s="1808"/>
      <c r="C57" s="1357">
        <v>22</v>
      </c>
      <c r="D57" s="1357">
        <v>12</v>
      </c>
      <c r="E57" s="1359">
        <v>130</v>
      </c>
      <c r="F57" s="1435">
        <f>SUM(B57:E57)</f>
        <v>164</v>
      </c>
      <c r="G57" s="1808"/>
      <c r="H57" s="1358"/>
      <c r="I57" s="1436">
        <v>-3</v>
      </c>
      <c r="J57" s="1438">
        <v>6</v>
      </c>
      <c r="K57" s="1361">
        <f>SUM(G57:J57)</f>
        <v>3</v>
      </c>
      <c r="L57" s="1357"/>
      <c r="M57" s="1357">
        <v>2</v>
      </c>
      <c r="N57" s="1357">
        <v>-2</v>
      </c>
      <c r="O57" s="1361">
        <v>19</v>
      </c>
      <c r="P57" s="1375">
        <f>SUM(L57:O57)</f>
        <v>19</v>
      </c>
      <c r="Q57" s="1803">
        <v>2.2999999999999998</v>
      </c>
      <c r="R57" s="1357">
        <v>46</v>
      </c>
      <c r="S57" s="1357">
        <f>S56*(1-S78)</f>
        <v>57.120879120879124</v>
      </c>
      <c r="T57" s="1357">
        <v>23.4</v>
      </c>
      <c r="U57" s="1375">
        <f>SUM(Q57:T57)</f>
        <v>128.82087912087911</v>
      </c>
      <c r="V57" s="1803">
        <f>V56*(1-V78)</f>
        <v>1.254</v>
      </c>
      <c r="W57" s="1357">
        <f>W56*(1-W78)</f>
        <v>-2.6080000000000001</v>
      </c>
      <c r="X57" s="1357">
        <f>X56*(1-X78)</f>
        <v>0</v>
      </c>
      <c r="Y57" s="1357">
        <f>Y56*(1-Y78)</f>
        <v>-5.2903225806451619</v>
      </c>
      <c r="Z57" s="1375">
        <f>SUM(V57:Y57)</f>
        <v>-6.644322580645162</v>
      </c>
      <c r="AA57" s="1803">
        <v>-7</v>
      </c>
      <c r="AB57" s="1357">
        <v>-6</v>
      </c>
      <c r="AC57" s="1357">
        <f>AC56*(1-AC78)</f>
        <v>-2.7640000000000002</v>
      </c>
      <c r="AD57" s="1357">
        <v>-1.8</v>
      </c>
      <c r="AE57" s="1418">
        <f>SUM(AA57:AD57)</f>
        <v>-17.564</v>
      </c>
      <c r="AF57" s="1803">
        <f>AF56*(1-AF78)</f>
        <v>0</v>
      </c>
      <c r="AG57" s="1357">
        <v>23</v>
      </c>
      <c r="AH57" s="1357">
        <v>3</v>
      </c>
      <c r="AI57" s="1361">
        <v>-16</v>
      </c>
      <c r="AJ57" s="1418">
        <f>SUM(AF57:AI57)</f>
        <v>10</v>
      </c>
      <c r="AK57" s="1357">
        <v>0</v>
      </c>
      <c r="AL57" s="1357">
        <v>-7</v>
      </c>
      <c r="AM57" s="1357">
        <f>AM56*(1-AM78)</f>
        <v>0</v>
      </c>
      <c r="AN57" s="1357">
        <f>AN56*(1-AN78)</f>
        <v>-12.121212121212121</v>
      </c>
      <c r="AO57" s="1418">
        <f>SUM(AK57:AN57)</f>
        <v>-19.121212121212121</v>
      </c>
      <c r="AP57" s="1357">
        <f>AP56*(1-AP78)</f>
        <v>0</v>
      </c>
      <c r="AQ57" s="1357">
        <f>AQ56*(1-0.25)</f>
        <v>0</v>
      </c>
      <c r="AR57" s="1357">
        <v>-1.45</v>
      </c>
      <c r="AS57" s="1357">
        <f>AS56*(1-AS78)</f>
        <v>-1.5448275862068965</v>
      </c>
      <c r="AT57" s="1418">
        <f>SUM(AP57:AS57)</f>
        <v>-2.9948275862068963</v>
      </c>
      <c r="AU57" s="1357">
        <f>AU56*(1-AU78)</f>
        <v>0</v>
      </c>
      <c r="AV57" s="1357">
        <f>AV56*(1-AV78)</f>
        <v>0</v>
      </c>
      <c r="AW57" s="1357">
        <f>AW56*(1-AW78)</f>
        <v>0</v>
      </c>
      <c r="AX57" s="1357">
        <f>AX56*(1-AX78)</f>
        <v>0</v>
      </c>
      <c r="AY57" s="1437">
        <v>0</v>
      </c>
      <c r="AZ57" s="1357">
        <f>AZ56*(1-AZ78)</f>
        <v>0</v>
      </c>
      <c r="BA57" s="1357">
        <f>BA56*(1-BA78)</f>
        <v>0</v>
      </c>
      <c r="BB57" s="1357">
        <f>BB56*(1-BB78)</f>
        <v>0</v>
      </c>
      <c r="BC57" s="1357">
        <f>BC56*(1-BC78)</f>
        <v>0</v>
      </c>
      <c r="BD57" s="1437">
        <v>0</v>
      </c>
      <c r="BE57" s="1357">
        <v>-42.5</v>
      </c>
      <c r="BF57" s="1357">
        <f>(BF56*(1-BF78))</f>
        <v>2.5551330798479084</v>
      </c>
      <c r="BG57" s="1357">
        <f>BG56*(1-BG78)</f>
        <v>0</v>
      </c>
      <c r="BH57" s="1357">
        <v>16</v>
      </c>
      <c r="BI57" s="1418">
        <f>SUM(BE57:BH57)</f>
        <v>-23.944866920152094</v>
      </c>
      <c r="BJ57" s="1357">
        <v>11</v>
      </c>
      <c r="BK57" s="1357">
        <v>-63</v>
      </c>
      <c r="BL57" s="1357">
        <v>6</v>
      </c>
      <c r="BM57" s="1357">
        <v>23</v>
      </c>
      <c r="BN57" s="1419">
        <f>SUM(BJ57:BM57)</f>
        <v>-23</v>
      </c>
      <c r="BO57" s="1357">
        <f>-BO154</f>
        <v>37</v>
      </c>
      <c r="BP57" s="1357">
        <f>-BP154</f>
        <v>-4</v>
      </c>
      <c r="BQ57" s="1357">
        <f>-BQ154</f>
        <v>-1</v>
      </c>
      <c r="BR57" s="1357">
        <f>-BR154</f>
        <v>-21</v>
      </c>
      <c r="BS57" s="1419">
        <f>SUM(BO57:BR57)</f>
        <v>11</v>
      </c>
      <c r="BT57" s="1357">
        <f>-BT154</f>
        <v>41</v>
      </c>
      <c r="BU57" s="1357">
        <f>-BU154</f>
        <v>4</v>
      </c>
      <c r="BV57" s="1357">
        <f>-BV154</f>
        <v>-58</v>
      </c>
      <c r="BW57" s="1357">
        <f>-BW154</f>
        <v>1</v>
      </c>
      <c r="BX57" s="1419">
        <f>SUM(BT57:BW57)</f>
        <v>-12</v>
      </c>
      <c r="BY57" s="1357">
        <f>-BY154</f>
        <v>-115</v>
      </c>
      <c r="BZ57" s="1357">
        <f>-BZ154</f>
        <v>-14</v>
      </c>
      <c r="CA57" s="1357">
        <f>-CA154</f>
        <v>-4</v>
      </c>
      <c r="CB57" s="1357">
        <f>-CB154</f>
        <v>4</v>
      </c>
      <c r="CC57" s="1419">
        <f>SUM(BY57:CB57)</f>
        <v>-129</v>
      </c>
      <c r="CD57" s="1400">
        <f>-CD154</f>
        <v>-11</v>
      </c>
      <c r="CE57" s="1400">
        <f>-CE154</f>
        <v>-4</v>
      </c>
      <c r="CF57" s="1400">
        <f>-CF154</f>
        <v>-26</v>
      </c>
      <c r="CG57" s="1400">
        <f>-CG154</f>
        <v>74</v>
      </c>
      <c r="CH57" s="1805">
        <f>SUM(CD57:CG57)</f>
        <v>33</v>
      </c>
      <c r="CI57" s="1395">
        <f>-CI154</f>
        <v>-1</v>
      </c>
      <c r="CJ57" s="1395">
        <f>-CJ154</f>
        <v>-1</v>
      </c>
      <c r="CK57" s="1395">
        <f>-CK154</f>
        <v>-3</v>
      </c>
      <c r="CL57" s="1395">
        <f>-CL154</f>
        <v>2.4999999999999947</v>
      </c>
      <c r="CM57" s="1421">
        <f>SUM(CI57:CL57)</f>
        <v>-2.5000000000000053</v>
      </c>
      <c r="CN57" s="1395">
        <f t="shared" ref="CN57:CP57" si="104">-CN154</f>
        <v>0</v>
      </c>
      <c r="CO57" s="1395">
        <f t="shared" si="104"/>
        <v>74.75</v>
      </c>
      <c r="CP57" s="1395">
        <f t="shared" si="104"/>
        <v>19.25</v>
      </c>
      <c r="CQ57" s="1889">
        <f>-CQ154</f>
        <v>2</v>
      </c>
      <c r="CR57" s="1948">
        <f>SUM(CN57:CQ57)</f>
        <v>96</v>
      </c>
      <c r="CS57" s="975">
        <f>-CS156</f>
        <v>7</v>
      </c>
      <c r="CT57" s="975">
        <f>-CT156</f>
        <v>-33</v>
      </c>
      <c r="CU57" s="975">
        <f t="shared" ref="CU57:CV57" si="105">-CU156</f>
        <v>5</v>
      </c>
      <c r="CV57" s="71">
        <f t="shared" si="105"/>
        <v>-12</v>
      </c>
      <c r="CW57" s="82">
        <f>SUM(CS57:CV57)</f>
        <v>-33</v>
      </c>
      <c r="CX57" s="1007">
        <f>-CX156</f>
        <v>-43</v>
      </c>
      <c r="CY57" s="1007">
        <f t="shared" ref="CY57:DA57" si="106">-CY156</f>
        <v>37</v>
      </c>
      <c r="CZ57" s="1007">
        <f t="shared" si="106"/>
        <v>-176</v>
      </c>
      <c r="DA57" s="1007">
        <f t="shared" si="106"/>
        <v>-106</v>
      </c>
      <c r="DB57" s="438">
        <f>SUM(CX57:DA57)</f>
        <v>-288</v>
      </c>
      <c r="DC57" s="975">
        <f t="shared" ref="DC57:DE57" si="107">-DC156</f>
        <v>12.074999999999999</v>
      </c>
      <c r="DD57" s="975">
        <f t="shared" si="107"/>
        <v>12.074999999999999</v>
      </c>
      <c r="DE57" s="975">
        <f t="shared" si="107"/>
        <v>12.074999999999999</v>
      </c>
      <c r="DF57" s="975">
        <f t="shared" ref="DF57" si="108">-DF156</f>
        <v>12.074999999999999</v>
      </c>
      <c r="DG57" s="526">
        <f>SUM(DC57:DF57)</f>
        <v>48.3</v>
      </c>
      <c r="DH57" s="71">
        <f>DH56*(1-DH78)</f>
        <v>0</v>
      </c>
      <c r="DI57" s="71">
        <f>DI56*(1-DI78)</f>
        <v>0</v>
      </c>
      <c r="DJ57" s="71">
        <f>DJ56*(1-DJ78)</f>
        <v>0</v>
      </c>
      <c r="DK57" s="71">
        <f>DK56*(1-DK78)</f>
        <v>0</v>
      </c>
      <c r="DL57" s="526">
        <f>SUM(DH57:DK57)</f>
        <v>0</v>
      </c>
      <c r="DM57" s="71">
        <f>DM56*(1-DM78)</f>
        <v>0</v>
      </c>
      <c r="DN57" s="71">
        <f>DN56*(1-DN78)</f>
        <v>0</v>
      </c>
      <c r="DO57" s="71">
        <f>DO56*(1-DO78)</f>
        <v>0</v>
      </c>
      <c r="DP57" s="71">
        <f>DP56*(1-DP78)</f>
        <v>0</v>
      </c>
      <c r="DQ57" s="526">
        <f>SUM(DM57:DP57)</f>
        <v>0</v>
      </c>
      <c r="DR57" s="71">
        <f>DR56*(1-DR78)</f>
        <v>0</v>
      </c>
      <c r="DS57" s="71">
        <f>DS56*(1-DS78)</f>
        <v>0</v>
      </c>
      <c r="DT57" s="71">
        <f>DT56*(1-DT78)</f>
        <v>0</v>
      </c>
      <c r="DU57" s="71">
        <f>DU56*(1-DU78)</f>
        <v>0</v>
      </c>
      <c r="DV57" s="526">
        <f>SUM(DR57:DU57)</f>
        <v>0</v>
      </c>
      <c r="DW57" s="71">
        <f>DW56*(1-DW78)</f>
        <v>0</v>
      </c>
      <c r="DX57" s="71">
        <f>DX56*(1-DX78)</f>
        <v>0</v>
      </c>
      <c r="DY57" s="71">
        <f>DY56*(1-DY78)</f>
        <v>0</v>
      </c>
      <c r="DZ57" s="71">
        <f>DZ56*(1-DZ78)</f>
        <v>0</v>
      </c>
      <c r="EA57" s="526">
        <f>SUM(DW57:DZ57)</f>
        <v>0</v>
      </c>
      <c r="EB57" s="11"/>
      <c r="EC57" s="14" t="s">
        <v>474</v>
      </c>
      <c r="ED57" s="1196">
        <f>DA57</f>
        <v>-106</v>
      </c>
      <c r="EE57" s="1196">
        <v>13.965</v>
      </c>
      <c r="EF57" s="793">
        <f t="shared" si="99"/>
        <v>-119.965</v>
      </c>
      <c r="EG57" s="1196">
        <f>CV57</f>
        <v>-12</v>
      </c>
      <c r="EH57" s="399"/>
      <c r="EI57" s="46">
        <f>EI39/394</f>
        <v>-1.015228426395939E-2</v>
      </c>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row>
    <row r="58" spans="1:259" s="337" customFormat="1" x14ac:dyDescent="0.2">
      <c r="A58" s="684" t="s">
        <v>607</v>
      </c>
      <c r="B58" s="1358"/>
      <c r="C58" s="1357"/>
      <c r="D58" s="1357"/>
      <c r="E58" s="1359"/>
      <c r="F58" s="1435"/>
      <c r="G58" s="1808"/>
      <c r="H58" s="1358"/>
      <c r="I58" s="1436"/>
      <c r="J58" s="1438"/>
      <c r="K58" s="1361"/>
      <c r="L58" s="1357"/>
      <c r="M58" s="1357"/>
      <c r="N58" s="1357"/>
      <c r="O58" s="1361"/>
      <c r="P58" s="1375"/>
      <c r="Q58" s="1803"/>
      <c r="R58" s="1357"/>
      <c r="S58" s="1357"/>
      <c r="T58" s="1357"/>
      <c r="U58" s="1375"/>
      <c r="V58" s="1803"/>
      <c r="W58" s="1357"/>
      <c r="X58" s="1357"/>
      <c r="Y58" s="1357"/>
      <c r="Z58" s="1375"/>
      <c r="AA58" s="1357"/>
      <c r="AB58" s="1357"/>
      <c r="AC58" s="1357"/>
      <c r="AD58" s="1357"/>
      <c r="AE58" s="1418"/>
      <c r="AF58" s="1803"/>
      <c r="AG58" s="1357"/>
      <c r="AH58" s="1357"/>
      <c r="AI58" s="1361"/>
      <c r="AJ58" s="1418"/>
      <c r="AK58" s="1357"/>
      <c r="AL58" s="1357"/>
      <c r="AM58" s="1357"/>
      <c r="AN58" s="1357"/>
      <c r="AO58" s="1418"/>
      <c r="AP58" s="1357"/>
      <c r="AQ58" s="1357"/>
      <c r="AR58" s="1357"/>
      <c r="AS58" s="1357"/>
      <c r="AT58" s="1418"/>
      <c r="AU58" s="1357">
        <f t="shared" ref="AU58:BZ58" si="109">AU57+AU49</f>
        <v>170</v>
      </c>
      <c r="AV58" s="1357">
        <f t="shared" si="109"/>
        <v>192</v>
      </c>
      <c r="AW58" s="1357">
        <f t="shared" si="109"/>
        <v>230</v>
      </c>
      <c r="AX58" s="1357">
        <f t="shared" si="109"/>
        <v>232</v>
      </c>
      <c r="AY58" s="1437">
        <f t="shared" si="109"/>
        <v>824</v>
      </c>
      <c r="AZ58" s="1357">
        <f t="shared" si="109"/>
        <v>193.60000000000002</v>
      </c>
      <c r="BA58" s="1357">
        <f t="shared" si="109"/>
        <v>214</v>
      </c>
      <c r="BB58" s="1357">
        <f t="shared" si="109"/>
        <v>270</v>
      </c>
      <c r="BC58" s="1357">
        <f t="shared" si="109"/>
        <v>231</v>
      </c>
      <c r="BD58" s="1437">
        <f t="shared" si="109"/>
        <v>908.59999999999991</v>
      </c>
      <c r="BE58" s="1357">
        <f t="shared" si="109"/>
        <v>211.5</v>
      </c>
      <c r="BF58" s="1357">
        <f t="shared" si="109"/>
        <v>226.55513307984791</v>
      </c>
      <c r="BG58" s="1357">
        <f t="shared" si="109"/>
        <v>282</v>
      </c>
      <c r="BH58" s="1357">
        <f t="shared" si="109"/>
        <v>221</v>
      </c>
      <c r="BI58" s="1418">
        <f t="shared" si="109"/>
        <v>941.05513307984791</v>
      </c>
      <c r="BJ58" s="1357">
        <f t="shared" si="109"/>
        <v>229</v>
      </c>
      <c r="BK58" s="1357">
        <f t="shared" si="109"/>
        <v>240</v>
      </c>
      <c r="BL58" s="1357">
        <f t="shared" si="109"/>
        <v>340</v>
      </c>
      <c r="BM58" s="1357">
        <f t="shared" si="109"/>
        <v>239</v>
      </c>
      <c r="BN58" s="1419">
        <f t="shared" si="109"/>
        <v>1048</v>
      </c>
      <c r="BO58" s="1357">
        <f t="shared" si="109"/>
        <v>278</v>
      </c>
      <c r="BP58" s="1357">
        <f t="shared" si="109"/>
        <v>282</v>
      </c>
      <c r="BQ58" s="1357">
        <f t="shared" si="109"/>
        <v>356</v>
      </c>
      <c r="BR58" s="1357">
        <f t="shared" si="109"/>
        <v>253</v>
      </c>
      <c r="BS58" s="1419">
        <f t="shared" si="109"/>
        <v>1169</v>
      </c>
      <c r="BT58" s="1357">
        <f t="shared" si="109"/>
        <v>305</v>
      </c>
      <c r="BU58" s="1357">
        <f t="shared" si="109"/>
        <v>320</v>
      </c>
      <c r="BV58" s="1357">
        <f t="shared" si="109"/>
        <v>325</v>
      </c>
      <c r="BW58" s="1357">
        <f t="shared" si="109"/>
        <v>357</v>
      </c>
      <c r="BX58" s="1419">
        <f t="shared" si="109"/>
        <v>1307</v>
      </c>
      <c r="BY58" s="1357">
        <f t="shared" si="109"/>
        <v>343</v>
      </c>
      <c r="BZ58" s="1357">
        <f t="shared" si="109"/>
        <v>317</v>
      </c>
      <c r="CA58" s="1357">
        <f t="shared" ref="CA58:CU58" si="110">CA57+CA49</f>
        <v>467</v>
      </c>
      <c r="CB58" s="1357">
        <f t="shared" si="110"/>
        <v>341</v>
      </c>
      <c r="CC58" s="1419">
        <f t="shared" si="110"/>
        <v>1468</v>
      </c>
      <c r="CD58" s="1400">
        <f t="shared" si="110"/>
        <v>241.15903900000006</v>
      </c>
      <c r="CE58" s="1400">
        <f t="shared" si="110"/>
        <v>229.55964499999999</v>
      </c>
      <c r="CF58" s="1400">
        <f t="shared" si="110"/>
        <v>234.29822499999995</v>
      </c>
      <c r="CG58" s="1400">
        <f t="shared" si="110"/>
        <v>256.53709099999998</v>
      </c>
      <c r="CH58" s="1805">
        <f t="shared" si="110"/>
        <v>962</v>
      </c>
      <c r="CI58" s="1395">
        <f t="shared" ref="CI58:CL58" si="111">CI57+CI49</f>
        <v>235.70327999999984</v>
      </c>
      <c r="CJ58" s="1395">
        <f t="shared" si="111"/>
        <v>219.01571499999994</v>
      </c>
      <c r="CK58" s="1395">
        <f t="shared" si="111"/>
        <v>298.66274500000003</v>
      </c>
      <c r="CL58" s="1395">
        <f t="shared" si="111"/>
        <v>249.11825999999996</v>
      </c>
      <c r="CM58" s="1439">
        <f t="shared" si="110"/>
        <v>1002.5</v>
      </c>
      <c r="CN58" s="1395">
        <f t="shared" si="110"/>
        <v>326.69188000000003</v>
      </c>
      <c r="CO58" s="1395">
        <f t="shared" ref="CO58:CP58" si="112">CO57+CO49</f>
        <v>245.51600000000008</v>
      </c>
      <c r="CP58" s="1395">
        <f t="shared" si="112"/>
        <v>230.19250000000011</v>
      </c>
      <c r="CQ58" s="1889">
        <f t="shared" ref="CQ58" si="113">CQ57+CQ49</f>
        <v>211</v>
      </c>
      <c r="CR58" s="1936">
        <f>CR57+CR49</f>
        <v>1013.4003799999999</v>
      </c>
      <c r="CS58" s="975">
        <f t="shared" ref="CS58:CT58" si="114">CS57+CS49</f>
        <v>233</v>
      </c>
      <c r="CT58" s="975">
        <f t="shared" si="114"/>
        <v>234</v>
      </c>
      <c r="CU58" s="975">
        <f t="shared" si="110"/>
        <v>222</v>
      </c>
      <c r="CV58" s="71">
        <f>CV57+CV49</f>
        <v>297</v>
      </c>
      <c r="CW58" s="1929">
        <f>CW57+CW49</f>
        <v>986</v>
      </c>
      <c r="CX58" s="71">
        <f>CX57+CX49</f>
        <v>237</v>
      </c>
      <c r="CY58" s="71">
        <f t="shared" ref="CY58:DG58" si="115">CY57+CY49</f>
        <v>243</v>
      </c>
      <c r="CZ58" s="71">
        <f>CZ57+CZ49</f>
        <v>242</v>
      </c>
      <c r="DA58" s="71">
        <f t="shared" si="115"/>
        <v>330</v>
      </c>
      <c r="DB58" s="438">
        <f t="shared" si="115"/>
        <v>1052</v>
      </c>
      <c r="DC58" s="71">
        <f t="shared" si="115"/>
        <v>233.05571159541489</v>
      </c>
      <c r="DD58" s="71">
        <f t="shared" si="115"/>
        <v>249.76666822767965</v>
      </c>
      <c r="DE58" s="71">
        <f t="shared" si="115"/>
        <v>277.19390964064621</v>
      </c>
      <c r="DF58" s="71">
        <f t="shared" si="115"/>
        <v>324.28468885733696</v>
      </c>
      <c r="DG58" s="438">
        <f t="shared" si="115"/>
        <v>1084.3009783210773</v>
      </c>
      <c r="DH58" s="71">
        <f t="shared" ref="DH58:DQ58" si="116">DH57+DH49</f>
        <v>253.7479379591984</v>
      </c>
      <c r="DI58" s="71">
        <f t="shared" si="116"/>
        <v>269.99407132101891</v>
      </c>
      <c r="DJ58" s="71">
        <f t="shared" si="116"/>
        <v>301.15263829463618</v>
      </c>
      <c r="DK58" s="71">
        <f t="shared" si="116"/>
        <v>356.5095453842531</v>
      </c>
      <c r="DL58" s="438">
        <f t="shared" si="116"/>
        <v>1181.4041929591065</v>
      </c>
      <c r="DM58" s="71">
        <f t="shared" si="116"/>
        <v>265.52348600899643</v>
      </c>
      <c r="DN58" s="71">
        <f t="shared" si="116"/>
        <v>286.00533758499574</v>
      </c>
      <c r="DO58" s="71">
        <f t="shared" si="116"/>
        <v>323.45997966566176</v>
      </c>
      <c r="DP58" s="71">
        <f t="shared" si="116"/>
        <v>388.2485730481938</v>
      </c>
      <c r="DQ58" s="438">
        <f t="shared" si="116"/>
        <v>1263.2373763078481</v>
      </c>
      <c r="DR58" s="71">
        <f t="shared" ref="DR58:EA58" si="117">DR57+DR49</f>
        <v>294.02031480254925</v>
      </c>
      <c r="DS58" s="71">
        <f t="shared" si="117"/>
        <v>315.47619436336578</v>
      </c>
      <c r="DT58" s="71">
        <f t="shared" si="117"/>
        <v>356.7825097133973</v>
      </c>
      <c r="DU58" s="71">
        <f t="shared" si="117"/>
        <v>428.1660859175289</v>
      </c>
      <c r="DV58" s="438">
        <f t="shared" si="117"/>
        <v>1394.4451047968414</v>
      </c>
      <c r="DW58" s="71">
        <f t="shared" si="117"/>
        <v>322.99966163868618</v>
      </c>
      <c r="DX58" s="71">
        <f t="shared" si="117"/>
        <v>346.03285456944059</v>
      </c>
      <c r="DY58" s="71">
        <f t="shared" si="117"/>
        <v>392.11350081823372</v>
      </c>
      <c r="DZ58" s="71">
        <f t="shared" si="117"/>
        <v>470.79346429205242</v>
      </c>
      <c r="EA58" s="438">
        <f t="shared" si="117"/>
        <v>1531.9394813184126</v>
      </c>
      <c r="EB58" s="11"/>
      <c r="EC58" s="14"/>
      <c r="ED58" s="1196"/>
      <c r="EE58" s="1196"/>
      <c r="EF58" s="793"/>
      <c r="EG58" s="1196"/>
      <c r="EH58" s="399"/>
      <c r="EI58" s="11"/>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row>
    <row r="59" spans="1:259" s="337" customFormat="1" x14ac:dyDescent="0.2">
      <c r="A59" s="686" t="s">
        <v>209</v>
      </c>
      <c r="B59" s="1777">
        <f t="shared" ref="B59:AO59" si="118">B49/B65</f>
        <v>6.8181818181818177E-2</v>
      </c>
      <c r="C59" s="1777">
        <f t="shared" si="118"/>
        <v>0.11935483870967742</v>
      </c>
      <c r="D59" s="1777">
        <f t="shared" si="118"/>
        <v>0.14490445859872611</v>
      </c>
      <c r="E59" s="1777">
        <f t="shared" si="118"/>
        <v>7.4013157894736836E-2</v>
      </c>
      <c r="F59" s="1441">
        <f t="shared" si="118"/>
        <v>0.41611842105263158</v>
      </c>
      <c r="G59" s="1478">
        <f t="shared" si="118"/>
        <v>6.0876623376623376E-2</v>
      </c>
      <c r="H59" s="1440">
        <f t="shared" si="118"/>
        <v>6.2903225806451607E-2</v>
      </c>
      <c r="I59" s="1440">
        <f t="shared" si="118"/>
        <v>0.14538216560509548</v>
      </c>
      <c r="J59" s="1442">
        <f t="shared" si="118"/>
        <v>0.13702531645569624</v>
      </c>
      <c r="K59" s="1443">
        <f t="shared" si="118"/>
        <v>0.40769230769230763</v>
      </c>
      <c r="L59" s="1440">
        <f t="shared" si="118"/>
        <v>0.13509316770186336</v>
      </c>
      <c r="M59" s="1440">
        <f t="shared" si="118"/>
        <v>0.14877300613496933</v>
      </c>
      <c r="N59" s="1440">
        <f t="shared" si="118"/>
        <v>0.17499999999999999</v>
      </c>
      <c r="O59" s="1443">
        <f t="shared" si="118"/>
        <v>0.19585987261146498</v>
      </c>
      <c r="P59" s="1441">
        <f t="shared" si="118"/>
        <v>0.65468749999999998</v>
      </c>
      <c r="Q59" s="1482">
        <f t="shared" si="118"/>
        <v>0.15943708609271523</v>
      </c>
      <c r="R59" s="1440">
        <f t="shared" si="118"/>
        <v>0.18959731543624161</v>
      </c>
      <c r="S59" s="1440">
        <f t="shared" si="118"/>
        <v>0.19297913790168525</v>
      </c>
      <c r="T59" s="1443">
        <f t="shared" si="118"/>
        <v>0.20270270270270271</v>
      </c>
      <c r="U59" s="1444">
        <f t="shared" si="118"/>
        <v>0.74407227833270817</v>
      </c>
      <c r="V59" s="1482">
        <f t="shared" si="118"/>
        <v>0.1476510067114094</v>
      </c>
      <c r="W59" s="1445">
        <f t="shared" si="118"/>
        <v>0.18256578947368421</v>
      </c>
      <c r="X59" s="1445">
        <f t="shared" si="118"/>
        <v>0.20424836601307189</v>
      </c>
      <c r="Y59" s="1446">
        <f t="shared" si="118"/>
        <v>0.26955950032873111</v>
      </c>
      <c r="Z59" s="1444">
        <f t="shared" si="118"/>
        <v>0.80263157894736847</v>
      </c>
      <c r="AA59" s="1445">
        <f t="shared" si="118"/>
        <v>0.18766108247422683</v>
      </c>
      <c r="AB59" s="1445">
        <f t="shared" si="118"/>
        <v>0.21307721663910445</v>
      </c>
      <c r="AC59" s="1445">
        <f t="shared" si="118"/>
        <v>0.22953451043338685</v>
      </c>
      <c r="AD59" s="1446">
        <f t="shared" si="118"/>
        <v>0.27741514360313319</v>
      </c>
      <c r="AE59" s="1444">
        <f t="shared" si="118"/>
        <v>0.91225806451612912</v>
      </c>
      <c r="AF59" s="1482">
        <f t="shared" si="118"/>
        <v>0.19471947194719472</v>
      </c>
      <c r="AG59" s="1445">
        <f t="shared" si="118"/>
        <v>0.23848684210526316</v>
      </c>
      <c r="AH59" s="1445">
        <f t="shared" si="118"/>
        <v>0.27035830618892509</v>
      </c>
      <c r="AI59" s="1446">
        <f t="shared" si="118"/>
        <v>0.32276422764227641</v>
      </c>
      <c r="AJ59" s="1444">
        <f t="shared" si="118"/>
        <v>1.0303776683087027</v>
      </c>
      <c r="AK59" s="1445">
        <f t="shared" si="118"/>
        <v>0.23278688524590163</v>
      </c>
      <c r="AL59" s="1445">
        <f t="shared" si="118"/>
        <v>0.27685638280403296</v>
      </c>
      <c r="AM59" s="1445">
        <f t="shared" si="118"/>
        <v>0.30327868852459017</v>
      </c>
      <c r="AN59" s="1446">
        <f t="shared" si="118"/>
        <v>0.36644951140065146</v>
      </c>
      <c r="AO59" s="1444">
        <f t="shared" si="118"/>
        <v>1.179870486045731</v>
      </c>
      <c r="AP59" s="1445">
        <f>(AP49/AP65)</f>
        <v>0.25164473684210525</v>
      </c>
      <c r="AQ59" s="1445">
        <f>(AQ49/AQ65)</f>
        <v>0.29470198675496689</v>
      </c>
      <c r="AR59" s="1445">
        <f>(AR49/AR65)-AR64</f>
        <v>0.33053691275167785</v>
      </c>
      <c r="AS59" s="1446">
        <f>AS49/AS65</f>
        <v>0.38356164383561642</v>
      </c>
      <c r="AT59" s="1444">
        <f>AT49/AT65</f>
        <v>1.2751677852348993</v>
      </c>
      <c r="AU59" s="1440">
        <f t="shared" ref="AU59:BZ59" si="119">AU58/AU65</f>
        <v>0.29720279720279719</v>
      </c>
      <c r="AV59" s="1445">
        <f t="shared" si="119"/>
        <v>0.34163701067615659</v>
      </c>
      <c r="AW59" s="1445">
        <f t="shared" si="119"/>
        <v>0.41516245487364623</v>
      </c>
      <c r="AX59" s="1446">
        <f t="shared" si="119"/>
        <v>0.41726618705035973</v>
      </c>
      <c r="AY59" s="1441">
        <f t="shared" si="119"/>
        <v>1.4609929078014185</v>
      </c>
      <c r="AZ59" s="1440">
        <f t="shared" si="119"/>
        <v>0.35200000000000004</v>
      </c>
      <c r="BA59" s="1440">
        <f t="shared" si="119"/>
        <v>0.39122486288848263</v>
      </c>
      <c r="BB59" s="1440">
        <f t="shared" si="119"/>
        <v>0.49907578558225507</v>
      </c>
      <c r="BC59" s="1446">
        <f t="shared" si="119"/>
        <v>0.4375</v>
      </c>
      <c r="BD59" s="1441">
        <f t="shared" si="119"/>
        <v>1.6794824399260626</v>
      </c>
      <c r="BE59" s="1440">
        <f t="shared" si="119"/>
        <v>0.41964285714285715</v>
      </c>
      <c r="BF59" s="1445">
        <f t="shared" si="119"/>
        <v>0.45492998610411228</v>
      </c>
      <c r="BG59" s="1445">
        <f t="shared" si="119"/>
        <v>0.57905544147843946</v>
      </c>
      <c r="BH59" s="1446">
        <f t="shared" si="119"/>
        <v>0.4613778705636743</v>
      </c>
      <c r="BI59" s="1444">
        <f t="shared" si="119"/>
        <v>1.9166092323418491</v>
      </c>
      <c r="BJ59" s="1440">
        <f t="shared" si="119"/>
        <v>0.47807933194154489</v>
      </c>
      <c r="BK59" s="1445">
        <f t="shared" si="119"/>
        <v>0.49689440993788819</v>
      </c>
      <c r="BL59" s="1445">
        <f t="shared" si="119"/>
        <v>0.7010309278350515</v>
      </c>
      <c r="BM59" s="1446">
        <f t="shared" si="119"/>
        <v>0.4927835051546392</v>
      </c>
      <c r="BN59" s="1447">
        <f t="shared" si="119"/>
        <v>2.1697722567287783</v>
      </c>
      <c r="BO59" s="1440">
        <f t="shared" si="119"/>
        <v>0.57319587628865976</v>
      </c>
      <c r="BP59" s="1440">
        <f t="shared" si="119"/>
        <v>0.58144329896907221</v>
      </c>
      <c r="BQ59" s="1440">
        <f t="shared" si="119"/>
        <v>0.73553719008264462</v>
      </c>
      <c r="BR59" s="1443">
        <f t="shared" si="119"/>
        <v>0.51844262295081966</v>
      </c>
      <c r="BS59" s="1447">
        <f t="shared" si="119"/>
        <v>2.407826982492276</v>
      </c>
      <c r="BT59" s="1445">
        <f t="shared" si="119"/>
        <v>0.62757201646090532</v>
      </c>
      <c r="BU59" s="1445">
        <f t="shared" si="119"/>
        <v>0.66115702479338845</v>
      </c>
      <c r="BV59" s="1445">
        <f t="shared" si="119"/>
        <v>0.67567567567567566</v>
      </c>
      <c r="BW59" s="1446">
        <f t="shared" si="119"/>
        <v>0.74842767295597479</v>
      </c>
      <c r="BX59" s="1447">
        <f t="shared" si="119"/>
        <v>2.7116182572614109</v>
      </c>
      <c r="BY59" s="1440">
        <f t="shared" si="119"/>
        <v>0.71757322175732219</v>
      </c>
      <c r="BZ59" s="1445">
        <f t="shared" si="119"/>
        <v>0.66457023060796649</v>
      </c>
      <c r="CA59" s="1445">
        <f t="shared" ref="CA59:CU59" si="120">CA58/CA65</f>
        <v>0.98940677966101698</v>
      </c>
      <c r="CB59" s="1446">
        <f t="shared" si="120"/>
        <v>0.7286324786324786</v>
      </c>
      <c r="CC59" s="1447">
        <f t="shared" si="120"/>
        <v>3.1035940803382664</v>
      </c>
      <c r="CD59" s="1448">
        <f t="shared" si="120"/>
        <v>0.51862158924731194</v>
      </c>
      <c r="CE59" s="1448">
        <f t="shared" si="120"/>
        <v>0.4947406142241379</v>
      </c>
      <c r="CF59" s="1448">
        <f t="shared" si="120"/>
        <v>0.50823909978308013</v>
      </c>
      <c r="CG59" s="1448">
        <f t="shared" si="120"/>
        <v>0.56012465283842794</v>
      </c>
      <c r="CH59" s="1449">
        <f t="shared" si="120"/>
        <v>2.0867678958785247</v>
      </c>
      <c r="CI59" s="1448">
        <f t="shared" si="120"/>
        <v>0.51666654975887738</v>
      </c>
      <c r="CJ59" s="1450">
        <f t="shared" si="120"/>
        <v>0.48135321978021967</v>
      </c>
      <c r="CK59" s="1450">
        <f t="shared" si="120"/>
        <v>0.66075828539823012</v>
      </c>
      <c r="CL59" s="1451">
        <f t="shared" si="120"/>
        <v>0.56489401360544211</v>
      </c>
      <c r="CM59" s="1452">
        <f t="shared" si="120"/>
        <v>2.2130242825607063</v>
      </c>
      <c r="CN59" s="1453">
        <f t="shared" si="120"/>
        <v>0.73249300448430499</v>
      </c>
      <c r="CO59" s="1450">
        <f t="shared" si="120"/>
        <v>0.5512258643915583</v>
      </c>
      <c r="CP59" s="1450">
        <f t="shared" si="120"/>
        <v>0.51845157657657681</v>
      </c>
      <c r="CQ59" s="1893">
        <f t="shared" si="120"/>
        <v>0.48063781321184512</v>
      </c>
      <c r="CR59" s="1949">
        <f>CR58/CR65</f>
        <v>2.2875855079006771</v>
      </c>
      <c r="CS59" s="2066">
        <f t="shared" si="120"/>
        <v>0.55344418052256528</v>
      </c>
      <c r="CT59" s="2067">
        <f t="shared" si="120"/>
        <v>0.56385542168674696</v>
      </c>
      <c r="CU59" s="2067">
        <f t="shared" si="120"/>
        <v>0.5620253164556962</v>
      </c>
      <c r="CV59" s="2028">
        <f>CV58/CV65</f>
        <v>0.79838709677419351</v>
      </c>
      <c r="CW59" s="88">
        <f>CW58/CW65</f>
        <v>2.4649999999999999</v>
      </c>
      <c r="CX59" s="87">
        <f t="shared" ref="CX59:DG59" si="121">CX58/CX65</f>
        <v>0.65109890109890112</v>
      </c>
      <c r="CY59" s="90">
        <f t="shared" si="121"/>
        <v>0.67877094972067042</v>
      </c>
      <c r="CZ59" s="90">
        <f t="shared" si="121"/>
        <v>0.68555240793201133</v>
      </c>
      <c r="DA59" s="91">
        <f t="shared" si="121"/>
        <v>0.95652173913043481</v>
      </c>
      <c r="DB59" s="439">
        <f t="shared" si="121"/>
        <v>2.9633802816901409</v>
      </c>
      <c r="DC59" s="87">
        <f t="shared" si="121"/>
        <v>0.68309912772787562</v>
      </c>
      <c r="DD59" s="90">
        <f t="shared" si="121"/>
        <v>0.74627590636477359</v>
      </c>
      <c r="DE59" s="90">
        <f t="shared" si="121"/>
        <v>0.84403967849175976</v>
      </c>
      <c r="DF59" s="91">
        <f t="shared" si="121"/>
        <v>1.0023717463530315</v>
      </c>
      <c r="DG59" s="439">
        <f t="shared" si="121"/>
        <v>3.2664860256897756</v>
      </c>
      <c r="DH59" s="87">
        <f t="shared" ref="DH59:DQ59" si="122">DH58/DH65</f>
        <v>0.79368782481620725</v>
      </c>
      <c r="DI59" s="90">
        <f t="shared" si="122"/>
        <v>0.8549912204816229</v>
      </c>
      <c r="DJ59" s="90">
        <f t="shared" si="122"/>
        <v>0.96523343529595185</v>
      </c>
      <c r="DK59" s="91">
        <f t="shared" si="122"/>
        <v>1.1517753101306807</v>
      </c>
      <c r="DL59" s="439">
        <f t="shared" si="122"/>
        <v>3.7593701795013583</v>
      </c>
      <c r="DM59" s="87">
        <f t="shared" si="122"/>
        <v>0.86198810789133584</v>
      </c>
      <c r="DN59" s="90">
        <f t="shared" si="122"/>
        <v>0.93369951530982975</v>
      </c>
      <c r="DO59" s="90">
        <f t="shared" si="122"/>
        <v>1.0616220804374055</v>
      </c>
      <c r="DP59" s="91">
        <f t="shared" si="122"/>
        <v>1.2757170047120383</v>
      </c>
      <c r="DQ59" s="439">
        <f t="shared" si="122"/>
        <v>4.1303443239189077</v>
      </c>
      <c r="DR59" s="87">
        <f t="shared" ref="DR59:EA59" si="123">DR58/DR65</f>
        <v>0.96726096883250223</v>
      </c>
      <c r="DS59" s="90">
        <f t="shared" si="123"/>
        <v>1.0432514143163694</v>
      </c>
      <c r="DT59" s="90">
        <f t="shared" si="123"/>
        <v>1.1856712853539775</v>
      </c>
      <c r="DU59" s="91">
        <f t="shared" si="123"/>
        <v>1.4238696026226283</v>
      </c>
      <c r="DV59" s="439">
        <f t="shared" si="123"/>
        <v>4.6174177794054847</v>
      </c>
      <c r="DW59" s="87">
        <f t="shared" si="123"/>
        <v>1.0749494047187877</v>
      </c>
      <c r="DX59" s="90">
        <f t="shared" si="123"/>
        <v>1.1571468563409986</v>
      </c>
      <c r="DY59" s="90">
        <f t="shared" si="123"/>
        <v>1.3171983618537333</v>
      </c>
      <c r="DZ59" s="91">
        <f t="shared" si="123"/>
        <v>1.5819027007401509</v>
      </c>
      <c r="EA59" s="439">
        <f t="shared" si="123"/>
        <v>5.1286106666967726</v>
      </c>
      <c r="EB59" s="43"/>
      <c r="EC59" s="142" t="s">
        <v>475</v>
      </c>
      <c r="ED59" s="618">
        <f>DA59</f>
        <v>0.95652173913043481</v>
      </c>
      <c r="EE59" s="618">
        <v>0.77189107178459337</v>
      </c>
      <c r="EF59" s="1222">
        <f t="shared" si="99"/>
        <v>0.18463066734584144</v>
      </c>
      <c r="EG59" s="618">
        <f>CV59</f>
        <v>0.79838709677419351</v>
      </c>
      <c r="EH59" s="697">
        <f>ED59/EG59-1</f>
        <v>0.19806763285024154</v>
      </c>
      <c r="EI59" s="11"/>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row>
    <row r="60" spans="1:259" s="337" customFormat="1" hidden="1" outlineLevel="1" x14ac:dyDescent="0.2">
      <c r="A60" s="684" t="s">
        <v>476</v>
      </c>
      <c r="B60" s="1454">
        <f t="shared" ref="B60:AD60" si="124">-(B53)/B65</f>
        <v>9.74025974025974E-3</v>
      </c>
      <c r="C60" s="1454">
        <f t="shared" si="124"/>
        <v>0.10483870967741936</v>
      </c>
      <c r="D60" s="1454">
        <f t="shared" si="124"/>
        <v>0</v>
      </c>
      <c r="E60" s="1454">
        <f t="shared" si="124"/>
        <v>-0.45460526315789468</v>
      </c>
      <c r="F60" s="1455">
        <f t="shared" si="124"/>
        <v>-0.33782894736842101</v>
      </c>
      <c r="G60" s="1811">
        <f t="shared" si="124"/>
        <v>2.5974025974025976E-2</v>
      </c>
      <c r="H60" s="1454">
        <f t="shared" si="124"/>
        <v>0</v>
      </c>
      <c r="I60" s="1454">
        <f t="shared" si="124"/>
        <v>5.4140127388535034E-2</v>
      </c>
      <c r="J60" s="1456">
        <f t="shared" si="124"/>
        <v>0.11075949367088607</v>
      </c>
      <c r="K60" s="1457">
        <f t="shared" si="124"/>
        <v>0.19230769230769232</v>
      </c>
      <c r="L60" s="1454">
        <f t="shared" si="124"/>
        <v>2.9503105590062112E-2</v>
      </c>
      <c r="M60" s="1454">
        <f t="shared" si="124"/>
        <v>0.12269938650306748</v>
      </c>
      <c r="N60" s="1454">
        <f t="shared" si="124"/>
        <v>0.13125000000000001</v>
      </c>
      <c r="O60" s="1454">
        <f t="shared" si="124"/>
        <v>6.8471337579617833E-2</v>
      </c>
      <c r="P60" s="1455">
        <f t="shared" si="124"/>
        <v>0.35312500000000002</v>
      </c>
      <c r="Q60" s="1812">
        <f t="shared" si="124"/>
        <v>4.3046357615894038E-2</v>
      </c>
      <c r="R60" s="1454">
        <f t="shared" si="124"/>
        <v>6.5436241610738258E-2</v>
      </c>
      <c r="S60" s="1454">
        <f t="shared" si="124"/>
        <v>5.1635111876075735E-3</v>
      </c>
      <c r="T60" s="1457">
        <f t="shared" si="124"/>
        <v>5.0675675675675678E-2</v>
      </c>
      <c r="U60" s="1458">
        <f t="shared" si="124"/>
        <v>0.16519174041297935</v>
      </c>
      <c r="V60" s="1812">
        <f t="shared" si="124"/>
        <v>1.6778523489932886E-3</v>
      </c>
      <c r="W60" s="1459">
        <f t="shared" si="124"/>
        <v>1.930263157894737E-2</v>
      </c>
      <c r="X60" s="1459">
        <f t="shared" si="124"/>
        <v>-9.8970588235294116E-3</v>
      </c>
      <c r="Y60" s="1459">
        <f t="shared" si="124"/>
        <v>-1.4130135097877035E-2</v>
      </c>
      <c r="Z60" s="1458">
        <f t="shared" si="124"/>
        <v>-3.154233870967743E-3</v>
      </c>
      <c r="AA60" s="1459">
        <f t="shared" si="124"/>
        <v>0</v>
      </c>
      <c r="AB60" s="1459">
        <f t="shared" si="124"/>
        <v>0</v>
      </c>
      <c r="AC60" s="1459">
        <f t="shared" si="124"/>
        <v>0</v>
      </c>
      <c r="AD60" s="1459">
        <f t="shared" si="124"/>
        <v>0</v>
      </c>
      <c r="AE60" s="1458">
        <f>SUM(AA60:AD60)</f>
        <v>0</v>
      </c>
      <c r="AF60" s="1812">
        <f t="shared" ref="AF60:BD60" si="125">-(AF53)/AF65</f>
        <v>0</v>
      </c>
      <c r="AG60" s="1459">
        <f t="shared" si="125"/>
        <v>0</v>
      </c>
      <c r="AH60" s="1459">
        <f t="shared" si="125"/>
        <v>0</v>
      </c>
      <c r="AI60" s="1460">
        <f t="shared" si="125"/>
        <v>0</v>
      </c>
      <c r="AJ60" s="1458">
        <f t="shared" si="125"/>
        <v>0</v>
      </c>
      <c r="AK60" s="1459">
        <f t="shared" si="125"/>
        <v>0</v>
      </c>
      <c r="AL60" s="1459">
        <f t="shared" si="125"/>
        <v>0</v>
      </c>
      <c r="AM60" s="1459">
        <f t="shared" si="125"/>
        <v>0</v>
      </c>
      <c r="AN60" s="1460">
        <f t="shared" si="125"/>
        <v>0</v>
      </c>
      <c r="AO60" s="1458">
        <f t="shared" si="125"/>
        <v>0</v>
      </c>
      <c r="AP60" s="1459">
        <f t="shared" si="125"/>
        <v>0</v>
      </c>
      <c r="AQ60" s="1459">
        <f t="shared" si="125"/>
        <v>0</v>
      </c>
      <c r="AR60" s="1459">
        <f t="shared" si="125"/>
        <v>0</v>
      </c>
      <c r="AS60" s="1460">
        <f t="shared" si="125"/>
        <v>0</v>
      </c>
      <c r="AT60" s="1458">
        <f t="shared" si="125"/>
        <v>0</v>
      </c>
      <c r="AU60" s="1459">
        <f>-(AU53)/AU65</f>
        <v>0</v>
      </c>
      <c r="AV60" s="1459">
        <f t="shared" si="125"/>
        <v>0</v>
      </c>
      <c r="AW60" s="1459">
        <f t="shared" si="125"/>
        <v>0</v>
      </c>
      <c r="AX60" s="1460">
        <f t="shared" si="125"/>
        <v>0</v>
      </c>
      <c r="AY60" s="1458">
        <f t="shared" si="125"/>
        <v>0</v>
      </c>
      <c r="AZ60" s="1459">
        <f t="shared" si="125"/>
        <v>0</v>
      </c>
      <c r="BA60" s="1459">
        <f t="shared" si="125"/>
        <v>0</v>
      </c>
      <c r="BB60" s="1459">
        <f t="shared" si="125"/>
        <v>0</v>
      </c>
      <c r="BC60" s="1460">
        <f t="shared" si="125"/>
        <v>0</v>
      </c>
      <c r="BD60" s="1458">
        <f t="shared" si="125"/>
        <v>0</v>
      </c>
      <c r="BE60" s="1459">
        <f t="shared" ref="BE60:BN60" si="126">-(BE53)/BE65</f>
        <v>0</v>
      </c>
      <c r="BF60" s="1459">
        <f t="shared" si="126"/>
        <v>0</v>
      </c>
      <c r="BG60" s="1459">
        <f t="shared" si="126"/>
        <v>0</v>
      </c>
      <c r="BH60" s="1460">
        <f t="shared" si="126"/>
        <v>0</v>
      </c>
      <c r="BI60" s="1458">
        <f t="shared" si="126"/>
        <v>0</v>
      </c>
      <c r="BJ60" s="1459">
        <f t="shared" si="126"/>
        <v>0</v>
      </c>
      <c r="BK60" s="1459">
        <f t="shared" si="126"/>
        <v>0</v>
      </c>
      <c r="BL60" s="1459">
        <f t="shared" si="126"/>
        <v>0</v>
      </c>
      <c r="BM60" s="1460">
        <f t="shared" si="126"/>
        <v>0</v>
      </c>
      <c r="BN60" s="1461">
        <f t="shared" si="126"/>
        <v>0</v>
      </c>
      <c r="BO60" s="1459">
        <f t="shared" ref="BO60:CC60" si="127">-(BO53)/BO65</f>
        <v>0</v>
      </c>
      <c r="BP60" s="1459">
        <f t="shared" si="127"/>
        <v>0</v>
      </c>
      <c r="BQ60" s="1459">
        <f t="shared" si="127"/>
        <v>0</v>
      </c>
      <c r="BR60" s="1460">
        <f t="shared" si="127"/>
        <v>0</v>
      </c>
      <c r="BS60" s="1461">
        <f t="shared" si="127"/>
        <v>0</v>
      </c>
      <c r="BT60" s="1459">
        <f t="shared" si="127"/>
        <v>0</v>
      </c>
      <c r="BU60" s="1459">
        <f t="shared" si="127"/>
        <v>0</v>
      </c>
      <c r="BV60" s="1459">
        <f t="shared" si="127"/>
        <v>0</v>
      </c>
      <c r="BW60" s="1460">
        <f t="shared" si="127"/>
        <v>0</v>
      </c>
      <c r="BX60" s="1461">
        <f t="shared" si="127"/>
        <v>0</v>
      </c>
      <c r="BY60" s="1459">
        <f t="shared" si="127"/>
        <v>0</v>
      </c>
      <c r="BZ60" s="1459">
        <f t="shared" si="127"/>
        <v>0</v>
      </c>
      <c r="CA60" s="1459">
        <f t="shared" si="127"/>
        <v>0</v>
      </c>
      <c r="CB60" s="1460">
        <f t="shared" si="127"/>
        <v>0</v>
      </c>
      <c r="CC60" s="1461">
        <f t="shared" si="127"/>
        <v>0</v>
      </c>
      <c r="CD60" s="1462">
        <f t="shared" ref="CD60:CM60" si="128">-(CD53)/CD65</f>
        <v>0</v>
      </c>
      <c r="CE60" s="1462">
        <f t="shared" si="128"/>
        <v>0</v>
      </c>
      <c r="CF60" s="1462">
        <f t="shared" si="128"/>
        <v>0</v>
      </c>
      <c r="CG60" s="1462">
        <f t="shared" si="128"/>
        <v>0</v>
      </c>
      <c r="CH60" s="1813">
        <f t="shared" si="128"/>
        <v>0</v>
      </c>
      <c r="CI60" s="1462">
        <f t="shared" si="128"/>
        <v>0</v>
      </c>
      <c r="CJ60" s="1462">
        <f t="shared" si="128"/>
        <v>0</v>
      </c>
      <c r="CK60" s="1462">
        <f t="shared" si="128"/>
        <v>0</v>
      </c>
      <c r="CL60" s="1463">
        <f t="shared" si="128"/>
        <v>0</v>
      </c>
      <c r="CM60" s="1464">
        <f t="shared" si="128"/>
        <v>0</v>
      </c>
      <c r="CN60" s="1465">
        <f t="shared" ref="CN60:CV60" si="129">-(CN53)/CN65</f>
        <v>0</v>
      </c>
      <c r="CO60" s="1462">
        <f t="shared" si="129"/>
        <v>0</v>
      </c>
      <c r="CP60" s="1462">
        <f t="shared" si="129"/>
        <v>0</v>
      </c>
      <c r="CQ60" s="1894">
        <f t="shared" ref="CQ60:CR60" si="130">-(CQ53)/CQ65</f>
        <v>0</v>
      </c>
      <c r="CR60" s="1950">
        <f t="shared" si="130"/>
        <v>0</v>
      </c>
      <c r="CS60" s="2068">
        <f t="shared" si="129"/>
        <v>0</v>
      </c>
      <c r="CT60" s="2068">
        <f t="shared" si="129"/>
        <v>0</v>
      </c>
      <c r="CU60" s="2068">
        <f t="shared" si="129"/>
        <v>0</v>
      </c>
      <c r="CV60" s="92">
        <f t="shared" si="129"/>
        <v>0</v>
      </c>
      <c r="CW60" s="94">
        <f t="shared" ref="CW60:CX60" si="131">-(CW53)/CW65</f>
        <v>0</v>
      </c>
      <c r="CX60" s="1882">
        <f t="shared" si="131"/>
        <v>0</v>
      </c>
      <c r="CY60" s="92">
        <f t="shared" ref="CY60:DG60" si="132">-(CY53)/CY65</f>
        <v>0</v>
      </c>
      <c r="CZ60" s="92">
        <f t="shared" si="132"/>
        <v>0</v>
      </c>
      <c r="DA60" s="95">
        <f t="shared" si="132"/>
        <v>0</v>
      </c>
      <c r="DB60" s="440">
        <f t="shared" si="132"/>
        <v>0</v>
      </c>
      <c r="DC60" s="92">
        <f t="shared" si="132"/>
        <v>0</v>
      </c>
      <c r="DD60" s="92">
        <f t="shared" si="132"/>
        <v>0</v>
      </c>
      <c r="DE60" s="92">
        <f t="shared" si="132"/>
        <v>0</v>
      </c>
      <c r="DF60" s="95">
        <f t="shared" si="132"/>
        <v>0</v>
      </c>
      <c r="DG60" s="440">
        <f t="shared" si="132"/>
        <v>0</v>
      </c>
      <c r="DH60" s="92">
        <f t="shared" ref="DH60:DQ60" si="133">-(DH53)/DH65</f>
        <v>0</v>
      </c>
      <c r="DI60" s="92">
        <f t="shared" si="133"/>
        <v>0</v>
      </c>
      <c r="DJ60" s="92">
        <f t="shared" si="133"/>
        <v>0</v>
      </c>
      <c r="DK60" s="95">
        <f t="shared" si="133"/>
        <v>0</v>
      </c>
      <c r="DL60" s="440">
        <f t="shared" si="133"/>
        <v>0</v>
      </c>
      <c r="DM60" s="92">
        <f t="shared" si="133"/>
        <v>0</v>
      </c>
      <c r="DN60" s="92">
        <f t="shared" si="133"/>
        <v>0</v>
      </c>
      <c r="DO60" s="92">
        <f t="shared" si="133"/>
        <v>0</v>
      </c>
      <c r="DP60" s="95">
        <f t="shared" si="133"/>
        <v>0</v>
      </c>
      <c r="DQ60" s="440">
        <f t="shared" si="133"/>
        <v>0</v>
      </c>
      <c r="DR60" s="92">
        <f t="shared" ref="DR60:EA60" si="134">-(DR53)/DR65</f>
        <v>0</v>
      </c>
      <c r="DS60" s="92">
        <f t="shared" si="134"/>
        <v>0</v>
      </c>
      <c r="DT60" s="92">
        <f t="shared" si="134"/>
        <v>0</v>
      </c>
      <c r="DU60" s="95">
        <f t="shared" si="134"/>
        <v>0</v>
      </c>
      <c r="DV60" s="440">
        <f t="shared" si="134"/>
        <v>0</v>
      </c>
      <c r="DW60" s="92">
        <f t="shared" si="134"/>
        <v>0</v>
      </c>
      <c r="DX60" s="92">
        <f t="shared" si="134"/>
        <v>0</v>
      </c>
      <c r="DY60" s="92">
        <f t="shared" si="134"/>
        <v>0</v>
      </c>
      <c r="DZ60" s="95">
        <f t="shared" si="134"/>
        <v>0</v>
      </c>
      <c r="EA60" s="440">
        <f t="shared" si="134"/>
        <v>0</v>
      </c>
      <c r="EB60" s="43"/>
      <c r="EC60" s="26" t="s">
        <v>476</v>
      </c>
      <c r="ED60" s="367">
        <f>DA60</f>
        <v>0</v>
      </c>
      <c r="EE60" s="367">
        <v>0</v>
      </c>
      <c r="EF60" s="695">
        <f t="shared" si="99"/>
        <v>0</v>
      </c>
      <c r="EG60" s="367">
        <f>CV60</f>
        <v>0</v>
      </c>
      <c r="EH60" s="399"/>
      <c r="EI60" s="11"/>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row>
    <row r="61" spans="1:259" s="337" customFormat="1" collapsed="1" x14ac:dyDescent="0.2">
      <c r="A61" s="431" t="s">
        <v>445</v>
      </c>
      <c r="B61" s="1466">
        <f t="shared" ref="B61:L61" si="135">-B57/B65</f>
        <v>0</v>
      </c>
      <c r="C61" s="1466">
        <f t="shared" si="135"/>
        <v>-3.5483870967741936E-2</v>
      </c>
      <c r="D61" s="1466">
        <f t="shared" si="135"/>
        <v>-1.9108280254777069E-2</v>
      </c>
      <c r="E61" s="1466">
        <f t="shared" si="135"/>
        <v>-0.21381578947368421</v>
      </c>
      <c r="F61" s="1467">
        <f t="shared" si="135"/>
        <v>-0.26973684210526316</v>
      </c>
      <c r="G61" s="1814">
        <f t="shared" si="135"/>
        <v>0</v>
      </c>
      <c r="H61" s="1466">
        <f t="shared" si="135"/>
        <v>0</v>
      </c>
      <c r="I61" s="1466">
        <f t="shared" si="135"/>
        <v>4.7770700636942673E-3</v>
      </c>
      <c r="J61" s="1468">
        <f t="shared" si="135"/>
        <v>-9.4936708860759497E-3</v>
      </c>
      <c r="K61" s="1467">
        <f t="shared" si="135"/>
        <v>-4.807692307692308E-3</v>
      </c>
      <c r="L61" s="1466">
        <f t="shared" si="135"/>
        <v>0</v>
      </c>
      <c r="M61" s="1466">
        <f>M57/M65</f>
        <v>3.0674846625766872E-3</v>
      </c>
      <c r="N61" s="1466">
        <f t="shared" ref="N61:BD61" si="136">-N57/N65</f>
        <v>3.1250000000000002E-3</v>
      </c>
      <c r="O61" s="1466">
        <f t="shared" si="136"/>
        <v>-3.0254777070063694E-2</v>
      </c>
      <c r="P61" s="1467">
        <f t="shared" si="136"/>
        <v>-2.9687499999999999E-2</v>
      </c>
      <c r="Q61" s="1815">
        <f t="shared" si="136"/>
        <v>-3.8079470198675493E-3</v>
      </c>
      <c r="R61" s="1466">
        <f t="shared" si="136"/>
        <v>-7.7181208053691275E-2</v>
      </c>
      <c r="S61" s="1466">
        <f t="shared" si="136"/>
        <v>-9.8314766128879738E-2</v>
      </c>
      <c r="T61" s="1468">
        <f t="shared" si="136"/>
        <v>-3.9527027027027026E-2</v>
      </c>
      <c r="U61" s="1469">
        <f t="shared" si="136"/>
        <v>-0.21714433901538829</v>
      </c>
      <c r="V61" s="1815">
        <f t="shared" si="136"/>
        <v>-2.104026845637584E-3</v>
      </c>
      <c r="W61" s="1470">
        <f t="shared" si="136"/>
        <v>4.2894736842105262E-3</v>
      </c>
      <c r="X61" s="1470">
        <f t="shared" si="136"/>
        <v>0</v>
      </c>
      <c r="Y61" s="1471">
        <f t="shared" si="136"/>
        <v>8.6954677525397147E-3</v>
      </c>
      <c r="Z61" s="1469">
        <f t="shared" si="136"/>
        <v>1.0928162139219016E-2</v>
      </c>
      <c r="AA61" s="1470">
        <f t="shared" si="136"/>
        <v>1.127577319587629E-2</v>
      </c>
      <c r="AB61" s="1470">
        <f t="shared" si="136"/>
        <v>9.5407708942882585E-3</v>
      </c>
      <c r="AC61" s="1470">
        <f t="shared" si="136"/>
        <v>4.4365971107544148E-3</v>
      </c>
      <c r="AD61" s="1471">
        <f t="shared" si="136"/>
        <v>2.9373368146214103E-3</v>
      </c>
      <c r="AE61" s="1469">
        <f t="shared" si="136"/>
        <v>2.8329032258064515E-2</v>
      </c>
      <c r="AF61" s="1815">
        <f t="shared" si="136"/>
        <v>0</v>
      </c>
      <c r="AG61" s="1470">
        <f t="shared" si="136"/>
        <v>-3.7828947368421052E-2</v>
      </c>
      <c r="AH61" s="1470">
        <f t="shared" si="136"/>
        <v>-4.8859934853420191E-3</v>
      </c>
      <c r="AI61" s="1471">
        <f t="shared" si="136"/>
        <v>2.6016260162601626E-2</v>
      </c>
      <c r="AJ61" s="1469">
        <f t="shared" si="136"/>
        <v>-1.6420361247947456E-2</v>
      </c>
      <c r="AK61" s="1470">
        <f t="shared" si="136"/>
        <v>0</v>
      </c>
      <c r="AL61" s="1470">
        <f t="shared" si="136"/>
        <v>1.1494630365529244E-2</v>
      </c>
      <c r="AM61" s="1470">
        <f t="shared" si="136"/>
        <v>0</v>
      </c>
      <c r="AN61" s="1471">
        <f t="shared" si="136"/>
        <v>1.9741387819563715E-2</v>
      </c>
      <c r="AO61" s="1469">
        <f t="shared" si="136"/>
        <v>3.1308012544043945E-2</v>
      </c>
      <c r="AP61" s="1470">
        <f t="shared" si="136"/>
        <v>0</v>
      </c>
      <c r="AQ61" s="1470">
        <f t="shared" si="136"/>
        <v>0</v>
      </c>
      <c r="AR61" s="1470">
        <f t="shared" si="136"/>
        <v>2.4328859060402685E-3</v>
      </c>
      <c r="AS61" s="1471">
        <f t="shared" si="136"/>
        <v>2.6452527161076995E-3</v>
      </c>
      <c r="AT61" s="1469">
        <f t="shared" si="136"/>
        <v>5.0248785003471413E-3</v>
      </c>
      <c r="AU61" s="1470">
        <f>-AU57/AU65</f>
        <v>0</v>
      </c>
      <c r="AV61" s="1470">
        <f t="shared" si="136"/>
        <v>0</v>
      </c>
      <c r="AW61" s="1470">
        <f t="shared" si="136"/>
        <v>0</v>
      </c>
      <c r="AX61" s="1471">
        <f t="shared" si="136"/>
        <v>0</v>
      </c>
      <c r="AY61" s="1469">
        <f t="shared" si="136"/>
        <v>0</v>
      </c>
      <c r="AZ61" s="1470">
        <f t="shared" si="136"/>
        <v>0</v>
      </c>
      <c r="BA61" s="1470">
        <f t="shared" si="136"/>
        <v>0</v>
      </c>
      <c r="BB61" s="1470">
        <f t="shared" si="136"/>
        <v>0</v>
      </c>
      <c r="BC61" s="1471">
        <f t="shared" si="136"/>
        <v>0</v>
      </c>
      <c r="BD61" s="1469">
        <f t="shared" si="136"/>
        <v>0</v>
      </c>
      <c r="BE61" s="1470">
        <f t="shared" ref="BE61:BN61" si="137">-BE57/BE65</f>
        <v>8.4325396825396831E-2</v>
      </c>
      <c r="BF61" s="1470">
        <f t="shared" si="137"/>
        <v>-5.1307893169636716E-3</v>
      </c>
      <c r="BG61" s="1470">
        <f t="shared" si="137"/>
        <v>0</v>
      </c>
      <c r="BH61" s="1471">
        <f>-BH57/BH65</f>
        <v>-3.3402922755741124E-2</v>
      </c>
      <c r="BI61" s="1469">
        <f t="shared" si="137"/>
        <v>4.876754973554398E-2</v>
      </c>
      <c r="BJ61" s="1470">
        <f t="shared" si="137"/>
        <v>-2.2964509394572025E-2</v>
      </c>
      <c r="BK61" s="1472">
        <f>-BK57/BK65</f>
        <v>0.13043478260869565</v>
      </c>
      <c r="BL61" s="1470">
        <f t="shared" si="137"/>
        <v>-1.2371134020618556E-2</v>
      </c>
      <c r="BM61" s="1471">
        <f>-BM57/BM65</f>
        <v>-4.7422680412371132E-2</v>
      </c>
      <c r="BN61" s="1473">
        <f t="shared" si="137"/>
        <v>4.7619047619047616E-2</v>
      </c>
      <c r="BO61" s="1470">
        <f t="shared" ref="BO61:CC61" si="138">-BO57/BO65</f>
        <v>-7.628865979381444E-2</v>
      </c>
      <c r="BP61" s="1470">
        <f t="shared" si="138"/>
        <v>8.2474226804123713E-3</v>
      </c>
      <c r="BQ61" s="1470">
        <f t="shared" si="138"/>
        <v>2.0661157024793389E-3</v>
      </c>
      <c r="BR61" s="1471">
        <f t="shared" si="138"/>
        <v>4.3032786885245901E-2</v>
      </c>
      <c r="BS61" s="1473">
        <f t="shared" si="138"/>
        <v>-2.2657054582904221E-2</v>
      </c>
      <c r="BT61" s="1470">
        <f t="shared" si="138"/>
        <v>-8.4362139917695478E-2</v>
      </c>
      <c r="BU61" s="1470">
        <f t="shared" si="138"/>
        <v>-8.2644628099173556E-3</v>
      </c>
      <c r="BV61" s="1470">
        <f t="shared" si="138"/>
        <v>0.12058212058212059</v>
      </c>
      <c r="BW61" s="1471">
        <f t="shared" si="138"/>
        <v>-2.0964360587002098E-3</v>
      </c>
      <c r="BX61" s="1473">
        <f t="shared" si="138"/>
        <v>2.4896265560165973E-2</v>
      </c>
      <c r="BY61" s="1470">
        <f t="shared" si="138"/>
        <v>0.2405857740585774</v>
      </c>
      <c r="BZ61" s="1470">
        <f t="shared" si="138"/>
        <v>2.9350104821802937E-2</v>
      </c>
      <c r="CA61" s="1470">
        <f t="shared" si="138"/>
        <v>8.4745762711864406E-3</v>
      </c>
      <c r="CB61" s="1471">
        <f t="shared" si="138"/>
        <v>-8.5470085470085479E-3</v>
      </c>
      <c r="CC61" s="1473">
        <f t="shared" si="138"/>
        <v>0.27272727272727271</v>
      </c>
      <c r="CD61" s="1474">
        <f>-CD57/CD65</f>
        <v>2.3655913978494623E-2</v>
      </c>
      <c r="CE61" s="1474">
        <f t="shared" ref="CE61:CM61" si="139">-CE57/CE65</f>
        <v>8.6206896551724137E-3</v>
      </c>
      <c r="CF61" s="1474">
        <f t="shared" si="139"/>
        <v>5.6399132321041212E-2</v>
      </c>
      <c r="CG61" s="1474">
        <f t="shared" si="139"/>
        <v>-0.16157205240174671</v>
      </c>
      <c r="CH61" s="1816">
        <f t="shared" si="139"/>
        <v>-7.1583514099783085E-2</v>
      </c>
      <c r="CI61" s="1474">
        <f t="shared" si="139"/>
        <v>2.1920210434020165E-3</v>
      </c>
      <c r="CJ61" s="1474">
        <f t="shared" si="139"/>
        <v>2.1978021978021978E-3</v>
      </c>
      <c r="CK61" s="1474">
        <f t="shared" si="139"/>
        <v>6.6371681415929203E-3</v>
      </c>
      <c r="CL61" s="1475">
        <f>-CL57/CL65</f>
        <v>-5.6689342403627996E-3</v>
      </c>
      <c r="CM61" s="1476">
        <f t="shared" si="139"/>
        <v>5.518763796909504E-3</v>
      </c>
      <c r="CN61" s="1477">
        <f t="shared" ref="CN61:CV61" si="140">-CN57/CN65</f>
        <v>0</v>
      </c>
      <c r="CO61" s="1474">
        <f t="shared" si="140"/>
        <v>-0.16782667265379436</v>
      </c>
      <c r="CP61" s="1474">
        <f t="shared" si="140"/>
        <v>-4.3355855855855857E-2</v>
      </c>
      <c r="CQ61" s="1895">
        <f t="shared" ref="CQ61" si="141">-CQ57/CQ65</f>
        <v>-4.5558086560364463E-3</v>
      </c>
      <c r="CR61" s="1951">
        <f>-CR57/CR65</f>
        <v>-0.21670428893905191</v>
      </c>
      <c r="CS61" s="2069">
        <f>-CS57/CS65</f>
        <v>-1.66270783847981E-2</v>
      </c>
      <c r="CT61" s="2069">
        <f t="shared" si="140"/>
        <v>7.9518072289156624E-2</v>
      </c>
      <c r="CU61" s="2069">
        <f t="shared" si="140"/>
        <v>-1.2658227848101266E-2</v>
      </c>
      <c r="CV61" s="631">
        <f t="shared" si="140"/>
        <v>3.2258064516129031E-2</v>
      </c>
      <c r="CW61" s="412">
        <f t="shared" ref="CW61" si="142">-CW57/CW65</f>
        <v>8.2500000000000004E-2</v>
      </c>
      <c r="CX61" s="2070">
        <f>-CX57/CX65</f>
        <v>0.11813186813186813</v>
      </c>
      <c r="CY61" s="413">
        <f t="shared" ref="CY61:DG61" si="143">-CY57/CY65</f>
        <v>-0.10335195530726257</v>
      </c>
      <c r="CZ61" s="413">
        <f t="shared" si="143"/>
        <v>0.49858356940509913</v>
      </c>
      <c r="DA61" s="414">
        <f t="shared" si="143"/>
        <v>0.30724637681159422</v>
      </c>
      <c r="DB61" s="441">
        <f t="shared" si="143"/>
        <v>0.81126760563380285</v>
      </c>
      <c r="DC61" s="413">
        <f t="shared" si="143"/>
        <v>-3.539249010825949E-2</v>
      </c>
      <c r="DD61" s="413">
        <f t="shared" si="143"/>
        <v>-3.6078799598432534E-2</v>
      </c>
      <c r="DE61" s="413">
        <f t="shared" si="143"/>
        <v>-3.6767687756922962E-2</v>
      </c>
      <c r="DF61" s="414">
        <f t="shared" si="143"/>
        <v>-3.732411443741529E-2</v>
      </c>
      <c r="DG61" s="441">
        <f t="shared" si="143"/>
        <v>-0.1455050564328623</v>
      </c>
      <c r="DH61" s="413">
        <f t="shared" ref="DH61:DQ61" si="144">-DH57/DH65</f>
        <v>0</v>
      </c>
      <c r="DI61" s="413">
        <f t="shared" si="144"/>
        <v>0</v>
      </c>
      <c r="DJ61" s="413">
        <f t="shared" si="144"/>
        <v>0</v>
      </c>
      <c r="DK61" s="414">
        <f t="shared" si="144"/>
        <v>0</v>
      </c>
      <c r="DL61" s="441">
        <f t="shared" si="144"/>
        <v>0</v>
      </c>
      <c r="DM61" s="413">
        <f t="shared" si="144"/>
        <v>0</v>
      </c>
      <c r="DN61" s="413">
        <f t="shared" si="144"/>
        <v>0</v>
      </c>
      <c r="DO61" s="413">
        <f t="shared" si="144"/>
        <v>0</v>
      </c>
      <c r="DP61" s="414">
        <f t="shared" si="144"/>
        <v>0</v>
      </c>
      <c r="DQ61" s="441">
        <f t="shared" si="144"/>
        <v>0</v>
      </c>
      <c r="DR61" s="413">
        <f t="shared" ref="DR61:EA61" si="145">-DR57/DR65</f>
        <v>0</v>
      </c>
      <c r="DS61" s="413">
        <f t="shared" si="145"/>
        <v>0</v>
      </c>
      <c r="DT61" s="413">
        <f t="shared" si="145"/>
        <v>0</v>
      </c>
      <c r="DU61" s="414">
        <f t="shared" si="145"/>
        <v>0</v>
      </c>
      <c r="DV61" s="441">
        <f t="shared" si="145"/>
        <v>0</v>
      </c>
      <c r="DW61" s="413">
        <f t="shared" si="145"/>
        <v>0</v>
      </c>
      <c r="DX61" s="413">
        <f t="shared" si="145"/>
        <v>0</v>
      </c>
      <c r="DY61" s="413">
        <f t="shared" si="145"/>
        <v>0</v>
      </c>
      <c r="DZ61" s="414">
        <f t="shared" si="145"/>
        <v>0</v>
      </c>
      <c r="EA61" s="441">
        <f t="shared" si="145"/>
        <v>0</v>
      </c>
      <c r="EB61" s="43"/>
      <c r="EC61" s="26" t="s">
        <v>477</v>
      </c>
      <c r="ED61" s="367">
        <f>DA61</f>
        <v>0.30724637681159422</v>
      </c>
      <c r="EE61" s="367">
        <v>-4.0160853050677542E-2</v>
      </c>
      <c r="EF61" s="695">
        <f t="shared" si="99"/>
        <v>0.34740722986227179</v>
      </c>
      <c r="EG61" s="2140">
        <f>CV61</f>
        <v>3.2258064516129031E-2</v>
      </c>
      <c r="EH61" s="399"/>
      <c r="EI61" s="1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row>
    <row r="62" spans="1:259" s="337" customFormat="1" x14ac:dyDescent="0.2">
      <c r="A62" s="1870" t="s">
        <v>680</v>
      </c>
      <c r="B62" s="1466"/>
      <c r="C62" s="1466"/>
      <c r="D62" s="1466"/>
      <c r="E62" s="1466"/>
      <c r="F62" s="1467"/>
      <c r="G62" s="1814"/>
      <c r="H62" s="1466"/>
      <c r="I62" s="1466"/>
      <c r="J62" s="1468"/>
      <c r="K62" s="1467"/>
      <c r="L62" s="1466"/>
      <c r="M62" s="1466"/>
      <c r="N62" s="1466"/>
      <c r="O62" s="1466"/>
      <c r="P62" s="1467"/>
      <c r="Q62" s="1815"/>
      <c r="R62" s="1466"/>
      <c r="S62" s="1466"/>
      <c r="T62" s="1468"/>
      <c r="U62" s="1469"/>
      <c r="V62" s="1815"/>
      <c r="W62" s="1470"/>
      <c r="X62" s="1470"/>
      <c r="Y62" s="1471"/>
      <c r="Z62" s="1469"/>
      <c r="AA62" s="1470"/>
      <c r="AB62" s="1470"/>
      <c r="AC62" s="1470"/>
      <c r="AD62" s="1471"/>
      <c r="AE62" s="1469"/>
      <c r="AF62" s="1815"/>
      <c r="AG62" s="1470"/>
      <c r="AH62" s="1470"/>
      <c r="AI62" s="1471"/>
      <c r="AJ62" s="1469"/>
      <c r="AK62" s="1470"/>
      <c r="AL62" s="1470"/>
      <c r="AM62" s="1470"/>
      <c r="AN62" s="1471"/>
      <c r="AO62" s="1469"/>
      <c r="AP62" s="1470"/>
      <c r="AQ62" s="1470"/>
      <c r="AR62" s="1470"/>
      <c r="AS62" s="1471"/>
      <c r="AT62" s="1469"/>
      <c r="AU62" s="1470"/>
      <c r="AV62" s="1470"/>
      <c r="AW62" s="1470"/>
      <c r="AX62" s="1471"/>
      <c r="AY62" s="1469"/>
      <c r="AZ62" s="1470"/>
      <c r="BA62" s="1470"/>
      <c r="BB62" s="1470"/>
      <c r="BC62" s="1471"/>
      <c r="BD62" s="1469"/>
      <c r="BE62" s="1470"/>
      <c r="BF62" s="1470"/>
      <c r="BG62" s="1470"/>
      <c r="BH62" s="1471"/>
      <c r="BI62" s="1469"/>
      <c r="BJ62" s="1470"/>
      <c r="BK62" s="1472"/>
      <c r="BL62" s="1470"/>
      <c r="BM62" s="1471"/>
      <c r="BN62" s="1473"/>
      <c r="BO62" s="1470"/>
      <c r="BP62" s="1470"/>
      <c r="BQ62" s="1470"/>
      <c r="BR62" s="1471"/>
      <c r="BS62" s="1473"/>
      <c r="BT62" s="1470"/>
      <c r="BU62" s="1470"/>
      <c r="BV62" s="1470"/>
      <c r="BW62" s="1471"/>
      <c r="BX62" s="1473"/>
      <c r="BY62" s="1470"/>
      <c r="BZ62" s="1470"/>
      <c r="CA62" s="1470"/>
      <c r="CB62" s="1471"/>
      <c r="CC62" s="1473"/>
      <c r="CD62" s="1474"/>
      <c r="CE62" s="1474"/>
      <c r="CF62" s="1474"/>
      <c r="CG62" s="1474"/>
      <c r="CH62" s="1873"/>
      <c r="CI62" s="1474"/>
      <c r="CJ62" s="1474"/>
      <c r="CK62" s="1474"/>
      <c r="CL62" s="1475"/>
      <c r="CM62" s="1476"/>
      <c r="CN62" s="1477"/>
      <c r="CO62" s="1474"/>
      <c r="CP62" s="1474"/>
      <c r="CQ62" s="1895">
        <f>CQ54/CQ65</f>
        <v>-3.4168564920273349E-2</v>
      </c>
      <c r="CR62" s="1951">
        <f>CR54/CR65</f>
        <v>0.80586907449209932</v>
      </c>
      <c r="CS62" s="2070">
        <f t="shared" ref="CS62:CU62" si="146">CS54/CS65</f>
        <v>0.32779097387173395</v>
      </c>
      <c r="CT62" s="2070">
        <f t="shared" si="146"/>
        <v>0.16867469879518071</v>
      </c>
      <c r="CU62" s="2070">
        <f t="shared" si="146"/>
        <v>1.0683544303797468</v>
      </c>
      <c r="CV62" s="631">
        <f>CV54/CV65</f>
        <v>-1.3440860215053764E-2</v>
      </c>
      <c r="CW62" s="412">
        <f>CW54/CW65</f>
        <v>1.5625</v>
      </c>
      <c r="CX62" s="2070">
        <f t="shared" ref="CX62" si="147">CX54/CX65</f>
        <v>0</v>
      </c>
      <c r="CY62" s="413"/>
      <c r="CZ62" s="413"/>
      <c r="DA62" s="414"/>
      <c r="DB62" s="441"/>
      <c r="DC62" s="413"/>
      <c r="DD62" s="413"/>
      <c r="DE62" s="413"/>
      <c r="DF62" s="414"/>
      <c r="DG62" s="441"/>
      <c r="DH62" s="413"/>
      <c r="DI62" s="413"/>
      <c r="DJ62" s="413"/>
      <c r="DK62" s="414"/>
      <c r="DL62" s="441"/>
      <c r="DM62" s="413"/>
      <c r="DN62" s="413"/>
      <c r="DO62" s="413"/>
      <c r="DP62" s="414"/>
      <c r="DQ62" s="441"/>
      <c r="DR62" s="413"/>
      <c r="DS62" s="413"/>
      <c r="DT62" s="413"/>
      <c r="DU62" s="414"/>
      <c r="DV62" s="441"/>
      <c r="DW62" s="413"/>
      <c r="DX62" s="413"/>
      <c r="DY62" s="413"/>
      <c r="DZ62" s="414"/>
      <c r="EA62" s="441"/>
      <c r="EB62" s="43"/>
      <c r="EC62" s="1874"/>
      <c r="ED62" s="367"/>
      <c r="EE62" s="367"/>
      <c r="EF62" s="695"/>
      <c r="EG62" s="367"/>
      <c r="EH62" s="399"/>
      <c r="EI62" s="11"/>
      <c r="EK62"/>
      <c r="EL62"/>
      <c r="EM62"/>
      <c r="EN62"/>
      <c r="EO62"/>
      <c r="EP62"/>
      <c r="EQ62" s="1869"/>
      <c r="ER62" s="1869"/>
      <c r="ES62" s="1869"/>
      <c r="ET62" s="1869"/>
      <c r="EU62" s="1869"/>
      <c r="EV62" s="1869"/>
      <c r="EW62" s="1869"/>
      <c r="EX62" s="1869"/>
      <c r="EY62" s="1869"/>
      <c r="EZ62" s="1869"/>
      <c r="FA62" s="1869"/>
      <c r="FB62" s="1869"/>
      <c r="FC62" s="1869"/>
      <c r="FD62" s="1869"/>
      <c r="FE62" s="1869"/>
      <c r="FF62" s="1869"/>
      <c r="FG62" s="1869"/>
      <c r="FH62" s="1869"/>
      <c r="FI62" s="1869"/>
      <c r="FJ62" s="1869"/>
      <c r="FK62" s="1869"/>
      <c r="FL62" s="1869"/>
      <c r="FM62" s="1869"/>
      <c r="FN62" s="1869"/>
      <c r="FO62" s="1869"/>
      <c r="FP62" s="1869"/>
      <c r="FQ62" s="1869"/>
      <c r="FR62" s="1869"/>
      <c r="FS62" s="1869"/>
      <c r="FT62" s="1869"/>
      <c r="FU62" s="1869"/>
      <c r="FV62" s="1869"/>
      <c r="FW62" s="1869"/>
      <c r="FX62" s="1869"/>
      <c r="FY62" s="1869"/>
      <c r="FZ62" s="1869"/>
      <c r="GA62" s="1869"/>
      <c r="GB62" s="1869"/>
      <c r="GC62" s="1869"/>
      <c r="GD62" s="1869"/>
      <c r="GE62" s="1869"/>
      <c r="GF62" s="1869"/>
      <c r="GG62" s="1869"/>
      <c r="GH62" s="1869"/>
      <c r="GI62" s="1869"/>
      <c r="GJ62" s="1869"/>
      <c r="GK62" s="1869"/>
      <c r="GL62" s="1869"/>
      <c r="GM62" s="1869"/>
      <c r="GN62" s="1869"/>
      <c r="GO62" s="1869"/>
      <c r="GP62" s="1869"/>
      <c r="GQ62" s="1869"/>
      <c r="GR62" s="1869"/>
      <c r="GS62" s="1869"/>
      <c r="GT62" s="1869"/>
      <c r="GU62" s="1869"/>
      <c r="GV62" s="1869"/>
      <c r="GW62" s="1869"/>
      <c r="GX62" s="1869"/>
      <c r="GY62" s="1869"/>
      <c r="GZ62" s="1869"/>
      <c r="HA62" s="1869"/>
      <c r="HB62" s="1869"/>
      <c r="HC62" s="1869"/>
      <c r="HD62" s="1869"/>
      <c r="HE62" s="1869"/>
      <c r="HF62" s="1869"/>
      <c r="HG62" s="1869"/>
      <c r="HH62" s="1869"/>
      <c r="HI62" s="1869"/>
      <c r="HJ62" s="1869"/>
      <c r="HK62" s="1869"/>
      <c r="HL62" s="1869"/>
      <c r="HM62" s="1869"/>
      <c r="HN62" s="1869"/>
      <c r="HO62" s="1869"/>
      <c r="HP62" s="1869"/>
      <c r="HQ62" s="1869"/>
      <c r="HR62" s="1869"/>
      <c r="HS62" s="1869"/>
      <c r="HT62" s="1869"/>
      <c r="HU62" s="1869"/>
      <c r="HV62" s="1869"/>
      <c r="HW62" s="1869"/>
      <c r="HX62" s="1869"/>
      <c r="HY62" s="1869"/>
      <c r="HZ62" s="1869"/>
      <c r="IA62" s="1869"/>
      <c r="IB62" s="1869"/>
      <c r="IC62" s="1869"/>
      <c r="ID62" s="1869"/>
      <c r="IE62" s="1869"/>
      <c r="IF62" s="1869"/>
      <c r="IG62" s="1869"/>
      <c r="IH62" s="1869"/>
      <c r="II62" s="1869"/>
      <c r="IJ62" s="1869"/>
      <c r="IK62" s="1869"/>
      <c r="IL62" s="1869"/>
      <c r="IM62" s="1869"/>
      <c r="IN62" s="1869"/>
      <c r="IO62" s="1869"/>
      <c r="IP62" s="1869"/>
      <c r="IQ62" s="1869"/>
      <c r="IR62" s="1869"/>
      <c r="IS62" s="1869"/>
      <c r="IT62" s="1869"/>
      <c r="IU62" s="1869"/>
      <c r="IV62" s="1869"/>
      <c r="IW62" s="1869"/>
      <c r="IX62" s="1869"/>
      <c r="IY62" s="1869"/>
    </row>
    <row r="63" spans="1:259" s="337" customFormat="1" x14ac:dyDescent="0.2">
      <c r="A63" s="686" t="s">
        <v>478</v>
      </c>
      <c r="B63" s="1440">
        <f>+B61+B60+B59</f>
        <v>7.792207792207792E-2</v>
      </c>
      <c r="C63" s="1440">
        <f>+C61+C60+C59</f>
        <v>0.18870967741935485</v>
      </c>
      <c r="D63" s="1440">
        <f>+D61+D60+D59</f>
        <v>0.12579617834394904</v>
      </c>
      <c r="E63" s="1440">
        <f>+E61+E60+E59</f>
        <v>-0.59440789473684208</v>
      </c>
      <c r="F63" s="1444">
        <f>+F59+F60+F61</f>
        <v>-0.19144736842105259</v>
      </c>
      <c r="G63" s="1478">
        <f t="shared" ref="G63:AO63" si="148">+G61+G60+G59</f>
        <v>8.6850649350649345E-2</v>
      </c>
      <c r="H63" s="1479">
        <f t="shared" si="148"/>
        <v>6.2903225806451607E-2</v>
      </c>
      <c r="I63" s="1440">
        <f t="shared" si="148"/>
        <v>0.20429936305732477</v>
      </c>
      <c r="J63" s="1442">
        <f t="shared" si="148"/>
        <v>0.23829113924050638</v>
      </c>
      <c r="K63" s="1480">
        <f t="shared" si="148"/>
        <v>0.59519230769230758</v>
      </c>
      <c r="L63" s="1440">
        <f t="shared" si="148"/>
        <v>0.16459627329192547</v>
      </c>
      <c r="M63" s="1440">
        <f t="shared" si="148"/>
        <v>0.27453987730061347</v>
      </c>
      <c r="N63" s="1440">
        <f t="shared" si="148"/>
        <v>0.30937499999999996</v>
      </c>
      <c r="O63" s="1440">
        <f t="shared" si="148"/>
        <v>0.23407643312101911</v>
      </c>
      <c r="P63" s="1444">
        <f t="shared" si="148"/>
        <v>0.97812500000000002</v>
      </c>
      <c r="Q63" s="1481">
        <f t="shared" si="148"/>
        <v>0.19867549668874171</v>
      </c>
      <c r="R63" s="1440">
        <f t="shared" si="148"/>
        <v>0.17785234899328861</v>
      </c>
      <c r="S63" s="1440">
        <f t="shared" si="148"/>
        <v>9.9827882960413089E-2</v>
      </c>
      <c r="T63" s="1443">
        <f t="shared" si="148"/>
        <v>0.21385135135135136</v>
      </c>
      <c r="U63" s="1444">
        <f t="shared" si="148"/>
        <v>0.6921196797302992</v>
      </c>
      <c r="V63" s="1482">
        <f t="shared" si="148"/>
        <v>0.14722483221476512</v>
      </c>
      <c r="W63" s="1445">
        <f t="shared" si="148"/>
        <v>0.2061578947368421</v>
      </c>
      <c r="X63" s="1445">
        <f t="shared" si="148"/>
        <v>0.19435130718954247</v>
      </c>
      <c r="Y63" s="1446">
        <f t="shared" si="148"/>
        <v>0.26412483298339379</v>
      </c>
      <c r="Z63" s="1444">
        <f t="shared" si="148"/>
        <v>0.81040550721561977</v>
      </c>
      <c r="AA63" s="1445">
        <f t="shared" si="148"/>
        <v>0.19893685567010311</v>
      </c>
      <c r="AB63" s="1445">
        <f t="shared" si="148"/>
        <v>0.22261798753339271</v>
      </c>
      <c r="AC63" s="1445">
        <f t="shared" si="148"/>
        <v>0.23397110754414127</v>
      </c>
      <c r="AD63" s="1446">
        <f t="shared" si="148"/>
        <v>0.28035248041775457</v>
      </c>
      <c r="AE63" s="1444">
        <f t="shared" si="148"/>
        <v>0.94058709677419361</v>
      </c>
      <c r="AF63" s="1482">
        <f t="shared" si="148"/>
        <v>0.19471947194719472</v>
      </c>
      <c r="AG63" s="1445">
        <f t="shared" si="148"/>
        <v>0.20065789473684212</v>
      </c>
      <c r="AH63" s="1445">
        <f t="shared" si="148"/>
        <v>0.26547231270358307</v>
      </c>
      <c r="AI63" s="1446">
        <f t="shared" si="148"/>
        <v>0.34878048780487803</v>
      </c>
      <c r="AJ63" s="1444">
        <f t="shared" si="148"/>
        <v>1.0139573070607553</v>
      </c>
      <c r="AK63" s="1445">
        <f t="shared" si="148"/>
        <v>0.23278688524590163</v>
      </c>
      <c r="AL63" s="1445">
        <f t="shared" si="148"/>
        <v>0.28835101316956219</v>
      </c>
      <c r="AM63" s="1445">
        <f t="shared" si="148"/>
        <v>0.30327868852459017</v>
      </c>
      <c r="AN63" s="1446">
        <f t="shared" si="148"/>
        <v>0.38619089922021516</v>
      </c>
      <c r="AO63" s="1444">
        <f t="shared" si="148"/>
        <v>1.2111784985897749</v>
      </c>
      <c r="AP63" s="1445">
        <f>+AP61+AP60+(AP49/AP65)</f>
        <v>0.25164473684210525</v>
      </c>
      <c r="AQ63" s="1445">
        <f>+AQ61+AQ60+(AQ49/AQ65)</f>
        <v>0.29470198675496689</v>
      </c>
      <c r="AR63" s="1445">
        <f>+AR61+AR60+(AR49/AR65)</f>
        <v>0.34639261744966443</v>
      </c>
      <c r="AS63" s="1446">
        <f>+AS61+AS60+AS59</f>
        <v>0.38620689655172413</v>
      </c>
      <c r="AT63" s="1444">
        <f>+AT61+AT60+AT59</f>
        <v>1.2801926637352463</v>
      </c>
      <c r="AU63" s="1445">
        <f t="shared" ref="AU63:BD63" si="149">AU49/AU65</f>
        <v>0.29720279720279719</v>
      </c>
      <c r="AV63" s="1445">
        <f t="shared" si="149"/>
        <v>0.34163701067615659</v>
      </c>
      <c r="AW63" s="1445">
        <f t="shared" si="149"/>
        <v>0.41516245487364623</v>
      </c>
      <c r="AX63" s="1446">
        <f t="shared" si="149"/>
        <v>0.41726618705035973</v>
      </c>
      <c r="AY63" s="1444">
        <f t="shared" si="149"/>
        <v>1.4609929078014185</v>
      </c>
      <c r="AZ63" s="1445">
        <f t="shared" si="149"/>
        <v>0.35200000000000004</v>
      </c>
      <c r="BA63" s="1445">
        <f t="shared" si="149"/>
        <v>0.39122486288848263</v>
      </c>
      <c r="BB63" s="1445">
        <f t="shared" si="149"/>
        <v>0.49907578558225507</v>
      </c>
      <c r="BC63" s="1446">
        <f t="shared" si="149"/>
        <v>0.4375</v>
      </c>
      <c r="BD63" s="1444">
        <f t="shared" si="149"/>
        <v>1.6794824399260626</v>
      </c>
      <c r="BE63" s="1445">
        <f t="shared" ref="BE63:BJ63" si="150">BE49/BE65</f>
        <v>0.50396825396825395</v>
      </c>
      <c r="BF63" s="1445">
        <f t="shared" si="150"/>
        <v>0.44979919678714858</v>
      </c>
      <c r="BG63" s="1445">
        <f t="shared" si="150"/>
        <v>0.57905544147843946</v>
      </c>
      <c r="BH63" s="1446">
        <f t="shared" si="150"/>
        <v>0.42797494780793321</v>
      </c>
      <c r="BI63" s="1444">
        <f t="shared" si="150"/>
        <v>1.9653767820773931</v>
      </c>
      <c r="BJ63" s="1445">
        <f t="shared" si="150"/>
        <v>0.45511482254697289</v>
      </c>
      <c r="BK63" s="1445">
        <f t="shared" ref="BK63:CC63" si="151">BK49/BK65</f>
        <v>0.62732919254658381</v>
      </c>
      <c r="BL63" s="1445">
        <f t="shared" si="151"/>
        <v>0.68865979381443299</v>
      </c>
      <c r="BM63" s="1446">
        <f t="shared" si="151"/>
        <v>0.44536082474226807</v>
      </c>
      <c r="BN63" s="1483">
        <f t="shared" si="151"/>
        <v>2.2173913043478262</v>
      </c>
      <c r="BO63" s="1445">
        <f t="shared" si="151"/>
        <v>0.49690721649484537</v>
      </c>
      <c r="BP63" s="1445">
        <f t="shared" si="151"/>
        <v>0.58969072164948455</v>
      </c>
      <c r="BQ63" s="1445">
        <f t="shared" si="151"/>
        <v>0.73760330578512401</v>
      </c>
      <c r="BR63" s="1446">
        <f t="shared" si="151"/>
        <v>0.56147540983606559</v>
      </c>
      <c r="BS63" s="1483">
        <f t="shared" si="151"/>
        <v>2.3851699279093719</v>
      </c>
      <c r="BT63" s="1445">
        <f t="shared" si="151"/>
        <v>0.54320987654320985</v>
      </c>
      <c r="BU63" s="1445">
        <f t="shared" si="151"/>
        <v>0.65289256198347112</v>
      </c>
      <c r="BV63" s="1445">
        <f t="shared" si="151"/>
        <v>0.79625779625779625</v>
      </c>
      <c r="BW63" s="1446">
        <f t="shared" si="151"/>
        <v>0.74633123689727465</v>
      </c>
      <c r="BX63" s="1483">
        <f t="shared" si="151"/>
        <v>2.7365145228215768</v>
      </c>
      <c r="BY63" s="1445">
        <f t="shared" si="151"/>
        <v>0.95815899581589958</v>
      </c>
      <c r="BZ63" s="1445">
        <f t="shared" si="151"/>
        <v>0.69392033542976939</v>
      </c>
      <c r="CA63" s="1445">
        <f t="shared" si="151"/>
        <v>0.9978813559322034</v>
      </c>
      <c r="CB63" s="1446">
        <f t="shared" si="151"/>
        <v>0.72008547008547008</v>
      </c>
      <c r="CC63" s="1483">
        <f t="shared" si="151"/>
        <v>3.3763213530655389</v>
      </c>
      <c r="CD63" s="1450">
        <f t="shared" ref="CD63:CM63" si="152">CD49/CD65</f>
        <v>0.54227750322580659</v>
      </c>
      <c r="CE63" s="1450">
        <f t="shared" si="152"/>
        <v>0.50336130387931033</v>
      </c>
      <c r="CF63" s="1450">
        <f t="shared" si="152"/>
        <v>0.56463823210412134</v>
      </c>
      <c r="CG63" s="1450">
        <f t="shared" si="152"/>
        <v>0.39855260043668117</v>
      </c>
      <c r="CH63" s="1484">
        <f>CH49/CH65</f>
        <v>2.015184381778742</v>
      </c>
      <c r="CI63" s="1450">
        <f t="shared" si="152"/>
        <v>0.51885857080227937</v>
      </c>
      <c r="CJ63" s="1450">
        <f t="shared" si="152"/>
        <v>0.48355102197802186</v>
      </c>
      <c r="CK63" s="1450">
        <f t="shared" si="152"/>
        <v>0.6673954535398231</v>
      </c>
      <c r="CL63" s="1451">
        <f t="shared" si="152"/>
        <v>0.55922507936507926</v>
      </c>
      <c r="CM63" s="1485">
        <f t="shared" si="152"/>
        <v>2.2185430463576159</v>
      </c>
      <c r="CN63" s="1486">
        <f t="shared" ref="CN63:CV63" si="153">CN49/CN65</f>
        <v>0.73249300448430499</v>
      </c>
      <c r="CO63" s="1450">
        <f t="shared" si="153"/>
        <v>0.38339919173776399</v>
      </c>
      <c r="CP63" s="1450">
        <f t="shared" si="153"/>
        <v>0.47509572072072098</v>
      </c>
      <c r="CQ63" s="1893">
        <f t="shared" si="153"/>
        <v>0.47608200455580868</v>
      </c>
      <c r="CR63" s="1952">
        <f t="shared" ref="CR63" si="154">CR49/CR65</f>
        <v>2.0708812189616252</v>
      </c>
      <c r="CS63" s="2071">
        <f t="shared" si="153"/>
        <v>0.53681710213776723</v>
      </c>
      <c r="CT63" s="2071">
        <f t="shared" si="153"/>
        <v>0.6433734939759036</v>
      </c>
      <c r="CU63" s="2071">
        <f t="shared" si="153"/>
        <v>0.54936708860759498</v>
      </c>
      <c r="CV63" s="2057">
        <f t="shared" si="153"/>
        <v>0.83064516129032262</v>
      </c>
      <c r="CW63" s="89">
        <f t="shared" ref="CW63" si="155">CW49/CW65</f>
        <v>2.5474999999999999</v>
      </c>
      <c r="CX63" s="90">
        <f t="shared" ref="CX63:DG63" si="156">CX49/CX65</f>
        <v>0.76923076923076927</v>
      </c>
      <c r="CY63" s="90">
        <f t="shared" si="156"/>
        <v>0.57541899441340782</v>
      </c>
      <c r="CZ63" s="90">
        <f t="shared" si="156"/>
        <v>1.1841359773371105</v>
      </c>
      <c r="DA63" s="91">
        <f t="shared" si="156"/>
        <v>1.2637681159420291</v>
      </c>
      <c r="DB63" s="442">
        <f t="shared" si="156"/>
        <v>3.7746478873239435</v>
      </c>
      <c r="DC63" s="90">
        <f t="shared" si="156"/>
        <v>0.64770663761961622</v>
      </c>
      <c r="DD63" s="90">
        <f t="shared" si="156"/>
        <v>0.71019710676634107</v>
      </c>
      <c r="DE63" s="90">
        <f t="shared" si="156"/>
        <v>0.8072719907348368</v>
      </c>
      <c r="DF63" s="91">
        <f t="shared" si="156"/>
        <v>0.96504763191561627</v>
      </c>
      <c r="DG63" s="442">
        <f t="shared" si="156"/>
        <v>3.1209809692569137</v>
      </c>
      <c r="DH63" s="90">
        <f t="shared" ref="DH63:DQ63" si="157">DH49/DH65</f>
        <v>0.79368782481620725</v>
      </c>
      <c r="DI63" s="90">
        <f t="shared" si="157"/>
        <v>0.8549912204816229</v>
      </c>
      <c r="DJ63" s="90">
        <f t="shared" si="157"/>
        <v>0.96523343529595185</v>
      </c>
      <c r="DK63" s="91">
        <f t="shared" si="157"/>
        <v>1.1517753101306807</v>
      </c>
      <c r="DL63" s="442">
        <f t="shared" si="157"/>
        <v>3.7593701795013583</v>
      </c>
      <c r="DM63" s="90">
        <f t="shared" si="157"/>
        <v>0.86198810789133584</v>
      </c>
      <c r="DN63" s="90">
        <f t="shared" si="157"/>
        <v>0.93369951530982975</v>
      </c>
      <c r="DO63" s="90">
        <f t="shared" si="157"/>
        <v>1.0616220804374055</v>
      </c>
      <c r="DP63" s="91">
        <f t="shared" si="157"/>
        <v>1.2757170047120383</v>
      </c>
      <c r="DQ63" s="442">
        <f t="shared" si="157"/>
        <v>4.1303443239189077</v>
      </c>
      <c r="DR63" s="90">
        <f t="shared" ref="DR63:EA63" si="158">DR49/DR65</f>
        <v>0.96726096883250223</v>
      </c>
      <c r="DS63" s="90">
        <f t="shared" si="158"/>
        <v>1.0432514143163694</v>
      </c>
      <c r="DT63" s="90">
        <f t="shared" si="158"/>
        <v>1.1856712853539775</v>
      </c>
      <c r="DU63" s="91">
        <f t="shared" si="158"/>
        <v>1.4238696026226283</v>
      </c>
      <c r="DV63" s="442">
        <f t="shared" si="158"/>
        <v>4.6174177794054847</v>
      </c>
      <c r="DW63" s="90">
        <f t="shared" si="158"/>
        <v>1.0749494047187877</v>
      </c>
      <c r="DX63" s="90">
        <f t="shared" si="158"/>
        <v>1.1571468563409986</v>
      </c>
      <c r="DY63" s="90">
        <f t="shared" si="158"/>
        <v>1.3171983618537333</v>
      </c>
      <c r="DZ63" s="91">
        <f t="shared" si="158"/>
        <v>1.5819027007401509</v>
      </c>
      <c r="EA63" s="442">
        <f t="shared" si="158"/>
        <v>5.1286106666967726</v>
      </c>
      <c r="EB63" s="43"/>
      <c r="EC63" s="26" t="s">
        <v>478</v>
      </c>
      <c r="ED63" s="619">
        <f>DA63</f>
        <v>1.2637681159420291</v>
      </c>
      <c r="EE63" s="619">
        <v>0.73173021873391586</v>
      </c>
      <c r="EF63" s="1223">
        <f t="shared" si="99"/>
        <v>0.53203789720811323</v>
      </c>
      <c r="EG63" s="2141">
        <f>CV63</f>
        <v>0.83064516129032262</v>
      </c>
      <c r="EH63" s="399">
        <f>ED63/EG63-1</f>
        <v>0.52142957647389898</v>
      </c>
      <c r="EI63" s="11"/>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row>
    <row r="64" spans="1:259" s="337" customFormat="1" hidden="1" outlineLevel="1" x14ac:dyDescent="0.2">
      <c r="A64" s="687" t="s">
        <v>369</v>
      </c>
      <c r="B64" s="1487"/>
      <c r="C64" s="1487"/>
      <c r="D64" s="1487"/>
      <c r="E64" s="1487"/>
      <c r="F64" s="1488"/>
      <c r="G64" s="1817"/>
      <c r="H64" s="1489"/>
      <c r="I64" s="1487"/>
      <c r="J64" s="1490"/>
      <c r="K64" s="1491"/>
      <c r="L64" s="1487"/>
      <c r="M64" s="1487"/>
      <c r="N64" s="1487"/>
      <c r="O64" s="1487"/>
      <c r="P64" s="1488"/>
      <c r="Q64" s="1818"/>
      <c r="R64" s="1487"/>
      <c r="S64" s="1487"/>
      <c r="T64" s="1492"/>
      <c r="U64" s="1488"/>
      <c r="V64" s="1818"/>
      <c r="W64" s="1487"/>
      <c r="X64" s="1487"/>
      <c r="Y64" s="1492"/>
      <c r="Z64" s="1488"/>
      <c r="AA64" s="1487"/>
      <c r="AB64" s="1487"/>
      <c r="AC64" s="1487"/>
      <c r="AD64" s="1487"/>
      <c r="AE64" s="1493">
        <f>39/AE65</f>
        <v>6.2903225806451607E-2</v>
      </c>
      <c r="AF64" s="1778">
        <f>9/AF65</f>
        <v>1.4851485148514851E-2</v>
      </c>
      <c r="AG64" s="1494">
        <f>9/AG65</f>
        <v>1.4802631578947368E-2</v>
      </c>
      <c r="AH64" s="1494">
        <f>7/AH65</f>
        <v>1.1400651465798045E-2</v>
      </c>
      <c r="AI64" s="1495">
        <f>AJ64-AH64-AG64-AF64</f>
        <v>1.8058532299350574E-2</v>
      </c>
      <c r="AJ64" s="1493">
        <f>36/AJ65</f>
        <v>5.9113300492610835E-2</v>
      </c>
      <c r="AK64" s="1778">
        <f>8/AK65</f>
        <v>1.3114754098360656E-2</v>
      </c>
      <c r="AL64" s="1494">
        <f>10/AL65</f>
        <v>1.6420900522184635E-2</v>
      </c>
      <c r="AM64" s="1494">
        <f>7/AM65</f>
        <v>1.1475409836065573E-2</v>
      </c>
      <c r="AN64" s="1495">
        <f>AO64-(SUM(AK64:AM64))</f>
        <v>1.4658650399834959E-2</v>
      </c>
      <c r="AO64" s="1493">
        <f>34/AO65</f>
        <v>5.5669714856445819E-2</v>
      </c>
      <c r="AP64" s="1778">
        <f>8/AP65</f>
        <v>1.3157894736842105E-2</v>
      </c>
      <c r="AQ64" s="1494">
        <f>8/AQ65</f>
        <v>1.3245033112582781E-2</v>
      </c>
      <c r="AR64" s="1494">
        <f>8/AR65</f>
        <v>1.3422818791946308E-2</v>
      </c>
      <c r="AS64" s="1819">
        <f>(18.73*(1-0.37))/AS65</f>
        <v>2.0205308219178084E-2</v>
      </c>
      <c r="AT64" s="1496">
        <f>38/AT65</f>
        <v>6.3758389261744972E-2</v>
      </c>
      <c r="AU64" s="1778">
        <f>((54.95*(1-0.37))/4)/AU65</f>
        <v>1.5130463286713289E-2</v>
      </c>
      <c r="AV64" s="1820">
        <f>((63*(1-0.37))/4)/AV65</f>
        <v>1.7655693950177936E-2</v>
      </c>
      <c r="AW64" s="1821">
        <f>((54.95*(1-0.37))/4)/AW65</f>
        <v>1.5622066787003612E-2</v>
      </c>
      <c r="AX64" s="1819">
        <f>((54.95*(1-0.37))/4)/AX65</f>
        <v>1.5565872302158276E-2</v>
      </c>
      <c r="AY64" s="1497">
        <f>37/AY65</f>
        <v>6.5602836879432622E-2</v>
      </c>
      <c r="AZ64" s="1822"/>
      <c r="BA64" s="1821"/>
      <c r="BB64" s="1821"/>
      <c r="BC64" s="1819"/>
      <c r="BD64" s="1498">
        <f>CF!BD27/BD65</f>
        <v>0.11275415896487985</v>
      </c>
      <c r="BE64" s="1822"/>
      <c r="BF64" s="1821"/>
      <c r="BG64" s="1821"/>
      <c r="BH64" s="1819"/>
      <c r="BI64" s="1498">
        <f>CF!BI27/BI65</f>
        <v>0.13034623217922606</v>
      </c>
      <c r="BJ64" s="1822"/>
      <c r="BK64" s="1821"/>
      <c r="BL64" s="1821"/>
      <c r="BM64" s="1819"/>
      <c r="BN64" s="1498">
        <f>CF!BN27/BN65</f>
        <v>0.11594202898550725</v>
      </c>
      <c r="BO64" s="1821"/>
      <c r="BP64" s="1821"/>
      <c r="BQ64" s="1823"/>
      <c r="BR64" s="1819"/>
      <c r="BS64" s="1498">
        <f>CF!BS27/BS65</f>
        <v>9.6807415036045313E-2</v>
      </c>
      <c r="BT64" s="1821"/>
      <c r="BU64" s="1821"/>
      <c r="BV64" s="1821"/>
      <c r="BW64" s="1824"/>
      <c r="BX64" s="1498">
        <f>CF!BX27/BX65</f>
        <v>0.12240663900414937</v>
      </c>
      <c r="BY64" s="1821"/>
      <c r="BZ64" s="1823"/>
      <c r="CA64" s="1823"/>
      <c r="CB64" s="1824"/>
      <c r="CC64" s="1499">
        <f>CF!CC27/CC65</f>
        <v>0.10570824524312897</v>
      </c>
      <c r="CD64" s="1825"/>
      <c r="CE64" s="1825"/>
      <c r="CF64" s="1825"/>
      <c r="CG64" s="1825"/>
      <c r="CH64" s="1500">
        <f>CF!CH27/CH65</f>
        <v>0.10629067245119306</v>
      </c>
      <c r="CI64" s="1825"/>
      <c r="CJ64" s="1826"/>
      <c r="CK64" s="1826"/>
      <c r="CL64" s="1827"/>
      <c r="CM64" s="1500">
        <f>CF!CM27/CM65</f>
        <v>0.12141280353200883</v>
      </c>
      <c r="CN64" s="1828"/>
      <c r="CO64" s="1826"/>
      <c r="CP64" s="1825"/>
      <c r="CQ64" s="1896"/>
      <c r="CR64" s="1953">
        <f>CF!CR27/CR65</f>
        <v>9.7065462753950338E-2</v>
      </c>
      <c r="CS64" s="2072"/>
      <c r="CT64" s="2072"/>
      <c r="CU64" s="2072"/>
      <c r="CV64" s="2271"/>
      <c r="CW64" s="2272">
        <f>CF!CW27/CW65</f>
        <v>0.2</v>
      </c>
      <c r="CX64" s="2151"/>
      <c r="CY64" s="2151"/>
      <c r="CZ64" s="2151"/>
      <c r="DA64" s="2372"/>
      <c r="DB64" s="2373">
        <f>CF!DB27/DB65</f>
        <v>0.18309859154929578</v>
      </c>
      <c r="DC64" s="96"/>
      <c r="DD64" s="96"/>
      <c r="DE64" s="96"/>
      <c r="DF64" s="97"/>
      <c r="DG64" s="443">
        <f>CF!DG27/DG65</f>
        <v>0.19581425813946274</v>
      </c>
      <c r="DH64" s="96"/>
      <c r="DI64" s="96"/>
      <c r="DJ64" s="96"/>
      <c r="DK64" s="97"/>
      <c r="DL64" s="443">
        <f>CF!DL27/DL65</f>
        <v>0.20683781480031249</v>
      </c>
      <c r="DM64" s="96"/>
      <c r="DN64" s="96"/>
      <c r="DO64" s="96"/>
      <c r="DP64" s="97"/>
      <c r="DQ64" s="443">
        <f>CF!DQ27/DQ65</f>
        <v>0.21252726216778983</v>
      </c>
      <c r="DR64" s="96"/>
      <c r="DS64" s="96"/>
      <c r="DT64" s="96"/>
      <c r="DU64" s="97"/>
      <c r="DV64" s="443">
        <f>CF!DV27/DV65</f>
        <v>0.21523411328915898</v>
      </c>
      <c r="DW64" s="96"/>
      <c r="DX64" s="96"/>
      <c r="DY64" s="96"/>
      <c r="DZ64" s="97"/>
      <c r="EA64" s="443">
        <f>CF!EA27/EA65</f>
        <v>0.21760630716847593</v>
      </c>
      <c r="EB64" s="41"/>
      <c r="EC64" s="26"/>
      <c r="ED64" s="846">
        <f>DA64</f>
        <v>0</v>
      </c>
      <c r="EE64" s="620">
        <v>0</v>
      </c>
      <c r="EF64" s="123"/>
      <c r="EG64" s="846">
        <f>CV64</f>
        <v>0</v>
      </c>
      <c r="EH64" s="399"/>
      <c r="EI64" s="11"/>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row>
    <row r="65" spans="1:259" s="337" customFormat="1" collapsed="1" x14ac:dyDescent="0.2">
      <c r="A65" s="688" t="s">
        <v>131</v>
      </c>
      <c r="B65" s="1501">
        <f>154*2*2</f>
        <v>616</v>
      </c>
      <c r="C65" s="1502">
        <f>155*2*2</f>
        <v>620</v>
      </c>
      <c r="D65" s="1501">
        <f>157*2*2</f>
        <v>628</v>
      </c>
      <c r="E65" s="1503">
        <f>152*2*2</f>
        <v>608</v>
      </c>
      <c r="F65" s="1504">
        <f>152*2*2</f>
        <v>608</v>
      </c>
      <c r="G65" s="1505">
        <f>154*2*2</f>
        <v>616</v>
      </c>
      <c r="H65" s="1503">
        <f>155*2*2</f>
        <v>620</v>
      </c>
      <c r="I65" s="1503">
        <f>157*2*2</f>
        <v>628</v>
      </c>
      <c r="J65" s="1503">
        <f>158*2*2</f>
        <v>632</v>
      </c>
      <c r="K65" s="1506">
        <f>156*2*2</f>
        <v>624</v>
      </c>
      <c r="L65" s="1503">
        <f>161*2*2</f>
        <v>644</v>
      </c>
      <c r="M65" s="1503">
        <f>163*2*2</f>
        <v>652</v>
      </c>
      <c r="N65" s="1503">
        <f>160*2*2</f>
        <v>640</v>
      </c>
      <c r="O65" s="1507">
        <f>157*2*2</f>
        <v>628</v>
      </c>
      <c r="P65" s="1504">
        <f>160*2*2</f>
        <v>640</v>
      </c>
      <c r="Q65" s="1505">
        <f>151*2*2</f>
        <v>604</v>
      </c>
      <c r="R65" s="1503">
        <f>149*2*2</f>
        <v>596</v>
      </c>
      <c r="S65" s="1503">
        <f>290.5*2</f>
        <v>581</v>
      </c>
      <c r="T65" s="1507">
        <f>296*2</f>
        <v>592</v>
      </c>
      <c r="U65" s="1504">
        <f>AVERAGE(Q65:T65)</f>
        <v>593.25</v>
      </c>
      <c r="V65" s="1505">
        <f>298*2</f>
        <v>596</v>
      </c>
      <c r="W65" s="1503">
        <f>304*2</f>
        <v>608</v>
      </c>
      <c r="X65" s="1503">
        <f>153*2*2</f>
        <v>612</v>
      </c>
      <c r="Y65" s="1507">
        <f>152.1*2*2</f>
        <v>608.4</v>
      </c>
      <c r="Z65" s="1504">
        <f>152*2*2</f>
        <v>608</v>
      </c>
      <c r="AA65" s="1503">
        <f>310.4*2</f>
        <v>620.79999999999995</v>
      </c>
      <c r="AB65" s="1503">
        <f>314.44*2</f>
        <v>628.88</v>
      </c>
      <c r="AC65" s="1503">
        <f>311.5*2</f>
        <v>623</v>
      </c>
      <c r="AD65" s="1507">
        <f>306.4*2</f>
        <v>612.79999999999995</v>
      </c>
      <c r="AE65" s="1504">
        <f>310*2</f>
        <v>620</v>
      </c>
      <c r="AF65" s="1505">
        <f>303*2</f>
        <v>606</v>
      </c>
      <c r="AG65" s="1503">
        <f>AF65+1*2</f>
        <v>608</v>
      </c>
      <c r="AH65" s="1503">
        <f>307*2</f>
        <v>614</v>
      </c>
      <c r="AI65" s="1507">
        <f>307.5*2</f>
        <v>615</v>
      </c>
      <c r="AJ65" s="1504">
        <f>304.5*2</f>
        <v>609</v>
      </c>
      <c r="AK65" s="1503">
        <f>305*2</f>
        <v>610</v>
      </c>
      <c r="AL65" s="1503">
        <f>304.49*2</f>
        <v>608.98</v>
      </c>
      <c r="AM65" s="1503">
        <f>305*2</f>
        <v>610</v>
      </c>
      <c r="AN65" s="1507">
        <f>307*2</f>
        <v>614</v>
      </c>
      <c r="AO65" s="1504">
        <f>AVERAGE(AK65:AN65)</f>
        <v>610.745</v>
      </c>
      <c r="AP65" s="1503">
        <f>304*2</f>
        <v>608</v>
      </c>
      <c r="AQ65" s="1503">
        <f>302*2</f>
        <v>604</v>
      </c>
      <c r="AR65" s="1503">
        <f>298*2</f>
        <v>596</v>
      </c>
      <c r="AS65" s="1507">
        <f>292*2</f>
        <v>584</v>
      </c>
      <c r="AT65" s="1504">
        <f>298*2</f>
        <v>596</v>
      </c>
      <c r="AU65" s="1503">
        <f>286*2</f>
        <v>572</v>
      </c>
      <c r="AV65" s="1503">
        <f>281*2</f>
        <v>562</v>
      </c>
      <c r="AW65" s="1503">
        <f>277*2</f>
        <v>554</v>
      </c>
      <c r="AX65" s="1507">
        <f>278*2</f>
        <v>556</v>
      </c>
      <c r="AY65" s="1504">
        <f>282*2</f>
        <v>564</v>
      </c>
      <c r="AZ65" s="1503">
        <f>275*2</f>
        <v>550</v>
      </c>
      <c r="BA65" s="1503">
        <v>547</v>
      </c>
      <c r="BB65" s="1503">
        <v>541</v>
      </c>
      <c r="BC65" s="1507">
        <v>528</v>
      </c>
      <c r="BD65" s="1504">
        <v>541</v>
      </c>
      <c r="BE65" s="1503">
        <v>504</v>
      </c>
      <c r="BF65" s="1503">
        <v>498</v>
      </c>
      <c r="BG65" s="1503">
        <v>487</v>
      </c>
      <c r="BH65" s="1507">
        <v>479</v>
      </c>
      <c r="BI65" s="1504">
        <v>491</v>
      </c>
      <c r="BJ65" s="1503">
        <v>479</v>
      </c>
      <c r="BK65" s="1503">
        <v>483</v>
      </c>
      <c r="BL65" s="1503">
        <v>485</v>
      </c>
      <c r="BM65" s="1507">
        <v>485</v>
      </c>
      <c r="BN65" s="1508">
        <f>AVERAGE(BJ65:BM65)</f>
        <v>483</v>
      </c>
      <c r="BO65" s="1829">
        <v>485</v>
      </c>
      <c r="BP65" s="1829">
        <v>485</v>
      </c>
      <c r="BQ65" s="1829">
        <v>484</v>
      </c>
      <c r="BR65" s="1830">
        <v>488</v>
      </c>
      <c r="BS65" s="1509">
        <f>AVERAGE(BO65:BR65)</f>
        <v>485.5</v>
      </c>
      <c r="BT65" s="1829">
        <v>486</v>
      </c>
      <c r="BU65" s="1829">
        <v>484</v>
      </c>
      <c r="BV65" s="1829">
        <v>481</v>
      </c>
      <c r="BW65" s="1830">
        <v>477</v>
      </c>
      <c r="BX65" s="1509">
        <f>AVERAGE(BT65:BW65)</f>
        <v>482</v>
      </c>
      <c r="BY65" s="1829">
        <v>478</v>
      </c>
      <c r="BZ65" s="1829">
        <v>477</v>
      </c>
      <c r="CA65" s="1829">
        <v>472</v>
      </c>
      <c r="CB65" s="1830">
        <v>468</v>
      </c>
      <c r="CC65" s="1509">
        <v>473</v>
      </c>
      <c r="CD65" s="1831">
        <v>465</v>
      </c>
      <c r="CE65" s="1831">
        <v>464</v>
      </c>
      <c r="CF65" s="1831">
        <v>461</v>
      </c>
      <c r="CG65" s="1831">
        <v>458</v>
      </c>
      <c r="CH65" s="1832">
        <v>461</v>
      </c>
      <c r="CI65" s="1831">
        <v>456.2</v>
      </c>
      <c r="CJ65" s="1831">
        <v>455</v>
      </c>
      <c r="CK65" s="1831">
        <v>452</v>
      </c>
      <c r="CL65" s="1831">
        <v>441</v>
      </c>
      <c r="CM65" s="1510">
        <v>453</v>
      </c>
      <c r="CN65" s="1833">
        <v>446</v>
      </c>
      <c r="CO65" s="1831">
        <v>445.4</v>
      </c>
      <c r="CP65" s="1831">
        <v>444</v>
      </c>
      <c r="CQ65" s="1897">
        <v>439</v>
      </c>
      <c r="CR65" s="1954">
        <v>443</v>
      </c>
      <c r="CS65" s="2073">
        <v>421</v>
      </c>
      <c r="CT65" s="2073">
        <v>415</v>
      </c>
      <c r="CU65" s="2073">
        <v>395</v>
      </c>
      <c r="CV65" s="2026">
        <v>372</v>
      </c>
      <c r="CW65" s="2030">
        <v>400</v>
      </c>
      <c r="CX65" s="115">
        <v>364</v>
      </c>
      <c r="CY65" s="115">
        <v>358</v>
      </c>
      <c r="CZ65" s="115">
        <v>353</v>
      </c>
      <c r="DA65" s="115">
        <v>345</v>
      </c>
      <c r="DB65" s="483">
        <f>AVERAGE(CX65:DA65)</f>
        <v>355</v>
      </c>
      <c r="DC65" s="115">
        <f>DC178</f>
        <v>341.17407289130176</v>
      </c>
      <c r="DD65" s="115">
        <f>DD178</f>
        <v>334.6840841269177</v>
      </c>
      <c r="DE65" s="115">
        <f t="shared" ref="DE65:DF65" si="159">DE178</f>
        <v>328.41336338117713</v>
      </c>
      <c r="DF65" s="115">
        <f t="shared" si="159"/>
        <v>323.51738767298127</v>
      </c>
      <c r="DG65" s="483">
        <f>AVERAGE(DC65:DF65)</f>
        <v>331.94722701809451</v>
      </c>
      <c r="DH65" s="115">
        <f>DH178</f>
        <v>319.70748451125394</v>
      </c>
      <c r="DI65" s="115">
        <f>DI178</f>
        <v>315.78578218490856</v>
      </c>
      <c r="DJ65" s="115">
        <f t="shared" ref="DJ65:DK65" si="160">DJ178</f>
        <v>311.9997995120209</v>
      </c>
      <c r="DK65" s="115">
        <f t="shared" si="160"/>
        <v>309.53046331910298</v>
      </c>
      <c r="DL65" s="483">
        <f>AVERAGE(DH65:DK65)</f>
        <v>314.25588238182161</v>
      </c>
      <c r="DM65" s="115">
        <f>DM178</f>
        <v>308.03613597238734</v>
      </c>
      <c r="DN65" s="115">
        <f>DN178</f>
        <v>306.31411165517261</v>
      </c>
      <c r="DO65" s="115">
        <f t="shared" ref="DO65:DP65" si="161">DO178</f>
        <v>304.68467605006015</v>
      </c>
      <c r="DP65" s="115">
        <f t="shared" si="161"/>
        <v>304.33753850904526</v>
      </c>
      <c r="DQ65" s="483">
        <f t="shared" ref="DQ65" si="162">DQ178</f>
        <v>305.84311554666635</v>
      </c>
      <c r="DR65" s="115">
        <f>DR178</f>
        <v>303.97206573675351</v>
      </c>
      <c r="DS65" s="115">
        <f>DS178</f>
        <v>302.39709243058508</v>
      </c>
      <c r="DT65" s="115">
        <f t="shared" ref="DT65:DV65" si="163">DT178</f>
        <v>300.91182448336116</v>
      </c>
      <c r="DU65" s="115">
        <f t="shared" si="163"/>
        <v>300.70596712570375</v>
      </c>
      <c r="DV65" s="483">
        <f t="shared" si="163"/>
        <v>301.99673744410086</v>
      </c>
      <c r="DW65" s="115">
        <f>DW178</f>
        <v>300.47894367938602</v>
      </c>
      <c r="DX65" s="115">
        <f>DX178</f>
        <v>299.03970500652554</v>
      </c>
      <c r="DY65" s="115">
        <f t="shared" ref="DY65:EA65" si="164">DY178</f>
        <v>297.6875102292114</v>
      </c>
      <c r="DZ65" s="115">
        <f t="shared" si="164"/>
        <v>297.61215027433389</v>
      </c>
      <c r="EA65" s="483">
        <f t="shared" si="164"/>
        <v>298.70457729736421</v>
      </c>
      <c r="EB65" s="41"/>
      <c r="EC65" s="1201" t="s">
        <v>131</v>
      </c>
      <c r="ED65" s="1202">
        <f>DA65</f>
        <v>345</v>
      </c>
      <c r="EE65" s="1202">
        <v>347.72667757774138</v>
      </c>
      <c r="EF65" s="696">
        <f>ED65-EE65</f>
        <v>-2.7266775777413841</v>
      </c>
      <c r="EG65" s="1202">
        <f>CV65</f>
        <v>372</v>
      </c>
      <c r="EH65" s="1203">
        <f>ED65/EG65-1</f>
        <v>-7.2580645161290369E-2</v>
      </c>
      <c r="EI65" s="11"/>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row>
    <row r="66" spans="1:259" s="337" customFormat="1" x14ac:dyDescent="0.2">
      <c r="A66" s="1991" t="s">
        <v>132</v>
      </c>
      <c r="B66" s="1992"/>
      <c r="C66" s="1992"/>
      <c r="D66" s="1992"/>
      <c r="E66" s="1993"/>
      <c r="F66" s="1992"/>
      <c r="G66" s="1992"/>
      <c r="H66" s="1992"/>
      <c r="I66" s="1992"/>
      <c r="J66" s="1994"/>
      <c r="K66" s="1995"/>
      <c r="L66" s="1992"/>
      <c r="M66" s="1992"/>
      <c r="N66" s="1995"/>
      <c r="O66" s="1992"/>
      <c r="P66" s="1992"/>
      <c r="Q66" s="1992"/>
      <c r="R66" s="1992"/>
      <c r="S66" s="1995"/>
      <c r="T66" s="1992"/>
      <c r="U66" s="1992"/>
      <c r="V66" s="1996"/>
      <c r="W66" s="1992"/>
      <c r="X66" s="1995"/>
      <c r="Y66" s="1992"/>
      <c r="Z66" s="1992"/>
      <c r="AA66" s="1992"/>
      <c r="AB66" s="1992"/>
      <c r="AC66" s="1995"/>
      <c r="AD66" s="1992"/>
      <c r="AE66" s="1992"/>
      <c r="AF66" s="1992"/>
      <c r="AG66" s="1992"/>
      <c r="AH66" s="1995"/>
      <c r="AI66" s="1992"/>
      <c r="AJ66" s="1992"/>
      <c r="AK66" s="1992"/>
      <c r="AL66" s="1992"/>
      <c r="AM66" s="1995"/>
      <c r="AN66" s="1992"/>
      <c r="AO66" s="1992"/>
      <c r="AP66" s="1992"/>
      <c r="AQ66" s="1992"/>
      <c r="AR66" s="1995"/>
      <c r="AS66" s="1992"/>
      <c r="AT66" s="1992"/>
      <c r="AU66" s="1992"/>
      <c r="AV66" s="1992"/>
      <c r="AW66" s="1995"/>
      <c r="AX66" s="1992"/>
      <c r="AY66" s="1992"/>
      <c r="AZ66" s="1992"/>
      <c r="BA66" s="1992"/>
      <c r="BB66" s="1995"/>
      <c r="BC66" s="1992"/>
      <c r="BD66" s="1997"/>
      <c r="BE66" s="1992"/>
      <c r="BF66" s="1992"/>
      <c r="BG66" s="1995"/>
      <c r="BH66" s="1992"/>
      <c r="BI66" s="1997"/>
      <c r="BJ66" s="1992"/>
      <c r="BK66" s="1992"/>
      <c r="BL66" s="1995"/>
      <c r="BM66" s="1992"/>
      <c r="BN66" s="1998"/>
      <c r="BO66" s="1999"/>
      <c r="BP66" s="1999"/>
      <c r="BQ66" s="2000"/>
      <c r="BR66" s="1999"/>
      <c r="BS66" s="2001"/>
      <c r="BT66" s="1999"/>
      <c r="BU66" s="1999"/>
      <c r="BV66" s="2000"/>
      <c r="BW66" s="1999"/>
      <c r="BX66" s="2001"/>
      <c r="BY66" s="1999"/>
      <c r="BZ66" s="1999"/>
      <c r="CA66" s="2000"/>
      <c r="CB66" s="1999"/>
      <c r="CC66" s="2001"/>
      <c r="CD66" s="1999"/>
      <c r="CE66" s="1999"/>
      <c r="CF66" s="2000"/>
      <c r="CG66" s="1999"/>
      <c r="CH66" s="2002">
        <f>2734-CH41</f>
        <v>526</v>
      </c>
      <c r="CI66" s="1999"/>
      <c r="CJ66" s="1999"/>
      <c r="CK66" s="2000"/>
      <c r="CL66" s="1999"/>
      <c r="CM66" s="2001"/>
      <c r="CN66" s="2003"/>
      <c r="CO66" s="1999"/>
      <c r="CP66" s="2000"/>
      <c r="CQ66" s="1999"/>
      <c r="CR66" s="2001"/>
      <c r="CS66" s="2004"/>
      <c r="CT66" s="2004"/>
      <c r="CU66" s="2005"/>
      <c r="CV66" s="2029"/>
      <c r="CW66" s="2031"/>
      <c r="CX66" s="3"/>
      <c r="CY66" s="3"/>
      <c r="CZ66" s="6"/>
      <c r="DA66" s="3"/>
      <c r="DB66" s="466"/>
      <c r="DC66" s="3"/>
      <c r="DD66" s="3"/>
      <c r="DE66" s="6"/>
      <c r="DF66" s="3"/>
      <c r="DG66" s="466"/>
      <c r="DH66" s="3"/>
      <c r="DI66" s="3"/>
      <c r="DJ66" s="6"/>
      <c r="DK66" s="3"/>
      <c r="DL66" s="466"/>
      <c r="DM66" s="3"/>
      <c r="DN66" s="3"/>
      <c r="DO66" s="6"/>
      <c r="DP66" s="3"/>
      <c r="DQ66" s="466"/>
      <c r="DR66" s="3"/>
      <c r="DS66" s="3"/>
      <c r="DT66" s="6"/>
      <c r="DU66" s="3"/>
      <c r="DV66" s="466"/>
      <c r="DW66" s="3"/>
      <c r="DX66" s="3"/>
      <c r="DY66" s="6"/>
      <c r="DZ66" s="3"/>
      <c r="EA66" s="466"/>
      <c r="EB66" s="11"/>
      <c r="EC66" s="1204" t="s">
        <v>132</v>
      </c>
      <c r="ED66" s="1205"/>
      <c r="EE66" s="1205"/>
      <c r="EF66" s="1206"/>
      <c r="EG66" s="1205"/>
      <c r="EH66" s="1207"/>
      <c r="EI66" s="11"/>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row>
    <row r="67" spans="1:259" s="337" customFormat="1" x14ac:dyDescent="0.2">
      <c r="A67" s="690" t="s">
        <v>373</v>
      </c>
      <c r="B67" s="1834">
        <f>+B24/B$20</f>
        <v>0.32310737258782779</v>
      </c>
      <c r="C67" s="1518"/>
      <c r="D67" s="1518"/>
      <c r="E67" s="1518"/>
      <c r="F67" s="1519">
        <f t="shared" ref="F67:AK67" si="165">+F24/F$20</f>
        <v>0.326249152159168</v>
      </c>
      <c r="G67" s="1834">
        <f t="shared" si="165"/>
        <v>0.32346368715083801</v>
      </c>
      <c r="H67" s="1518">
        <f t="shared" si="165"/>
        <v>0.31655061596143547</v>
      </c>
      <c r="I67" s="1518">
        <f t="shared" si="165"/>
        <v>0.31647940074906367</v>
      </c>
      <c r="J67" s="1518">
        <f t="shared" si="165"/>
        <v>0.32631126397248494</v>
      </c>
      <c r="K67" s="1834">
        <f t="shared" si="165"/>
        <v>0.32100101884870097</v>
      </c>
      <c r="L67" s="1834">
        <f t="shared" si="165"/>
        <v>0.3176895306859206</v>
      </c>
      <c r="M67" s="1518">
        <f t="shared" si="165"/>
        <v>0.30992455020313409</v>
      </c>
      <c r="N67" s="1518">
        <f t="shared" si="165"/>
        <v>0.31299572910311163</v>
      </c>
      <c r="O67" s="1518">
        <f t="shared" si="165"/>
        <v>0.31951807228915663</v>
      </c>
      <c r="P67" s="1519">
        <f t="shared" si="165"/>
        <v>0.31525566981264969</v>
      </c>
      <c r="Q67" s="1834">
        <f t="shared" si="165"/>
        <v>0.30947368421052629</v>
      </c>
      <c r="R67" s="1518">
        <f t="shared" si="165"/>
        <v>0.30337837837837839</v>
      </c>
      <c r="S67" s="1518">
        <f t="shared" si="165"/>
        <v>0.30952380952380953</v>
      </c>
      <c r="T67" s="1518">
        <f t="shared" si="165"/>
        <v>0.3093264248704663</v>
      </c>
      <c r="U67" s="1519">
        <f t="shared" si="165"/>
        <v>0.30800951625693895</v>
      </c>
      <c r="V67" s="1834">
        <f t="shared" si="165"/>
        <v>0.30920060331825039</v>
      </c>
      <c r="W67" s="1518">
        <f t="shared" si="165"/>
        <v>0.31214689265536721</v>
      </c>
      <c r="X67" s="1518">
        <f t="shared" si="165"/>
        <v>0.31538992408557626</v>
      </c>
      <c r="Y67" s="1518">
        <f t="shared" si="165"/>
        <v>0.30765279917822291</v>
      </c>
      <c r="Z67" s="1519">
        <f t="shared" si="165"/>
        <v>0.31085043988269795</v>
      </c>
      <c r="AA67" s="1518">
        <f t="shared" si="165"/>
        <v>0.30785413744740531</v>
      </c>
      <c r="AB67" s="1518">
        <f t="shared" si="165"/>
        <v>0.30681094844048379</v>
      </c>
      <c r="AC67" s="1518">
        <f t="shared" si="165"/>
        <v>0.3032258064516129</v>
      </c>
      <c r="AD67" s="1518">
        <f t="shared" si="165"/>
        <v>0.30653266331658291</v>
      </c>
      <c r="AE67" s="1519">
        <f t="shared" si="165"/>
        <v>0.30605137135393989</v>
      </c>
      <c r="AF67" s="1834">
        <f t="shared" si="165"/>
        <v>0.30807764558547274</v>
      </c>
      <c r="AG67" s="1518">
        <f t="shared" si="165"/>
        <v>0.30876378409750438</v>
      </c>
      <c r="AH67" s="1518">
        <f t="shared" si="165"/>
        <v>0.30821529745042492</v>
      </c>
      <c r="AI67" s="1520">
        <f t="shared" si="165"/>
        <v>0.31069609507640067</v>
      </c>
      <c r="AJ67" s="1519">
        <f t="shared" si="165"/>
        <v>0.30909823948394033</v>
      </c>
      <c r="AK67" s="1518">
        <f t="shared" si="165"/>
        <v>0.30910131654264456</v>
      </c>
      <c r="AL67" s="1518">
        <f t="shared" ref="AL67:BQ67" si="166">+AL24/AL$20</f>
        <v>0.31852654387865653</v>
      </c>
      <c r="AM67" s="1518">
        <f t="shared" si="166"/>
        <v>0.31937984496124033</v>
      </c>
      <c r="AN67" s="1518">
        <f t="shared" si="166"/>
        <v>0.32142857142857145</v>
      </c>
      <c r="AO67" s="1519">
        <f t="shared" si="166"/>
        <v>0.31756756756756754</v>
      </c>
      <c r="AP67" s="1518">
        <f t="shared" si="166"/>
        <v>0.31712707182320443</v>
      </c>
      <c r="AQ67" s="1518">
        <f t="shared" si="166"/>
        <v>0.31545741324921134</v>
      </c>
      <c r="AR67" s="1518">
        <f t="shared" si="166"/>
        <v>0.31341772151898734</v>
      </c>
      <c r="AS67" s="1518">
        <f t="shared" si="166"/>
        <v>0.31166272655634358</v>
      </c>
      <c r="AT67" s="1519">
        <f t="shared" si="166"/>
        <v>0.3141641337386018</v>
      </c>
      <c r="AU67" s="1518">
        <f t="shared" si="166"/>
        <v>0.30621220450797143</v>
      </c>
      <c r="AV67" s="1518">
        <f t="shared" si="166"/>
        <v>0.30491631799163182</v>
      </c>
      <c r="AW67" s="1518">
        <f t="shared" si="166"/>
        <v>0.3046757164404223</v>
      </c>
      <c r="AX67" s="1518">
        <f t="shared" si="166"/>
        <v>0.30359168241965973</v>
      </c>
      <c r="AY67" s="1519">
        <f t="shared" si="166"/>
        <v>0.30472205618649134</v>
      </c>
      <c r="AZ67" s="1518">
        <f t="shared" si="166"/>
        <v>0.30175077239958803</v>
      </c>
      <c r="BA67" s="1518">
        <f t="shared" si="166"/>
        <v>0.30776652194886639</v>
      </c>
      <c r="BB67" s="1518">
        <f t="shared" si="166"/>
        <v>0.3120820329915292</v>
      </c>
      <c r="BC67" s="1518">
        <f t="shared" si="166"/>
        <v>0.31667839549612947</v>
      </c>
      <c r="BD67" s="1519">
        <f t="shared" si="166"/>
        <v>0.31032967032967035</v>
      </c>
      <c r="BE67" s="1518">
        <f t="shared" si="166"/>
        <v>0.31948424068767911</v>
      </c>
      <c r="BF67" s="1518">
        <f t="shared" si="166"/>
        <v>0.32974601808006887</v>
      </c>
      <c r="BG67" s="1518">
        <f t="shared" si="166"/>
        <v>0.33440773569701854</v>
      </c>
      <c r="BH67" s="1518">
        <f t="shared" si="166"/>
        <v>0.33084239130434784</v>
      </c>
      <c r="BI67" s="1519">
        <f t="shared" si="166"/>
        <v>0.32906634156253173</v>
      </c>
      <c r="BJ67" s="1518">
        <f t="shared" si="166"/>
        <v>0.31856100104275287</v>
      </c>
      <c r="BK67" s="1518">
        <f t="shared" si="166"/>
        <v>0.32202602230483274</v>
      </c>
      <c r="BL67" s="1518">
        <f t="shared" si="166"/>
        <v>0.31949013157894735</v>
      </c>
      <c r="BM67" s="1518">
        <f t="shared" si="166"/>
        <v>0.31672964616970112</v>
      </c>
      <c r="BN67" s="1521">
        <f t="shared" si="166"/>
        <v>0.31902687772229893</v>
      </c>
      <c r="BO67" s="1518">
        <f t="shared" si="166"/>
        <v>0.31312625250501003</v>
      </c>
      <c r="BP67" s="1518">
        <f t="shared" si="166"/>
        <v>0.31486486486486487</v>
      </c>
      <c r="BQ67" s="1518">
        <f t="shared" si="166"/>
        <v>0.31570512820512819</v>
      </c>
      <c r="BR67" s="1518">
        <f t="shared" ref="BR67:CW67" si="167">+BR24/BR$20</f>
        <v>0.31878866818625856</v>
      </c>
      <c r="BS67" s="1521">
        <f t="shared" si="167"/>
        <v>0.31595625063886335</v>
      </c>
      <c r="BT67" s="1518">
        <f t="shared" si="167"/>
        <v>0.32276938078985862</v>
      </c>
      <c r="BU67" s="1518">
        <f t="shared" si="167"/>
        <v>0.32579185520361992</v>
      </c>
      <c r="BV67" s="1518">
        <f t="shared" si="167"/>
        <v>0.33987386124737212</v>
      </c>
      <c r="BW67" s="1518">
        <f t="shared" si="167"/>
        <v>0.33989316840033734</v>
      </c>
      <c r="BX67" s="1521">
        <f t="shared" si="167"/>
        <v>0.3335169374827871</v>
      </c>
      <c r="BY67" s="1518">
        <f t="shared" si="167"/>
        <v>0.3272184300341297</v>
      </c>
      <c r="BZ67" s="1518">
        <f t="shared" si="167"/>
        <v>0.33164373642288197</v>
      </c>
      <c r="CA67" s="1518">
        <f t="shared" si="167"/>
        <v>0.32749840865690644</v>
      </c>
      <c r="CB67" s="1518">
        <f t="shared" si="167"/>
        <v>0.32412831241283124</v>
      </c>
      <c r="CC67" s="1521">
        <f t="shared" si="167"/>
        <v>0.32738950392968819</v>
      </c>
      <c r="CD67" s="1522">
        <f t="shared" si="167"/>
        <v>0.31573498964803315</v>
      </c>
      <c r="CE67" s="1522">
        <f t="shared" si="167"/>
        <v>0.32153110047846889</v>
      </c>
      <c r="CF67" s="1522">
        <f t="shared" si="167"/>
        <v>0.32549019607843138</v>
      </c>
      <c r="CG67" s="1522">
        <f t="shared" si="167"/>
        <v>0.32372505543237251</v>
      </c>
      <c r="CH67" s="1835">
        <f t="shared" si="167"/>
        <v>0.32185218978102192</v>
      </c>
      <c r="CI67" s="1522">
        <f t="shared" si="167"/>
        <v>0.32799145299145299</v>
      </c>
      <c r="CJ67" s="1522">
        <f t="shared" si="167"/>
        <v>0.33023255813953489</v>
      </c>
      <c r="CK67" s="1522">
        <f t="shared" si="167"/>
        <v>0.32624768946395566</v>
      </c>
      <c r="CL67" s="1522">
        <f t="shared" si="167"/>
        <v>0.32340425531914896</v>
      </c>
      <c r="CM67" s="1523">
        <f t="shared" si="167"/>
        <v>0.32667110815012212</v>
      </c>
      <c r="CN67" s="1524">
        <f t="shared" si="167"/>
        <v>0.29306930693069305</v>
      </c>
      <c r="CO67" s="1522">
        <f t="shared" si="167"/>
        <v>0.30900473933649292</v>
      </c>
      <c r="CP67" s="1522">
        <f t="shared" si="167"/>
        <v>0.31414634146341464</v>
      </c>
      <c r="CQ67" s="1071">
        <f t="shared" si="167"/>
        <v>0.32397754611066559</v>
      </c>
      <c r="CR67" s="1955">
        <f t="shared" si="167"/>
        <v>0.3108139266774268</v>
      </c>
      <c r="CS67" s="974">
        <f t="shared" si="167"/>
        <v>0.30115424973767052</v>
      </c>
      <c r="CT67" s="974">
        <f t="shared" si="167"/>
        <v>0.30486593843098314</v>
      </c>
      <c r="CU67" s="974">
        <f t="shared" si="167"/>
        <v>0.30575176589303732</v>
      </c>
      <c r="CV67" s="16">
        <f t="shared" si="167"/>
        <v>0.29862792574656982</v>
      </c>
      <c r="CW67" s="100">
        <f t="shared" si="167"/>
        <v>0.30238663484486872</v>
      </c>
      <c r="CX67" s="1020">
        <f t="shared" ref="CX67:CY67" si="168">+CX24/CX$20</f>
        <v>0.30598669623059865</v>
      </c>
      <c r="CY67" s="1020">
        <f t="shared" si="168"/>
        <v>0.30803080308030806</v>
      </c>
      <c r="CZ67" s="16">
        <f t="shared" ref="CZ67:DA67" si="169">+CZ24/CZ$20</f>
        <v>0.31572904707233068</v>
      </c>
      <c r="DA67" s="16">
        <f t="shared" si="169"/>
        <v>0.30561797752808989</v>
      </c>
      <c r="DB67" s="464">
        <f t="shared" ref="DB67:DQ67" si="170">+DB24/DB$20</f>
        <v>0.30879059350503918</v>
      </c>
      <c r="DC67" s="16">
        <f t="shared" si="170"/>
        <v>0.30105148095317885</v>
      </c>
      <c r="DD67" s="16">
        <f t="shared" si="170"/>
        <v>0.30209350238817001</v>
      </c>
      <c r="DE67" s="16">
        <f t="shared" si="170"/>
        <v>0.30925673484002608</v>
      </c>
      <c r="DF67" s="16">
        <f t="shared" si="170"/>
        <v>0.29943642791094671</v>
      </c>
      <c r="DG67" s="464">
        <f t="shared" si="170"/>
        <v>0.3026913928023458</v>
      </c>
      <c r="DH67" s="16">
        <f t="shared" si="170"/>
        <v>0.29751188478033253</v>
      </c>
      <c r="DI67" s="16">
        <f t="shared" si="170"/>
        <v>0.29727949075992488</v>
      </c>
      <c r="DJ67" s="16">
        <f t="shared" si="170"/>
        <v>0.30334117884660072</v>
      </c>
      <c r="DK67" s="16">
        <f t="shared" si="170"/>
        <v>0.29148151787396659</v>
      </c>
      <c r="DL67" s="464">
        <f t="shared" si="170"/>
        <v>0.29714230353489501</v>
      </c>
      <c r="DM67" s="16">
        <f t="shared" si="170"/>
        <v>0.29010427572841296</v>
      </c>
      <c r="DN67" s="16">
        <f t="shared" si="170"/>
        <v>0.29169388528487206</v>
      </c>
      <c r="DO67" s="16">
        <f t="shared" si="170"/>
        <v>0.2999843720098177</v>
      </c>
      <c r="DP67" s="16">
        <f t="shared" si="170"/>
        <v>0.29026175339299159</v>
      </c>
      <c r="DQ67" s="464">
        <f t="shared" si="170"/>
        <v>0.29286609843493627</v>
      </c>
      <c r="DR67" s="16">
        <f t="shared" ref="DR67:EA67" si="171">+DR24/DR$20</f>
        <v>0.29101296396214615</v>
      </c>
      <c r="DS67" s="16">
        <f t="shared" si="171"/>
        <v>0.29245529920482305</v>
      </c>
      <c r="DT67" s="16">
        <f t="shared" si="171"/>
        <v>0.30060907343118609</v>
      </c>
      <c r="DU67" s="16">
        <f t="shared" si="171"/>
        <v>0.29114356449221096</v>
      </c>
      <c r="DV67" s="464">
        <f t="shared" si="171"/>
        <v>0.29366364656687755</v>
      </c>
      <c r="DW67" s="16">
        <f t="shared" si="171"/>
        <v>0.29201301013842679</v>
      </c>
      <c r="DX67" s="16">
        <f t="shared" si="171"/>
        <v>0.29381291478031668</v>
      </c>
      <c r="DY67" s="16">
        <f t="shared" si="171"/>
        <v>0.30216956917493615</v>
      </c>
      <c r="DZ67" s="16">
        <f t="shared" si="171"/>
        <v>0.29357525666796525</v>
      </c>
      <c r="EA67" s="464">
        <f t="shared" si="171"/>
        <v>0.29534757264045136</v>
      </c>
      <c r="EB67" s="11"/>
      <c r="EC67" s="101" t="s">
        <v>133</v>
      </c>
      <c r="ED67" s="138">
        <f>DA67</f>
        <v>0.30561797752808989</v>
      </c>
      <c r="EE67" s="138">
        <v>0.31402532033059244</v>
      </c>
      <c r="EF67" s="809">
        <f t="shared" ref="EF67:EF81" si="172">(ED67-EE67)*10000</f>
        <v>-84.073428025025493</v>
      </c>
      <c r="EG67" s="138">
        <f>CV67</f>
        <v>0.29862792574656982</v>
      </c>
      <c r="EH67" s="1208">
        <f>(ED67-EG67)*10000</f>
        <v>69.900517815200686</v>
      </c>
      <c r="EI67" s="11"/>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row>
    <row r="68" spans="1:259" s="337" customFormat="1" x14ac:dyDescent="0.2">
      <c r="A68" s="690" t="s">
        <v>374</v>
      </c>
      <c r="B68" s="1834">
        <f>+B25/B$20</f>
        <v>0.29490351311232066</v>
      </c>
      <c r="C68" s="1518"/>
      <c r="D68" s="1518"/>
      <c r="E68" s="1518"/>
      <c r="F68" s="1834">
        <f t="shared" ref="F68:AK68" si="173">+F25/F$20</f>
        <v>0.28736151933077098</v>
      </c>
      <c r="G68" s="1834">
        <f t="shared" si="173"/>
        <v>0.30111731843575418</v>
      </c>
      <c r="H68" s="1518">
        <f t="shared" si="173"/>
        <v>0.29191215854311731</v>
      </c>
      <c r="I68" s="1518">
        <f t="shared" si="173"/>
        <v>0.28009630818619585</v>
      </c>
      <c r="J68" s="1518">
        <f t="shared" si="173"/>
        <v>0.27343078245915736</v>
      </c>
      <c r="K68" s="1834">
        <f t="shared" si="173"/>
        <v>0.2857233825776872</v>
      </c>
      <c r="L68" s="1834">
        <f t="shared" si="173"/>
        <v>0.27858002406738869</v>
      </c>
      <c r="M68" s="1518">
        <f t="shared" si="173"/>
        <v>0.2791642484039466</v>
      </c>
      <c r="N68" s="1518">
        <f t="shared" si="173"/>
        <v>0.27272727272727271</v>
      </c>
      <c r="O68" s="1518">
        <f t="shared" si="173"/>
        <v>0.27228915662650605</v>
      </c>
      <c r="P68" s="1519">
        <f t="shared" si="173"/>
        <v>0.27553176503732918</v>
      </c>
      <c r="Q68" s="1834">
        <f t="shared" si="173"/>
        <v>0.28771929824561404</v>
      </c>
      <c r="R68" s="1518">
        <f t="shared" si="173"/>
        <v>0.27500000000000002</v>
      </c>
      <c r="S68" s="1518">
        <f t="shared" si="173"/>
        <v>0.2687074829931973</v>
      </c>
      <c r="T68" s="1518">
        <f t="shared" si="173"/>
        <v>0.27564766839378241</v>
      </c>
      <c r="U68" s="1519">
        <f t="shared" si="173"/>
        <v>0.27660586835844569</v>
      </c>
      <c r="V68" s="1834">
        <f t="shared" si="173"/>
        <v>0.27903469079939669</v>
      </c>
      <c r="W68" s="1518">
        <f t="shared" si="173"/>
        <v>0.27542372881355931</v>
      </c>
      <c r="X68" s="1518">
        <f t="shared" si="173"/>
        <v>0.26984126984126983</v>
      </c>
      <c r="Y68" s="1518">
        <f t="shared" si="173"/>
        <v>0.2639958911145352</v>
      </c>
      <c r="Z68" s="1519">
        <f t="shared" si="173"/>
        <v>0.27126099706744866</v>
      </c>
      <c r="AA68" s="1518">
        <f t="shared" si="173"/>
        <v>0.2769985974754558</v>
      </c>
      <c r="AB68" s="1518">
        <f t="shared" si="173"/>
        <v>0.26861871419478039</v>
      </c>
      <c r="AC68" s="1518">
        <f t="shared" si="173"/>
        <v>0.26803519061583575</v>
      </c>
      <c r="AD68" s="1518">
        <f t="shared" si="173"/>
        <v>0.27455459113750569</v>
      </c>
      <c r="AE68" s="1519">
        <f t="shared" si="173"/>
        <v>0.27209403569873747</v>
      </c>
      <c r="AF68" s="1834">
        <f t="shared" si="173"/>
        <v>0.28177833437695682</v>
      </c>
      <c r="AG68" s="1518">
        <f t="shared" si="173"/>
        <v>0.27452118398142772</v>
      </c>
      <c r="AH68" s="1518">
        <f t="shared" si="173"/>
        <v>0.26798866855524078</v>
      </c>
      <c r="AI68" s="1520">
        <f t="shared" si="173"/>
        <v>0.26655348047538202</v>
      </c>
      <c r="AJ68" s="1519">
        <f t="shared" si="173"/>
        <v>0.27200645074586749</v>
      </c>
      <c r="AK68" s="1518">
        <f t="shared" si="173"/>
        <v>0.27475672581568406</v>
      </c>
      <c r="AL68" s="1518">
        <f t="shared" ref="AL68:BQ68" si="174">+AL25/AL$20</f>
        <v>0.26706392199349943</v>
      </c>
      <c r="AM68" s="1518">
        <f t="shared" si="174"/>
        <v>0.25684754521963826</v>
      </c>
      <c r="AN68" s="1518">
        <f t="shared" si="174"/>
        <v>0.26055194805194803</v>
      </c>
      <c r="AO68" s="1519">
        <f t="shared" si="174"/>
        <v>0.26426426426426425</v>
      </c>
      <c r="AP68" s="1518">
        <f t="shared" si="174"/>
        <v>0.26850828729281767</v>
      </c>
      <c r="AQ68" s="1518">
        <f t="shared" si="174"/>
        <v>0.26603575184016826</v>
      </c>
      <c r="AR68" s="1518">
        <f t="shared" si="174"/>
        <v>0.25367088607594934</v>
      </c>
      <c r="AS68" s="1518">
        <f t="shared" si="174"/>
        <v>0.26713947990543735</v>
      </c>
      <c r="AT68" s="1519">
        <f t="shared" si="174"/>
        <v>0.26395136778115502</v>
      </c>
      <c r="AU68" s="1518">
        <f t="shared" si="174"/>
        <v>0.26223199560197913</v>
      </c>
      <c r="AV68" s="1518">
        <f t="shared" si="174"/>
        <v>0.25732217573221755</v>
      </c>
      <c r="AW68" s="1518">
        <f t="shared" si="174"/>
        <v>0.24736048265460031</v>
      </c>
      <c r="AX68" s="1518">
        <f t="shared" si="174"/>
        <v>0.25746691871455579</v>
      </c>
      <c r="AY68" s="1519">
        <f t="shared" si="174"/>
        <v>0.25606694560669457</v>
      </c>
      <c r="AZ68" s="1518">
        <f t="shared" si="174"/>
        <v>0.2646755921730175</v>
      </c>
      <c r="BA68" s="1518">
        <f t="shared" si="174"/>
        <v>0.25422093584177519</v>
      </c>
      <c r="BB68" s="1518">
        <f t="shared" si="174"/>
        <v>0.24253232278198841</v>
      </c>
      <c r="BC68" s="1518">
        <f t="shared" si="174"/>
        <v>0.25334271639690359</v>
      </c>
      <c r="BD68" s="1519">
        <f t="shared" si="174"/>
        <v>0.25329670329670328</v>
      </c>
      <c r="BE68" s="1518">
        <f t="shared" si="174"/>
        <v>0.25453677172874878</v>
      </c>
      <c r="BF68" s="1518">
        <f t="shared" si="174"/>
        <v>0.24709427464485578</v>
      </c>
      <c r="BG68" s="1518">
        <f t="shared" si="174"/>
        <v>0.23166800966962128</v>
      </c>
      <c r="BH68" s="1518">
        <f t="shared" si="174"/>
        <v>0.23369565217391305</v>
      </c>
      <c r="BI68" s="1519">
        <f t="shared" si="174"/>
        <v>0.24078024992380373</v>
      </c>
      <c r="BJ68" s="1518">
        <f t="shared" si="174"/>
        <v>0.23826903023983315</v>
      </c>
      <c r="BK68" s="1518">
        <f t="shared" si="174"/>
        <v>0.23466542750929367</v>
      </c>
      <c r="BL68" s="1518">
        <f t="shared" si="174"/>
        <v>0.21504934210526316</v>
      </c>
      <c r="BM68" s="1518">
        <f t="shared" si="174"/>
        <v>0.22981793198213674</v>
      </c>
      <c r="BN68" s="1521">
        <f t="shared" si="174"/>
        <v>0.22883246573887178</v>
      </c>
      <c r="BO68" s="1518">
        <f t="shared" si="174"/>
        <v>0.2309619238476954</v>
      </c>
      <c r="BP68" s="1518">
        <f t="shared" si="174"/>
        <v>0.22657657657657657</v>
      </c>
      <c r="BQ68" s="1518">
        <f t="shared" si="174"/>
        <v>0.20673076923076922</v>
      </c>
      <c r="BR68" s="1518">
        <f t="shared" ref="BR68:CW68" si="175">+BR25/BR$20</f>
        <v>0.22533376750244219</v>
      </c>
      <c r="BS68" s="1521">
        <f t="shared" si="175"/>
        <v>0.22201778595522845</v>
      </c>
      <c r="BT68" s="1518">
        <f t="shared" si="175"/>
        <v>0.22476840565577766</v>
      </c>
      <c r="BU68" s="1518">
        <f t="shared" si="175"/>
        <v>0.22542163718634306</v>
      </c>
      <c r="BV68" s="1518">
        <f t="shared" si="175"/>
        <v>0.21023125437981779</v>
      </c>
      <c r="BW68" s="1518">
        <f t="shared" si="175"/>
        <v>0.22743885296598257</v>
      </c>
      <c r="BX68" s="1521">
        <f t="shared" si="175"/>
        <v>0.22197741668961718</v>
      </c>
      <c r="BY68" s="1518">
        <f t="shared" si="175"/>
        <v>0.2188566552901024</v>
      </c>
      <c r="BZ68" s="1518">
        <f t="shared" si="175"/>
        <v>0.22556118754525706</v>
      </c>
      <c r="CA68" s="1518">
        <f t="shared" si="175"/>
        <v>0.2068746021642266</v>
      </c>
      <c r="CB68" s="1518">
        <f t="shared" si="175"/>
        <v>0.23263598326359833</v>
      </c>
      <c r="CC68" s="1521">
        <f t="shared" si="175"/>
        <v>0.22141468773768275</v>
      </c>
      <c r="CD68" s="1522">
        <f t="shared" si="175"/>
        <v>0.26811594202898553</v>
      </c>
      <c r="CE68" s="1522">
        <f t="shared" si="175"/>
        <v>0.25933014354066986</v>
      </c>
      <c r="CF68" s="1522">
        <f t="shared" si="175"/>
        <v>0.25882352941176473</v>
      </c>
      <c r="CG68" s="1522">
        <f t="shared" si="175"/>
        <v>0.25498891352549891</v>
      </c>
      <c r="CH68" s="1835">
        <f t="shared" si="175"/>
        <v>0.25980839416058393</v>
      </c>
      <c r="CI68" s="1522">
        <f t="shared" si="175"/>
        <v>0.26923076923076922</v>
      </c>
      <c r="CJ68" s="1522">
        <f t="shared" si="175"/>
        <v>0.26325581395348835</v>
      </c>
      <c r="CK68" s="1522">
        <f t="shared" si="175"/>
        <v>0.25508317929759705</v>
      </c>
      <c r="CL68" s="1522">
        <f t="shared" si="175"/>
        <v>0.25531914893617019</v>
      </c>
      <c r="CM68" s="1523">
        <f t="shared" si="175"/>
        <v>0.26004885631801022</v>
      </c>
      <c r="CN68" s="1524">
        <f t="shared" si="175"/>
        <v>0.24653465346534653</v>
      </c>
      <c r="CO68" s="1522">
        <f t="shared" si="175"/>
        <v>0.25497630331753557</v>
      </c>
      <c r="CP68" s="1522">
        <f t="shared" si="175"/>
        <v>0.26243902439024391</v>
      </c>
      <c r="CQ68" s="1071">
        <f t="shared" si="175"/>
        <v>0.27586206896551724</v>
      </c>
      <c r="CR68" s="1955">
        <f t="shared" si="175"/>
        <v>0.2607793405579894</v>
      </c>
      <c r="CS68" s="974">
        <f t="shared" si="175"/>
        <v>0.26967471143756561</v>
      </c>
      <c r="CT68" s="974">
        <f t="shared" si="175"/>
        <v>0.2611717974180735</v>
      </c>
      <c r="CU68" s="974">
        <f t="shared" si="175"/>
        <v>0.26236125126135218</v>
      </c>
      <c r="CV68" s="16">
        <f t="shared" si="175"/>
        <v>0.26311541565778856</v>
      </c>
      <c r="CW68" s="100">
        <f t="shared" si="175"/>
        <v>0.26396181384248207</v>
      </c>
      <c r="CX68" s="1020">
        <f t="shared" ref="CX68:CY68" si="176">+CX25/CX$20</f>
        <v>0.270509977827051</v>
      </c>
      <c r="CY68" s="1020">
        <f t="shared" si="176"/>
        <v>0.26292629262926293</v>
      </c>
      <c r="CZ68" s="16">
        <f t="shared" ref="CZ68:DA68" si="177">+CZ25/CZ$20</f>
        <v>0.25717566016073479</v>
      </c>
      <c r="DA68" s="16">
        <f t="shared" si="177"/>
        <v>0.26067415730337079</v>
      </c>
      <c r="DB68" s="464">
        <f t="shared" ref="DB68:DQ68" si="178">+DB25/DB$20</f>
        <v>0.26287793952967525</v>
      </c>
      <c r="DC68" s="16">
        <f t="shared" si="178"/>
        <v>0.27242675576416897</v>
      </c>
      <c r="DD68" s="16">
        <f t="shared" si="178"/>
        <v>0.26419746590934573</v>
      </c>
      <c r="DE68" s="16">
        <f t="shared" si="178"/>
        <v>0.26135268461802247</v>
      </c>
      <c r="DF68" s="16">
        <f t="shared" si="178"/>
        <v>0.26376380969489271</v>
      </c>
      <c r="DG68" s="464">
        <f t="shared" si="178"/>
        <v>0.26561130354069973</v>
      </c>
      <c r="DH68" s="16">
        <f t="shared" si="178"/>
        <v>0.27166934446416846</v>
      </c>
      <c r="DI68" s="16">
        <f t="shared" si="178"/>
        <v>0.26497921947714409</v>
      </c>
      <c r="DJ68" s="16">
        <f t="shared" si="178"/>
        <v>0.26466525679464226</v>
      </c>
      <c r="DK68" s="16">
        <f t="shared" si="178"/>
        <v>0.26876185554477849</v>
      </c>
      <c r="DL68" s="464">
        <f t="shared" si="178"/>
        <v>0.26764204175824091</v>
      </c>
      <c r="DM68" s="16">
        <f t="shared" si="178"/>
        <v>0.27609439263375452</v>
      </c>
      <c r="DN68" s="16">
        <f t="shared" si="178"/>
        <v>0.26787353211542697</v>
      </c>
      <c r="DO68" s="16">
        <f t="shared" si="178"/>
        <v>0.26650510812673656</v>
      </c>
      <c r="DP68" s="16">
        <f t="shared" si="178"/>
        <v>0.26838460212372711</v>
      </c>
      <c r="DQ68" s="464">
        <f t="shared" si="178"/>
        <v>0.26946670921944077</v>
      </c>
      <c r="DR68" s="16">
        <f t="shared" ref="DR68:EA68" si="179">+DR25/DR$20</f>
        <v>0.27483279054282211</v>
      </c>
      <c r="DS68" s="16">
        <f t="shared" si="179"/>
        <v>0.26676012054563858</v>
      </c>
      <c r="DT68" s="16">
        <f t="shared" si="179"/>
        <v>0.2653975797649698</v>
      </c>
      <c r="DU68" s="16">
        <f t="shared" si="179"/>
        <v>0.26729801992618535</v>
      </c>
      <c r="DV68" s="464">
        <f t="shared" si="179"/>
        <v>0.26833839745764704</v>
      </c>
      <c r="DW68" s="16">
        <f t="shared" si="179"/>
        <v>0.27339075115213191</v>
      </c>
      <c r="DX68" s="16">
        <f t="shared" si="179"/>
        <v>0.26505011207516788</v>
      </c>
      <c r="DY68" s="16">
        <f t="shared" si="179"/>
        <v>0.26314746580837128</v>
      </c>
      <c r="DZ68" s="16">
        <f t="shared" si="179"/>
        <v>0.26464009504870217</v>
      </c>
      <c r="EA68" s="464">
        <f t="shared" si="179"/>
        <v>0.26622733349430039</v>
      </c>
      <c r="EB68" s="11"/>
      <c r="EC68" s="101" t="s">
        <v>134</v>
      </c>
      <c r="ED68" s="138">
        <f>DA68</f>
        <v>0.26067415730337079</v>
      </c>
      <c r="EE68" s="138">
        <v>0.25689000585940686</v>
      </c>
      <c r="EF68" s="809">
        <f t="shared" si="172"/>
        <v>37.841514439639347</v>
      </c>
      <c r="EG68" s="138">
        <f>CV68</f>
        <v>0.26311541565778856</v>
      </c>
      <c r="EH68" s="1208">
        <f t="shared" ref="EH68:EH81" si="180">(ED68-EG68)*10000</f>
        <v>-24.412583544177746</v>
      </c>
      <c r="EI68" s="11"/>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row>
    <row r="69" spans="1:259" s="337" customFormat="1" x14ac:dyDescent="0.2">
      <c r="A69" s="690" t="s">
        <v>612</v>
      </c>
      <c r="B69" s="1834">
        <f>+B26/B$20</f>
        <v>0.27214250371103416</v>
      </c>
      <c r="C69" s="1518"/>
      <c r="D69" s="1518"/>
      <c r="E69" s="1518"/>
      <c r="F69" s="1834">
        <f t="shared" ref="F69:AK69" si="181">+F26/F$20</f>
        <v>0.27696133845806015</v>
      </c>
      <c r="G69" s="1834">
        <f t="shared" si="181"/>
        <v>0.26368715083798883</v>
      </c>
      <c r="H69" s="1518">
        <f t="shared" si="181"/>
        <v>0.25227637921799678</v>
      </c>
      <c r="I69" s="1518">
        <f t="shared" si="181"/>
        <v>0.25601926163723915</v>
      </c>
      <c r="J69" s="1518">
        <f t="shared" si="181"/>
        <v>0.26311263972484955</v>
      </c>
      <c r="K69" s="1834">
        <f t="shared" si="181"/>
        <v>0.25897860417727969</v>
      </c>
      <c r="L69" s="1834">
        <f t="shared" si="181"/>
        <v>0.24789410348977137</v>
      </c>
      <c r="M69" s="1518">
        <f t="shared" si="181"/>
        <v>0.25362739408009288</v>
      </c>
      <c r="N69" s="1518">
        <f t="shared" si="181"/>
        <v>0.25564368517388653</v>
      </c>
      <c r="O69" s="1518">
        <f t="shared" si="181"/>
        <v>0.26313253012048193</v>
      </c>
      <c r="P69" s="1519">
        <f t="shared" si="181"/>
        <v>0.25552894773911816</v>
      </c>
      <c r="Q69" s="1834">
        <f t="shared" si="181"/>
        <v>0.2617543859649123</v>
      </c>
      <c r="R69" s="1518">
        <f t="shared" si="181"/>
        <v>0.26148648648648648</v>
      </c>
      <c r="S69" s="1518">
        <f t="shared" si="181"/>
        <v>0.26802721088435372</v>
      </c>
      <c r="T69" s="1518">
        <f t="shared" si="181"/>
        <v>0.26528497409326424</v>
      </c>
      <c r="U69" s="1519">
        <f t="shared" si="181"/>
        <v>0.26423473433782713</v>
      </c>
      <c r="V69" s="1834">
        <f t="shared" si="181"/>
        <v>0.27149321266968324</v>
      </c>
      <c r="W69" s="1518">
        <f t="shared" si="181"/>
        <v>0.26694915254237289</v>
      </c>
      <c r="X69" s="1518">
        <f t="shared" si="181"/>
        <v>0.26777087646652864</v>
      </c>
      <c r="Y69" s="1518">
        <f t="shared" si="181"/>
        <v>0.27375449409347713</v>
      </c>
      <c r="Z69" s="1519">
        <f t="shared" si="181"/>
        <v>0.2702834799608993</v>
      </c>
      <c r="AA69" s="1518">
        <f t="shared" si="181"/>
        <v>0.25876577840112203</v>
      </c>
      <c r="AB69" s="1518">
        <f t="shared" si="181"/>
        <v>0.25779758115849777</v>
      </c>
      <c r="AC69" s="1518">
        <f t="shared" si="181"/>
        <v>0.26392961876832843</v>
      </c>
      <c r="AD69" s="1518">
        <f t="shared" si="181"/>
        <v>0.26587482868889906</v>
      </c>
      <c r="AE69" s="1519">
        <f t="shared" si="181"/>
        <v>0.26208097518502393</v>
      </c>
      <c r="AF69" s="1834">
        <f t="shared" si="181"/>
        <v>0.26925485284909206</v>
      </c>
      <c r="AG69" s="1518">
        <f t="shared" si="181"/>
        <v>0.2681369704004643</v>
      </c>
      <c r="AH69" s="1518">
        <f t="shared" si="181"/>
        <v>0.27252124645892351</v>
      </c>
      <c r="AI69" s="1520">
        <f t="shared" si="181"/>
        <v>0.27164685908319186</v>
      </c>
      <c r="AJ69" s="1519">
        <f t="shared" si="181"/>
        <v>0.27052815481790082</v>
      </c>
      <c r="AK69" s="1518">
        <f t="shared" si="181"/>
        <v>0.26960503720663997</v>
      </c>
      <c r="AL69" s="1518">
        <f t="shared" ref="AL69:BQ69" si="182">+AL26/AL$20</f>
        <v>0.26814734561213432</v>
      </c>
      <c r="AM69" s="1518">
        <f t="shared" si="182"/>
        <v>0.27131782945736432</v>
      </c>
      <c r="AN69" s="1518">
        <f t="shared" si="182"/>
        <v>0.28084415584415584</v>
      </c>
      <c r="AO69" s="1519">
        <f t="shared" si="182"/>
        <v>0.27314814814814814</v>
      </c>
      <c r="AP69" s="1518">
        <f t="shared" si="182"/>
        <v>0.27127071823204418</v>
      </c>
      <c r="AQ69" s="1518">
        <f t="shared" si="182"/>
        <v>0.27865404837013669</v>
      </c>
      <c r="AR69" s="1518">
        <f t="shared" si="182"/>
        <v>0.28405063291139243</v>
      </c>
      <c r="AS69" s="1518">
        <f t="shared" si="182"/>
        <v>0.28881008668242708</v>
      </c>
      <c r="AT69" s="1519">
        <f t="shared" si="182"/>
        <v>0.28145896656534952</v>
      </c>
      <c r="AU69" s="1518">
        <f t="shared" si="182"/>
        <v>0.27542605827377681</v>
      </c>
      <c r="AV69" s="1518">
        <f t="shared" si="182"/>
        <v>0.28033472803347281</v>
      </c>
      <c r="AW69" s="1518">
        <f t="shared" si="182"/>
        <v>0.28657616892911009</v>
      </c>
      <c r="AX69" s="1518">
        <f t="shared" si="182"/>
        <v>0.30094517958412098</v>
      </c>
      <c r="AY69" s="1519">
        <f t="shared" si="182"/>
        <v>0.28726838015540945</v>
      </c>
      <c r="AZ69" s="1518">
        <f t="shared" si="182"/>
        <v>0.28527291452111225</v>
      </c>
      <c r="BA69" s="1518">
        <f t="shared" si="182"/>
        <v>0.28847081524360829</v>
      </c>
      <c r="BB69" s="1518">
        <f t="shared" si="182"/>
        <v>0.28800713330361122</v>
      </c>
      <c r="BC69" s="1518">
        <f t="shared" si="182"/>
        <v>0.29767769176636172</v>
      </c>
      <c r="BD69" s="1519">
        <f t="shared" si="182"/>
        <v>0.29054945054945053</v>
      </c>
      <c r="BE69" s="1518">
        <f t="shared" si="182"/>
        <v>0.27889207258834764</v>
      </c>
      <c r="BF69" s="1518">
        <f t="shared" si="182"/>
        <v>0.28928110202324581</v>
      </c>
      <c r="BG69" s="1518">
        <f t="shared" si="182"/>
        <v>0.28968573730862207</v>
      </c>
      <c r="BH69" s="1518">
        <f t="shared" si="182"/>
        <v>0.29925271739130432</v>
      </c>
      <c r="BI69" s="1519">
        <f t="shared" si="182"/>
        <v>0.29015544041450775</v>
      </c>
      <c r="BJ69" s="1518">
        <f t="shared" si="182"/>
        <v>0.28258602711157454</v>
      </c>
      <c r="BK69" s="1518">
        <f t="shared" si="182"/>
        <v>0.29275092936802977</v>
      </c>
      <c r="BL69" s="1518">
        <f t="shared" si="182"/>
        <v>0.29070723684210525</v>
      </c>
      <c r="BM69" s="1518">
        <f t="shared" si="182"/>
        <v>0.30848505668155274</v>
      </c>
      <c r="BN69" s="1521">
        <f t="shared" si="182"/>
        <v>0.29501752894932542</v>
      </c>
      <c r="BO69" s="1518">
        <f t="shared" si="182"/>
        <v>0.28557114228456915</v>
      </c>
      <c r="BP69" s="1518">
        <f t="shared" si="182"/>
        <v>0.29369369369369369</v>
      </c>
      <c r="BQ69" s="1518">
        <f t="shared" si="182"/>
        <v>0.28565705128205127</v>
      </c>
      <c r="BR69" s="1518">
        <f t="shared" ref="BR69:CW69" si="183">+BR26/BR$20</f>
        <v>0.30022793878215565</v>
      </c>
      <c r="BS69" s="1521">
        <f t="shared" si="183"/>
        <v>0.29203720740059286</v>
      </c>
      <c r="BT69" s="1518">
        <f t="shared" si="183"/>
        <v>0.27693807898586054</v>
      </c>
      <c r="BU69" s="1518">
        <f t="shared" si="183"/>
        <v>0.29000411353352529</v>
      </c>
      <c r="BV69" s="1518">
        <f t="shared" si="183"/>
        <v>0.27680448493342674</v>
      </c>
      <c r="BW69" s="1518">
        <f t="shared" si="183"/>
        <v>0.28844531908912002</v>
      </c>
      <c r="BX69" s="1521">
        <f t="shared" si="183"/>
        <v>0.2835766088313596</v>
      </c>
      <c r="BY69" s="1518">
        <f t="shared" si="183"/>
        <v>0.26621160409556316</v>
      </c>
      <c r="BZ69" s="1518">
        <f t="shared" si="183"/>
        <v>0.28964518464880523</v>
      </c>
      <c r="CA69" s="1518">
        <f t="shared" si="183"/>
        <v>0.27498408656906431</v>
      </c>
      <c r="CB69" s="1518">
        <f t="shared" si="183"/>
        <v>0.29846582984658299</v>
      </c>
      <c r="CC69" s="1521">
        <f t="shared" si="183"/>
        <v>0.28378264176455675</v>
      </c>
      <c r="CD69" s="1522">
        <f t="shared" si="183"/>
        <v>0.26604554865424429</v>
      </c>
      <c r="CE69" s="1522">
        <f t="shared" si="183"/>
        <v>0.26794258373205743</v>
      </c>
      <c r="CF69" s="1522">
        <f t="shared" si="183"/>
        <v>0.27647058823529413</v>
      </c>
      <c r="CG69" s="1522">
        <f t="shared" si="183"/>
        <v>0.28233555062823357</v>
      </c>
      <c r="CH69" s="1835">
        <f t="shared" si="183"/>
        <v>0.27395072992700731</v>
      </c>
      <c r="CI69" s="1522">
        <f t="shared" si="183"/>
        <v>0.27029914529914528</v>
      </c>
      <c r="CJ69" s="1522">
        <f t="shared" si="183"/>
        <v>0.27162790697674416</v>
      </c>
      <c r="CK69" s="1522">
        <f t="shared" si="183"/>
        <v>0.27079482439926061</v>
      </c>
      <c r="CL69" s="1522">
        <f t="shared" si="183"/>
        <v>0.27588652482269505</v>
      </c>
      <c r="CM69" s="1523">
        <f t="shared" si="183"/>
        <v>0.2724850099933378</v>
      </c>
      <c r="CN69" s="1524">
        <f t="shared" si="183"/>
        <v>0.24752475247524752</v>
      </c>
      <c r="CO69" s="1522">
        <f t="shared" si="183"/>
        <v>0.26445497630331755</v>
      </c>
      <c r="CP69" s="1522">
        <f t="shared" si="183"/>
        <v>0.27512195121951222</v>
      </c>
      <c r="CQ69" s="1071">
        <f t="shared" si="183"/>
        <v>0.2862870890136327</v>
      </c>
      <c r="CR69" s="1955">
        <f t="shared" si="183"/>
        <v>0.26931058335254782</v>
      </c>
      <c r="CS69" s="974">
        <f t="shared" si="183"/>
        <v>0.27387198321091288</v>
      </c>
      <c r="CT69" s="974">
        <f t="shared" si="183"/>
        <v>0.26713008937437932</v>
      </c>
      <c r="CU69" s="974">
        <f t="shared" si="183"/>
        <v>0.27043390514631688</v>
      </c>
      <c r="CV69" s="16">
        <f t="shared" si="183"/>
        <v>0.2566585956416465</v>
      </c>
      <c r="CW69" s="100">
        <f t="shared" si="183"/>
        <v>0.26634844868735086</v>
      </c>
      <c r="CX69" s="1020">
        <f t="shared" ref="CX69:CY69" si="184">+CX26/CX$20</f>
        <v>0.26385809312638581</v>
      </c>
      <c r="CY69" s="1020">
        <f t="shared" si="184"/>
        <v>0.25192519251925194</v>
      </c>
      <c r="CZ69" s="16">
        <f t="shared" ref="CZ69:DA69" si="185">+CZ26/CZ$20</f>
        <v>0.25028702640642941</v>
      </c>
      <c r="DA69" s="16">
        <f t="shared" si="185"/>
        <v>0.25505617977528089</v>
      </c>
      <c r="DB69" s="464">
        <f t="shared" ref="DB69:DQ69" si="186">+DB26/DB$20</f>
        <v>0.25531914893617019</v>
      </c>
      <c r="DC69" s="16">
        <f t="shared" si="186"/>
        <v>0.25393526266352384</v>
      </c>
      <c r="DD69" s="16">
        <f t="shared" si="186"/>
        <v>0.24362848663385706</v>
      </c>
      <c r="DE69" s="16">
        <f t="shared" si="186"/>
        <v>0.24615965420274707</v>
      </c>
      <c r="DF69" s="16">
        <f t="shared" si="186"/>
        <v>0.25117647029834533</v>
      </c>
      <c r="DG69" s="464">
        <f t="shared" si="186"/>
        <v>0.24894966783628289</v>
      </c>
      <c r="DH69" s="16">
        <f t="shared" si="186"/>
        <v>0.24991757446607318</v>
      </c>
      <c r="DI69" s="16">
        <f t="shared" si="186"/>
        <v>0.24035468093961718</v>
      </c>
      <c r="DJ69" s="16">
        <f t="shared" si="186"/>
        <v>0.24317421991260396</v>
      </c>
      <c r="DK69" s="16">
        <f t="shared" si="186"/>
        <v>0.2474283988928912</v>
      </c>
      <c r="DL69" s="464">
        <f t="shared" si="186"/>
        <v>0.24536161229710435</v>
      </c>
      <c r="DM69" s="16">
        <f t="shared" si="186"/>
        <v>0.24609937584713235</v>
      </c>
      <c r="DN69" s="16">
        <f t="shared" si="186"/>
        <v>0.23733676765460629</v>
      </c>
      <c r="DO69" s="16">
        <f t="shared" si="186"/>
        <v>0.24133813273681357</v>
      </c>
      <c r="DP69" s="16">
        <f t="shared" si="186"/>
        <v>0.24632630877751227</v>
      </c>
      <c r="DQ69" s="464">
        <f t="shared" si="186"/>
        <v>0.24303995588809474</v>
      </c>
      <c r="DR69" s="16">
        <f t="shared" ref="DR69:EA69" si="187">+DR26/DR$20</f>
        <v>0.24638157326755025</v>
      </c>
      <c r="DS69" s="16">
        <f t="shared" si="187"/>
        <v>0.23729330059196319</v>
      </c>
      <c r="DT69" s="16">
        <f t="shared" si="187"/>
        <v>0.24143419807470953</v>
      </c>
      <c r="DU69" s="16">
        <f t="shared" si="187"/>
        <v>0.24661442251998653</v>
      </c>
      <c r="DV69" s="464">
        <f t="shared" si="187"/>
        <v>0.24320208027829424</v>
      </c>
      <c r="DW69" s="16">
        <f t="shared" si="187"/>
        <v>0.24654312523607402</v>
      </c>
      <c r="DX69" s="16">
        <f t="shared" si="187"/>
        <v>0.23736474001261618</v>
      </c>
      <c r="DY69" s="16">
        <f t="shared" si="187"/>
        <v>0.24177594173982891</v>
      </c>
      <c r="DZ69" s="16">
        <f t="shared" si="187"/>
        <v>0.24747759065190481</v>
      </c>
      <c r="EA69" s="464">
        <f t="shared" si="187"/>
        <v>0.24361896749687809</v>
      </c>
      <c r="EB69" s="11"/>
      <c r="EC69" s="101" t="s">
        <v>135</v>
      </c>
      <c r="ED69" s="138">
        <f>DA69</f>
        <v>0.25505617977528089</v>
      </c>
      <c r="EE69" s="138">
        <v>0.25522618084583537</v>
      </c>
      <c r="EF69" s="809">
        <f t="shared" si="172"/>
        <v>-1.7000107055448188</v>
      </c>
      <c r="EG69" s="138">
        <f>CV69</f>
        <v>0.2566585956416465</v>
      </c>
      <c r="EH69" s="1208">
        <f t="shared" si="180"/>
        <v>-16.024158663656141</v>
      </c>
      <c r="EI69" s="11"/>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row>
    <row r="70" spans="1:259" s="340" customFormat="1" x14ac:dyDescent="0.2">
      <c r="A70" s="684" t="s">
        <v>613</v>
      </c>
      <c r="B70" s="1836">
        <f t="shared" ref="B70:AG70" si="188">1-((B24+B25+B26)/B20)</f>
        <v>0.10984661058881739</v>
      </c>
      <c r="C70" s="1525">
        <f t="shared" si="188"/>
        <v>0.12558795860771399</v>
      </c>
      <c r="D70" s="1525">
        <f t="shared" si="188"/>
        <v>0.11887141535615176</v>
      </c>
      <c r="E70" s="1525">
        <f t="shared" si="188"/>
        <v>0.10858683095879862</v>
      </c>
      <c r="F70" s="1526">
        <f t="shared" si="188"/>
        <v>0.10942799005200088</v>
      </c>
      <c r="G70" s="1836">
        <f t="shared" si="188"/>
        <v>0.11173184357541899</v>
      </c>
      <c r="H70" s="1525">
        <f t="shared" si="188"/>
        <v>0.1392608462774505</v>
      </c>
      <c r="I70" s="1525">
        <f t="shared" si="188"/>
        <v>0.14740502942750133</v>
      </c>
      <c r="J70" s="1527">
        <f t="shared" si="188"/>
        <v>0.13714531384350814</v>
      </c>
      <c r="K70" s="1526">
        <f t="shared" si="188"/>
        <v>0.13429699439633214</v>
      </c>
      <c r="L70" s="1837">
        <f t="shared" si="188"/>
        <v>0.15583634175691941</v>
      </c>
      <c r="M70" s="1525">
        <f t="shared" si="188"/>
        <v>0.15728380731282643</v>
      </c>
      <c r="N70" s="1525">
        <f t="shared" si="188"/>
        <v>0.15863331299572914</v>
      </c>
      <c r="O70" s="1525">
        <f t="shared" si="188"/>
        <v>0.14506024096385539</v>
      </c>
      <c r="P70" s="1526">
        <f t="shared" si="188"/>
        <v>0.15368361741090297</v>
      </c>
      <c r="Q70" s="1836">
        <f t="shared" si="188"/>
        <v>0.14105263157894732</v>
      </c>
      <c r="R70" s="1525">
        <f t="shared" si="188"/>
        <v>0.16013513513513511</v>
      </c>
      <c r="S70" s="1525">
        <f t="shared" si="188"/>
        <v>0.15374149659863945</v>
      </c>
      <c r="T70" s="1525">
        <f t="shared" si="188"/>
        <v>0.149740932642487</v>
      </c>
      <c r="U70" s="1526">
        <f t="shared" si="188"/>
        <v>0.15114988104678828</v>
      </c>
      <c r="V70" s="1836">
        <f t="shared" si="188"/>
        <v>0.14027149321266963</v>
      </c>
      <c r="W70" s="1525">
        <f t="shared" si="188"/>
        <v>0.14548022598870058</v>
      </c>
      <c r="X70" s="1525">
        <f t="shared" si="188"/>
        <v>0.14699792960662528</v>
      </c>
      <c r="Y70" s="1525">
        <f t="shared" si="188"/>
        <v>0.15459681561376482</v>
      </c>
      <c r="Z70" s="1526">
        <f t="shared" si="188"/>
        <v>0.14760508308895404</v>
      </c>
      <c r="AA70" s="1525">
        <f t="shared" si="188"/>
        <v>0.15638148667601681</v>
      </c>
      <c r="AB70" s="1525">
        <f t="shared" si="188"/>
        <v>0.1667727562062381</v>
      </c>
      <c r="AC70" s="1525">
        <f t="shared" si="188"/>
        <v>0.16480938416422286</v>
      </c>
      <c r="AD70" s="1525">
        <f t="shared" si="188"/>
        <v>0.15303791685701229</v>
      </c>
      <c r="AE70" s="1526">
        <f t="shared" si="188"/>
        <v>0.1597736177622987</v>
      </c>
      <c r="AF70" s="1836">
        <f t="shared" si="188"/>
        <v>0.14088916718847844</v>
      </c>
      <c r="AG70" s="1525">
        <f t="shared" si="188"/>
        <v>0.1485780615206036</v>
      </c>
      <c r="AH70" s="1525">
        <f t="shared" ref="AH70:BM70" si="189">1-((AH24+AH25+AH26)/AH20)</f>
        <v>0.15127478753541079</v>
      </c>
      <c r="AI70" s="1528">
        <f t="shared" si="189"/>
        <v>0.15110356536502545</v>
      </c>
      <c r="AJ70" s="1526">
        <f t="shared" si="189"/>
        <v>0.14836715495229136</v>
      </c>
      <c r="AK70" s="1525">
        <f t="shared" si="189"/>
        <v>0.14653692043503153</v>
      </c>
      <c r="AL70" s="1525">
        <f t="shared" si="189"/>
        <v>0.1462621885157096</v>
      </c>
      <c r="AM70" s="1525">
        <f t="shared" si="189"/>
        <v>0.15245478036175708</v>
      </c>
      <c r="AN70" s="1529">
        <f t="shared" si="189"/>
        <v>0.13717532467532467</v>
      </c>
      <c r="AO70" s="1526">
        <f t="shared" si="189"/>
        <v>0.14502002002002001</v>
      </c>
      <c r="AP70" s="1525">
        <f t="shared" si="189"/>
        <v>0.14309392265193366</v>
      </c>
      <c r="AQ70" s="1525">
        <f t="shared" si="189"/>
        <v>0.13985278654048372</v>
      </c>
      <c r="AR70" s="1525">
        <f t="shared" si="189"/>
        <v>0.14886075949367084</v>
      </c>
      <c r="AS70" s="1525">
        <f t="shared" si="189"/>
        <v>0.13238770685579193</v>
      </c>
      <c r="AT70" s="1526">
        <f t="shared" si="189"/>
        <v>0.1404255319148936</v>
      </c>
      <c r="AU70" s="1525">
        <f t="shared" si="189"/>
        <v>0.15612974161627269</v>
      </c>
      <c r="AV70" s="1525">
        <f t="shared" si="189"/>
        <v>0.15742677824267781</v>
      </c>
      <c r="AW70" s="1525">
        <f t="shared" si="189"/>
        <v>0.16138763197586725</v>
      </c>
      <c r="AX70" s="1525">
        <f t="shared" si="189"/>
        <v>0.1379962192816635</v>
      </c>
      <c r="AY70" s="1526">
        <f t="shared" si="189"/>
        <v>0.15194261805140463</v>
      </c>
      <c r="AZ70" s="1525">
        <f t="shared" si="189"/>
        <v>0.14830072090628221</v>
      </c>
      <c r="BA70" s="1525">
        <f t="shared" si="189"/>
        <v>0.14954172696575008</v>
      </c>
      <c r="BB70" s="1525">
        <f t="shared" si="189"/>
        <v>0.15737851092287114</v>
      </c>
      <c r="BC70" s="1525">
        <f t="shared" si="189"/>
        <v>0.13230119634060522</v>
      </c>
      <c r="BD70" s="1526">
        <f t="shared" si="189"/>
        <v>0.14582417582417584</v>
      </c>
      <c r="BE70" s="1525">
        <f t="shared" si="189"/>
        <v>0.14708691499522442</v>
      </c>
      <c r="BF70" s="1525">
        <f t="shared" si="189"/>
        <v>0.13387860525182949</v>
      </c>
      <c r="BG70" s="1525">
        <f t="shared" si="189"/>
        <v>0.14423851732473814</v>
      </c>
      <c r="BH70" s="1525">
        <f t="shared" si="189"/>
        <v>0.13620923913043481</v>
      </c>
      <c r="BI70" s="1526">
        <f t="shared" si="189"/>
        <v>0.13999796809915677</v>
      </c>
      <c r="BJ70" s="1525">
        <f t="shared" si="189"/>
        <v>0.16058394160583944</v>
      </c>
      <c r="BK70" s="1525">
        <f t="shared" si="189"/>
        <v>0.15055762081784385</v>
      </c>
      <c r="BL70" s="1525">
        <f t="shared" si="189"/>
        <v>0.17475328947368418</v>
      </c>
      <c r="BM70" s="1525">
        <f t="shared" si="189"/>
        <v>0.14496736516660946</v>
      </c>
      <c r="BN70" s="1530">
        <f t="shared" ref="BN70:CS70" si="190">1-((BN24+BN25+BN26)/BN20)</f>
        <v>0.15712312758950386</v>
      </c>
      <c r="BO70" s="1525">
        <f t="shared" si="190"/>
        <v>0.1703406813627254</v>
      </c>
      <c r="BP70" s="1525">
        <f t="shared" si="190"/>
        <v>0.16486486486486485</v>
      </c>
      <c r="BQ70" s="1525">
        <f t="shared" si="190"/>
        <v>0.19190705128205132</v>
      </c>
      <c r="BR70" s="1525">
        <f t="shared" si="190"/>
        <v>0.15564962552914363</v>
      </c>
      <c r="BS70" s="1530">
        <f t="shared" si="190"/>
        <v>0.16998875600531538</v>
      </c>
      <c r="BT70" s="1525">
        <f t="shared" si="190"/>
        <v>0.17552413456850313</v>
      </c>
      <c r="BU70" s="1525">
        <f t="shared" si="190"/>
        <v>0.15878239407651173</v>
      </c>
      <c r="BV70" s="1525">
        <f t="shared" si="190"/>
        <v>0.17309039943938331</v>
      </c>
      <c r="BW70" s="1525">
        <f t="shared" si="190"/>
        <v>0.14422265954456004</v>
      </c>
      <c r="BX70" s="1530">
        <f t="shared" si="190"/>
        <v>0.16092903699623606</v>
      </c>
      <c r="BY70" s="1525">
        <f t="shared" si="190"/>
        <v>0.1877133105802048</v>
      </c>
      <c r="BZ70" s="1525">
        <f t="shared" si="190"/>
        <v>0.15314989138305579</v>
      </c>
      <c r="CA70" s="1525">
        <f t="shared" si="190"/>
        <v>0.19064290260980266</v>
      </c>
      <c r="CB70" s="1525">
        <f t="shared" si="190"/>
        <v>0.14476987447698741</v>
      </c>
      <c r="CC70" s="1530">
        <f t="shared" si="190"/>
        <v>0.16741316656807237</v>
      </c>
      <c r="CD70" s="1531">
        <f t="shared" si="190"/>
        <v>0.15010351966873703</v>
      </c>
      <c r="CE70" s="1531">
        <f t="shared" si="190"/>
        <v>0.15119617224880377</v>
      </c>
      <c r="CF70" s="1531">
        <f t="shared" si="190"/>
        <v>0.13921568627450975</v>
      </c>
      <c r="CG70" s="1531">
        <f t="shared" si="190"/>
        <v>0.13895048041389502</v>
      </c>
      <c r="CH70" s="1838">
        <f t="shared" si="190"/>
        <v>0.14438868613138689</v>
      </c>
      <c r="CI70" s="1531">
        <f t="shared" si="190"/>
        <v>0.13247863247863245</v>
      </c>
      <c r="CJ70" s="1531">
        <f t="shared" si="190"/>
        <v>0.1348837209302326</v>
      </c>
      <c r="CK70" s="1531">
        <f t="shared" si="190"/>
        <v>0.14787430683918668</v>
      </c>
      <c r="CL70" s="1531">
        <f t="shared" si="190"/>
        <v>0.14539007092198586</v>
      </c>
      <c r="CM70" s="1532">
        <f t="shared" si="190"/>
        <v>0.14079502553852985</v>
      </c>
      <c r="CN70" s="1533">
        <f t="shared" si="190"/>
        <v>0.21287128712871284</v>
      </c>
      <c r="CO70" s="1531">
        <f t="shared" si="190"/>
        <v>0.17156398104265402</v>
      </c>
      <c r="CP70" s="1531">
        <f t="shared" si="190"/>
        <v>0.14829268292682929</v>
      </c>
      <c r="CQ70" s="1043">
        <f t="shared" si="190"/>
        <v>0.11387329591018447</v>
      </c>
      <c r="CR70" s="1956">
        <f t="shared" si="190"/>
        <v>0.15909614941203598</v>
      </c>
      <c r="CS70" s="2074">
        <f t="shared" si="190"/>
        <v>0.15529905561385104</v>
      </c>
      <c r="CT70" s="2074">
        <f t="shared" ref="CT70:DQ70" si="191">1-((CT24+CT25+CT26)/CT20)</f>
        <v>0.16683217477656409</v>
      </c>
      <c r="CU70" s="2074">
        <f t="shared" si="191"/>
        <v>0.16145307769929362</v>
      </c>
      <c r="CV70" s="103">
        <f t="shared" si="191"/>
        <v>0.18159806295399517</v>
      </c>
      <c r="CW70" s="104">
        <f t="shared" si="191"/>
        <v>0.16730310262529835</v>
      </c>
      <c r="CX70" s="1165">
        <f t="shared" si="191"/>
        <v>0.15964523281596454</v>
      </c>
      <c r="CY70" s="1165">
        <f t="shared" ref="CY70:CZ70" si="192">1-((CY24+CY25+CY26)/CY20)</f>
        <v>0.17711771177117708</v>
      </c>
      <c r="CZ70" s="103">
        <f t="shared" si="192"/>
        <v>0.17680826636050517</v>
      </c>
      <c r="DA70" s="103">
        <f t="shared" ref="DA70" si="193">1-((DA24+DA25+DA26)/DA20)</f>
        <v>0.17865168539325837</v>
      </c>
      <c r="DB70" s="465">
        <f t="shared" si="191"/>
        <v>0.17301231802911532</v>
      </c>
      <c r="DC70" s="103">
        <f t="shared" si="191"/>
        <v>0.17258650061912828</v>
      </c>
      <c r="DD70" s="103">
        <f t="shared" si="191"/>
        <v>0.19008054506862726</v>
      </c>
      <c r="DE70" s="103">
        <f t="shared" si="191"/>
        <v>0.18323092633920446</v>
      </c>
      <c r="DF70" s="103">
        <f t="shared" si="191"/>
        <v>0.18562329209581518</v>
      </c>
      <c r="DG70" s="465">
        <f t="shared" si="191"/>
        <v>0.18274763582067166</v>
      </c>
      <c r="DH70" s="103">
        <f t="shared" si="191"/>
        <v>0.1809011962894258</v>
      </c>
      <c r="DI70" s="103">
        <f t="shared" si="191"/>
        <v>0.19738660882331382</v>
      </c>
      <c r="DJ70" s="103">
        <f t="shared" si="191"/>
        <v>0.18881934444615289</v>
      </c>
      <c r="DK70" s="103">
        <f t="shared" si="191"/>
        <v>0.19232822768836377</v>
      </c>
      <c r="DL70" s="465">
        <f t="shared" si="191"/>
        <v>0.18985404240975967</v>
      </c>
      <c r="DM70" s="103">
        <f t="shared" si="191"/>
        <v>0.18770195579070026</v>
      </c>
      <c r="DN70" s="103">
        <f t="shared" si="191"/>
        <v>0.20309581494509465</v>
      </c>
      <c r="DO70" s="103">
        <f t="shared" si="191"/>
        <v>0.1921723871266322</v>
      </c>
      <c r="DP70" s="103">
        <f t="shared" si="191"/>
        <v>0.19502733570576902</v>
      </c>
      <c r="DQ70" s="465">
        <f t="shared" si="191"/>
        <v>0.19462723645752822</v>
      </c>
      <c r="DR70" s="103">
        <f t="shared" ref="DR70:EA70" si="194">1-((DR24+DR25+DR26)/DR20)</f>
        <v>0.1877726722274814</v>
      </c>
      <c r="DS70" s="103">
        <f t="shared" si="194"/>
        <v>0.20349127965757519</v>
      </c>
      <c r="DT70" s="103">
        <f t="shared" si="194"/>
        <v>0.1925591487291346</v>
      </c>
      <c r="DU70" s="103">
        <f t="shared" si="194"/>
        <v>0.19494399306161725</v>
      </c>
      <c r="DV70" s="465">
        <f t="shared" si="194"/>
        <v>0.19479587569718104</v>
      </c>
      <c r="DW70" s="103">
        <f t="shared" si="194"/>
        <v>0.18805311347336728</v>
      </c>
      <c r="DX70" s="103">
        <f t="shared" si="194"/>
        <v>0.20377223313189929</v>
      </c>
      <c r="DY70" s="103">
        <f t="shared" si="194"/>
        <v>0.1929070232768636</v>
      </c>
      <c r="DZ70" s="103">
        <f t="shared" si="194"/>
        <v>0.19430705763142764</v>
      </c>
      <c r="EA70" s="465">
        <f t="shared" si="194"/>
        <v>0.19480612636837014</v>
      </c>
      <c r="EB70" s="18"/>
      <c r="EC70" s="26" t="s">
        <v>315</v>
      </c>
      <c r="ED70" s="512">
        <f>DA70</f>
        <v>0.17865168539325837</v>
      </c>
      <c r="EE70" s="512">
        <v>0.17385849296416545</v>
      </c>
      <c r="EF70" s="810">
        <f t="shared" si="172"/>
        <v>47.931924290929295</v>
      </c>
      <c r="EG70" s="512">
        <f>CV70</f>
        <v>0.18159806295399517</v>
      </c>
      <c r="EH70" s="1209">
        <f t="shared" si="180"/>
        <v>-29.463775607367904</v>
      </c>
      <c r="EI70" s="18"/>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row>
    <row r="71" spans="1:259" s="337" customFormat="1" x14ac:dyDescent="0.2">
      <c r="A71" s="431" t="s">
        <v>230</v>
      </c>
      <c r="B71" s="1834">
        <f t="shared" ref="B71:AG71" si="195">B28/B22</f>
        <v>8.899297423887588E-2</v>
      </c>
      <c r="C71" s="1518">
        <f t="shared" si="195"/>
        <v>9.4039735099337746E-2</v>
      </c>
      <c r="D71" s="1518">
        <f t="shared" si="195"/>
        <v>0.10260869565217391</v>
      </c>
      <c r="E71" s="1518">
        <f t="shared" si="195"/>
        <v>0.10827338129496403</v>
      </c>
      <c r="F71" s="1519">
        <f t="shared" si="195"/>
        <v>9.9798280072194503E-2</v>
      </c>
      <c r="G71" s="1834">
        <f t="shared" si="195"/>
        <v>0.10067637877211238</v>
      </c>
      <c r="H71" s="1518">
        <f t="shared" si="195"/>
        <v>0.1024487756121939</v>
      </c>
      <c r="I71" s="1518">
        <f t="shared" si="195"/>
        <v>0.10268210609659541</v>
      </c>
      <c r="J71" s="1518">
        <f t="shared" si="195"/>
        <v>0.11957295373665479</v>
      </c>
      <c r="K71" s="1519">
        <f t="shared" si="195"/>
        <v>0.10713780251922443</v>
      </c>
      <c r="L71" s="1834">
        <f t="shared" si="195"/>
        <v>0.11472697186982901</v>
      </c>
      <c r="M71" s="1518">
        <f t="shared" si="195"/>
        <v>0.11664899257688228</v>
      </c>
      <c r="N71" s="1518">
        <f t="shared" si="195"/>
        <v>0.11092715231788079</v>
      </c>
      <c r="O71" s="1518">
        <f t="shared" si="195"/>
        <v>0.12678494158372999</v>
      </c>
      <c r="P71" s="1519">
        <f t="shared" si="195"/>
        <v>0.11787266683712605</v>
      </c>
      <c r="Q71" s="1834">
        <f t="shared" si="195"/>
        <v>0.10895428929242329</v>
      </c>
      <c r="R71" s="1518">
        <f t="shared" si="195"/>
        <v>0.11292270531400966</v>
      </c>
      <c r="S71" s="1518">
        <f t="shared" si="195"/>
        <v>0.11700844390832328</v>
      </c>
      <c r="T71" s="1518">
        <f t="shared" si="195"/>
        <v>0.13703024747937673</v>
      </c>
      <c r="U71" s="1519">
        <f t="shared" si="195"/>
        <v>0.12040039475539265</v>
      </c>
      <c r="V71" s="1834">
        <f t="shared" si="195"/>
        <v>0.1148738379814077</v>
      </c>
      <c r="W71" s="1518">
        <f t="shared" si="195"/>
        <v>0.11838006230529595</v>
      </c>
      <c r="X71" s="1518">
        <f t="shared" si="195"/>
        <v>0.10792682926829268</v>
      </c>
      <c r="Y71" s="1518">
        <f t="shared" si="195"/>
        <v>0.11671207992733879</v>
      </c>
      <c r="Z71" s="1519">
        <f t="shared" si="195"/>
        <v>0.11462677980727744</v>
      </c>
      <c r="AA71" s="1518">
        <f t="shared" si="195"/>
        <v>0.1127633209417596</v>
      </c>
      <c r="AB71" s="1518">
        <f t="shared" si="195"/>
        <v>0.12167515563101301</v>
      </c>
      <c r="AC71" s="1518">
        <f t="shared" si="195"/>
        <v>0.11436031331592689</v>
      </c>
      <c r="AD71" s="1518">
        <f t="shared" si="195"/>
        <v>0.12068264932954084</v>
      </c>
      <c r="AE71" s="1519">
        <f t="shared" si="195"/>
        <v>0.11770014180739977</v>
      </c>
      <c r="AF71" s="1834">
        <f t="shared" si="195"/>
        <v>0.11265260821309656</v>
      </c>
      <c r="AG71" s="1518">
        <f t="shared" si="195"/>
        <v>0.10743801652892562</v>
      </c>
      <c r="AH71" s="1518">
        <f t="shared" ref="AH71:BM71" si="196">AH28/AH22</f>
        <v>0.10658622423328305</v>
      </c>
      <c r="AI71" s="1520">
        <f t="shared" si="196"/>
        <v>0.12137203166226913</v>
      </c>
      <c r="AJ71" s="1519">
        <f t="shared" si="196"/>
        <v>0.11276849642004773</v>
      </c>
      <c r="AK71" s="1518">
        <f t="shared" si="196"/>
        <v>0.12030456852791878</v>
      </c>
      <c r="AL71" s="1518">
        <f t="shared" si="196"/>
        <v>0.11266249398170439</v>
      </c>
      <c r="AM71" s="1518">
        <f t="shared" si="196"/>
        <v>0.11473152822395594</v>
      </c>
      <c r="AN71" s="1518">
        <f t="shared" si="196"/>
        <v>0.12028725314183124</v>
      </c>
      <c r="AO71" s="1519">
        <f t="shared" si="196"/>
        <v>0.11719010098768172</v>
      </c>
      <c r="AP71" s="1518">
        <f t="shared" si="196"/>
        <v>0.12025316455696203</v>
      </c>
      <c r="AQ71" s="1518">
        <f t="shared" si="196"/>
        <v>0.12679981421272643</v>
      </c>
      <c r="AR71" s="1518">
        <f t="shared" si="196"/>
        <v>0.11769950958537673</v>
      </c>
      <c r="AS71" s="1518">
        <f t="shared" si="196"/>
        <v>0.12901000344946534</v>
      </c>
      <c r="AT71" s="1519">
        <f t="shared" si="196"/>
        <v>0.12386351481441865</v>
      </c>
      <c r="AU71" s="1518">
        <f t="shared" si="196"/>
        <v>0.12182254196642686</v>
      </c>
      <c r="AV71" s="1518">
        <f t="shared" si="196"/>
        <v>0.12098991750687443</v>
      </c>
      <c r="AW71" s="1518">
        <f t="shared" si="196"/>
        <v>0.1189640035118525</v>
      </c>
      <c r="AX71" s="1518">
        <f t="shared" si="196"/>
        <v>0.13196286472148541</v>
      </c>
      <c r="AY71" s="1519">
        <f t="shared" si="196"/>
        <v>0.12415019349440436</v>
      </c>
      <c r="AZ71" s="1518">
        <f t="shared" si="196"/>
        <v>0.11785874943769681</v>
      </c>
      <c r="BA71" s="1518">
        <f t="shared" si="196"/>
        <v>0.12125052809463456</v>
      </c>
      <c r="BB71" s="1518">
        <f t="shared" si="196"/>
        <v>0.10959438377535101</v>
      </c>
      <c r="BC71" s="1518">
        <f t="shared" si="196"/>
        <v>0.14193746167995094</v>
      </c>
      <c r="BD71" s="1519">
        <f t="shared" si="196"/>
        <v>0.12413594470046083</v>
      </c>
      <c r="BE71" s="1518">
        <f t="shared" si="196"/>
        <v>0.11438043928719437</v>
      </c>
      <c r="BF71" s="1518">
        <f t="shared" si="196"/>
        <v>0.11948737278552582</v>
      </c>
      <c r="BG71" s="1518">
        <f t="shared" si="196"/>
        <v>0.10731878958479944</v>
      </c>
      <c r="BH71" s="1518">
        <f t="shared" si="196"/>
        <v>0.1312444575820278</v>
      </c>
      <c r="BI71" s="1519">
        <f t="shared" si="196"/>
        <v>0.11885572579930918</v>
      </c>
      <c r="BJ71" s="1518">
        <f t="shared" si="196"/>
        <v>0.11502029769959404</v>
      </c>
      <c r="BK71" s="1518">
        <f t="shared" si="196"/>
        <v>0.11348949919224556</v>
      </c>
      <c r="BL71" s="1518">
        <f t="shared" si="196"/>
        <v>9.9352051835853133E-2</v>
      </c>
      <c r="BM71" s="1518">
        <f t="shared" si="196"/>
        <v>0.12154531946508172</v>
      </c>
      <c r="BN71" s="1521">
        <f t="shared" ref="BN71:CS71" si="197">BN28/BN22</f>
        <v>0.11267995570321152</v>
      </c>
      <c r="BO71" s="1518">
        <f t="shared" si="197"/>
        <v>0.1044776119402985</v>
      </c>
      <c r="BP71" s="1518">
        <f t="shared" si="197"/>
        <v>0.10994560994560995</v>
      </c>
      <c r="BQ71" s="1518">
        <f t="shared" si="197"/>
        <v>9.9580712788259959E-2</v>
      </c>
      <c r="BR71" s="1518">
        <f t="shared" si="197"/>
        <v>0.13026389668725435</v>
      </c>
      <c r="BS71" s="1521">
        <f t="shared" si="197"/>
        <v>0.11258044609009962</v>
      </c>
      <c r="BT71" s="1518">
        <f t="shared" si="197"/>
        <v>0.10515463917525773</v>
      </c>
      <c r="BU71" s="1518">
        <f t="shared" si="197"/>
        <v>0.109375</v>
      </c>
      <c r="BV71" s="1518">
        <f t="shared" si="197"/>
        <v>9.4685400122174704E-2</v>
      </c>
      <c r="BW71" s="1518">
        <f t="shared" si="197"/>
        <v>0.12138165896375577</v>
      </c>
      <c r="BX71" s="1521">
        <f t="shared" si="197"/>
        <v>0.10866466022493268</v>
      </c>
      <c r="BY71" s="1518">
        <f t="shared" si="197"/>
        <v>9.9161502005103902E-2</v>
      </c>
      <c r="BZ71" s="1518">
        <f t="shared" si="197"/>
        <v>0.10921717171717171</v>
      </c>
      <c r="CA71" s="1518">
        <f t="shared" si="197"/>
        <v>9.3023255813953487E-2</v>
      </c>
      <c r="CB71" s="1518">
        <f t="shared" si="197"/>
        <v>0.13484228268721407</v>
      </c>
      <c r="CC71" s="1521">
        <f t="shared" si="197"/>
        <v>0.11076065429472604</v>
      </c>
      <c r="CD71" s="1522">
        <f t="shared" si="197"/>
        <v>0.14704573509323859</v>
      </c>
      <c r="CE71" s="1522">
        <f t="shared" si="197"/>
        <v>0.16658809261631596</v>
      </c>
      <c r="CF71" s="1522">
        <f t="shared" si="197"/>
        <v>0.1519455528435644</v>
      </c>
      <c r="CG71" s="1522">
        <f t="shared" si="197"/>
        <v>0.19203496139370252</v>
      </c>
      <c r="CH71" s="1835">
        <f t="shared" si="197"/>
        <v>0.16674458469689887</v>
      </c>
      <c r="CI71" s="1522">
        <f t="shared" si="197"/>
        <v>0.15020421304850592</v>
      </c>
      <c r="CJ71" s="1522">
        <f t="shared" si="197"/>
        <v>0.16118601962729925</v>
      </c>
      <c r="CK71" s="1522">
        <f t="shared" si="197"/>
        <v>0.14479821923593536</v>
      </c>
      <c r="CL71" s="1522">
        <f t="shared" si="197"/>
        <v>0.17246768404886487</v>
      </c>
      <c r="CM71" s="1523">
        <f t="shared" si="197"/>
        <v>0.15849400333991195</v>
      </c>
      <c r="CN71" s="1524">
        <f t="shared" si="197"/>
        <v>0.15376044190886476</v>
      </c>
      <c r="CO71" s="1522">
        <f t="shared" si="197"/>
        <v>0.16530372763172682</v>
      </c>
      <c r="CP71" s="1522">
        <f t="shared" si="197"/>
        <v>0.15663639788935743</v>
      </c>
      <c r="CQ71" s="1071">
        <f t="shared" si="197"/>
        <v>0.20105540897097626</v>
      </c>
      <c r="CR71" s="1955">
        <f t="shared" si="197"/>
        <v>0.17114965066939136</v>
      </c>
      <c r="CS71" s="974">
        <f t="shared" si="197"/>
        <v>0.16839916839916841</v>
      </c>
      <c r="CT71" s="974">
        <f t="shared" ref="CT71:DQ71" si="198">CT28/CT22</f>
        <v>0.16821192052980133</v>
      </c>
      <c r="CU71" s="974">
        <f t="shared" si="198"/>
        <v>0.17798286090969018</v>
      </c>
      <c r="CV71" s="16">
        <f t="shared" si="198"/>
        <v>0.19183889772125065</v>
      </c>
      <c r="CW71" s="100">
        <f t="shared" si="198"/>
        <v>0.17759949661790153</v>
      </c>
      <c r="CX71" s="1020">
        <f t="shared" si="198"/>
        <v>0.16725476358503882</v>
      </c>
      <c r="CY71" s="1020">
        <f t="shared" ref="CY71:CZ71" si="199">CY28/CY22</f>
        <v>0.17058011049723756</v>
      </c>
      <c r="CZ71" s="16">
        <f t="shared" si="199"/>
        <v>0.14972144846796656</v>
      </c>
      <c r="DA71" s="16">
        <f t="shared" ref="DA71" si="200">DA28/DA22</f>
        <v>0.19023462270133165</v>
      </c>
      <c r="DB71" s="464">
        <f t="shared" si="198"/>
        <v>0.16995576726777817</v>
      </c>
      <c r="DC71" s="16">
        <f t="shared" si="198"/>
        <v>0.19351772344606</v>
      </c>
      <c r="DD71" s="16">
        <f t="shared" si="198"/>
        <v>0.20186871259894618</v>
      </c>
      <c r="DE71" s="16">
        <f t="shared" si="198"/>
        <v>0.18132070965938665</v>
      </c>
      <c r="DF71" s="16">
        <f t="shared" si="198"/>
        <v>0.20544009722340026</v>
      </c>
      <c r="DG71" s="464">
        <f t="shared" si="198"/>
        <v>0.19604699351585136</v>
      </c>
      <c r="DH71" s="16">
        <f t="shared" si="198"/>
        <v>0.21356321290185312</v>
      </c>
      <c r="DI71" s="16">
        <f t="shared" si="198"/>
        <v>0.21696259414397032</v>
      </c>
      <c r="DJ71" s="16">
        <f t="shared" si="198"/>
        <v>0.19072477399317894</v>
      </c>
      <c r="DK71" s="16">
        <f t="shared" si="198"/>
        <v>0.21685817889201661</v>
      </c>
      <c r="DL71" s="464">
        <f t="shared" si="198"/>
        <v>0.20987824977675926</v>
      </c>
      <c r="DM71" s="16">
        <f t="shared" si="198"/>
        <v>0.23534830332122444</v>
      </c>
      <c r="DN71" s="16">
        <f t="shared" si="198"/>
        <v>0.23076723728099768</v>
      </c>
      <c r="DO71" s="16">
        <f t="shared" si="198"/>
        <v>0.19544322804341455</v>
      </c>
      <c r="DP71" s="16">
        <f t="shared" si="198"/>
        <v>0.21399352009886055</v>
      </c>
      <c r="DQ71" s="464">
        <f t="shared" si="198"/>
        <v>0.21814012734590274</v>
      </c>
      <c r="DR71" s="16">
        <f t="shared" ref="DR71:EA71" si="201">DR28/DR22</f>
        <v>0.23012463419701057</v>
      </c>
      <c r="DS71" s="16">
        <f t="shared" si="201"/>
        <v>0.2269599042208858</v>
      </c>
      <c r="DT71" s="16">
        <f t="shared" si="201"/>
        <v>0.19114970195735823</v>
      </c>
      <c r="DU71" s="16">
        <f t="shared" si="201"/>
        <v>0.20917926973633347</v>
      </c>
      <c r="DV71" s="464">
        <f t="shared" si="201"/>
        <v>0.21359859099687895</v>
      </c>
      <c r="DW71" s="16">
        <f t="shared" si="201"/>
        <v>0.22753093732493634</v>
      </c>
      <c r="DX71" s="16">
        <f t="shared" si="201"/>
        <v>0.22484041480726991</v>
      </c>
      <c r="DY71" s="16">
        <f t="shared" si="201"/>
        <v>0.18767836895538306</v>
      </c>
      <c r="DZ71" s="16">
        <f t="shared" si="201"/>
        <v>0.20462882262278712</v>
      </c>
      <c r="EA71" s="464">
        <f t="shared" si="201"/>
        <v>0.21026639917785189</v>
      </c>
      <c r="EB71" s="11"/>
      <c r="EC71" s="14" t="s">
        <v>230</v>
      </c>
      <c r="ED71" s="138">
        <f>DA71</f>
        <v>0.19023462270133165</v>
      </c>
      <c r="EE71" s="138">
        <v>0.18575219231749479</v>
      </c>
      <c r="EF71" s="809">
        <f t="shared" si="172"/>
        <v>44.824303838368607</v>
      </c>
      <c r="EG71" s="138">
        <f>CV71</f>
        <v>0.19183889772125065</v>
      </c>
      <c r="EH71" s="1208">
        <f t="shared" si="180"/>
        <v>-16.042750199189992</v>
      </c>
      <c r="EI71" s="1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row>
    <row r="72" spans="1:259" s="337" customFormat="1" x14ac:dyDescent="0.2">
      <c r="A72" s="431" t="s">
        <v>657</v>
      </c>
      <c r="B72" s="1834"/>
      <c r="C72" s="1518"/>
      <c r="D72" s="1518"/>
      <c r="E72" s="1518"/>
      <c r="F72" s="1519"/>
      <c r="G72" s="1834"/>
      <c r="H72" s="1518"/>
      <c r="I72" s="1518"/>
      <c r="J72" s="1518"/>
      <c r="K72" s="1519"/>
      <c r="L72" s="1834"/>
      <c r="M72" s="1518"/>
      <c r="N72" s="1518"/>
      <c r="O72" s="1518"/>
      <c r="P72" s="1519"/>
      <c r="Q72" s="1834"/>
      <c r="R72" s="1518"/>
      <c r="S72" s="1518"/>
      <c r="T72" s="1518"/>
      <c r="U72" s="1519"/>
      <c r="V72" s="1834"/>
      <c r="W72" s="1518"/>
      <c r="X72" s="1518"/>
      <c r="Y72" s="1518"/>
      <c r="Z72" s="1519"/>
      <c r="AA72" s="1518"/>
      <c r="AB72" s="1518"/>
      <c r="AC72" s="1518"/>
      <c r="AD72" s="1518"/>
      <c r="AE72" s="1519"/>
      <c r="AF72" s="1834"/>
      <c r="AG72" s="1518"/>
      <c r="AH72" s="1518"/>
      <c r="AI72" s="1520"/>
      <c r="AJ72" s="1519"/>
      <c r="AK72" s="1518"/>
      <c r="AL72" s="1518"/>
      <c r="AM72" s="1518"/>
      <c r="AN72" s="1518"/>
      <c r="AO72" s="1519"/>
      <c r="AP72" s="1518"/>
      <c r="AQ72" s="1518"/>
      <c r="AR72" s="1518"/>
      <c r="AS72" s="1518"/>
      <c r="AT72" s="1519"/>
      <c r="AU72" s="1518"/>
      <c r="AV72" s="1518"/>
      <c r="AW72" s="1518"/>
      <c r="AX72" s="1518"/>
      <c r="AY72" s="1519"/>
      <c r="AZ72" s="1518"/>
      <c r="BA72" s="1518"/>
      <c r="BB72" s="1518"/>
      <c r="BC72" s="1518"/>
      <c r="BD72" s="1519"/>
      <c r="BE72" s="1518"/>
      <c r="BF72" s="1518"/>
      <c r="BG72" s="1518"/>
      <c r="BH72" s="1518"/>
      <c r="BI72" s="1519"/>
      <c r="BJ72" s="1518"/>
      <c r="BK72" s="1518"/>
      <c r="BL72" s="1518"/>
      <c r="BM72" s="1518"/>
      <c r="BN72" s="1521"/>
      <c r="BO72" s="1518"/>
      <c r="BP72" s="1518"/>
      <c r="BQ72" s="1518"/>
      <c r="BR72" s="1518"/>
      <c r="BS72" s="1521"/>
      <c r="BT72" s="1518"/>
      <c r="BU72" s="1518"/>
      <c r="BV72" s="1518"/>
      <c r="BW72" s="1518"/>
      <c r="BX72" s="1521">
        <f t="shared" ref="BX72:DQ72" si="202">BX28/BX17</f>
        <v>3.3077776170500027E-2</v>
      </c>
      <c r="BY72" s="1518">
        <f t="shared" si="202"/>
        <v>2.8695010022154237E-2</v>
      </c>
      <c r="BZ72" s="1518">
        <f t="shared" si="202"/>
        <v>3.4900141214444222E-2</v>
      </c>
      <c r="CA72" s="1518">
        <f t="shared" si="202"/>
        <v>3.1594975256947086E-2</v>
      </c>
      <c r="CB72" s="1518">
        <f t="shared" si="202"/>
        <v>4.2286490976364874E-2</v>
      </c>
      <c r="CC72" s="1521">
        <f t="shared" si="202"/>
        <v>3.4999072872241792E-2</v>
      </c>
      <c r="CD72" s="1522">
        <f t="shared" si="202"/>
        <v>2.1816283924843423E-2</v>
      </c>
      <c r="CE72" s="1522">
        <f t="shared" si="202"/>
        <v>2.5306205081485979E-2</v>
      </c>
      <c r="CF72" s="1522">
        <f t="shared" si="202"/>
        <v>2.1539914974019841E-2</v>
      </c>
      <c r="CG72" s="1522">
        <f t="shared" si="202"/>
        <v>2.8624813153961134E-2</v>
      </c>
      <c r="CH72" s="1835">
        <f t="shared" si="202"/>
        <v>2.4640751658069272E-2</v>
      </c>
      <c r="CI72" s="1522">
        <f t="shared" si="202"/>
        <v>2.1420518602029311E-2</v>
      </c>
      <c r="CJ72" s="1522">
        <f t="shared" si="202"/>
        <v>2.4234199302055059E-2</v>
      </c>
      <c r="CK72" s="1522">
        <f t="shared" si="202"/>
        <v>2.1376336021001311E-2</v>
      </c>
      <c r="CL72" s="1522">
        <f t="shared" si="202"/>
        <v>2.6546698393813205E-2</v>
      </c>
      <c r="CM72" s="1523">
        <f t="shared" si="202"/>
        <v>2.362685857831489E-2</v>
      </c>
      <c r="CN72" s="1524">
        <f t="shared" si="202"/>
        <v>2.1902740254727906E-2</v>
      </c>
      <c r="CO72" s="1522">
        <f t="shared" si="202"/>
        <v>2.4058577405857741E-2</v>
      </c>
      <c r="CP72" s="1522">
        <f t="shared" si="202"/>
        <v>2.1927400036852774E-2</v>
      </c>
      <c r="CQ72" s="1071">
        <f t="shared" si="202"/>
        <v>3.0920305145268626E-2</v>
      </c>
      <c r="CR72" s="1955">
        <f t="shared" si="202"/>
        <v>2.5131488680539674E-2</v>
      </c>
      <c r="CS72" s="974">
        <f t="shared" si="202"/>
        <v>2.3351912358254852E-2</v>
      </c>
      <c r="CT72" s="974">
        <f t="shared" si="202"/>
        <v>2.4066704566988818E-2</v>
      </c>
      <c r="CU72" s="974">
        <f t="shared" si="202"/>
        <v>2.4525388318648377E-2</v>
      </c>
      <c r="CV72" s="16">
        <f t="shared" si="202"/>
        <v>2.7945036282229427E-2</v>
      </c>
      <c r="CW72" s="100">
        <f t="shared" si="202"/>
        <v>2.5132451805351497E-2</v>
      </c>
      <c r="CX72" s="1020">
        <f t="shared" ref="CX72:CY72" si="203">CX28/CX17</f>
        <v>2.2007614448881049E-2</v>
      </c>
      <c r="CY72" s="1020">
        <f t="shared" si="203"/>
        <v>2.2513900282563122E-2</v>
      </c>
      <c r="CZ72" s="16">
        <f t="shared" ref="CZ72:DA72" si="204">CZ28/CZ17</f>
        <v>1.842172907205895E-2</v>
      </c>
      <c r="DA72" s="16">
        <f t="shared" si="204"/>
        <v>2.2585259354061582E-2</v>
      </c>
      <c r="DB72" s="464">
        <f t="shared" si="202"/>
        <v>2.1394611727416798E-2</v>
      </c>
      <c r="DC72" s="16">
        <f t="shared" si="202"/>
        <v>1.8040221633532853E-2</v>
      </c>
      <c r="DD72" s="16">
        <f t="shared" si="202"/>
        <v>1.8458258542536337E-2</v>
      </c>
      <c r="DE72" s="16">
        <f t="shared" si="202"/>
        <v>1.5436866053293533E-2</v>
      </c>
      <c r="DF72" s="16">
        <f t="shared" si="202"/>
        <v>1.8488011392990594E-2</v>
      </c>
      <c r="DG72" s="464">
        <f t="shared" si="202"/>
        <v>1.7620158991501277E-2</v>
      </c>
      <c r="DH72" s="16">
        <f t="shared" si="202"/>
        <v>1.7070310173218379E-2</v>
      </c>
      <c r="DI72" s="16">
        <f t="shared" si="202"/>
        <v>1.7404924685168556E-2</v>
      </c>
      <c r="DJ72" s="16">
        <f t="shared" si="202"/>
        <v>1.4488641792006844E-2</v>
      </c>
      <c r="DK72" s="16">
        <f t="shared" si="202"/>
        <v>1.7276414121157813E-2</v>
      </c>
      <c r="DL72" s="2407">
        <f t="shared" si="202"/>
        <v>1.6567994155266774E-2</v>
      </c>
      <c r="DM72" s="2408">
        <f t="shared" si="202"/>
        <v>1.6919244635058929E-2</v>
      </c>
      <c r="DN72" s="2408">
        <f t="shared" si="202"/>
        <v>1.7240980555067703E-2</v>
      </c>
      <c r="DO72" s="2408">
        <f t="shared" si="202"/>
        <v>1.4318623022976261E-2</v>
      </c>
      <c r="DP72" s="2408">
        <f t="shared" si="202"/>
        <v>1.7049370253062593E-2</v>
      </c>
      <c r="DQ72" s="2407">
        <f t="shared" si="202"/>
        <v>1.6387037258852075E-2</v>
      </c>
      <c r="DR72" s="2408">
        <f t="shared" ref="DR72:EA72" si="205">DR28/DR17</f>
        <v>1.6837774683557533E-2</v>
      </c>
      <c r="DS72" s="2408">
        <f t="shared" si="205"/>
        <v>1.7253449295369979E-2</v>
      </c>
      <c r="DT72" s="2408">
        <f t="shared" si="205"/>
        <v>1.4237402199586942E-2</v>
      </c>
      <c r="DU72" s="2408">
        <f t="shared" si="205"/>
        <v>1.6945109859211594E-2</v>
      </c>
      <c r="DV72" s="2407">
        <f t="shared" si="205"/>
        <v>1.632095950978292E-2</v>
      </c>
      <c r="DW72" s="2408">
        <f t="shared" si="205"/>
        <v>1.6938853332586778E-2</v>
      </c>
      <c r="DX72" s="2408">
        <f t="shared" si="205"/>
        <v>1.7443694732227677E-2</v>
      </c>
      <c r="DY72" s="2408">
        <f t="shared" si="205"/>
        <v>1.4302935788626951E-2</v>
      </c>
      <c r="DZ72" s="2408">
        <f t="shared" si="205"/>
        <v>1.701596962462194E-2</v>
      </c>
      <c r="EA72" s="2407">
        <f t="shared" si="205"/>
        <v>1.6425290053987907E-2</v>
      </c>
      <c r="EB72" s="11"/>
      <c r="EC72" s="14"/>
      <c r="ED72" s="138"/>
      <c r="EE72" s="138"/>
      <c r="EF72" s="809"/>
      <c r="EG72" s="138"/>
      <c r="EH72" s="1208"/>
      <c r="EI72" s="11"/>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row>
    <row r="73" spans="1:259" s="337" customFormat="1" x14ac:dyDescent="0.2">
      <c r="A73" s="431" t="s">
        <v>408</v>
      </c>
      <c r="B73" s="1834">
        <f t="shared" ref="B73:AG73" si="206">B38/B22</f>
        <v>6.8384074941451989E-2</v>
      </c>
      <c r="C73" s="1518">
        <f t="shared" si="206"/>
        <v>8.5209713024282555E-2</v>
      </c>
      <c r="D73" s="1518">
        <f t="shared" si="206"/>
        <v>6.9130434782608691E-2</v>
      </c>
      <c r="E73" s="1518">
        <f t="shared" si="206"/>
        <v>5.8992805755395686E-2</v>
      </c>
      <c r="F73" s="1519">
        <f t="shared" si="206"/>
        <v>7.028346958275826E-2</v>
      </c>
      <c r="G73" s="1834">
        <f t="shared" si="206"/>
        <v>7.2060353798126947E-2</v>
      </c>
      <c r="H73" s="1518">
        <f t="shared" si="206"/>
        <v>9.4452773613193403E-2</v>
      </c>
      <c r="I73" s="1518">
        <f t="shared" si="206"/>
        <v>0.10876880443388755</v>
      </c>
      <c r="J73" s="1534">
        <f t="shared" si="206"/>
        <v>8.6832740213523135E-2</v>
      </c>
      <c r="K73" s="1519">
        <f t="shared" si="206"/>
        <v>9.0449120158513002E-2</v>
      </c>
      <c r="L73" s="1839">
        <f t="shared" si="206"/>
        <v>0.11141753998896856</v>
      </c>
      <c r="M73" s="1518">
        <f t="shared" si="206"/>
        <v>0.11346765641569459</v>
      </c>
      <c r="N73" s="1518">
        <f t="shared" si="206"/>
        <v>0.12803532008830021</v>
      </c>
      <c r="O73" s="1518">
        <f t="shared" si="206"/>
        <v>0.10558199913457378</v>
      </c>
      <c r="P73" s="1519">
        <f t="shared" si="206"/>
        <v>0.11403733060598313</v>
      </c>
      <c r="Q73" s="1834">
        <f t="shared" si="206"/>
        <v>0.12460864120225423</v>
      </c>
      <c r="R73" s="1518">
        <f t="shared" si="206"/>
        <v>0.13647342995169082</v>
      </c>
      <c r="S73" s="1518">
        <f t="shared" si="206"/>
        <v>0.13268998793727382</v>
      </c>
      <c r="T73" s="1520">
        <f t="shared" si="206"/>
        <v>0.11090742438130156</v>
      </c>
      <c r="U73" s="1519">
        <f t="shared" si="206"/>
        <v>0.1250528690258001</v>
      </c>
      <c r="V73" s="1834">
        <f t="shared" si="206"/>
        <v>0.11952191235059761</v>
      </c>
      <c r="W73" s="1518">
        <f t="shared" si="206"/>
        <v>0.12024922118380062</v>
      </c>
      <c r="X73" s="1518">
        <f t="shared" si="206"/>
        <v>0.13536585365853659</v>
      </c>
      <c r="Y73" s="1520">
        <f t="shared" si="206"/>
        <v>0.1335149863760218</v>
      </c>
      <c r="Z73" s="1519">
        <f t="shared" si="206"/>
        <v>0.12785847835466704</v>
      </c>
      <c r="AA73" s="1518">
        <f t="shared" si="206"/>
        <v>0.13320941759603469</v>
      </c>
      <c r="AB73" s="1518">
        <f t="shared" si="206"/>
        <v>0.13129598189020938</v>
      </c>
      <c r="AC73" s="1518">
        <f t="shared" si="206"/>
        <v>0.13263707571801567</v>
      </c>
      <c r="AD73" s="1520">
        <f t="shared" si="206"/>
        <v>0.12271434376269809</v>
      </c>
      <c r="AE73" s="1519">
        <f t="shared" si="206"/>
        <v>0.12930256542477761</v>
      </c>
      <c r="AF73" s="1834">
        <f t="shared" si="206"/>
        <v>0.12042175360710322</v>
      </c>
      <c r="AG73" s="1518">
        <f t="shared" si="206"/>
        <v>0.13274793388429751</v>
      </c>
      <c r="AH73" s="1518">
        <f t="shared" ref="AH73:BM73" si="207">AH38/AH22</f>
        <v>0.13725490196078433</v>
      </c>
      <c r="AI73" s="1520">
        <f t="shared" si="207"/>
        <v>0.12363362231436111</v>
      </c>
      <c r="AJ73" s="1519">
        <f t="shared" si="207"/>
        <v>0.12828162291169451</v>
      </c>
      <c r="AK73" s="1518">
        <f t="shared" si="207"/>
        <v>0.1233502538071066</v>
      </c>
      <c r="AL73" s="1518">
        <f t="shared" si="207"/>
        <v>0.12566201251805489</v>
      </c>
      <c r="AM73" s="1518">
        <f t="shared" si="207"/>
        <v>0.13354749885268472</v>
      </c>
      <c r="AN73" s="1520">
        <f t="shared" si="207"/>
        <v>0.118491921005386</v>
      </c>
      <c r="AO73" s="1519">
        <f t="shared" si="207"/>
        <v>0.12484740872267229</v>
      </c>
      <c r="AP73" s="1518">
        <f t="shared" si="207"/>
        <v>0.12220058422590069</v>
      </c>
      <c r="AQ73" s="1518">
        <f t="shared" si="207"/>
        <v>0.12122619600557362</v>
      </c>
      <c r="AR73" s="1518">
        <f t="shared" si="207"/>
        <v>0.13731609451627286</v>
      </c>
      <c r="AS73" s="1520">
        <f t="shared" si="207"/>
        <v>0.11417730251810969</v>
      </c>
      <c r="AT73" s="1519">
        <f t="shared" si="207"/>
        <v>0.12311477163332976</v>
      </c>
      <c r="AU73" s="1518">
        <f t="shared" si="207"/>
        <v>0.13525179856115108</v>
      </c>
      <c r="AV73" s="1518">
        <f t="shared" si="207"/>
        <v>0.14069660861594868</v>
      </c>
      <c r="AW73" s="1518">
        <f t="shared" si="207"/>
        <v>0.15100965759438104</v>
      </c>
      <c r="AX73" s="1520">
        <f t="shared" si="207"/>
        <v>0.10908488063660478</v>
      </c>
      <c r="AY73" s="1519">
        <f t="shared" si="207"/>
        <v>0.1319945612383642</v>
      </c>
      <c r="AZ73" s="1518">
        <f t="shared" si="207"/>
        <v>0.14215024741340532</v>
      </c>
      <c r="BA73" s="1518">
        <f t="shared" si="207"/>
        <v>0.13096746937051121</v>
      </c>
      <c r="BB73" s="1518">
        <f t="shared" si="207"/>
        <v>0.15639625585023401</v>
      </c>
      <c r="BC73" s="1520">
        <f t="shared" si="207"/>
        <v>0.10116492949110975</v>
      </c>
      <c r="BD73" s="1519">
        <f t="shared" si="207"/>
        <v>0.13028033794162827</v>
      </c>
      <c r="BE73" s="1518">
        <f t="shared" si="207"/>
        <v>0.17654372150849565</v>
      </c>
      <c r="BF73" s="1518">
        <f t="shared" si="207"/>
        <v>0.11873350923482849</v>
      </c>
      <c r="BG73" s="1518">
        <f t="shared" si="207"/>
        <v>0.1446164672765658</v>
      </c>
      <c r="BH73" s="1520">
        <f t="shared" si="207"/>
        <v>0.10730121194206325</v>
      </c>
      <c r="BI73" s="1519">
        <f t="shared" si="207"/>
        <v>0.13417766362589673</v>
      </c>
      <c r="BJ73" s="1518">
        <f t="shared" si="207"/>
        <v>0.15832205683355885</v>
      </c>
      <c r="BK73" s="1518">
        <f t="shared" si="207"/>
        <v>0.1591276252019386</v>
      </c>
      <c r="BL73" s="1518">
        <f t="shared" si="207"/>
        <v>0.16918646508279336</v>
      </c>
      <c r="BM73" s="1520">
        <f t="shared" si="207"/>
        <v>0.11144130757800892</v>
      </c>
      <c r="BN73" s="1521">
        <f t="shared" ref="BN73:CS73" si="208">BN38/BN22</f>
        <v>0.14673311184939092</v>
      </c>
      <c r="BO73" s="1518">
        <f t="shared" si="208"/>
        <v>0.15522388059701492</v>
      </c>
      <c r="BP73" s="1518">
        <f t="shared" si="208"/>
        <v>0.16355866355866355</v>
      </c>
      <c r="BQ73" s="1518">
        <f t="shared" si="208"/>
        <v>0.19007686932215234</v>
      </c>
      <c r="BR73" s="1520">
        <f t="shared" si="208"/>
        <v>0.12352610892756878</v>
      </c>
      <c r="BS73" s="1521">
        <f t="shared" si="208"/>
        <v>0.15595521466984044</v>
      </c>
      <c r="BT73" s="1518">
        <f t="shared" si="208"/>
        <v>0.16536082474226804</v>
      </c>
      <c r="BU73" s="1518">
        <f t="shared" si="208"/>
        <v>0.14879261363636365</v>
      </c>
      <c r="BV73" s="1518">
        <f t="shared" si="208"/>
        <v>0.14905314599877825</v>
      </c>
      <c r="BW73" s="1520">
        <f t="shared" si="208"/>
        <v>0.12332765750425687</v>
      </c>
      <c r="BX73" s="1521">
        <f t="shared" si="208"/>
        <v>0.14375099002059244</v>
      </c>
      <c r="BY73" s="1518">
        <f t="shared" si="208"/>
        <v>0.23514400291651477</v>
      </c>
      <c r="BZ73" s="1518">
        <f t="shared" si="208"/>
        <v>0.14930555555555555</v>
      </c>
      <c r="CA73" s="1518">
        <f t="shared" si="208"/>
        <v>0.18800784533482767</v>
      </c>
      <c r="CB73" s="1520">
        <f t="shared" si="208"/>
        <v>0.12159884420900553</v>
      </c>
      <c r="CC73" s="1521">
        <f t="shared" si="208"/>
        <v>0.16826817281596126</v>
      </c>
      <c r="CD73" s="1522">
        <f t="shared" si="208"/>
        <v>0.26617846075479495</v>
      </c>
      <c r="CE73" s="1522">
        <f t="shared" si="208"/>
        <v>0.23569383107634231</v>
      </c>
      <c r="CF73" s="1522">
        <f t="shared" si="208"/>
        <v>0.25959864381929804</v>
      </c>
      <c r="CG73" s="1522">
        <f t="shared" si="208"/>
        <v>0.20528612582501704</v>
      </c>
      <c r="CH73" s="1835">
        <f t="shared" si="208"/>
        <v>0.23858500857098333</v>
      </c>
      <c r="CI73" s="1522">
        <f t="shared" si="208"/>
        <v>0.23586301663242146</v>
      </c>
      <c r="CJ73" s="1522">
        <f t="shared" si="208"/>
        <v>0.20422462110002362</v>
      </c>
      <c r="CK73" s="1522">
        <f t="shared" si="208"/>
        <v>0.25616265666627502</v>
      </c>
      <c r="CL73" s="1535">
        <f t="shared" si="208"/>
        <v>0.22594860849497547</v>
      </c>
      <c r="CM73" s="1523">
        <f t="shared" si="208"/>
        <v>0.23015029603764992</v>
      </c>
      <c r="CN73" s="1524">
        <f t="shared" si="208"/>
        <v>0.28894262601836657</v>
      </c>
      <c r="CO73" s="1522">
        <f t="shared" si="208"/>
        <v>0.18475207054352916</v>
      </c>
      <c r="CP73" s="1522">
        <f t="shared" si="208"/>
        <v>0.21451453411366345</v>
      </c>
      <c r="CQ73" s="1898">
        <f t="shared" si="208"/>
        <v>0.18364116094986807</v>
      </c>
      <c r="CR73" s="1955">
        <f t="shared" si="208"/>
        <v>0.21542134661292661</v>
      </c>
      <c r="CS73" s="974">
        <f t="shared" si="208"/>
        <v>0.24185724185724186</v>
      </c>
      <c r="CT73" s="974">
        <f t="shared" ref="CT73:DQ73" si="209">CT38/CT22</f>
        <v>0.27549668874172184</v>
      </c>
      <c r="CU73" s="974">
        <f t="shared" si="209"/>
        <v>0.26170072511535925</v>
      </c>
      <c r="CV73" s="16">
        <f t="shared" si="209"/>
        <v>0.27609962904080554</v>
      </c>
      <c r="CW73" s="100">
        <f t="shared" si="209"/>
        <v>0.26474752241623406</v>
      </c>
      <c r="CX73" s="1020">
        <f t="shared" si="209"/>
        <v>0.34156669019054342</v>
      </c>
      <c r="CY73" s="1020">
        <f t="shared" ref="CY73:CZ73" si="210">CY38/CY22</f>
        <v>0.2893646408839779</v>
      </c>
      <c r="CZ73" s="16">
        <f t="shared" si="210"/>
        <v>0.4477715877437326</v>
      </c>
      <c r="DA73" s="63">
        <f t="shared" ref="DA73" si="211">DA38/DA22</f>
        <v>0.77045022194039314</v>
      </c>
      <c r="DB73" s="464">
        <f t="shared" si="209"/>
        <v>0.46971759101735283</v>
      </c>
      <c r="DC73" s="16">
        <f t="shared" si="209"/>
        <v>0.3525326943232463</v>
      </c>
      <c r="DD73" s="16">
        <f t="shared" si="209"/>
        <v>0.37732591328857795</v>
      </c>
      <c r="DE73" s="16">
        <f t="shared" si="209"/>
        <v>0.41365896332857638</v>
      </c>
      <c r="DF73" s="63">
        <f t="shared" si="209"/>
        <v>0.39372769879836628</v>
      </c>
      <c r="DG73" s="464">
        <f t="shared" si="209"/>
        <v>0.38456619537849585</v>
      </c>
      <c r="DH73" s="16">
        <f t="shared" si="209"/>
        <v>0.42623845546318623</v>
      </c>
      <c r="DI73" s="16">
        <f t="shared" si="209"/>
        <v>0.44638773292754458</v>
      </c>
      <c r="DJ73" s="16">
        <f t="shared" si="209"/>
        <v>0.48199846201313673</v>
      </c>
      <c r="DK73" s="63">
        <f t="shared" si="209"/>
        <v>0.46218861379454007</v>
      </c>
      <c r="DL73" s="464">
        <f t="shared" si="209"/>
        <v>0.45469223130900777</v>
      </c>
      <c r="DM73" s="16">
        <f t="shared" si="209"/>
        <v>0.46537671356067939</v>
      </c>
      <c r="DN73" s="16">
        <f t="shared" si="209"/>
        <v>0.47490560768232459</v>
      </c>
      <c r="DO73" s="16">
        <f t="shared" si="209"/>
        <v>0.50087436020261578</v>
      </c>
      <c r="DP73" s="63">
        <f t="shared" si="209"/>
        <v>0.46903312860213375</v>
      </c>
      <c r="DQ73" s="464">
        <f t="shared" si="209"/>
        <v>0.47727302884174838</v>
      </c>
      <c r="DR73" s="16">
        <f t="shared" ref="DR73:EA73" si="212">DR38/DR22</f>
        <v>0.46422618446583813</v>
      </c>
      <c r="DS73" s="16">
        <f t="shared" si="212"/>
        <v>0.47274993730965681</v>
      </c>
      <c r="DT73" s="16">
        <f t="shared" si="212"/>
        <v>0.49967268578000434</v>
      </c>
      <c r="DU73" s="63">
        <f t="shared" si="212"/>
        <v>0.46824062402008987</v>
      </c>
      <c r="DV73" s="464">
        <f t="shared" si="212"/>
        <v>0.47598305151650155</v>
      </c>
      <c r="DW73" s="16">
        <f t="shared" si="212"/>
        <v>0.46080636216135007</v>
      </c>
      <c r="DX73" s="16">
        <f t="shared" si="212"/>
        <v>0.46739433381631312</v>
      </c>
      <c r="DY73" s="16">
        <f t="shared" si="212"/>
        <v>0.49436484915935697</v>
      </c>
      <c r="DZ73" s="63">
        <f t="shared" si="212"/>
        <v>0.46215239845653511</v>
      </c>
      <c r="EA73" s="464">
        <f t="shared" si="212"/>
        <v>0.4708522880410006</v>
      </c>
      <c r="EB73" s="11"/>
      <c r="EC73" s="14" t="s">
        <v>231</v>
      </c>
      <c r="ED73" s="138">
        <f t="shared" ref="ED73:ED81" si="213">DA73</f>
        <v>0.77045022194039314</v>
      </c>
      <c r="EE73" s="138">
        <v>0.28813911093897016</v>
      </c>
      <c r="EF73" s="809">
        <f t="shared" si="172"/>
        <v>4823.1111100142298</v>
      </c>
      <c r="EG73" s="138">
        <f t="shared" ref="EG73:EG81" si="214">CV73</f>
        <v>0.27609962904080554</v>
      </c>
      <c r="EH73" s="1208">
        <f t="shared" si="180"/>
        <v>4943.5059289958763</v>
      </c>
      <c r="EI73" s="11"/>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row>
    <row r="74" spans="1:259" s="340" customFormat="1" x14ac:dyDescent="0.2">
      <c r="A74" s="684" t="s">
        <v>222</v>
      </c>
      <c r="B74" s="1836"/>
      <c r="C74" s="1525"/>
      <c r="D74" s="1525"/>
      <c r="E74" s="1525"/>
      <c r="F74" s="1526">
        <f t="shared" ref="F74:AK74" si="215">F39/F22</f>
        <v>8.9818452064975046E-2</v>
      </c>
      <c r="G74" s="1836">
        <f t="shared" si="215"/>
        <v>7.2060353798126947E-2</v>
      </c>
      <c r="H74" s="1525">
        <f t="shared" si="215"/>
        <v>9.4452773613193403E-2</v>
      </c>
      <c r="I74" s="1525">
        <f t="shared" si="215"/>
        <v>0.10629453681710212</v>
      </c>
      <c r="J74" s="1527">
        <f t="shared" si="215"/>
        <v>9.4741004349545285E-2</v>
      </c>
      <c r="K74" s="1526">
        <f t="shared" si="215"/>
        <v>9.2218238429966515E-2</v>
      </c>
      <c r="L74" s="1837">
        <f t="shared" si="215"/>
        <v>0.11141753998896856</v>
      </c>
      <c r="M74" s="1525">
        <f t="shared" si="215"/>
        <v>0.11452810180275716</v>
      </c>
      <c r="N74" s="1525">
        <f t="shared" si="215"/>
        <v>0.12637969094922738</v>
      </c>
      <c r="O74" s="1525">
        <f t="shared" si="215"/>
        <v>0.12115967113803548</v>
      </c>
      <c r="P74" s="1526">
        <f t="shared" si="215"/>
        <v>0.11851188954231655</v>
      </c>
      <c r="Q74" s="1836">
        <f t="shared" si="215"/>
        <v>0.12711333750782716</v>
      </c>
      <c r="R74" s="1525">
        <f t="shared" si="215"/>
        <v>0.17995169082125603</v>
      </c>
      <c r="S74" s="1525">
        <f t="shared" si="215"/>
        <v>0.1881785283474065</v>
      </c>
      <c r="T74" s="1528">
        <f t="shared" si="215"/>
        <v>0.12740604949587533</v>
      </c>
      <c r="U74" s="1526">
        <f t="shared" si="215"/>
        <v>0.1538136190610461</v>
      </c>
      <c r="V74" s="1836">
        <f t="shared" si="215"/>
        <v>0.12084993359893759</v>
      </c>
      <c r="W74" s="1525">
        <f t="shared" si="215"/>
        <v>0.11775700934579439</v>
      </c>
      <c r="X74" s="1525">
        <f t="shared" si="215"/>
        <v>0.13536585365853659</v>
      </c>
      <c r="Y74" s="1528">
        <f t="shared" si="215"/>
        <v>0.1298819255222525</v>
      </c>
      <c r="Z74" s="1526">
        <f t="shared" si="215"/>
        <v>0.12642025025168993</v>
      </c>
      <c r="AA74" s="1525">
        <f t="shared" si="215"/>
        <v>0.12639405204460966</v>
      </c>
      <c r="AB74" s="1525">
        <f t="shared" si="215"/>
        <v>0.12620260328239954</v>
      </c>
      <c r="AC74" s="1525">
        <f t="shared" si="215"/>
        <v>0.13054830287206268</v>
      </c>
      <c r="AD74" s="1528">
        <f t="shared" si="215"/>
        <v>0.12149532710280374</v>
      </c>
      <c r="AE74" s="1526">
        <f t="shared" si="215"/>
        <v>0.12582183833956426</v>
      </c>
      <c r="AF74" s="1836">
        <f t="shared" si="215"/>
        <v>0.12042175360710322</v>
      </c>
      <c r="AG74" s="1525">
        <f t="shared" si="215"/>
        <v>0.1518595041322314</v>
      </c>
      <c r="AH74" s="1525">
        <f t="shared" si="215"/>
        <v>0.13926596279537456</v>
      </c>
      <c r="AI74" s="1528">
        <f t="shared" si="215"/>
        <v>0.11421032793064455</v>
      </c>
      <c r="AJ74" s="1526">
        <f t="shared" si="215"/>
        <v>0.1301909307875895</v>
      </c>
      <c r="AK74" s="1525">
        <f t="shared" si="215"/>
        <v>0.1233502538071066</v>
      </c>
      <c r="AL74" s="1525">
        <f t="shared" ref="AL74:BQ74" si="216">AL39/AL22</f>
        <v>0.1189215214251324</v>
      </c>
      <c r="AM74" s="1525">
        <f t="shared" si="216"/>
        <v>0.13354749885268472</v>
      </c>
      <c r="AN74" s="1528">
        <f t="shared" si="216"/>
        <v>0.11274685816876122</v>
      </c>
      <c r="AO74" s="1526">
        <f t="shared" si="216"/>
        <v>0.12151814449006769</v>
      </c>
      <c r="AP74" s="1525">
        <f t="shared" si="216"/>
        <v>0.12220058422590069</v>
      </c>
      <c r="AQ74" s="1525">
        <f t="shared" si="216"/>
        <v>0.12122619600557362</v>
      </c>
      <c r="AR74" s="1525">
        <f t="shared" si="216"/>
        <v>0.13642443156486847</v>
      </c>
      <c r="AS74" s="1528">
        <f t="shared" si="216"/>
        <v>0.11348740945153502</v>
      </c>
      <c r="AT74" s="1526">
        <f t="shared" si="216"/>
        <v>0.12268691838699326</v>
      </c>
      <c r="AU74" s="1525">
        <f t="shared" si="216"/>
        <v>0.13525179856115108</v>
      </c>
      <c r="AV74" s="1525">
        <f t="shared" si="216"/>
        <v>0.14069660861594868</v>
      </c>
      <c r="AW74" s="1525">
        <f t="shared" si="216"/>
        <v>0.15100965759438104</v>
      </c>
      <c r="AX74" s="1528">
        <f t="shared" si="216"/>
        <v>0.10908488063660478</v>
      </c>
      <c r="AY74" s="1526">
        <f t="shared" si="216"/>
        <v>0.1319945612383642</v>
      </c>
      <c r="AZ74" s="1525">
        <f t="shared" si="216"/>
        <v>0.14215024741340532</v>
      </c>
      <c r="BA74" s="1525">
        <f t="shared" si="216"/>
        <v>0.13096746937051121</v>
      </c>
      <c r="BB74" s="1525">
        <f t="shared" si="216"/>
        <v>0.15639625585023401</v>
      </c>
      <c r="BC74" s="1528">
        <f t="shared" si="216"/>
        <v>0.10116492949110975</v>
      </c>
      <c r="BD74" s="1526">
        <f t="shared" si="216"/>
        <v>0.13028033794162827</v>
      </c>
      <c r="BE74" s="1525">
        <f t="shared" si="216"/>
        <v>0.1483630335681724</v>
      </c>
      <c r="BF74" s="1525">
        <f t="shared" si="216"/>
        <v>0.11986430456087448</v>
      </c>
      <c r="BG74" s="1525">
        <f t="shared" si="216"/>
        <v>0.1446164672765658</v>
      </c>
      <c r="BH74" s="1528">
        <f t="shared" si="216"/>
        <v>0.11498669819686669</v>
      </c>
      <c r="BI74" s="1526">
        <f t="shared" si="216"/>
        <v>0.13072358515631918</v>
      </c>
      <c r="BJ74" s="1525">
        <f t="shared" si="216"/>
        <v>0.16599007668019847</v>
      </c>
      <c r="BK74" s="1525">
        <f t="shared" si="216"/>
        <v>0.13489499192245558</v>
      </c>
      <c r="BL74" s="1525">
        <f t="shared" si="216"/>
        <v>0.17026637868970482</v>
      </c>
      <c r="BM74" s="1528">
        <f t="shared" si="216"/>
        <v>0.11797919762258544</v>
      </c>
      <c r="BN74" s="1530">
        <f t="shared" si="216"/>
        <v>0.14507198228128459</v>
      </c>
      <c r="BO74" s="1525">
        <f t="shared" si="216"/>
        <v>0.18038379530916845</v>
      </c>
      <c r="BP74" s="1525">
        <f t="shared" si="216"/>
        <v>0.16122766122766122</v>
      </c>
      <c r="BQ74" s="1525">
        <f t="shared" si="216"/>
        <v>0.18937805730258561</v>
      </c>
      <c r="BR74" s="1528">
        <f t="shared" ref="BR74:CW74" si="217">BR39/BR22</f>
        <v>0.11426165075800113</v>
      </c>
      <c r="BS74" s="1530">
        <f t="shared" si="217"/>
        <v>0.15754209644714803</v>
      </c>
      <c r="BT74" s="1525">
        <f t="shared" si="217"/>
        <v>0.19216494845360824</v>
      </c>
      <c r="BU74" s="1525">
        <f t="shared" si="217"/>
        <v>0.15092329545454544</v>
      </c>
      <c r="BV74" s="1525">
        <f t="shared" si="217"/>
        <v>0.15271838729383017</v>
      </c>
      <c r="BW74" s="1528">
        <f t="shared" si="217"/>
        <v>0.13013865239601069</v>
      </c>
      <c r="BX74" s="1530">
        <f t="shared" si="217"/>
        <v>0.15254237288135594</v>
      </c>
      <c r="BY74" s="1525">
        <f t="shared" si="217"/>
        <v>0.19066715275246082</v>
      </c>
      <c r="BZ74" s="1525">
        <f t="shared" si="217"/>
        <v>0.1442550505050505</v>
      </c>
      <c r="CA74" s="1525">
        <f t="shared" si="217"/>
        <v>0.18688708321658729</v>
      </c>
      <c r="CB74" s="1528">
        <f t="shared" si="217"/>
        <v>0.12496990127618589</v>
      </c>
      <c r="CC74" s="1530">
        <f t="shared" si="217"/>
        <v>0.1588791902002494</v>
      </c>
      <c r="CD74" s="1531">
        <f t="shared" si="217"/>
        <v>0.25421780287639756</v>
      </c>
      <c r="CE74" s="1531">
        <f t="shared" si="217"/>
        <v>0.22703125026029389</v>
      </c>
      <c r="CF74" s="1531">
        <f t="shared" si="217"/>
        <v>0.25026865373241253</v>
      </c>
      <c r="CG74" s="1531">
        <f t="shared" si="217"/>
        <v>0.20528612582501704</v>
      </c>
      <c r="CH74" s="1838">
        <f t="shared" si="217"/>
        <v>0.23172822191055009</v>
      </c>
      <c r="CI74" s="1531">
        <f t="shared" si="217"/>
        <v>0.23442565574200513</v>
      </c>
      <c r="CJ74" s="1531">
        <f t="shared" si="217"/>
        <v>0.20357987702151442</v>
      </c>
      <c r="CK74" s="1531">
        <f t="shared" si="217"/>
        <v>0.25108201739483871</v>
      </c>
      <c r="CL74" s="1536">
        <f t="shared" si="217"/>
        <v>0.22831581200152851</v>
      </c>
      <c r="CM74" s="1532">
        <f t="shared" si="217"/>
        <v>0.22922422954303925</v>
      </c>
      <c r="CN74" s="1533">
        <f t="shared" si="217"/>
        <v>0.28894262601836657</v>
      </c>
      <c r="CO74" s="1531">
        <f t="shared" si="217"/>
        <v>0.23489855708793639</v>
      </c>
      <c r="CP74" s="1531">
        <f t="shared" si="217"/>
        <v>0.22915806290794161</v>
      </c>
      <c r="CQ74" s="1899">
        <f t="shared" si="217"/>
        <v>0.17994722955145118</v>
      </c>
      <c r="CR74" s="1956">
        <f t="shared" si="217"/>
        <v>0.22974870590463178</v>
      </c>
      <c r="CS74" s="2074">
        <f t="shared" si="217"/>
        <v>0.2480942480942481</v>
      </c>
      <c r="CT74" s="2074">
        <f t="shared" si="217"/>
        <v>0.24900662251655628</v>
      </c>
      <c r="CU74" s="2074">
        <f t="shared" si="217"/>
        <v>0.26829268292682928</v>
      </c>
      <c r="CV74" s="103">
        <f t="shared" si="217"/>
        <v>0.2686804451510334</v>
      </c>
      <c r="CW74" s="104">
        <f t="shared" si="217"/>
        <v>0.25924178071417336</v>
      </c>
      <c r="CX74" s="1165">
        <f t="shared" ref="CX74:CY74" si="218">CX39/CX22</f>
        <v>0.27170077628793227</v>
      </c>
      <c r="CY74" s="1165">
        <f t="shared" si="218"/>
        <v>0.30317679558011051</v>
      </c>
      <c r="CZ74" s="103">
        <f t="shared" ref="CZ74:DA74" si="219">CZ39/CZ22</f>
        <v>0.31545961002785516</v>
      </c>
      <c r="DA74" s="105">
        <f t="shared" si="219"/>
        <v>0.30627774254914392</v>
      </c>
      <c r="DB74" s="465">
        <f t="shared" ref="DB74:DQ74" si="220">DB39/DB22</f>
        <v>0.29942157196325281</v>
      </c>
      <c r="DC74" s="103">
        <f t="shared" si="220"/>
        <v>0.36633993789206643</v>
      </c>
      <c r="DD74" s="103">
        <f t="shared" si="220"/>
        <v>0.39136895416502637</v>
      </c>
      <c r="DE74" s="103">
        <f t="shared" si="220"/>
        <v>0.42785421721631539</v>
      </c>
      <c r="DF74" s="105">
        <f t="shared" si="220"/>
        <v>0.40538122975437058</v>
      </c>
      <c r="DG74" s="465">
        <f t="shared" si="220"/>
        <v>0.39790431342083782</v>
      </c>
      <c r="DH74" s="103">
        <f t="shared" si="220"/>
        <v>0.42623845546318623</v>
      </c>
      <c r="DI74" s="103">
        <f t="shared" si="220"/>
        <v>0.44638773292754458</v>
      </c>
      <c r="DJ74" s="103">
        <f t="shared" si="220"/>
        <v>0.48199846201313673</v>
      </c>
      <c r="DK74" s="105">
        <f t="shared" si="220"/>
        <v>0.46218861379454007</v>
      </c>
      <c r="DL74" s="465">
        <f t="shared" si="220"/>
        <v>0.45469223130900777</v>
      </c>
      <c r="DM74" s="103">
        <f t="shared" si="220"/>
        <v>0.46537671356067939</v>
      </c>
      <c r="DN74" s="103">
        <f t="shared" si="220"/>
        <v>0.47490560768232459</v>
      </c>
      <c r="DO74" s="103">
        <f t="shared" si="220"/>
        <v>0.50087436020261578</v>
      </c>
      <c r="DP74" s="105">
        <f t="shared" si="220"/>
        <v>0.46903312860213375</v>
      </c>
      <c r="DQ74" s="465">
        <f t="shared" si="220"/>
        <v>0.47727302884174827</v>
      </c>
      <c r="DR74" s="103">
        <f t="shared" ref="DR74:EA74" si="221">DR39/DR22</f>
        <v>0.46422618446583813</v>
      </c>
      <c r="DS74" s="103">
        <f t="shared" si="221"/>
        <v>0.47274993730965681</v>
      </c>
      <c r="DT74" s="103">
        <f t="shared" si="221"/>
        <v>0.49967268578000434</v>
      </c>
      <c r="DU74" s="105">
        <f t="shared" si="221"/>
        <v>0.46824062402008987</v>
      </c>
      <c r="DV74" s="465">
        <f t="shared" si="221"/>
        <v>0.47598305151650155</v>
      </c>
      <c r="DW74" s="103">
        <f t="shared" si="221"/>
        <v>0.46080636216135007</v>
      </c>
      <c r="DX74" s="103">
        <f t="shared" si="221"/>
        <v>0.46739433381631312</v>
      </c>
      <c r="DY74" s="103">
        <f t="shared" si="221"/>
        <v>0.49436484915935697</v>
      </c>
      <c r="DZ74" s="105">
        <f t="shared" si="221"/>
        <v>0.46215239845653511</v>
      </c>
      <c r="EA74" s="465">
        <f t="shared" si="221"/>
        <v>0.47085228804100066</v>
      </c>
      <c r="EB74" s="18"/>
      <c r="EC74" s="26" t="s">
        <v>222</v>
      </c>
      <c r="ED74" s="512">
        <f t="shared" si="213"/>
        <v>0.30627774254914392</v>
      </c>
      <c r="EE74" s="512">
        <v>0.29986043825226277</v>
      </c>
      <c r="EF74" s="810">
        <f t="shared" si="172"/>
        <v>64.17304296881143</v>
      </c>
      <c r="EG74" s="512">
        <f t="shared" si="214"/>
        <v>0.2686804451510334</v>
      </c>
      <c r="EH74" s="1209">
        <f>(ED74-EG74)*10000</f>
        <v>375.97297398110521</v>
      </c>
      <c r="EI74" s="18"/>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row>
    <row r="75" spans="1:259" s="337" customFormat="1" x14ac:dyDescent="0.2">
      <c r="A75" s="684" t="s">
        <v>314</v>
      </c>
      <c r="B75" s="1836"/>
      <c r="C75" s="1525"/>
      <c r="D75" s="1525"/>
      <c r="E75" s="1525"/>
      <c r="F75" s="1526"/>
      <c r="G75" s="1836"/>
      <c r="H75" s="1525"/>
      <c r="I75" s="1525"/>
      <c r="J75" s="1527"/>
      <c r="K75" s="1526"/>
      <c r="L75" s="1837"/>
      <c r="M75" s="1525"/>
      <c r="N75" s="1525"/>
      <c r="O75" s="1525"/>
      <c r="P75" s="1526">
        <f t="shared" ref="P75:AO75" si="222">P41/P22</f>
        <v>0.16785988238302224</v>
      </c>
      <c r="Q75" s="1836">
        <f t="shared" si="222"/>
        <v>0.17845961177207265</v>
      </c>
      <c r="R75" s="1525">
        <f t="shared" si="222"/>
        <v>0.2288647342995169</v>
      </c>
      <c r="S75" s="1525">
        <f t="shared" si="222"/>
        <v>0.23763570566948131</v>
      </c>
      <c r="T75" s="1528">
        <f t="shared" si="222"/>
        <v>0.1773602199816682</v>
      </c>
      <c r="U75" s="1526">
        <f t="shared" si="222"/>
        <v>0.20372197941632594</v>
      </c>
      <c r="V75" s="1836">
        <f t="shared" si="222"/>
        <v>0.1693227091633466</v>
      </c>
      <c r="W75" s="1525">
        <f t="shared" si="222"/>
        <v>0.17071651090342679</v>
      </c>
      <c r="X75" s="1525">
        <f t="shared" si="222"/>
        <v>0.18719512195121951</v>
      </c>
      <c r="Y75" s="1528">
        <f t="shared" si="222"/>
        <v>0.18029064486830154</v>
      </c>
      <c r="Z75" s="1526">
        <f t="shared" si="222"/>
        <v>0.17733352509708039</v>
      </c>
      <c r="AA75" s="1525">
        <f t="shared" si="222"/>
        <v>0.17472118959107807</v>
      </c>
      <c r="AB75" s="1525">
        <f t="shared" si="222"/>
        <v>0.17147707979626486</v>
      </c>
      <c r="AC75" s="1525">
        <f t="shared" si="222"/>
        <v>0.17545691906005223</v>
      </c>
      <c r="AD75" s="1528">
        <f t="shared" si="222"/>
        <v>0.17269402681836651</v>
      </c>
      <c r="AE75" s="1526">
        <f t="shared" si="222"/>
        <v>0.17352069098878434</v>
      </c>
      <c r="AF75" s="1836">
        <f t="shared" si="222"/>
        <v>0.16870144284128746</v>
      </c>
      <c r="AG75" s="1525">
        <f t="shared" si="222"/>
        <v>0.20041322314049587</v>
      </c>
      <c r="AH75" s="1525">
        <f t="shared" si="222"/>
        <v>0.18552036199095023</v>
      </c>
      <c r="AI75" s="1528">
        <f t="shared" si="222"/>
        <v>0.16245759517527328</v>
      </c>
      <c r="AJ75" s="1526">
        <f t="shared" si="222"/>
        <v>0.17804295942720763</v>
      </c>
      <c r="AK75" s="1525">
        <f t="shared" si="222"/>
        <v>0.17157360406091371</v>
      </c>
      <c r="AL75" s="1525">
        <f t="shared" si="222"/>
        <v>0.16706788637457873</v>
      </c>
      <c r="AM75" s="1525">
        <f t="shared" si="222"/>
        <v>0.18265259293253785</v>
      </c>
      <c r="AN75" s="1528">
        <f t="shared" si="222"/>
        <v>0.16517055655296231</v>
      </c>
      <c r="AO75" s="1526">
        <f t="shared" si="222"/>
        <v>0.17123515703029629</v>
      </c>
      <c r="AP75" s="1525"/>
      <c r="AQ75" s="1525"/>
      <c r="AR75" s="1525"/>
      <c r="AS75" s="1528"/>
      <c r="AT75" s="1526">
        <f t="shared" ref="AT75:BY75" si="223">AT41/AT22</f>
        <v>0.17285271151994866</v>
      </c>
      <c r="AU75" s="1525">
        <f t="shared" si="223"/>
        <v>0.18273381294964028</v>
      </c>
      <c r="AV75" s="1525">
        <f t="shared" si="223"/>
        <v>0.19156736938588451</v>
      </c>
      <c r="AW75" s="1525">
        <f t="shared" si="223"/>
        <v>0.19885864793678665</v>
      </c>
      <c r="AX75" s="1528">
        <f t="shared" si="223"/>
        <v>0.16213527851458887</v>
      </c>
      <c r="AY75" s="1526">
        <f t="shared" si="223"/>
        <v>0.18209392322978768</v>
      </c>
      <c r="AZ75" s="1525">
        <f t="shared" si="223"/>
        <v>0.19253261358524518</v>
      </c>
      <c r="BA75" s="1525">
        <f t="shared" si="223"/>
        <v>0.18208702999577525</v>
      </c>
      <c r="BB75" s="1525">
        <f t="shared" si="223"/>
        <v>0.20670826833073322</v>
      </c>
      <c r="BC75" s="1528">
        <f t="shared" si="223"/>
        <v>0.15634580012262417</v>
      </c>
      <c r="BD75" s="1526">
        <f t="shared" si="223"/>
        <v>0.18231566820276499</v>
      </c>
      <c r="BE75" s="1525">
        <f t="shared" si="223"/>
        <v>0.19809365934521342</v>
      </c>
      <c r="BF75" s="1525">
        <f t="shared" si="223"/>
        <v>0.16886543535620052</v>
      </c>
      <c r="BG75" s="1525">
        <f t="shared" si="223"/>
        <v>0.19352568613652357</v>
      </c>
      <c r="BH75" s="1528">
        <f t="shared" si="223"/>
        <v>0.16435116760271948</v>
      </c>
      <c r="BI75" s="1526">
        <f t="shared" si="223"/>
        <v>0.17996634487645027</v>
      </c>
      <c r="BJ75" s="1525">
        <f t="shared" si="223"/>
        <v>0.21876409562471807</v>
      </c>
      <c r="BK75" s="1525">
        <f t="shared" si="223"/>
        <v>0.18699515347334411</v>
      </c>
      <c r="BL75" s="1525">
        <f t="shared" si="223"/>
        <v>0.2203023758099352</v>
      </c>
      <c r="BM75" s="1528">
        <f t="shared" si="223"/>
        <v>0.17592867756315009</v>
      </c>
      <c r="BN75" s="1530">
        <f t="shared" si="223"/>
        <v>0.19859726836471023</v>
      </c>
      <c r="BO75" s="1525">
        <f t="shared" si="223"/>
        <v>0.23113006396588487</v>
      </c>
      <c r="BP75" s="1525">
        <f t="shared" si="223"/>
        <v>0.21445221445221446</v>
      </c>
      <c r="BQ75" s="1525">
        <f t="shared" si="223"/>
        <v>0.23375262054507337</v>
      </c>
      <c r="BR75" s="1528">
        <f t="shared" si="223"/>
        <v>0.17209432902863558</v>
      </c>
      <c r="BS75" s="1530">
        <f t="shared" si="223"/>
        <v>0.20946839460460195</v>
      </c>
      <c r="BT75" s="1525">
        <f t="shared" si="223"/>
        <v>0.24288659793814432</v>
      </c>
      <c r="BU75" s="1525">
        <f t="shared" si="223"/>
        <v>0.20276988636363635</v>
      </c>
      <c r="BV75" s="1525">
        <f t="shared" si="223"/>
        <v>0.20067196090409287</v>
      </c>
      <c r="BW75" s="1528">
        <f t="shared" si="223"/>
        <v>0.17927511554366335</v>
      </c>
      <c r="BX75" s="1530">
        <f t="shared" si="223"/>
        <v>0.20228100744495486</v>
      </c>
      <c r="BY75" s="1525">
        <f t="shared" si="223"/>
        <v>0.24097703244622676</v>
      </c>
      <c r="BZ75" s="1525">
        <f t="shared" ref="BZ75:DE75" si="224">BZ41/BZ22</f>
        <v>0.18876262626262627</v>
      </c>
      <c r="CA75" s="1525">
        <f t="shared" si="224"/>
        <v>0.2289156626506024</v>
      </c>
      <c r="CB75" s="1528">
        <f t="shared" si="224"/>
        <v>0.17698049602696847</v>
      </c>
      <c r="CC75" s="1530">
        <f t="shared" si="224"/>
        <v>0.20619086041223503</v>
      </c>
      <c r="CD75" s="1531">
        <f t="shared" si="224"/>
        <v>0.34568165724061295</v>
      </c>
      <c r="CE75" s="1531">
        <f t="shared" si="224"/>
        <v>0.34031115323938876</v>
      </c>
      <c r="CF75" s="1531">
        <f t="shared" si="224"/>
        <v>0.36556067409178372</v>
      </c>
      <c r="CG75" s="1531">
        <f t="shared" si="224"/>
        <v>0.3296325238031847</v>
      </c>
      <c r="CH75" s="1838">
        <f t="shared" si="224"/>
        <v>0.34408602150537637</v>
      </c>
      <c r="CI75" s="1531">
        <f t="shared" si="224"/>
        <v>0.33504091807114783</v>
      </c>
      <c r="CJ75" s="1531">
        <f t="shared" si="224"/>
        <v>0.31963381115316991</v>
      </c>
      <c r="CK75" s="1531">
        <f t="shared" si="224"/>
        <v>0.36603148091108567</v>
      </c>
      <c r="CL75" s="1536">
        <f t="shared" si="224"/>
        <v>0.34329426803410512</v>
      </c>
      <c r="CM75" s="1532">
        <f t="shared" si="224"/>
        <v>0.34141490815242137</v>
      </c>
      <c r="CN75" s="1533">
        <f t="shared" si="224"/>
        <v>0.32952793264255481</v>
      </c>
      <c r="CO75" s="1531">
        <f t="shared" si="224"/>
        <v>0.23741912164975537</v>
      </c>
      <c r="CP75" s="1531">
        <f t="shared" si="224"/>
        <v>0.26529585942356854</v>
      </c>
      <c r="CQ75" s="1899">
        <f t="shared" si="224"/>
        <v>0.23868914532359872</v>
      </c>
      <c r="CR75" s="1956">
        <f t="shared" si="224"/>
        <v>0.26556710413389478</v>
      </c>
      <c r="CS75" s="2074">
        <f t="shared" si="224"/>
        <v>0.28055945989076692</v>
      </c>
      <c r="CT75" s="2074">
        <f t="shared" si="224"/>
        <v>0.33321370819710155</v>
      </c>
      <c r="CU75" s="2074">
        <f t="shared" si="224"/>
        <v>0.30070481186205106</v>
      </c>
      <c r="CV75" s="103">
        <f t="shared" si="224"/>
        <v>0.33536343423702625</v>
      </c>
      <c r="CW75" s="104">
        <f t="shared" si="224"/>
        <v>0.3141418908290074</v>
      </c>
      <c r="CX75" s="1165">
        <f t="shared" ref="CX75:CY75" si="225">CX41/CX22</f>
        <v>0.39096683133380383</v>
      </c>
      <c r="CY75" s="1165">
        <f t="shared" si="225"/>
        <v>0.33425414364640882</v>
      </c>
      <c r="CZ75" s="103">
        <f t="shared" ref="CZ75:DA75" si="226">CZ41/CZ22</f>
        <v>0.48955431754874651</v>
      </c>
      <c r="DA75" s="105">
        <f t="shared" si="226"/>
        <v>0.80722891566265065</v>
      </c>
      <c r="DB75" s="465">
        <f t="shared" si="224"/>
        <v>0.51275944198707046</v>
      </c>
      <c r="DC75" s="103">
        <f t="shared" si="224"/>
        <v>0.39253269432324628</v>
      </c>
      <c r="DD75" s="103">
        <f t="shared" si="224"/>
        <v>0.42232591328857794</v>
      </c>
      <c r="DE75" s="103">
        <f t="shared" si="224"/>
        <v>0.44365896332857641</v>
      </c>
      <c r="DF75" s="105">
        <f t="shared" ref="DF75:DQ75" si="227">DF41/DF22</f>
        <v>0.42872769879836631</v>
      </c>
      <c r="DG75" s="465">
        <f t="shared" si="227"/>
        <v>0.42197370847573207</v>
      </c>
      <c r="DH75" s="103">
        <f t="shared" si="227"/>
        <v>0.46123845546318626</v>
      </c>
      <c r="DI75" s="103">
        <f t="shared" si="227"/>
        <v>0.48138773292754461</v>
      </c>
      <c r="DJ75" s="103">
        <f t="shared" si="227"/>
        <v>0.51699846201313671</v>
      </c>
      <c r="DK75" s="105">
        <f t="shared" si="227"/>
        <v>0.49718861379454005</v>
      </c>
      <c r="DL75" s="465">
        <f t="shared" si="227"/>
        <v>0.48969223130900774</v>
      </c>
      <c r="DM75" s="103">
        <f t="shared" si="227"/>
        <v>0.49537671356067936</v>
      </c>
      <c r="DN75" s="103">
        <f t="shared" si="227"/>
        <v>0.50690560768232462</v>
      </c>
      <c r="DO75" s="103">
        <f t="shared" si="227"/>
        <v>0.52187436020261579</v>
      </c>
      <c r="DP75" s="105">
        <f t="shared" si="227"/>
        <v>0.49903312860213378</v>
      </c>
      <c r="DQ75" s="465">
        <f t="shared" si="227"/>
        <v>0.50556072864208212</v>
      </c>
      <c r="DR75" s="103">
        <f t="shared" ref="DR75:EA75" si="228">DR41/DR22</f>
        <v>0.4942261844658381</v>
      </c>
      <c r="DS75" s="103">
        <f t="shared" si="228"/>
        <v>0.50474993730965689</v>
      </c>
      <c r="DT75" s="103">
        <f t="shared" si="228"/>
        <v>0.52067268578000436</v>
      </c>
      <c r="DU75" s="105">
        <f t="shared" si="228"/>
        <v>0.49824062402008984</v>
      </c>
      <c r="DV75" s="465">
        <f t="shared" si="228"/>
        <v>0.5042720154435808</v>
      </c>
      <c r="DW75" s="103">
        <f t="shared" si="228"/>
        <v>0.49080636216135004</v>
      </c>
      <c r="DX75" s="103">
        <f t="shared" si="228"/>
        <v>0.49939433381631315</v>
      </c>
      <c r="DY75" s="103">
        <f t="shared" si="228"/>
        <v>0.51536484915935699</v>
      </c>
      <c r="DZ75" s="105">
        <f t="shared" si="228"/>
        <v>0.49215239845653513</v>
      </c>
      <c r="EA75" s="465">
        <f t="shared" si="228"/>
        <v>0.4991385978456348</v>
      </c>
      <c r="EB75" s="11"/>
      <c r="EC75" s="26" t="s">
        <v>314</v>
      </c>
      <c r="ED75" s="138">
        <f t="shared" si="213"/>
        <v>0.80722891566265065</v>
      </c>
      <c r="EE75" s="138">
        <v>0.33813911093897014</v>
      </c>
      <c r="EF75" s="809">
        <f t="shared" si="172"/>
        <v>4690.8980472368048</v>
      </c>
      <c r="EG75" s="138">
        <f t="shared" si="214"/>
        <v>0.33536343423702625</v>
      </c>
      <c r="EH75" s="1208">
        <f>(ED75-EG75)*10000</f>
        <v>4718.6548142562442</v>
      </c>
      <c r="EI75" s="11"/>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row>
    <row r="76" spans="1:259" s="337" customFormat="1" x14ac:dyDescent="0.2">
      <c r="A76" s="684" t="s">
        <v>98</v>
      </c>
      <c r="B76" s="1836"/>
      <c r="C76" s="1525"/>
      <c r="D76" s="1525"/>
      <c r="E76" s="1525"/>
      <c r="F76" s="1526"/>
      <c r="G76" s="1836"/>
      <c r="H76" s="1525"/>
      <c r="I76" s="1525"/>
      <c r="J76" s="1527"/>
      <c r="K76" s="1526"/>
      <c r="L76" s="1837"/>
      <c r="M76" s="1525"/>
      <c r="N76" s="1525"/>
      <c r="O76" s="1525"/>
      <c r="P76" s="1526">
        <f t="shared" ref="P76:AU76" si="229">P42/P22</f>
        <v>0.16785988238302224</v>
      </c>
      <c r="Q76" s="1836">
        <f t="shared" si="229"/>
        <v>0.17845961177207265</v>
      </c>
      <c r="R76" s="1525">
        <f t="shared" si="229"/>
        <v>0.2288647342995169</v>
      </c>
      <c r="S76" s="1525">
        <f t="shared" si="229"/>
        <v>0.23763570566948131</v>
      </c>
      <c r="T76" s="1528">
        <f t="shared" si="229"/>
        <v>0.1773602199816682</v>
      </c>
      <c r="U76" s="1526">
        <f t="shared" si="229"/>
        <v>0.20372197941632594</v>
      </c>
      <c r="V76" s="1836">
        <f t="shared" si="229"/>
        <v>0.1693227091633466</v>
      </c>
      <c r="W76" s="1525">
        <f t="shared" si="229"/>
        <v>0.17071651090342679</v>
      </c>
      <c r="X76" s="1525">
        <f t="shared" si="229"/>
        <v>0.18719512195121951</v>
      </c>
      <c r="Y76" s="1528">
        <f t="shared" si="229"/>
        <v>0.18029064486830154</v>
      </c>
      <c r="Z76" s="1526">
        <f t="shared" si="229"/>
        <v>0.17733352509708039</v>
      </c>
      <c r="AA76" s="1525">
        <f t="shared" si="229"/>
        <v>0.17472118959107807</v>
      </c>
      <c r="AB76" s="1525">
        <f t="shared" si="229"/>
        <v>0.17147707979626486</v>
      </c>
      <c r="AC76" s="1525">
        <f t="shared" si="229"/>
        <v>0.17545691906005223</v>
      </c>
      <c r="AD76" s="1528">
        <f t="shared" si="229"/>
        <v>0.17269402681836651</v>
      </c>
      <c r="AE76" s="1526">
        <f t="shared" si="229"/>
        <v>0.17352069098878434</v>
      </c>
      <c r="AF76" s="1836">
        <f t="shared" si="229"/>
        <v>0.16870144284128746</v>
      </c>
      <c r="AG76" s="1525">
        <f t="shared" si="229"/>
        <v>0.20041322314049587</v>
      </c>
      <c r="AH76" s="1525">
        <f t="shared" si="229"/>
        <v>0.18552036199095023</v>
      </c>
      <c r="AI76" s="1528">
        <f t="shared" si="229"/>
        <v>0.16245759517527328</v>
      </c>
      <c r="AJ76" s="1526">
        <f t="shared" si="229"/>
        <v>0.17804295942720763</v>
      </c>
      <c r="AK76" s="1525">
        <f t="shared" si="229"/>
        <v>0.17157360406091371</v>
      </c>
      <c r="AL76" s="1525">
        <f t="shared" si="229"/>
        <v>0.16706788637457873</v>
      </c>
      <c r="AM76" s="1525">
        <f t="shared" si="229"/>
        <v>0.18265259293253785</v>
      </c>
      <c r="AN76" s="1528">
        <f t="shared" si="229"/>
        <v>0.16517055655296231</v>
      </c>
      <c r="AO76" s="1526">
        <f t="shared" si="229"/>
        <v>0.17123515703029629</v>
      </c>
      <c r="AP76" s="1525">
        <f t="shared" si="229"/>
        <v>0.16942551119766311</v>
      </c>
      <c r="AQ76" s="1525">
        <f t="shared" si="229"/>
        <v>0.17278216442173711</v>
      </c>
      <c r="AR76" s="1525">
        <f t="shared" si="229"/>
        <v>0.18591172536781098</v>
      </c>
      <c r="AS76" s="1528">
        <f t="shared" si="229"/>
        <v>0.16522938944463608</v>
      </c>
      <c r="AT76" s="1526">
        <f t="shared" si="229"/>
        <v>0.17285271151994866</v>
      </c>
      <c r="AU76" s="1525">
        <f t="shared" si="229"/>
        <v>0.18273381294964028</v>
      </c>
      <c r="AV76" s="1525">
        <f t="shared" ref="AV76:CA76" si="230">AV42/AV22</f>
        <v>0.19156736938588451</v>
      </c>
      <c r="AW76" s="1525">
        <f t="shared" si="230"/>
        <v>0.19885864793678665</v>
      </c>
      <c r="AX76" s="1528">
        <f t="shared" si="230"/>
        <v>0.16213527851458887</v>
      </c>
      <c r="AY76" s="1526">
        <f t="shared" si="230"/>
        <v>0.18209392322978768</v>
      </c>
      <c r="AZ76" s="1525">
        <f t="shared" si="230"/>
        <v>0.19253261358524518</v>
      </c>
      <c r="BA76" s="1525">
        <f t="shared" si="230"/>
        <v>0.18208702999577525</v>
      </c>
      <c r="BB76" s="1525">
        <f t="shared" si="230"/>
        <v>0.20670826833073322</v>
      </c>
      <c r="BC76" s="1528">
        <f t="shared" si="230"/>
        <v>0.15634580012262417</v>
      </c>
      <c r="BD76" s="1526">
        <f t="shared" si="230"/>
        <v>0.18231566820276499</v>
      </c>
      <c r="BE76" s="1525">
        <f t="shared" si="230"/>
        <v>0.19809365934521342</v>
      </c>
      <c r="BF76" s="1525">
        <f t="shared" si="230"/>
        <v>0.16886543535620052</v>
      </c>
      <c r="BG76" s="1525">
        <f t="shared" si="230"/>
        <v>0.19352568613652357</v>
      </c>
      <c r="BH76" s="1528">
        <f t="shared" si="230"/>
        <v>0.16435116760271948</v>
      </c>
      <c r="BI76" s="1526">
        <f t="shared" si="230"/>
        <v>0.17996634487645027</v>
      </c>
      <c r="BJ76" s="1525">
        <f t="shared" si="230"/>
        <v>0.21876409562471807</v>
      </c>
      <c r="BK76" s="1525">
        <f t="shared" si="230"/>
        <v>0.18699515347334411</v>
      </c>
      <c r="BL76" s="1525">
        <f t="shared" si="230"/>
        <v>0.2203023758099352</v>
      </c>
      <c r="BM76" s="1528">
        <f t="shared" si="230"/>
        <v>0.17592867756315009</v>
      </c>
      <c r="BN76" s="1530">
        <f t="shared" si="230"/>
        <v>0.19859726836471023</v>
      </c>
      <c r="BO76" s="1525">
        <f t="shared" si="230"/>
        <v>0.23113006396588487</v>
      </c>
      <c r="BP76" s="1525">
        <f t="shared" si="230"/>
        <v>0.21445221445221446</v>
      </c>
      <c r="BQ76" s="1525">
        <f t="shared" si="230"/>
        <v>0.23375262054507337</v>
      </c>
      <c r="BR76" s="1528">
        <f t="shared" si="230"/>
        <v>0.17209432902863558</v>
      </c>
      <c r="BS76" s="1530">
        <f t="shared" si="230"/>
        <v>0.20946839460460195</v>
      </c>
      <c r="BT76" s="1525">
        <f t="shared" si="230"/>
        <v>0.24288659793814432</v>
      </c>
      <c r="BU76" s="1525">
        <f t="shared" si="230"/>
        <v>0.20276988636363635</v>
      </c>
      <c r="BV76" s="1525">
        <f t="shared" si="230"/>
        <v>0.20067196090409287</v>
      </c>
      <c r="BW76" s="1528">
        <f t="shared" si="230"/>
        <v>0.17927511554366335</v>
      </c>
      <c r="BX76" s="1530">
        <f t="shared" si="230"/>
        <v>0.20228100744495486</v>
      </c>
      <c r="BY76" s="1525">
        <f t="shared" si="230"/>
        <v>0.24097703244622676</v>
      </c>
      <c r="BZ76" s="1525">
        <f t="shared" si="230"/>
        <v>0.18876262626262627</v>
      </c>
      <c r="CA76" s="1525">
        <f t="shared" si="230"/>
        <v>0.2289156626506024</v>
      </c>
      <c r="CB76" s="1528">
        <f t="shared" ref="CB76:DG76" si="231">CB42/CB22</f>
        <v>0.17698049602696847</v>
      </c>
      <c r="CC76" s="1530">
        <f t="shared" si="231"/>
        <v>0.20619086041223503</v>
      </c>
      <c r="CD76" s="1531">
        <f t="shared" si="231"/>
        <v>0.34568165724061295</v>
      </c>
      <c r="CE76" s="1531">
        <f t="shared" si="231"/>
        <v>0.34031115323938876</v>
      </c>
      <c r="CF76" s="1531">
        <f t="shared" si="231"/>
        <v>0.36556067409178372</v>
      </c>
      <c r="CG76" s="1531">
        <f t="shared" si="231"/>
        <v>0.3296325238031847</v>
      </c>
      <c r="CH76" s="1838">
        <f t="shared" si="231"/>
        <v>0.34408602150537637</v>
      </c>
      <c r="CI76" s="1531">
        <f t="shared" si="231"/>
        <v>0.33504091807114783</v>
      </c>
      <c r="CJ76" s="1531">
        <f t="shared" si="231"/>
        <v>0.31963381115316991</v>
      </c>
      <c r="CK76" s="1531">
        <f t="shared" si="231"/>
        <v>0.36603148091108567</v>
      </c>
      <c r="CL76" s="1536">
        <f t="shared" si="231"/>
        <v>0.34329426803410512</v>
      </c>
      <c r="CM76" s="1532">
        <f t="shared" si="231"/>
        <v>0.34141490815242137</v>
      </c>
      <c r="CN76" s="1533">
        <f t="shared" si="231"/>
        <v>0.31835151285622765</v>
      </c>
      <c r="CO76" s="1531">
        <f t="shared" si="231"/>
        <v>0.28723892098540427</v>
      </c>
      <c r="CP76" s="1531">
        <f t="shared" si="231"/>
        <v>0.26908014214568537</v>
      </c>
      <c r="CQ76" s="1899">
        <f t="shared" si="231"/>
        <v>0.27087911893837446</v>
      </c>
      <c r="CR76" s="1956">
        <f t="shared" si="231"/>
        <v>0.29344316188623421</v>
      </c>
      <c r="CS76" s="2074">
        <f t="shared" si="231"/>
        <v>0.28679646612777315</v>
      </c>
      <c r="CT76" s="2074">
        <f t="shared" si="231"/>
        <v>0.30672364197193602</v>
      </c>
      <c r="CU76" s="2074">
        <f t="shared" si="231"/>
        <v>0.3072967696735211</v>
      </c>
      <c r="CV76" s="103">
        <f t="shared" si="231"/>
        <v>0.32794425034725411</v>
      </c>
      <c r="CW76" s="104">
        <f t="shared" si="231"/>
        <v>0.30863614912694665</v>
      </c>
      <c r="CX76" s="1165">
        <f t="shared" ref="CX76:CY76" si="232">CX42/CX22</f>
        <v>0.32110091743119268</v>
      </c>
      <c r="CY76" s="1165">
        <f t="shared" si="232"/>
        <v>0.34806629834254144</v>
      </c>
      <c r="CZ76" s="103">
        <f t="shared" ref="CZ76:DA76" si="233">CZ42/CZ22</f>
        <v>0.35724233983286907</v>
      </c>
      <c r="DA76" s="105">
        <f t="shared" si="233"/>
        <v>0.34305643627140142</v>
      </c>
      <c r="DB76" s="465">
        <f t="shared" si="231"/>
        <v>0.34246342293297038</v>
      </c>
      <c r="DC76" s="103">
        <f t="shared" si="231"/>
        <v>0.40633993789206641</v>
      </c>
      <c r="DD76" s="103">
        <f t="shared" si="231"/>
        <v>0.43636895416502636</v>
      </c>
      <c r="DE76" s="103">
        <f t="shared" si="231"/>
        <v>0.45785421721631542</v>
      </c>
      <c r="DF76" s="105">
        <f t="shared" si="231"/>
        <v>0.44038122975437061</v>
      </c>
      <c r="DG76" s="465">
        <f t="shared" si="231"/>
        <v>0.43531182651807404</v>
      </c>
      <c r="DH76" s="103">
        <f t="shared" ref="DH76:DQ76" si="234">DH42/DH22</f>
        <v>0.46123845546318626</v>
      </c>
      <c r="DI76" s="103">
        <f t="shared" si="234"/>
        <v>0.48138773292754461</v>
      </c>
      <c r="DJ76" s="103">
        <f t="shared" si="234"/>
        <v>0.51699846201313671</v>
      </c>
      <c r="DK76" s="105">
        <f t="shared" si="234"/>
        <v>0.49718861379454005</v>
      </c>
      <c r="DL76" s="465">
        <f t="shared" si="234"/>
        <v>0.48969223130900774</v>
      </c>
      <c r="DM76" s="103">
        <f t="shared" si="234"/>
        <v>0.49537671356067936</v>
      </c>
      <c r="DN76" s="103">
        <f t="shared" si="234"/>
        <v>0.50690560768232462</v>
      </c>
      <c r="DO76" s="103">
        <f t="shared" si="234"/>
        <v>0.52187436020261579</v>
      </c>
      <c r="DP76" s="105">
        <f t="shared" si="234"/>
        <v>0.49903312860213378</v>
      </c>
      <c r="DQ76" s="465">
        <f t="shared" si="234"/>
        <v>0.50556072864208201</v>
      </c>
      <c r="DR76" s="103">
        <f t="shared" ref="DR76:EA76" si="235">DR42/DR22</f>
        <v>0.4942261844658381</v>
      </c>
      <c r="DS76" s="103">
        <f t="shared" si="235"/>
        <v>0.50474993730965689</v>
      </c>
      <c r="DT76" s="103">
        <f t="shared" si="235"/>
        <v>0.52067268578000436</v>
      </c>
      <c r="DU76" s="105">
        <f t="shared" si="235"/>
        <v>0.49824062402008984</v>
      </c>
      <c r="DV76" s="465">
        <f t="shared" si="235"/>
        <v>0.5042720154435808</v>
      </c>
      <c r="DW76" s="103">
        <f t="shared" si="235"/>
        <v>0.49080636216135004</v>
      </c>
      <c r="DX76" s="103">
        <f t="shared" si="235"/>
        <v>0.49939433381631315</v>
      </c>
      <c r="DY76" s="103">
        <f t="shared" si="235"/>
        <v>0.51536484915935699</v>
      </c>
      <c r="DZ76" s="105">
        <f t="shared" si="235"/>
        <v>0.49215239845653513</v>
      </c>
      <c r="EA76" s="465">
        <f t="shared" si="235"/>
        <v>0.49913859784563491</v>
      </c>
      <c r="EB76" s="11"/>
      <c r="EC76" s="26" t="s">
        <v>98</v>
      </c>
      <c r="ED76" s="138">
        <f t="shared" si="213"/>
        <v>0.34305643627140142</v>
      </c>
      <c r="EE76" s="138">
        <v>0.34986043825226276</v>
      </c>
      <c r="EF76" s="809">
        <f t="shared" si="172"/>
        <v>-68.040019808613408</v>
      </c>
      <c r="EG76" s="138">
        <f t="shared" si="214"/>
        <v>0.32794425034725411</v>
      </c>
      <c r="EH76" s="1208">
        <f t="shared" si="180"/>
        <v>151.12185924147315</v>
      </c>
      <c r="EI76" s="11"/>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row>
    <row r="77" spans="1:259" s="337" customFormat="1" x14ac:dyDescent="0.2">
      <c r="A77" s="431" t="s">
        <v>254</v>
      </c>
      <c r="B77" s="1834">
        <f t="shared" ref="B77:AG77" si="236">B45/B22</f>
        <v>3.7470725995316159E-2</v>
      </c>
      <c r="C77" s="1518">
        <f t="shared" si="236"/>
        <v>5.6953642384105961E-2</v>
      </c>
      <c r="D77" s="1518">
        <f t="shared" si="236"/>
        <v>4.4347826086956518E-2</v>
      </c>
      <c r="E77" s="1518">
        <f t="shared" si="236"/>
        <v>2.7338129496402876E-2</v>
      </c>
      <c r="F77" s="1519">
        <f t="shared" si="236"/>
        <v>4.1193332625544116E-2</v>
      </c>
      <c r="G77" s="1834">
        <f t="shared" si="236"/>
        <v>3.6160249739854315E-2</v>
      </c>
      <c r="H77" s="1518">
        <f t="shared" si="236"/>
        <v>6.0969515242378813E-2</v>
      </c>
      <c r="I77" s="1518">
        <f t="shared" si="236"/>
        <v>7.8087885985748201E-2</v>
      </c>
      <c r="J77" s="1534">
        <f t="shared" si="236"/>
        <v>5.7572162910241212E-2</v>
      </c>
      <c r="K77" s="1519">
        <f t="shared" si="236"/>
        <v>5.8369108836156064E-2</v>
      </c>
      <c r="L77" s="1839">
        <f t="shared" si="236"/>
        <v>8.2735797021511306E-2</v>
      </c>
      <c r="M77" s="1518">
        <f t="shared" si="236"/>
        <v>8.6426299045599148E-2</v>
      </c>
      <c r="N77" s="1518">
        <f t="shared" si="236"/>
        <v>0.10485651214128035</v>
      </c>
      <c r="O77" s="1518">
        <f t="shared" si="236"/>
        <v>8.0917351795759415E-2</v>
      </c>
      <c r="P77" s="1519">
        <f t="shared" si="236"/>
        <v>8.8212733316287401E-2</v>
      </c>
      <c r="Q77" s="1834">
        <f t="shared" si="236"/>
        <v>9.8935504070131491E-2</v>
      </c>
      <c r="R77" s="1518">
        <f t="shared" si="236"/>
        <v>0.11171497584541062</v>
      </c>
      <c r="S77" s="1518">
        <f t="shared" si="236"/>
        <v>0.109167671893848</v>
      </c>
      <c r="T77" s="1520">
        <f t="shared" si="236"/>
        <v>8.5701191567369384E-2</v>
      </c>
      <c r="U77" s="1519">
        <f t="shared" si="236"/>
        <v>0.10023967291696038</v>
      </c>
      <c r="V77" s="1834">
        <f t="shared" si="236"/>
        <v>9.3625498007968128E-2</v>
      </c>
      <c r="W77" s="1518">
        <f t="shared" si="236"/>
        <v>9.719626168224299E-2</v>
      </c>
      <c r="X77" s="1518">
        <f t="shared" si="236"/>
        <v>0.11341463414634147</v>
      </c>
      <c r="Y77" s="1520">
        <f t="shared" si="236"/>
        <v>0.11262488646684832</v>
      </c>
      <c r="Z77" s="1519">
        <f t="shared" si="236"/>
        <v>0.10513447432762836</v>
      </c>
      <c r="AA77" s="1518">
        <f t="shared" si="236"/>
        <v>0.11214374225526642</v>
      </c>
      <c r="AB77" s="1518">
        <f t="shared" si="236"/>
        <v>0.11262026032823995</v>
      </c>
      <c r="AC77" s="1518">
        <f t="shared" si="236"/>
        <v>0.10913838120104438</v>
      </c>
      <c r="AD77" s="1520">
        <f t="shared" si="236"/>
        <v>9.8334010564811059E-2</v>
      </c>
      <c r="AE77" s="1519">
        <f t="shared" si="236"/>
        <v>0.10707747840660049</v>
      </c>
      <c r="AF77" s="1834">
        <f t="shared" si="236"/>
        <v>9.7114317425083238E-2</v>
      </c>
      <c r="AG77" s="1518">
        <f t="shared" si="236"/>
        <v>0.11105371900826447</v>
      </c>
      <c r="AH77" s="1518">
        <f t="shared" ref="AH77:BM77" si="237">AH45/AH22</f>
        <v>0.11764705882352941</v>
      </c>
      <c r="AI77" s="1520">
        <f t="shared" si="237"/>
        <v>0.104787033546928</v>
      </c>
      <c r="AJ77" s="1519">
        <f t="shared" si="237"/>
        <v>0.10763723150357996</v>
      </c>
      <c r="AK77" s="1518">
        <f t="shared" si="237"/>
        <v>0.10558375634517767</v>
      </c>
      <c r="AL77" s="1518">
        <f t="shared" si="237"/>
        <v>0.11025517573423206</v>
      </c>
      <c r="AM77" s="1518">
        <f t="shared" si="237"/>
        <v>0.12023864157870583</v>
      </c>
      <c r="AN77" s="1520">
        <f t="shared" si="237"/>
        <v>0.1066427289048474</v>
      </c>
      <c r="AO77" s="1519">
        <f t="shared" si="237"/>
        <v>0.11053157252247253</v>
      </c>
      <c r="AP77" s="1518">
        <f t="shared" si="237"/>
        <v>0.10856864654333009</v>
      </c>
      <c r="AQ77" s="1518">
        <f t="shared" si="237"/>
        <v>0.1072921504876916</v>
      </c>
      <c r="AR77" s="1518">
        <f t="shared" si="237"/>
        <v>0.12483281319661169</v>
      </c>
      <c r="AS77" s="1520">
        <f t="shared" si="237"/>
        <v>0.10003449465332874</v>
      </c>
      <c r="AT77" s="1519">
        <f t="shared" si="237"/>
        <v>0.10953043106214569</v>
      </c>
      <c r="AU77" s="1518">
        <f t="shared" si="237"/>
        <v>0.11846522781774581</v>
      </c>
      <c r="AV77" s="1518">
        <f t="shared" si="237"/>
        <v>0.12419798350137488</v>
      </c>
      <c r="AW77" s="1518">
        <f t="shared" si="237"/>
        <v>0.13608428446005269</v>
      </c>
      <c r="AX77" s="1520">
        <f t="shared" si="237"/>
        <v>9.2838196286472149E-2</v>
      </c>
      <c r="AY77" s="1519">
        <f t="shared" si="237"/>
        <v>0.11588745947076666</v>
      </c>
      <c r="AZ77" s="1518">
        <f t="shared" si="237"/>
        <v>0.12577597840755736</v>
      </c>
      <c r="BA77" s="1518">
        <f t="shared" si="237"/>
        <v>0.1149133924799324</v>
      </c>
      <c r="BB77" s="1518">
        <f t="shared" si="237"/>
        <v>0.14157566302652105</v>
      </c>
      <c r="BC77" s="1520">
        <f t="shared" si="237"/>
        <v>8.4610668301655423E-2</v>
      </c>
      <c r="BD77" s="1519">
        <f t="shared" si="237"/>
        <v>0.11430491551459293</v>
      </c>
      <c r="BE77" s="1518">
        <f t="shared" si="237"/>
        <v>0.15457936179030252</v>
      </c>
      <c r="BF77" s="1518">
        <f t="shared" si="237"/>
        <v>9.9133056916698076E-2</v>
      </c>
      <c r="BG77" s="1518">
        <f t="shared" si="237"/>
        <v>0.12807881773399016</v>
      </c>
      <c r="BH77" s="1520">
        <f t="shared" si="237"/>
        <v>8.5427135678391955E-2</v>
      </c>
      <c r="BI77" s="1519">
        <f t="shared" si="237"/>
        <v>0.11416172172526791</v>
      </c>
      <c r="BJ77" s="1518">
        <f t="shared" si="237"/>
        <v>0.13441587731168245</v>
      </c>
      <c r="BK77" s="1518">
        <f t="shared" si="237"/>
        <v>0.14176090468497576</v>
      </c>
      <c r="BL77" s="1518">
        <f t="shared" si="237"/>
        <v>0.15406767458603313</v>
      </c>
      <c r="BM77" s="1520">
        <f t="shared" si="237"/>
        <v>9.479940564635958E-2</v>
      </c>
      <c r="BN77" s="1521">
        <f t="shared" ref="BN77:CS77" si="238">BN45/BN22</f>
        <v>0.1288298265042451</v>
      </c>
      <c r="BO77" s="1518">
        <f t="shared" si="238"/>
        <v>0.13773987206823027</v>
      </c>
      <c r="BP77" s="1518">
        <f t="shared" si="238"/>
        <v>0.14724164724164723</v>
      </c>
      <c r="BQ77" s="1518">
        <f t="shared" si="238"/>
        <v>0.17679944095038436</v>
      </c>
      <c r="BR77" s="1520">
        <f t="shared" si="238"/>
        <v>0.10836608646827625</v>
      </c>
      <c r="BS77" s="1521">
        <f t="shared" si="238"/>
        <v>0.14052719739046107</v>
      </c>
      <c r="BT77" s="1518">
        <f t="shared" si="238"/>
        <v>0.14762886597938144</v>
      </c>
      <c r="BU77" s="1518">
        <f t="shared" si="238"/>
        <v>0.13636363636363635</v>
      </c>
      <c r="BV77" s="1518">
        <f t="shared" si="238"/>
        <v>0.13927916921197311</v>
      </c>
      <c r="BW77" s="1520">
        <f t="shared" si="238"/>
        <v>0.11213816589637558</v>
      </c>
      <c r="BX77" s="1521">
        <f t="shared" si="238"/>
        <v>0.13139553302708695</v>
      </c>
      <c r="BY77" s="1518">
        <f t="shared" si="238"/>
        <v>0.22165512212905578</v>
      </c>
      <c r="BZ77" s="1518">
        <f t="shared" si="238"/>
        <v>0.13731060606060605</v>
      </c>
      <c r="CA77" s="1518">
        <f t="shared" si="238"/>
        <v>0.17904174838890446</v>
      </c>
      <c r="CB77" s="1520">
        <f t="shared" si="238"/>
        <v>0.11148567300746448</v>
      </c>
      <c r="CC77" s="1521">
        <f t="shared" si="238"/>
        <v>0.15733881023985916</v>
      </c>
      <c r="CD77" s="1522">
        <f t="shared" si="238"/>
        <v>0.24436784932948208</v>
      </c>
      <c r="CE77" s="1522">
        <f t="shared" si="238"/>
        <v>0.21437055522145387</v>
      </c>
      <c r="CF77" s="1522">
        <f t="shared" si="238"/>
        <v>0.23893938005548007</v>
      </c>
      <c r="CG77" s="1522">
        <f t="shared" si="238"/>
        <v>0.12606543679053925</v>
      </c>
      <c r="CH77" s="1835">
        <f t="shared" si="238"/>
        <v>0.19931432133395668</v>
      </c>
      <c r="CI77" s="1522">
        <f t="shared" si="238"/>
        <v>0.20963118038232353</v>
      </c>
      <c r="CJ77" s="1522">
        <f t="shared" si="238"/>
        <v>0.18327043854847472</v>
      </c>
      <c r="CK77" s="1522">
        <f t="shared" si="238"/>
        <v>0.2361576395349945</v>
      </c>
      <c r="CL77" s="1535">
        <f t="shared" si="238"/>
        <v>0.20493363858986169</v>
      </c>
      <c r="CM77" s="1523">
        <f t="shared" si="238"/>
        <v>0.20828905419766205</v>
      </c>
      <c r="CN77" s="1524">
        <f t="shared" si="238"/>
        <v>0.26455771012092549</v>
      </c>
      <c r="CO77" s="1522">
        <f t="shared" si="238"/>
        <v>0.16188396593044441</v>
      </c>
      <c r="CP77" s="1522">
        <f t="shared" si="238"/>
        <v>0.19345417809492632</v>
      </c>
      <c r="CQ77" s="1898">
        <f t="shared" si="238"/>
        <v>0.16358839050131926</v>
      </c>
      <c r="CR77" s="1955">
        <f t="shared" si="238"/>
        <v>0.19346311117672627</v>
      </c>
      <c r="CS77" s="974">
        <f t="shared" si="238"/>
        <v>0.21344421344421344</v>
      </c>
      <c r="CT77" s="974">
        <f t="shared" ref="CT77:DQ77" si="239">CT45/CT22</f>
        <v>0.24172185430463577</v>
      </c>
      <c r="CU77" s="974">
        <f t="shared" si="239"/>
        <v>0.19775873434410018</v>
      </c>
      <c r="CV77" s="16">
        <f t="shared" si="239"/>
        <v>0.1976682564917859</v>
      </c>
      <c r="CW77" s="100">
        <f t="shared" si="239"/>
        <v>0.21173509517067798</v>
      </c>
      <c r="CX77" s="1020">
        <f t="shared" si="239"/>
        <v>0.24488355681016233</v>
      </c>
      <c r="CY77" s="1020">
        <f t="shared" ref="CY77:CZ77" si="240">CY45/CY22</f>
        <v>0.21477900552486187</v>
      </c>
      <c r="CZ77" s="16">
        <f t="shared" si="240"/>
        <v>0.36490250696378829</v>
      </c>
      <c r="DA77" s="63">
        <f t="shared" ref="DA77" si="241">DA45/DA22</f>
        <v>0.69245402663284716</v>
      </c>
      <c r="DB77" s="464">
        <f t="shared" si="239"/>
        <v>0.38686628104797549</v>
      </c>
      <c r="DC77" s="16">
        <f t="shared" si="239"/>
        <v>0.25268194691586648</v>
      </c>
      <c r="DD77" s="16">
        <f t="shared" si="239"/>
        <v>0.27643178574844918</v>
      </c>
      <c r="DE77" s="16">
        <f t="shared" si="239"/>
        <v>0.31167124081072611</v>
      </c>
      <c r="DF77" s="63">
        <f t="shared" si="239"/>
        <v>0.30131223800111429</v>
      </c>
      <c r="DG77" s="464">
        <f t="shared" si="239"/>
        <v>0.28609323687014881</v>
      </c>
      <c r="DH77" s="16">
        <f t="shared" si="239"/>
        <v>0.31903239172799036</v>
      </c>
      <c r="DI77" s="16">
        <f t="shared" si="239"/>
        <v>0.3383457638044664</v>
      </c>
      <c r="DJ77" s="16">
        <f t="shared" si="239"/>
        <v>0.37472122179145384</v>
      </c>
      <c r="DK77" s="63">
        <f t="shared" si="239"/>
        <v>0.36545848114683133</v>
      </c>
      <c r="DL77" s="464">
        <f t="shared" si="239"/>
        <v>0.35030160749146683</v>
      </c>
      <c r="DM77" s="16">
        <f t="shared" si="239"/>
        <v>0.35411350439297423</v>
      </c>
      <c r="DN77" s="16">
        <f t="shared" si="239"/>
        <v>0.3667388719764012</v>
      </c>
      <c r="DO77" s="16">
        <f t="shared" si="239"/>
        <v>0.39701265865937657</v>
      </c>
      <c r="DP77" s="63">
        <f t="shared" si="239"/>
        <v>0.378040538057207</v>
      </c>
      <c r="DQ77" s="464">
        <f t="shared" si="239"/>
        <v>0.37468955229712936</v>
      </c>
      <c r="DR77" s="16">
        <f t="shared" ref="DR77:EA77" si="242">DR45/DR22</f>
        <v>0.36136684764787641</v>
      </c>
      <c r="DS77" s="16">
        <f t="shared" si="242"/>
        <v>0.37276398516554948</v>
      </c>
      <c r="DT77" s="16">
        <f t="shared" si="242"/>
        <v>0.40388212596894879</v>
      </c>
      <c r="DU77" s="63">
        <f t="shared" si="242"/>
        <v>0.38435337392780028</v>
      </c>
      <c r="DV77" s="464">
        <f t="shared" si="242"/>
        <v>0.3812747452548837</v>
      </c>
      <c r="DW77" s="16">
        <f t="shared" si="242"/>
        <v>0.36598018271142724</v>
      </c>
      <c r="DX77" s="16">
        <f t="shared" si="242"/>
        <v>0.37555514919003014</v>
      </c>
      <c r="DY77" s="16">
        <f t="shared" si="242"/>
        <v>0.40661552262363704</v>
      </c>
      <c r="DZ77" s="63">
        <f t="shared" si="242"/>
        <v>0.38561098216392187</v>
      </c>
      <c r="EA77" s="464">
        <f t="shared" si="242"/>
        <v>0.38402286313678152</v>
      </c>
      <c r="EB77" s="11"/>
      <c r="EC77" s="14" t="s">
        <v>254</v>
      </c>
      <c r="ED77" s="138">
        <f t="shared" si="213"/>
        <v>0.69245402663284716</v>
      </c>
      <c r="EE77" s="138">
        <v>0.213562430757748</v>
      </c>
      <c r="EF77" s="809">
        <f t="shared" si="172"/>
        <v>4788.9159587509912</v>
      </c>
      <c r="EG77" s="138">
        <f t="shared" si="214"/>
        <v>0.1976682564917859</v>
      </c>
      <c r="EH77" s="1208">
        <f t="shared" si="180"/>
        <v>4947.8577014106131</v>
      </c>
      <c r="EI77" s="11"/>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row>
    <row r="78" spans="1:259" s="337" customFormat="1" x14ac:dyDescent="0.2">
      <c r="A78" s="431" t="s">
        <v>255</v>
      </c>
      <c r="B78" s="1518">
        <f t="shared" ref="B78:I78" si="243">B46/B45</f>
        <v>0.47499999999999998</v>
      </c>
      <c r="C78" s="1518">
        <f t="shared" si="243"/>
        <v>0.4263565891472868</v>
      </c>
      <c r="D78" s="1518">
        <f t="shared" si="243"/>
        <v>0.10784313725490197</v>
      </c>
      <c r="E78" s="1518">
        <f t="shared" si="243"/>
        <v>0.40789473684210525</v>
      </c>
      <c r="F78" s="1519">
        <f t="shared" si="243"/>
        <v>0.34793814432989689</v>
      </c>
      <c r="G78" s="1834">
        <f t="shared" si="243"/>
        <v>0.46043165467625902</v>
      </c>
      <c r="H78" s="1518">
        <f t="shared" si="243"/>
        <v>0.68032786885245899</v>
      </c>
      <c r="I78" s="1518">
        <f t="shared" si="243"/>
        <v>0.42141951837769343</v>
      </c>
      <c r="J78" s="1518">
        <v>0.38600000000000001</v>
      </c>
      <c r="K78" s="1519">
        <v>0.41099999999999998</v>
      </c>
      <c r="L78" s="1834">
        <f>L46/L45</f>
        <v>0.42</v>
      </c>
      <c r="M78" s="1518">
        <f>M46/M45</f>
        <v>0.40490797546012269</v>
      </c>
      <c r="N78" s="1518">
        <f>N46/N45</f>
        <v>0.41052631578947368</v>
      </c>
      <c r="O78" s="1518">
        <f>O46/O45</f>
        <v>0.34224598930481281</v>
      </c>
      <c r="P78" s="1519">
        <v>0.39500000000000002</v>
      </c>
      <c r="Q78" s="1834">
        <v>0.40100000000000002</v>
      </c>
      <c r="R78" s="1518">
        <v>0.41099999999999998</v>
      </c>
      <c r="S78" s="1518">
        <v>0.37912087912087911</v>
      </c>
      <c r="T78" s="1518">
        <f>T46/T45</f>
        <v>0.35828877005347592</v>
      </c>
      <c r="U78" s="1519">
        <f>U46/U45</f>
        <v>0.37915488168652722</v>
      </c>
      <c r="V78" s="1834">
        <v>0.373</v>
      </c>
      <c r="W78" s="1518">
        <v>0.34799999999999998</v>
      </c>
      <c r="X78" s="1518">
        <v>0.32700000000000001</v>
      </c>
      <c r="Y78" s="1520">
        <f>Y46/Y45</f>
        <v>0.33870967741935482</v>
      </c>
      <c r="Z78" s="1519">
        <f>Z46/Z45</f>
        <v>0.33242134062927498</v>
      </c>
      <c r="AA78" s="1518">
        <v>0.34699999999999998</v>
      </c>
      <c r="AB78" s="1518">
        <v>0.318</v>
      </c>
      <c r="AC78" s="1518">
        <v>0.309</v>
      </c>
      <c r="AD78" s="1520">
        <v>0.28999999999999998</v>
      </c>
      <c r="AE78" s="1519">
        <f>AE46/AE45</f>
        <v>0.31904647242956896</v>
      </c>
      <c r="AF78" s="1834">
        <f>AF46/AF45</f>
        <v>0.32571428571428573</v>
      </c>
      <c r="AG78" s="1518">
        <f>AG46/AG45</f>
        <v>0.32558139534883723</v>
      </c>
      <c r="AH78" s="1518">
        <f>AH46/AH45</f>
        <v>0.29059829059829062</v>
      </c>
      <c r="AI78" s="1520">
        <v>0.28499999999999998</v>
      </c>
      <c r="AJ78" s="1519">
        <f>AJ46/AJ45</f>
        <v>0.30432372505543237</v>
      </c>
      <c r="AK78" s="1518">
        <v>0.318</v>
      </c>
      <c r="AL78" s="1518">
        <f>AL46/AL45</f>
        <v>0.26375545851528381</v>
      </c>
      <c r="AM78" s="1518">
        <f>AM46/AM45</f>
        <v>0.29389312977099236</v>
      </c>
      <c r="AN78" s="1518">
        <f>AN46/AN45</f>
        <v>0.24242424242424243</v>
      </c>
      <c r="AO78" s="1519">
        <f>AO46/AO45</f>
        <v>0.27650602409638553</v>
      </c>
      <c r="AP78" s="1518">
        <v>0.318</v>
      </c>
      <c r="AQ78" s="1518">
        <f t="shared" ref="AQ78:BV78" si="244">AQ46/AQ45</f>
        <v>0.22943722943722944</v>
      </c>
      <c r="AR78" s="1518">
        <f t="shared" si="244"/>
        <v>0.26785714285714285</v>
      </c>
      <c r="AS78" s="1518">
        <f t="shared" si="244"/>
        <v>0.22758620689655173</v>
      </c>
      <c r="AT78" s="1519">
        <f t="shared" si="244"/>
        <v>0.2578125</v>
      </c>
      <c r="AU78" s="1518">
        <f t="shared" si="244"/>
        <v>0.31174089068825911</v>
      </c>
      <c r="AV78" s="1518">
        <f t="shared" si="244"/>
        <v>0.29151291512915128</v>
      </c>
      <c r="AW78" s="1518">
        <f t="shared" si="244"/>
        <v>0.25806451612903225</v>
      </c>
      <c r="AX78" s="1518">
        <f t="shared" si="244"/>
        <v>0.17142857142857143</v>
      </c>
      <c r="AY78" s="1519">
        <f t="shared" si="244"/>
        <v>0.2563176895306859</v>
      </c>
      <c r="AZ78" s="1518">
        <f t="shared" si="244"/>
        <v>0.3075822603719599</v>
      </c>
      <c r="BA78" s="1518">
        <f t="shared" si="244"/>
        <v>0.21323529411764705</v>
      </c>
      <c r="BB78" s="1518">
        <f t="shared" si="244"/>
        <v>0.256198347107438</v>
      </c>
      <c r="BC78" s="1518">
        <f t="shared" si="244"/>
        <v>0.16304347826086957</v>
      </c>
      <c r="BD78" s="1519">
        <f t="shared" si="244"/>
        <v>0.23685536704182766</v>
      </c>
      <c r="BE78" s="1518">
        <f t="shared" si="244"/>
        <v>0.31367292225201071</v>
      </c>
      <c r="BF78" s="1518">
        <f t="shared" si="244"/>
        <v>0.14828897338403041</v>
      </c>
      <c r="BG78" s="1518">
        <f t="shared" si="244"/>
        <v>0.21703296703296704</v>
      </c>
      <c r="BH78" s="1518">
        <f t="shared" si="244"/>
        <v>0.2837370242214533</v>
      </c>
      <c r="BI78" s="1519">
        <f t="shared" si="244"/>
        <v>0.24592707525213345</v>
      </c>
      <c r="BJ78" s="1518">
        <f t="shared" si="244"/>
        <v>0.2651006711409396</v>
      </c>
      <c r="BK78" s="1518">
        <f t="shared" si="244"/>
        <v>0.12820512820512819</v>
      </c>
      <c r="BL78" s="1518">
        <f t="shared" si="244"/>
        <v>0.20560747663551401</v>
      </c>
      <c r="BM78" s="1518">
        <f t="shared" si="244"/>
        <v>0.31661442006269591</v>
      </c>
      <c r="BN78" s="1521">
        <f t="shared" si="244"/>
        <v>0.22421203438395415</v>
      </c>
      <c r="BO78" s="1518">
        <f t="shared" si="244"/>
        <v>0.24148606811145512</v>
      </c>
      <c r="BP78" s="1518">
        <f t="shared" si="244"/>
        <v>0.23746701846965698</v>
      </c>
      <c r="BQ78" s="1518">
        <f t="shared" si="244"/>
        <v>0.27470355731225299</v>
      </c>
      <c r="BR78" s="1518">
        <f t="shared" si="244"/>
        <v>0.28238341968911918</v>
      </c>
      <c r="BS78" s="1521">
        <f t="shared" si="244"/>
        <v>0.26097867001254704</v>
      </c>
      <c r="BT78" s="1518">
        <f t="shared" si="244"/>
        <v>0.25418994413407819</v>
      </c>
      <c r="BU78" s="1518">
        <f t="shared" si="244"/>
        <v>0.16145833333333334</v>
      </c>
      <c r="BV78" s="1518">
        <f t="shared" si="244"/>
        <v>0.14692982456140352</v>
      </c>
      <c r="BW78" s="1518">
        <f t="shared" ref="BW78:CW78" si="245">BW46/BW45</f>
        <v>0.22559652928416485</v>
      </c>
      <c r="BX78" s="1521">
        <f t="shared" si="245"/>
        <v>0.19529837251356238</v>
      </c>
      <c r="BY78" s="1518">
        <f t="shared" si="245"/>
        <v>0.24177631578947367</v>
      </c>
      <c r="BZ78" s="1518">
        <f t="shared" si="245"/>
        <v>0.23448275862068965</v>
      </c>
      <c r="CA78" s="1518">
        <f t="shared" si="245"/>
        <v>0.2519561815336463</v>
      </c>
      <c r="CB78" s="1518">
        <f t="shared" si="245"/>
        <v>0.27429805615550756</v>
      </c>
      <c r="CC78" s="1521">
        <f t="shared" si="245"/>
        <v>0.25034965034965034</v>
      </c>
      <c r="CD78" s="1522">
        <f t="shared" si="245"/>
        <v>0.27400000000000002</v>
      </c>
      <c r="CE78" s="1522">
        <f t="shared" si="245"/>
        <v>0.27400000000000002</v>
      </c>
      <c r="CF78" s="1522">
        <f t="shared" si="245"/>
        <v>0.27400000000000002</v>
      </c>
      <c r="CG78" s="1522">
        <f t="shared" si="245"/>
        <v>0.27400000000000002</v>
      </c>
      <c r="CH78" s="1835">
        <f t="shared" si="245"/>
        <v>0.27365129007036748</v>
      </c>
      <c r="CI78" s="1522">
        <f t="shared" si="245"/>
        <v>0.18850803424194962</v>
      </c>
      <c r="CJ78" s="1522">
        <f t="shared" si="245"/>
        <v>0.22598630445413065</v>
      </c>
      <c r="CK78" s="1522">
        <f t="shared" si="245"/>
        <v>0.18876243428217984</v>
      </c>
      <c r="CL78" s="1522">
        <f t="shared" si="245"/>
        <v>0.41863150425621698</v>
      </c>
      <c r="CM78" s="1523">
        <f t="shared" si="245"/>
        <v>0.26749271137026237</v>
      </c>
      <c r="CN78" s="1522">
        <f t="shared" si="245"/>
        <v>0.16355636917601724</v>
      </c>
      <c r="CO78" s="1522">
        <f t="shared" si="245"/>
        <v>0.31077710420315935</v>
      </c>
      <c r="CP78" s="1522">
        <f t="shared" si="245"/>
        <v>0.2823681502334639</v>
      </c>
      <c r="CQ78" s="1248">
        <f t="shared" si="245"/>
        <v>0.32580645161290323</v>
      </c>
      <c r="CR78" s="1955">
        <f t="shared" si="245"/>
        <v>0.2615194307890083</v>
      </c>
      <c r="CS78" s="974">
        <f t="shared" si="245"/>
        <v>0.26623376623376621</v>
      </c>
      <c r="CT78" s="974">
        <f t="shared" si="245"/>
        <v>0.26849315068493151</v>
      </c>
      <c r="CU78" s="974">
        <f t="shared" si="245"/>
        <v>0.27666666666666667</v>
      </c>
      <c r="CV78" s="16">
        <f t="shared" si="245"/>
        <v>0.17158176943699732</v>
      </c>
      <c r="CW78" s="100">
        <f t="shared" si="245"/>
        <v>0.24294205052005943</v>
      </c>
      <c r="CX78" s="1020">
        <f t="shared" ref="CX78:CY78" si="246">CX46/CX45</f>
        <v>0.1930835734870317</v>
      </c>
      <c r="CY78" s="1020">
        <f t="shared" si="246"/>
        <v>0.33762057877813506</v>
      </c>
      <c r="CZ78" s="16">
        <f t="shared" ref="CZ78:DA78" si="247">CZ46/CZ45</f>
        <v>0.20229007633587787</v>
      </c>
      <c r="DA78" s="16">
        <f t="shared" si="247"/>
        <v>0.60073260073260071</v>
      </c>
      <c r="DB78" s="464">
        <f>DB46/DB45</f>
        <v>0.41072999120492526</v>
      </c>
      <c r="DC78" s="1106">
        <v>0.19500000000000001</v>
      </c>
      <c r="DD78" s="1106">
        <v>0.19500000000000001</v>
      </c>
      <c r="DE78" s="1106">
        <v>0.19500000000000001</v>
      </c>
      <c r="DF78" s="1106">
        <v>0.19500000000000001</v>
      </c>
      <c r="DG78" s="464">
        <f>DG46/DG45</f>
        <v>0.19500000000000006</v>
      </c>
      <c r="DH78" s="1106">
        <v>0.2</v>
      </c>
      <c r="DI78" s="1106">
        <v>0.2</v>
      </c>
      <c r="DJ78" s="1106">
        <v>0.2</v>
      </c>
      <c r="DK78" s="1106">
        <v>0.2</v>
      </c>
      <c r="DL78" s="464">
        <f>DL46/DL45</f>
        <v>0.20000000000000004</v>
      </c>
      <c r="DM78" s="1106">
        <v>0.21</v>
      </c>
      <c r="DN78" s="1106">
        <v>0.21</v>
      </c>
      <c r="DO78" s="1106">
        <v>0.21</v>
      </c>
      <c r="DP78" s="1106">
        <v>0.21</v>
      </c>
      <c r="DQ78" s="464">
        <f>DQ46/DQ45</f>
        <v>0.20999999999999991</v>
      </c>
      <c r="DR78" s="1106">
        <v>0.21</v>
      </c>
      <c r="DS78" s="1106">
        <v>0.21</v>
      </c>
      <c r="DT78" s="1106">
        <v>0.21</v>
      </c>
      <c r="DU78" s="1106">
        <v>0.21</v>
      </c>
      <c r="DV78" s="464">
        <f>DV46/DV45</f>
        <v>0.21</v>
      </c>
      <c r="DW78" s="1106">
        <v>0.21</v>
      </c>
      <c r="DX78" s="1106">
        <v>0.21</v>
      </c>
      <c r="DY78" s="1106">
        <v>0.21</v>
      </c>
      <c r="DZ78" s="1106">
        <v>0.21</v>
      </c>
      <c r="EA78" s="464">
        <f>EA46/EA45</f>
        <v>0.21000000000000005</v>
      </c>
      <c r="EB78" s="11"/>
      <c r="EC78" s="14" t="s">
        <v>255</v>
      </c>
      <c r="ED78" s="138">
        <f t="shared" si="213"/>
        <v>0.60073260073260071</v>
      </c>
      <c r="EE78" s="138">
        <v>0.26500000000000001</v>
      </c>
      <c r="EF78" s="809">
        <f t="shared" si="172"/>
        <v>3357.3260073260071</v>
      </c>
      <c r="EG78" s="138">
        <f t="shared" si="214"/>
        <v>0.17158176943699732</v>
      </c>
      <c r="EH78" s="1208">
        <f t="shared" si="180"/>
        <v>4291.5083129560335</v>
      </c>
      <c r="EI78" s="11"/>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row>
    <row r="79" spans="1:259" s="337" customFormat="1" hidden="1" outlineLevel="1" x14ac:dyDescent="0.2">
      <c r="A79" s="431" t="s">
        <v>96</v>
      </c>
      <c r="B79" s="1518"/>
      <c r="C79" s="1518"/>
      <c r="D79" s="1518"/>
      <c r="E79" s="1518"/>
      <c r="F79" s="1519"/>
      <c r="G79" s="1834"/>
      <c r="H79" s="1518"/>
      <c r="I79" s="1518"/>
      <c r="J79" s="1518"/>
      <c r="K79" s="1519"/>
      <c r="L79" s="1834"/>
      <c r="M79" s="1518"/>
      <c r="N79" s="1518"/>
      <c r="O79" s="1518"/>
      <c r="P79" s="1519"/>
      <c r="Q79" s="1834"/>
      <c r="R79" s="1518"/>
      <c r="S79" s="1518"/>
      <c r="T79" s="1518"/>
      <c r="U79" s="1519"/>
      <c r="V79" s="1834"/>
      <c r="W79" s="1518"/>
      <c r="X79" s="1518"/>
      <c r="Y79" s="1520"/>
      <c r="Z79" s="1519"/>
      <c r="AA79" s="1518"/>
      <c r="AB79" s="1518"/>
      <c r="AC79" s="1518"/>
      <c r="AD79" s="1520"/>
      <c r="AE79" s="1519"/>
      <c r="AF79" s="1834"/>
      <c r="AG79" s="1518"/>
      <c r="AH79" s="1518"/>
      <c r="AI79" s="1520"/>
      <c r="AJ79" s="1519"/>
      <c r="AK79" s="1518"/>
      <c r="AL79" s="1518"/>
      <c r="AM79" s="1518"/>
      <c r="AN79" s="1518"/>
      <c r="AO79" s="1519"/>
      <c r="AP79" s="1518"/>
      <c r="AQ79" s="1518"/>
      <c r="AR79" s="1518"/>
      <c r="AS79" s="1518"/>
      <c r="AT79" s="1519"/>
      <c r="AU79" s="1518"/>
      <c r="AV79" s="1518"/>
      <c r="AW79" s="1518"/>
      <c r="AX79" s="1518"/>
      <c r="AY79" s="1519"/>
      <c r="AZ79" s="1518"/>
      <c r="BA79" s="1518"/>
      <c r="BB79" s="1518"/>
      <c r="BC79" s="1518"/>
      <c r="BD79" s="1519"/>
      <c r="BE79" s="1518"/>
      <c r="BF79" s="1518">
        <v>0.151</v>
      </c>
      <c r="BG79" s="1518">
        <v>0.216</v>
      </c>
      <c r="BH79" s="1518"/>
      <c r="BI79" s="1519">
        <v>0.24299999999999999</v>
      </c>
      <c r="BJ79" s="1518"/>
      <c r="BK79" s="1518">
        <v>0.16400000000000001</v>
      </c>
      <c r="BL79" s="1518">
        <v>0.19900000000000001</v>
      </c>
      <c r="BM79" s="1518">
        <v>0.29099999999999998</v>
      </c>
      <c r="BN79" s="1521">
        <v>0.23100000000000001</v>
      </c>
      <c r="BO79" s="1518">
        <v>0.25700000000000001</v>
      </c>
      <c r="BP79" s="1518">
        <v>0.23599999999999999</v>
      </c>
      <c r="BQ79" s="1518">
        <v>0.27400000000000002</v>
      </c>
      <c r="BR79" s="1518">
        <v>0.23799999999999999</v>
      </c>
      <c r="BS79" s="1521">
        <v>0.253</v>
      </c>
      <c r="BT79" s="1518">
        <v>0.27100000000000002</v>
      </c>
      <c r="BU79" s="1518">
        <v>0.16700000000000001</v>
      </c>
      <c r="BV79" s="1518">
        <v>0.251</v>
      </c>
      <c r="BW79" s="1518">
        <v>0.26700000000000002</v>
      </c>
      <c r="BX79" s="1521">
        <v>0.24199999999999999</v>
      </c>
      <c r="BY79" s="1518">
        <v>0.27500000000000002</v>
      </c>
      <c r="BZ79" s="1518">
        <v>0.23899999999999999</v>
      </c>
      <c r="CA79" s="1518">
        <v>0.251</v>
      </c>
      <c r="CB79" s="1518">
        <v>0.26400000000000001</v>
      </c>
      <c r="CC79" s="1521">
        <v>0.25800000000000001</v>
      </c>
      <c r="CD79" s="1522">
        <v>0.27400000000000002</v>
      </c>
      <c r="CE79" s="1522">
        <v>0.27400000000000002</v>
      </c>
      <c r="CF79" s="1522">
        <v>0.27400000000000002</v>
      </c>
      <c r="CG79" s="1522">
        <v>0.27400000000000002</v>
      </c>
      <c r="CH79" s="1835">
        <f>CH46/CH45</f>
        <v>0.27365129007036748</v>
      </c>
      <c r="CI79" s="1522">
        <f t="shared" ref="CI79:CJ79" si="248">CI163</f>
        <v>0.2574626865671642</v>
      </c>
      <c r="CJ79" s="1522">
        <f t="shared" si="248"/>
        <v>0.24944320712694878</v>
      </c>
      <c r="CK79" s="1522">
        <f>CK163</f>
        <v>0.22485207100591717</v>
      </c>
      <c r="CL79" s="1522">
        <f>CL163</f>
        <v>0.2998689384010485</v>
      </c>
      <c r="CM79" s="1523"/>
      <c r="CN79" s="1524">
        <v>0.25</v>
      </c>
      <c r="CO79" s="1522">
        <v>0.25</v>
      </c>
      <c r="CP79" s="1537">
        <v>0.25</v>
      </c>
      <c r="CQ79" s="1070">
        <v>0.25</v>
      </c>
      <c r="CR79" s="1955"/>
      <c r="CS79" s="974"/>
      <c r="CT79" s="974"/>
      <c r="CU79" s="974"/>
      <c r="CV79" s="16"/>
      <c r="CW79" s="100"/>
      <c r="CX79" s="1020"/>
      <c r="CY79" s="1020"/>
      <c r="CZ79" s="16"/>
      <c r="DA79" s="2408">
        <v>8.3000000000000004E-2</v>
      </c>
      <c r="DB79" s="464"/>
      <c r="DC79" s="106"/>
      <c r="DD79" s="106"/>
      <c r="DE79" s="106"/>
      <c r="DF79" s="106"/>
      <c r="DG79" s="464"/>
      <c r="DH79" s="106"/>
      <c r="DI79" s="106"/>
      <c r="DJ79" s="106"/>
      <c r="DK79" s="106"/>
      <c r="DL79" s="464"/>
      <c r="DM79" s="106"/>
      <c r="DN79" s="106"/>
      <c r="DO79" s="106"/>
      <c r="DP79" s="106"/>
      <c r="DQ79" s="464"/>
      <c r="DR79" s="106"/>
      <c r="DS79" s="106"/>
      <c r="DT79" s="106"/>
      <c r="DU79" s="106"/>
      <c r="DV79" s="464"/>
      <c r="DW79" s="106"/>
      <c r="DX79" s="106"/>
      <c r="DY79" s="106"/>
      <c r="DZ79" s="106"/>
      <c r="EA79" s="464"/>
      <c r="EB79" s="11"/>
      <c r="EC79" s="14"/>
      <c r="ED79" s="138">
        <f t="shared" si="213"/>
        <v>8.3000000000000004E-2</v>
      </c>
      <c r="EE79" s="138">
        <v>0</v>
      </c>
      <c r="EF79" s="809"/>
      <c r="EG79" s="138">
        <f t="shared" si="214"/>
        <v>0</v>
      </c>
      <c r="EH79" s="1208"/>
      <c r="EI79" s="11"/>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row>
    <row r="80" spans="1:259" s="337" customFormat="1" collapsed="1" x14ac:dyDescent="0.2">
      <c r="A80" s="431" t="s">
        <v>531</v>
      </c>
      <c r="B80" s="1518"/>
      <c r="C80" s="1518"/>
      <c r="D80" s="1518"/>
      <c r="E80" s="1518"/>
      <c r="F80" s="1519"/>
      <c r="G80" s="1834"/>
      <c r="H80" s="1518"/>
      <c r="I80" s="1518"/>
      <c r="J80" s="1518"/>
      <c r="K80" s="1519"/>
      <c r="L80" s="1834"/>
      <c r="M80" s="1518"/>
      <c r="N80" s="1518"/>
      <c r="O80" s="1518"/>
      <c r="P80" s="1519"/>
      <c r="Q80" s="1834"/>
      <c r="R80" s="1518"/>
      <c r="S80" s="1518"/>
      <c r="T80" s="1518"/>
      <c r="U80" s="1519"/>
      <c r="V80" s="1834"/>
      <c r="W80" s="1518"/>
      <c r="X80" s="1518"/>
      <c r="Y80" s="1520"/>
      <c r="Z80" s="1519"/>
      <c r="AA80" s="1518"/>
      <c r="AB80" s="1518"/>
      <c r="AC80" s="1518"/>
      <c r="AD80" s="1520"/>
      <c r="AE80" s="1519"/>
      <c r="AF80" s="1834"/>
      <c r="AG80" s="1518"/>
      <c r="AH80" s="1518"/>
      <c r="AI80" s="1520"/>
      <c r="AJ80" s="1519"/>
      <c r="AK80" s="1518"/>
      <c r="AL80" s="1518"/>
      <c r="AM80" s="1518"/>
      <c r="AN80" s="1518"/>
      <c r="AO80" s="1519"/>
      <c r="AP80" s="1518"/>
      <c r="AQ80" s="1518"/>
      <c r="AR80" s="1518"/>
      <c r="AS80" s="1518"/>
      <c r="AT80" s="1519"/>
      <c r="AU80" s="1518"/>
      <c r="AV80" s="1518"/>
      <c r="AW80" s="1518"/>
      <c r="AX80" s="1518"/>
      <c r="AY80" s="1519"/>
      <c r="AZ80" s="1518"/>
      <c r="BA80" s="1518"/>
      <c r="BB80" s="1518"/>
      <c r="BC80" s="1518"/>
      <c r="BD80" s="1519"/>
      <c r="BE80" s="1518"/>
      <c r="BF80" s="1518"/>
      <c r="BG80" s="1518"/>
      <c r="BH80" s="1518"/>
      <c r="BI80" s="1519">
        <f t="shared" ref="BI80:CR80" si="249">BI48/BI22</f>
        <v>6.1996280223186606E-4</v>
      </c>
      <c r="BJ80" s="1518">
        <f t="shared" si="249"/>
        <v>4.5105999097880018E-4</v>
      </c>
      <c r="BK80" s="1518">
        <f t="shared" si="249"/>
        <v>1.2116316639741518E-3</v>
      </c>
      <c r="BL80" s="1518">
        <f t="shared" si="249"/>
        <v>2.1598272138228943E-3</v>
      </c>
      <c r="BM80" s="1518">
        <f t="shared" si="249"/>
        <v>5.943536404160475E-4</v>
      </c>
      <c r="BN80" s="1521">
        <f t="shared" si="249"/>
        <v>1.1074197120708748E-3</v>
      </c>
      <c r="BO80" s="1518">
        <f t="shared" si="249"/>
        <v>1.7057569296375266E-3</v>
      </c>
      <c r="BP80" s="1518">
        <f t="shared" si="249"/>
        <v>1.1655011655011655E-3</v>
      </c>
      <c r="BQ80" s="1518">
        <f t="shared" si="249"/>
        <v>3.4940600978336828E-3</v>
      </c>
      <c r="BR80" s="1518">
        <f t="shared" si="249"/>
        <v>8.4222346996069624E-4</v>
      </c>
      <c r="BS80" s="1521">
        <f t="shared" si="249"/>
        <v>1.7632019747862119E-3</v>
      </c>
      <c r="BT80" s="1518">
        <f t="shared" si="249"/>
        <v>1.2371134020618556E-3</v>
      </c>
      <c r="BU80" s="1518">
        <f t="shared" si="249"/>
        <v>2.130681818181818E-3</v>
      </c>
      <c r="BV80" s="1518">
        <f t="shared" si="249"/>
        <v>1.8326206475259622E-3</v>
      </c>
      <c r="BW80" s="1518">
        <f t="shared" si="249"/>
        <v>2.4324981756263683E-4</v>
      </c>
      <c r="BX80" s="1521">
        <f t="shared" si="249"/>
        <v>1.2672263583082528E-3</v>
      </c>
      <c r="BY80" s="1518">
        <f t="shared" si="249"/>
        <v>1.0936930368209989E-3</v>
      </c>
      <c r="BZ80" s="1518">
        <f t="shared" si="249"/>
        <v>6.3131313131313137E-4</v>
      </c>
      <c r="CA80" s="1518">
        <f t="shared" si="249"/>
        <v>1.961333706920706E-3</v>
      </c>
      <c r="CB80" s="1518">
        <f t="shared" si="249"/>
        <v>-2.4078979051288225E-4</v>
      </c>
      <c r="CC80" s="1521">
        <f t="shared" si="249"/>
        <v>8.0686569353773932E-4</v>
      </c>
      <c r="CD80" s="1522">
        <f t="shared" si="249"/>
        <v>0</v>
      </c>
      <c r="CE80" s="1522">
        <f t="shared" si="249"/>
        <v>0</v>
      </c>
      <c r="CF80" s="1522">
        <f t="shared" si="249"/>
        <v>0</v>
      </c>
      <c r="CG80" s="1522">
        <f t="shared" si="249"/>
        <v>0</v>
      </c>
      <c r="CH80" s="1835">
        <f t="shared" si="249"/>
        <v>0</v>
      </c>
      <c r="CI80" s="1522">
        <f t="shared" si="249"/>
        <v>0</v>
      </c>
      <c r="CJ80" s="1522">
        <f t="shared" si="249"/>
        <v>0</v>
      </c>
      <c r="CK80" s="1522">
        <f t="shared" si="249"/>
        <v>0</v>
      </c>
      <c r="CL80" s="1522">
        <f t="shared" si="249"/>
        <v>0</v>
      </c>
      <c r="CM80" s="1523">
        <f t="shared" si="249"/>
        <v>0</v>
      </c>
      <c r="CN80" s="1524">
        <f t="shared" si="249"/>
        <v>0</v>
      </c>
      <c r="CO80" s="1522">
        <f t="shared" si="249"/>
        <v>0</v>
      </c>
      <c r="CP80" s="1522">
        <f t="shared" si="249"/>
        <v>0</v>
      </c>
      <c r="CQ80" s="1071">
        <f t="shared" si="249"/>
        <v>0</v>
      </c>
      <c r="CR80" s="1955">
        <f t="shared" si="249"/>
        <v>0</v>
      </c>
      <c r="CS80" s="974">
        <v>0</v>
      </c>
      <c r="CT80" s="974">
        <v>0</v>
      </c>
      <c r="CU80" s="974">
        <v>0</v>
      </c>
      <c r="CV80" s="1071">
        <f>CV48/CV22</f>
        <v>0</v>
      </c>
      <c r="CW80" s="100">
        <v>0</v>
      </c>
      <c r="CX80" s="1020">
        <v>0</v>
      </c>
      <c r="CY80" s="1020">
        <v>0</v>
      </c>
      <c r="CZ80" s="16">
        <v>0</v>
      </c>
      <c r="DA80" s="16">
        <v>0</v>
      </c>
      <c r="DB80" s="464">
        <v>0</v>
      </c>
      <c r="DC80" s="106">
        <v>0</v>
      </c>
      <c r="DD80" s="106">
        <v>0</v>
      </c>
      <c r="DE80" s="106">
        <v>0</v>
      </c>
      <c r="DF80" s="106">
        <v>0</v>
      </c>
      <c r="DG80" s="464">
        <v>0</v>
      </c>
      <c r="DH80" s="106">
        <v>1E-3</v>
      </c>
      <c r="DI80" s="106">
        <v>1E-3</v>
      </c>
      <c r="DJ80" s="106">
        <v>1E-3</v>
      </c>
      <c r="DK80" s="106">
        <v>1E-3</v>
      </c>
      <c r="DL80" s="464">
        <f>DL48/DL22</f>
        <v>0</v>
      </c>
      <c r="DM80" s="106">
        <v>1E-3</v>
      </c>
      <c r="DN80" s="106">
        <v>1E-3</v>
      </c>
      <c r="DO80" s="106">
        <v>1E-3</v>
      </c>
      <c r="DP80" s="106">
        <v>1E-3</v>
      </c>
      <c r="DQ80" s="464">
        <f>DQ48/DQ22</f>
        <v>0</v>
      </c>
      <c r="DR80" s="106">
        <v>1E-3</v>
      </c>
      <c r="DS80" s="106">
        <v>1E-3</v>
      </c>
      <c r="DT80" s="106">
        <v>1E-3</v>
      </c>
      <c r="DU80" s="106">
        <v>1E-3</v>
      </c>
      <c r="DV80" s="464">
        <f>DV48/DV22</f>
        <v>0</v>
      </c>
      <c r="DW80" s="106">
        <v>1E-3</v>
      </c>
      <c r="DX80" s="106">
        <v>1E-3</v>
      </c>
      <c r="DY80" s="106">
        <v>1E-3</v>
      </c>
      <c r="DZ80" s="106">
        <v>1E-3</v>
      </c>
      <c r="EA80" s="464">
        <f>EA48/EA22</f>
        <v>0</v>
      </c>
      <c r="EB80" s="11"/>
      <c r="EC80" s="14" t="s">
        <v>531</v>
      </c>
      <c r="ED80" s="138">
        <f t="shared" si="213"/>
        <v>0</v>
      </c>
      <c r="EE80" s="138">
        <v>0</v>
      </c>
      <c r="EF80" s="809">
        <f t="shared" si="172"/>
        <v>0</v>
      </c>
      <c r="EG80" s="138">
        <f t="shared" si="214"/>
        <v>0</v>
      </c>
      <c r="EH80" s="1208">
        <f t="shared" si="180"/>
        <v>0</v>
      </c>
      <c r="EI80" s="11"/>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row>
    <row r="81" spans="1:259" s="337" customFormat="1" ht="13.5" thickBot="1" x14ac:dyDescent="0.25">
      <c r="A81" s="431" t="s">
        <v>233</v>
      </c>
      <c r="B81" s="1834">
        <f t="shared" ref="B81:G81" si="250">B49/B22</f>
        <v>1.9672131147540985E-2</v>
      </c>
      <c r="C81" s="1518">
        <f t="shared" si="250"/>
        <v>3.2671081677704196E-2</v>
      </c>
      <c r="D81" s="1518">
        <f t="shared" si="250"/>
        <v>3.956521739130435E-2</v>
      </c>
      <c r="E81" s="1518">
        <f t="shared" si="250"/>
        <v>1.618705035971223E-2</v>
      </c>
      <c r="F81" s="1519">
        <f t="shared" si="250"/>
        <v>2.6860600913048094E-2</v>
      </c>
      <c r="G81" s="1834">
        <f t="shared" si="250"/>
        <v>1.9510926118626429E-2</v>
      </c>
      <c r="H81" s="1518">
        <f>H49/H24</f>
        <v>6.5989847715736044E-2</v>
      </c>
      <c r="I81" s="1518">
        <f t="shared" ref="I81:AN81" si="251">I49/I22</f>
        <v>4.5180126682501959E-2</v>
      </c>
      <c r="J81" s="1534">
        <f t="shared" si="251"/>
        <v>3.4242783708975891E-2</v>
      </c>
      <c r="K81" s="1519">
        <f t="shared" si="251"/>
        <v>3.0004245883851487E-2</v>
      </c>
      <c r="L81" s="1839">
        <f t="shared" si="251"/>
        <v>4.7986762272476557E-2</v>
      </c>
      <c r="M81" s="1518">
        <f t="shared" si="251"/>
        <v>5.1431601272534468E-2</v>
      </c>
      <c r="N81" s="1518">
        <f t="shared" si="251"/>
        <v>6.1810154525386317E-2</v>
      </c>
      <c r="O81" s="1518">
        <f t="shared" si="251"/>
        <v>5.3223712678494156E-2</v>
      </c>
      <c r="P81" s="1519">
        <f t="shared" si="251"/>
        <v>5.3566862694962927E-2</v>
      </c>
      <c r="Q81" s="1834">
        <f t="shared" si="251"/>
        <v>6.0300563556668754E-2</v>
      </c>
      <c r="R81" s="1518">
        <f t="shared" si="251"/>
        <v>6.8236714975845408E-2</v>
      </c>
      <c r="S81" s="1518">
        <f t="shared" si="251"/>
        <v>6.7624173173027213E-2</v>
      </c>
      <c r="T81" s="1520">
        <f t="shared" si="251"/>
        <v>5.4995417048579284E-2</v>
      </c>
      <c r="U81" s="1519">
        <f t="shared" si="251"/>
        <v>6.2233311591834081E-2</v>
      </c>
      <c r="V81" s="1834">
        <f t="shared" si="251"/>
        <v>5.8432934926958828E-2</v>
      </c>
      <c r="W81" s="1518">
        <f t="shared" si="251"/>
        <v>6.9158878504672894E-2</v>
      </c>
      <c r="X81" s="1518">
        <f t="shared" si="251"/>
        <v>7.621951219512195E-2</v>
      </c>
      <c r="Y81" s="1520">
        <f t="shared" si="251"/>
        <v>7.4477747502270666E-2</v>
      </c>
      <c r="Z81" s="1519">
        <f t="shared" si="251"/>
        <v>7.0185531425284053E-2</v>
      </c>
      <c r="AA81" s="1518">
        <f t="shared" si="251"/>
        <v>7.2180916976456011E-2</v>
      </c>
      <c r="AB81" s="1518">
        <f t="shared" si="251"/>
        <v>7.5834748160724386E-2</v>
      </c>
      <c r="AC81" s="1518">
        <f t="shared" si="251"/>
        <v>7.4673629242819839E-2</v>
      </c>
      <c r="AD81" s="1520">
        <f t="shared" si="251"/>
        <v>6.9077610727346611E-2</v>
      </c>
      <c r="AE81" s="1519">
        <f t="shared" si="251"/>
        <v>7.2914786644321258E-2</v>
      </c>
      <c r="AF81" s="1834">
        <f t="shared" si="251"/>
        <v>6.5482796892341849E-2</v>
      </c>
      <c r="AG81" s="1518">
        <f t="shared" si="251"/>
        <v>7.4896694214876033E-2</v>
      </c>
      <c r="AH81" s="1518">
        <f t="shared" si="251"/>
        <v>8.3459024635495219E-2</v>
      </c>
      <c r="AI81" s="1520">
        <f t="shared" si="251"/>
        <v>7.4820957406709382E-2</v>
      </c>
      <c r="AJ81" s="1519">
        <f t="shared" si="251"/>
        <v>7.4880668257756564E-2</v>
      </c>
      <c r="AK81" s="1518">
        <f t="shared" si="251"/>
        <v>7.208121827411168E-2</v>
      </c>
      <c r="AL81" s="1518">
        <f t="shared" si="251"/>
        <v>8.1174771304766483E-2</v>
      </c>
      <c r="AM81" s="1518">
        <f t="shared" si="251"/>
        <v>8.4901330885727391E-2</v>
      </c>
      <c r="AN81" s="1520">
        <f t="shared" si="251"/>
        <v>8.0789946140035901E-2</v>
      </c>
      <c r="AO81" s="1519">
        <f t="shared" ref="AO81:BT81" si="252">AO49/AO22</f>
        <v>7.9968926867162365E-2</v>
      </c>
      <c r="AP81" s="1518">
        <f t="shared" si="252"/>
        <v>7.4488802336903609E-2</v>
      </c>
      <c r="AQ81" s="1518">
        <f t="shared" si="252"/>
        <v>8.267533673943335E-2</v>
      </c>
      <c r="AR81" s="1518">
        <f t="shared" si="252"/>
        <v>9.1395452518947831E-2</v>
      </c>
      <c r="AS81" s="1520">
        <f t="shared" si="252"/>
        <v>7.7268023456364257E-2</v>
      </c>
      <c r="AT81" s="1519">
        <f t="shared" si="252"/>
        <v>8.1292116803936249E-2</v>
      </c>
      <c r="AU81" s="1518">
        <f t="shared" si="252"/>
        <v>8.1534772182254203E-2</v>
      </c>
      <c r="AV81" s="1518">
        <f t="shared" si="252"/>
        <v>8.7992667277726852E-2</v>
      </c>
      <c r="AW81" s="1518">
        <f t="shared" si="252"/>
        <v>0.1009657594381036</v>
      </c>
      <c r="AX81" s="1520">
        <f t="shared" si="252"/>
        <v>7.6923076923076927E-2</v>
      </c>
      <c r="AY81" s="1519">
        <f t="shared" si="252"/>
        <v>8.6183453613638744E-2</v>
      </c>
      <c r="AZ81" s="1518">
        <f t="shared" si="252"/>
        <v>8.7089518668466051E-2</v>
      </c>
      <c r="BA81" s="1518">
        <f t="shared" si="252"/>
        <v>9.04098014364174E-2</v>
      </c>
      <c r="BB81" s="1518">
        <f t="shared" si="252"/>
        <v>0.10530421216848673</v>
      </c>
      <c r="BC81" s="1520">
        <f t="shared" si="252"/>
        <v>7.0815450643776826E-2</v>
      </c>
      <c r="BD81" s="1519">
        <f t="shared" si="252"/>
        <v>8.7231182795698914E-2</v>
      </c>
      <c r="BE81" s="1518">
        <f t="shared" si="252"/>
        <v>0.10526315789473684</v>
      </c>
      <c r="BF81" s="1518">
        <f t="shared" si="252"/>
        <v>8.4432717678100261E-2</v>
      </c>
      <c r="BG81" s="1518">
        <f t="shared" si="252"/>
        <v>9.9225897255453901E-2</v>
      </c>
      <c r="BH81" s="1520">
        <f t="shared" si="252"/>
        <v>6.0597103162873187E-2</v>
      </c>
      <c r="BI81" s="1519">
        <f t="shared" si="252"/>
        <v>8.5466300593392969E-2</v>
      </c>
      <c r="BJ81" s="1518">
        <f t="shared" si="252"/>
        <v>9.8331078033378441E-2</v>
      </c>
      <c r="BK81" s="1518">
        <f t="shared" si="252"/>
        <v>0.12237479806138933</v>
      </c>
      <c r="BL81" s="1518">
        <f t="shared" si="252"/>
        <v>0.12023038156947444</v>
      </c>
      <c r="BM81" s="1520">
        <f t="shared" si="252"/>
        <v>6.4190193164933129E-2</v>
      </c>
      <c r="BN81" s="1521">
        <f t="shared" si="252"/>
        <v>9.8837209302325577E-2</v>
      </c>
      <c r="BO81" s="1518">
        <f t="shared" si="252"/>
        <v>0.10277185501066098</v>
      </c>
      <c r="BP81" s="1518">
        <f t="shared" si="252"/>
        <v>0.1111111111111111</v>
      </c>
      <c r="BQ81" s="1518">
        <f t="shared" si="252"/>
        <v>0.12473794549266247</v>
      </c>
      <c r="BR81" s="1520">
        <f t="shared" si="252"/>
        <v>7.6923076923076927E-2</v>
      </c>
      <c r="BS81" s="1521">
        <f t="shared" si="252"/>
        <v>0.10208939434012167</v>
      </c>
      <c r="BT81" s="1518">
        <f t="shared" si="252"/>
        <v>0.1088659793814433</v>
      </c>
      <c r="BU81" s="1518">
        <f t="shared" ref="BU81:CW81" si="253">BU49/BU22</f>
        <v>0.11221590909090909</v>
      </c>
      <c r="BV81" s="1518">
        <f t="shared" si="253"/>
        <v>0.11698228466707392</v>
      </c>
      <c r="BW81" s="1520">
        <f t="shared" si="253"/>
        <v>8.6596935052298707E-2</v>
      </c>
      <c r="BX81" s="1521">
        <f t="shared" si="253"/>
        <v>0.1044669729130366</v>
      </c>
      <c r="BY81" s="1518">
        <f t="shared" si="253"/>
        <v>0.16697047028800582</v>
      </c>
      <c r="BZ81" s="1518">
        <f t="shared" si="253"/>
        <v>0.10448232323232323</v>
      </c>
      <c r="CA81" s="1518">
        <f t="shared" si="253"/>
        <v>0.13196973942280751</v>
      </c>
      <c r="CB81" s="1520">
        <f t="shared" si="253"/>
        <v>8.1146159402841325E-2</v>
      </c>
      <c r="CC81" s="1521">
        <f t="shared" si="253"/>
        <v>0.1171422284163427</v>
      </c>
      <c r="CD81" s="1522">
        <f t="shared" si="253"/>
        <v>0.17741105861320397</v>
      </c>
      <c r="CE81" s="1522">
        <f t="shared" si="253"/>
        <v>0.15563302309077551</v>
      </c>
      <c r="CF81" s="1522">
        <f t="shared" si="253"/>
        <v>0.17346998992027854</v>
      </c>
      <c r="CG81" s="1522">
        <f t="shared" si="253"/>
        <v>9.1523507109931485E-2</v>
      </c>
      <c r="CH81" s="1835">
        <f t="shared" si="253"/>
        <v>0.14477170017141966</v>
      </c>
      <c r="CI81" s="1522">
        <f t="shared" si="253"/>
        <v>0.17011401865263218</v>
      </c>
      <c r="CJ81" s="1522">
        <f t="shared" si="253"/>
        <v>0.14185382942521707</v>
      </c>
      <c r="CK81" s="1522">
        <f t="shared" si="253"/>
        <v>0.1915799486220354</v>
      </c>
      <c r="CL81" s="1535">
        <f t="shared" si="253"/>
        <v>0.11914196119428797</v>
      </c>
      <c r="CM81" s="1523">
        <f t="shared" si="253"/>
        <v>0.1525732503415819</v>
      </c>
      <c r="CN81" s="1524">
        <f t="shared" si="253"/>
        <v>0.22128761161602564</v>
      </c>
      <c r="CO81" s="1522">
        <f t="shared" si="253"/>
        <v>0.11157413578165799</v>
      </c>
      <c r="CP81" s="1522">
        <f t="shared" si="253"/>
        <v>0.13882887967132687</v>
      </c>
      <c r="CQ81" s="1898">
        <f t="shared" si="253"/>
        <v>0.11029023746701846</v>
      </c>
      <c r="CR81" s="1955">
        <f t="shared" si="253"/>
        <v>0.14286874846311817</v>
      </c>
      <c r="CS81" s="974">
        <f t="shared" si="253"/>
        <v>0.15661815661815662</v>
      </c>
      <c r="CT81" s="974">
        <f t="shared" si="253"/>
        <v>0.17682119205298014</v>
      </c>
      <c r="CU81" s="974">
        <f t="shared" si="253"/>
        <v>0.14304548450889915</v>
      </c>
      <c r="CV81" s="16">
        <f t="shared" si="253"/>
        <v>0.16375198728139906</v>
      </c>
      <c r="CW81" s="1132">
        <f t="shared" si="253"/>
        <v>0.16029573698285354</v>
      </c>
      <c r="CX81" s="1020">
        <f t="shared" ref="CX81:CY81" si="254">CX49/CX22</f>
        <v>0.19760056457304165</v>
      </c>
      <c r="CY81" s="1020">
        <f t="shared" si="254"/>
        <v>0.14226519337016574</v>
      </c>
      <c r="CZ81" s="16">
        <f t="shared" ref="CZ81:DA81" si="255">CZ49/CZ22</f>
        <v>0.29108635097493035</v>
      </c>
      <c r="DA81" s="63">
        <f t="shared" si="255"/>
        <v>0.27647431832593533</v>
      </c>
      <c r="DB81" s="464">
        <f t="shared" ref="DB81:DQ81" si="256">DB49/DB22</f>
        <v>0.22796869683565837</v>
      </c>
      <c r="DC81" s="16">
        <f t="shared" si="256"/>
        <v>0.20340896726727256</v>
      </c>
      <c r="DD81" s="16">
        <f t="shared" si="256"/>
        <v>0.2225275875275016</v>
      </c>
      <c r="DE81" s="16">
        <f t="shared" si="256"/>
        <v>0.25089534885263454</v>
      </c>
      <c r="DF81" s="63">
        <f t="shared" si="256"/>
        <v>0.24255635159089703</v>
      </c>
      <c r="DG81" s="464">
        <f t="shared" si="256"/>
        <v>0.2303050556804698</v>
      </c>
      <c r="DH81" s="16">
        <f t="shared" si="256"/>
        <v>0.25522591338239226</v>
      </c>
      <c r="DI81" s="16">
        <f t="shared" si="256"/>
        <v>0.2706766110435731</v>
      </c>
      <c r="DJ81" s="16">
        <f t="shared" si="256"/>
        <v>0.29977697743316312</v>
      </c>
      <c r="DK81" s="63">
        <f t="shared" si="256"/>
        <v>0.29236678491746504</v>
      </c>
      <c r="DL81" s="464">
        <f t="shared" si="256"/>
        <v>0.28024128599317344</v>
      </c>
      <c r="DM81" s="16">
        <f t="shared" si="256"/>
        <v>0.27974966847044969</v>
      </c>
      <c r="DN81" s="16">
        <f t="shared" si="256"/>
        <v>0.28972370886135695</v>
      </c>
      <c r="DO81" s="16">
        <f t="shared" si="256"/>
        <v>0.3136400003409075</v>
      </c>
      <c r="DP81" s="63">
        <f t="shared" si="256"/>
        <v>0.29865202506519356</v>
      </c>
      <c r="DQ81" s="464">
        <f t="shared" si="256"/>
        <v>0.29600474631473223</v>
      </c>
      <c r="DR81" s="16">
        <f t="shared" ref="DR81:EA81" si="257">DR49/DR22</f>
        <v>0.28547980964182235</v>
      </c>
      <c r="DS81" s="16">
        <f t="shared" si="257"/>
        <v>0.2944835482807841</v>
      </c>
      <c r="DT81" s="16">
        <f t="shared" si="257"/>
        <v>0.31906687951546953</v>
      </c>
      <c r="DU81" s="63">
        <f t="shared" si="257"/>
        <v>0.30363916540296221</v>
      </c>
      <c r="DV81" s="464">
        <f t="shared" si="257"/>
        <v>0.30120704875135818</v>
      </c>
      <c r="DW81" s="16">
        <f t="shared" si="257"/>
        <v>0.2891243443420275</v>
      </c>
      <c r="DX81" s="16">
        <f t="shared" si="257"/>
        <v>0.29668856786012382</v>
      </c>
      <c r="DY81" s="16">
        <f t="shared" si="257"/>
        <v>0.32122626287267325</v>
      </c>
      <c r="DZ81" s="63">
        <f t="shared" si="257"/>
        <v>0.30463267590949827</v>
      </c>
      <c r="EA81" s="464">
        <f t="shared" si="257"/>
        <v>0.30337806187805744</v>
      </c>
      <c r="EB81" s="11"/>
      <c r="EC81" s="623" t="s">
        <v>233</v>
      </c>
      <c r="ED81" s="621">
        <f t="shared" si="213"/>
        <v>0.27647431832593533</v>
      </c>
      <c r="EE81" s="621">
        <v>0.15696838660694479</v>
      </c>
      <c r="EF81" s="811">
        <f t="shared" si="172"/>
        <v>1195.0593171899054</v>
      </c>
      <c r="EG81" s="621">
        <f t="shared" si="214"/>
        <v>0.16375198728139906</v>
      </c>
      <c r="EH81" s="1210">
        <f t="shared" si="180"/>
        <v>1127.2233104453628</v>
      </c>
      <c r="EI81" s="1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row>
    <row r="82" spans="1:259" s="337" customFormat="1" x14ac:dyDescent="0.2">
      <c r="A82" s="2007" t="s">
        <v>234</v>
      </c>
      <c r="B82" s="1999"/>
      <c r="C82" s="1999"/>
      <c r="D82" s="1999"/>
      <c r="E82" s="1999"/>
      <c r="F82" s="1999"/>
      <c r="G82" s="1999"/>
      <c r="H82" s="1999"/>
      <c r="I82" s="1999"/>
      <c r="J82" s="2003"/>
      <c r="K82" s="1999"/>
      <c r="L82" s="2003"/>
      <c r="M82" s="1999"/>
      <c r="N82" s="1999"/>
      <c r="O82" s="1999"/>
      <c r="P82" s="1999"/>
      <c r="Q82" s="1999"/>
      <c r="R82" s="1999"/>
      <c r="S82" s="1999"/>
      <c r="T82" s="1999"/>
      <c r="U82" s="1999"/>
      <c r="V82" s="1999"/>
      <c r="W82" s="1999"/>
      <c r="X82" s="1999"/>
      <c r="Y82" s="1999"/>
      <c r="Z82" s="1999"/>
      <c r="AA82" s="1999"/>
      <c r="AB82" s="1999"/>
      <c r="AC82" s="1999"/>
      <c r="AD82" s="1999"/>
      <c r="AE82" s="1999"/>
      <c r="AF82" s="1999"/>
      <c r="AG82" s="1999"/>
      <c r="AH82" s="1999"/>
      <c r="AI82" s="1999"/>
      <c r="AJ82" s="1999"/>
      <c r="AK82" s="1999"/>
      <c r="AL82" s="1999"/>
      <c r="AM82" s="1999"/>
      <c r="AN82" s="1999"/>
      <c r="AO82" s="1999"/>
      <c r="AP82" s="1999"/>
      <c r="AQ82" s="1999"/>
      <c r="AR82" s="1999"/>
      <c r="AS82" s="1999"/>
      <c r="AT82" s="1999"/>
      <c r="AU82" s="1999"/>
      <c r="AV82" s="1999"/>
      <c r="AW82" s="1999"/>
      <c r="AX82" s="1999"/>
      <c r="AY82" s="1999"/>
      <c r="AZ82" s="1999"/>
      <c r="BA82" s="1999"/>
      <c r="BB82" s="1999"/>
      <c r="BC82" s="1999"/>
      <c r="BD82" s="2008"/>
      <c r="BE82" s="1999"/>
      <c r="BF82" s="1999"/>
      <c r="BG82" s="1999"/>
      <c r="BH82" s="1999"/>
      <c r="BI82" s="2008"/>
      <c r="BJ82" s="1999"/>
      <c r="BK82" s="1999"/>
      <c r="BL82" s="1999"/>
      <c r="BM82" s="1999"/>
      <c r="BN82" s="2001"/>
      <c r="BO82" s="1999"/>
      <c r="BP82" s="1999"/>
      <c r="BQ82" s="1999"/>
      <c r="BR82" s="1999"/>
      <c r="BS82" s="2001"/>
      <c r="BT82" s="1999"/>
      <c r="BU82" s="1999"/>
      <c r="BV82" s="1999"/>
      <c r="BW82" s="1999"/>
      <c r="BX82" s="2001"/>
      <c r="BY82" s="1999"/>
      <c r="BZ82" s="1999"/>
      <c r="CA82" s="1999"/>
      <c r="CB82" s="1999"/>
      <c r="CC82" s="2001"/>
      <c r="CD82" s="1999"/>
      <c r="CE82" s="1999"/>
      <c r="CF82" s="1999"/>
      <c r="CG82" s="1999"/>
      <c r="CH82" s="2009"/>
      <c r="CI82" s="1999"/>
      <c r="CJ82" s="1999"/>
      <c r="CK82" s="1999"/>
      <c r="CL82" s="1999"/>
      <c r="CM82" s="2001"/>
      <c r="CN82" s="2003"/>
      <c r="CO82" s="1999"/>
      <c r="CP82" s="1999"/>
      <c r="CQ82" s="1999"/>
      <c r="CR82" s="2001"/>
      <c r="CS82" s="2004"/>
      <c r="CT82" s="2004"/>
      <c r="CU82" s="2004"/>
      <c r="CV82" s="2006"/>
      <c r="CW82" s="466"/>
      <c r="CX82" s="3"/>
      <c r="CY82" s="3"/>
      <c r="CZ82" s="3"/>
      <c r="DA82" s="3"/>
      <c r="DB82" s="466"/>
      <c r="DC82" s="3"/>
      <c r="DD82" s="3"/>
      <c r="DE82" s="3"/>
      <c r="DF82" s="3"/>
      <c r="DG82" s="466"/>
      <c r="DH82" s="3"/>
      <c r="DI82" s="3"/>
      <c r="DJ82" s="3"/>
      <c r="DK82" s="3"/>
      <c r="DL82" s="466"/>
      <c r="DM82" s="3"/>
      <c r="DN82" s="3"/>
      <c r="DO82" s="3"/>
      <c r="DP82" s="3"/>
      <c r="DQ82" s="466"/>
      <c r="DR82" s="3"/>
      <c r="DS82" s="3"/>
      <c r="DT82" s="3"/>
      <c r="DU82" s="3"/>
      <c r="DV82" s="466"/>
      <c r="DW82" s="3"/>
      <c r="DX82" s="3"/>
      <c r="DY82" s="3"/>
      <c r="DZ82" s="3"/>
      <c r="EA82" s="466"/>
      <c r="EB82" s="11"/>
      <c r="EC82" s="1204" t="s">
        <v>234</v>
      </c>
      <c r="ED82" s="1211"/>
      <c r="EE82" s="1211"/>
      <c r="EF82" s="1206"/>
      <c r="EG82" s="1211"/>
      <c r="EH82" s="1207"/>
      <c r="EI82" s="11"/>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row>
    <row r="83" spans="1:259" s="340" customFormat="1" x14ac:dyDescent="0.2">
      <c r="A83" s="684" t="s">
        <v>442</v>
      </c>
      <c r="B83" s="1365"/>
      <c r="C83" s="1365"/>
      <c r="D83" s="1365"/>
      <c r="E83" s="1365"/>
      <c r="F83" s="1368"/>
      <c r="G83" s="1525">
        <f t="shared" ref="G83:AL83" si="258">G17/B17-1</f>
        <v>-5.8900523560209139E-3</v>
      </c>
      <c r="H83" s="1525">
        <f t="shared" si="258"/>
        <v>4.4091710758377367E-2</v>
      </c>
      <c r="I83" s="1525">
        <f t="shared" si="258"/>
        <v>-1.6442751152997759E-2</v>
      </c>
      <c r="J83" s="1525">
        <f t="shared" si="258"/>
        <v>1.0066058508965137E-2</v>
      </c>
      <c r="K83" s="1526">
        <f t="shared" si="258"/>
        <v>7.5739066699243018E-3</v>
      </c>
      <c r="L83" s="1525">
        <f t="shared" si="258"/>
        <v>5.4641211323239069E-2</v>
      </c>
      <c r="M83" s="1525">
        <f t="shared" si="258"/>
        <v>5.6165540540540571E-2</v>
      </c>
      <c r="N83" s="1525">
        <f t="shared" si="258"/>
        <v>3.6901121304790951E-2</v>
      </c>
      <c r="O83" s="1525">
        <f t="shared" si="258"/>
        <v>6.9448769853628134E-2</v>
      </c>
      <c r="P83" s="1526">
        <f t="shared" si="258"/>
        <v>5.5383123181377281E-2</v>
      </c>
      <c r="Q83" s="1525">
        <f t="shared" si="258"/>
        <v>2.4968789013732895E-2</v>
      </c>
      <c r="R83" s="1525">
        <f t="shared" si="258"/>
        <v>2.3990403838465291E-3</v>
      </c>
      <c r="S83" s="1525">
        <f t="shared" si="258"/>
        <v>2.7329925285096257E-2</v>
      </c>
      <c r="T83" s="1525">
        <f t="shared" si="258"/>
        <v>1.8345952242283081E-2</v>
      </c>
      <c r="U83" s="1526">
        <f t="shared" si="258"/>
        <v>1.8242808565389179E-2</v>
      </c>
      <c r="V83" s="1525">
        <f t="shared" si="258"/>
        <v>1.0759236703207442E-2</v>
      </c>
      <c r="W83" s="1525">
        <f t="shared" si="258"/>
        <v>1.9944156362185828E-2</v>
      </c>
      <c r="X83" s="1525">
        <f t="shared" si="258"/>
        <v>8.0382775119616223E-3</v>
      </c>
      <c r="Y83" s="1525">
        <f t="shared" si="258"/>
        <v>-8.5787818129823279E-4</v>
      </c>
      <c r="Z83" s="1526">
        <f t="shared" si="258"/>
        <v>8.5292657610902545E-3</v>
      </c>
      <c r="AA83" s="1525">
        <f t="shared" si="258"/>
        <v>5.3022695320345425E-2</v>
      </c>
      <c r="AB83" s="1525">
        <f t="shared" si="258"/>
        <v>6.7266327727806052E-2</v>
      </c>
      <c r="AC83" s="1525">
        <f t="shared" si="258"/>
        <v>0.12587810898044438</v>
      </c>
      <c r="AD83" s="1525">
        <f t="shared" si="258"/>
        <v>8.5861476817401305E-2</v>
      </c>
      <c r="AE83" s="1526">
        <f t="shared" si="258"/>
        <v>8.3721138356899871E-2</v>
      </c>
      <c r="AF83" s="1525">
        <f t="shared" si="258"/>
        <v>8.4112149532710179E-2</v>
      </c>
      <c r="AG83" s="1525">
        <f t="shared" si="258"/>
        <v>8.446317332356168E-2</v>
      </c>
      <c r="AH83" s="1525">
        <f t="shared" si="258"/>
        <v>3.9460370994941041E-2</v>
      </c>
      <c r="AI83" s="1525">
        <f t="shared" si="258"/>
        <v>0.1033998897233499</v>
      </c>
      <c r="AJ83" s="1526">
        <f t="shared" si="258"/>
        <v>7.9301307371104413E-2</v>
      </c>
      <c r="AK83" s="1525">
        <f t="shared" si="258"/>
        <v>8.5503166783954976E-2</v>
      </c>
      <c r="AL83" s="1525">
        <f t="shared" si="258"/>
        <v>7.5012671059300651E-2</v>
      </c>
      <c r="AM83" s="1525">
        <f t="shared" ref="AM83:BR83" si="259">AM17/AH17-1</f>
        <v>8.679428942245293E-2</v>
      </c>
      <c r="AN83" s="1525">
        <f t="shared" si="259"/>
        <v>3.5879140948505084E-2</v>
      </c>
      <c r="AO83" s="1526">
        <f t="shared" si="259"/>
        <v>6.7537443087235527E-2</v>
      </c>
      <c r="AP83" s="1525">
        <f t="shared" si="259"/>
        <v>7.1150729335494267E-2</v>
      </c>
      <c r="AQ83" s="1525">
        <f t="shared" si="259"/>
        <v>6.6635234952066691E-2</v>
      </c>
      <c r="AR83" s="1525">
        <f t="shared" si="259"/>
        <v>6.2845200776235233E-2</v>
      </c>
      <c r="AS83" s="1525">
        <f t="shared" si="259"/>
        <v>7.3215726968753669E-2</v>
      </c>
      <c r="AT83" s="1526">
        <f t="shared" si="259"/>
        <v>6.8769037806844624E-2</v>
      </c>
      <c r="AU83" s="1525">
        <f t="shared" si="259"/>
        <v>5.0234528673021694E-2</v>
      </c>
      <c r="AV83" s="1525">
        <f t="shared" si="259"/>
        <v>4.4644172683070638E-2</v>
      </c>
      <c r="AW83" s="1525">
        <f t="shared" si="259"/>
        <v>4.8876404494382131E-2</v>
      </c>
      <c r="AX83" s="1525">
        <f t="shared" si="259"/>
        <v>2.9437043403523822E-2</v>
      </c>
      <c r="AY83" s="1526">
        <f t="shared" si="259"/>
        <v>4.2147263948497882E-2</v>
      </c>
      <c r="AZ83" s="1525">
        <f t="shared" si="259"/>
        <v>4.2212937617058133E-2</v>
      </c>
      <c r="BA83" s="1525">
        <f t="shared" si="259"/>
        <v>6.995768688293369E-2</v>
      </c>
      <c r="BB83" s="1525">
        <f t="shared" si="259"/>
        <v>9.4001071237278966E-2</v>
      </c>
      <c r="BC83" s="1525">
        <f t="shared" si="259"/>
        <v>0.10070966395324565</v>
      </c>
      <c r="BD83" s="1526">
        <f t="shared" si="259"/>
        <v>7.9019336572182297E-2</v>
      </c>
      <c r="BE83" s="1525">
        <f t="shared" si="259"/>
        <v>8.7779928117224237E-2</v>
      </c>
      <c r="BF83" s="1525">
        <f t="shared" si="259"/>
        <v>9.4779857632480979E-2</v>
      </c>
      <c r="BG83" s="1525">
        <f t="shared" si="259"/>
        <v>8.48225214198286E-2</v>
      </c>
      <c r="BH83" s="1525">
        <f t="shared" si="259"/>
        <v>3.0055940077747145E-2</v>
      </c>
      <c r="BI83" s="1526">
        <f t="shared" si="259"/>
        <v>7.0489310313981646E-2</v>
      </c>
      <c r="BJ83" s="1525">
        <f t="shared" si="259"/>
        <v>-8.8956665395856227E-4</v>
      </c>
      <c r="BK83" s="1525">
        <f t="shared" si="259"/>
        <v>-2.7814569536423805E-2</v>
      </c>
      <c r="BL83" s="1525">
        <f t="shared" si="259"/>
        <v>-2.6176238294031373E-2</v>
      </c>
      <c r="BM83" s="1525">
        <f t="shared" si="259"/>
        <v>2.7614138438880609E-3</v>
      </c>
      <c r="BN83" s="1530">
        <f t="shared" si="259"/>
        <v>-1.2255926018773899E-2</v>
      </c>
      <c r="BO83" s="1525">
        <f t="shared" si="259"/>
        <v>4.9605698295599021E-2</v>
      </c>
      <c r="BP83" s="1525">
        <f t="shared" si="259"/>
        <v>7.5427297498142254E-2</v>
      </c>
      <c r="BQ83" s="1525">
        <f t="shared" si="259"/>
        <v>5.4339010543390076E-2</v>
      </c>
      <c r="BR83" s="1525">
        <f t="shared" si="259"/>
        <v>8.2889664035248778E-2</v>
      </c>
      <c r="BS83" s="1530">
        <f t="shared" ref="BS83:CX83" si="260">BS17/BN17-1</f>
        <v>6.6862186627562714E-2</v>
      </c>
      <c r="BT83" s="1525">
        <f t="shared" si="260"/>
        <v>6.7135239941832348E-2</v>
      </c>
      <c r="BU83" s="1525">
        <f t="shared" si="260"/>
        <v>6.7603362893009278E-2</v>
      </c>
      <c r="BV83" s="1525">
        <f t="shared" si="260"/>
        <v>0.11120879120879112</v>
      </c>
      <c r="BW83" s="1525">
        <f t="shared" si="260"/>
        <v>0.12655759938967526</v>
      </c>
      <c r="BX83" s="1530">
        <f t="shared" si="260"/>
        <v>9.6373440473673133E-2</v>
      </c>
      <c r="BY83" s="1525">
        <f t="shared" si="260"/>
        <v>7.6425164660458789E-2</v>
      </c>
      <c r="BZ83" s="1525">
        <f t="shared" si="260"/>
        <v>6.9471413160733464E-2</v>
      </c>
      <c r="CA83" s="1525">
        <f t="shared" si="260"/>
        <v>3.9161392405063333E-2</v>
      </c>
      <c r="CB83" s="1525">
        <f t="shared" si="260"/>
        <v>-3.5364936042137085E-3</v>
      </c>
      <c r="CC83" s="1530">
        <f t="shared" si="260"/>
        <v>4.0165871064178571E-2</v>
      </c>
      <c r="CD83" s="1531">
        <f t="shared" si="260"/>
        <v>1.0655132397932254E-2</v>
      </c>
      <c r="CE83" s="1531">
        <f t="shared" si="260"/>
        <v>-3.530361105507418E-3</v>
      </c>
      <c r="CF83" s="1531">
        <f t="shared" si="260"/>
        <v>7.3277502854967036E-3</v>
      </c>
      <c r="CG83" s="1531">
        <f t="shared" si="260"/>
        <v>1.0345087971003641E-2</v>
      </c>
      <c r="CH83" s="1838">
        <f t="shared" si="260"/>
        <v>6.4898943074356286E-3</v>
      </c>
      <c r="CI83" s="1531">
        <f t="shared" si="260"/>
        <v>1.8475991649269385E-2</v>
      </c>
      <c r="CJ83" s="1531">
        <f t="shared" si="260"/>
        <v>4.4235246482437596E-2</v>
      </c>
      <c r="CK83" s="1531">
        <f t="shared" si="260"/>
        <v>7.652338214454435E-3</v>
      </c>
      <c r="CL83" s="1531">
        <f t="shared" si="260"/>
        <v>5.0822122571001493E-3</v>
      </c>
      <c r="CM83" s="1532">
        <f t="shared" si="260"/>
        <v>1.7570928518791495E-2</v>
      </c>
      <c r="CN83" s="1533">
        <f t="shared" si="260"/>
        <v>6.2211745413549346E-2</v>
      </c>
      <c r="CO83" s="1531">
        <f t="shared" si="260"/>
        <v>1.9387359441644048E-2</v>
      </c>
      <c r="CP83" s="1531">
        <f t="shared" si="260"/>
        <v>1.762610163135192E-2</v>
      </c>
      <c r="CQ83" s="1043">
        <f t="shared" si="260"/>
        <v>-8.3729922665080281E-2</v>
      </c>
      <c r="CR83" s="1957">
        <f t="shared" si="260"/>
        <v>-1.0342408400660807E-2</v>
      </c>
      <c r="CS83" s="2074">
        <f t="shared" si="260"/>
        <v>4.052489386337399E-3</v>
      </c>
      <c r="CT83" s="2074">
        <f t="shared" si="260"/>
        <v>3.6135412704449976E-3</v>
      </c>
      <c r="CU83" s="2074">
        <f t="shared" si="260"/>
        <v>1.4280449603832679E-2</v>
      </c>
      <c r="CV83" s="103">
        <f t="shared" si="260"/>
        <v>5.1290374939133354E-2</v>
      </c>
      <c r="CW83" s="1167">
        <f t="shared" si="260"/>
        <v>2.7258175165790099E-2</v>
      </c>
      <c r="CX83" s="103">
        <f t="shared" si="260"/>
        <v>3.488372093023262E-2</v>
      </c>
      <c r="CY83" s="103">
        <f t="shared" ref="CY83:DQ83" si="261">CY17/CT17-1</f>
        <v>3.9511085844229576E-2</v>
      </c>
      <c r="CZ83" s="103">
        <f t="shared" si="261"/>
        <v>6.0132618766463697E-2</v>
      </c>
      <c r="DA83" s="103">
        <f t="shared" si="261"/>
        <v>2.5397560599042857E-2</v>
      </c>
      <c r="DB83" s="465">
        <f t="shared" si="261"/>
        <v>3.9446151106362182E-2</v>
      </c>
      <c r="DC83" s="103">
        <f t="shared" si="261"/>
        <v>8.2150771695233216E-2</v>
      </c>
      <c r="DD83" s="103">
        <f t="shared" si="261"/>
        <v>6.4785608296816788E-2</v>
      </c>
      <c r="DE83" s="103">
        <f t="shared" si="261"/>
        <v>6.3477485174520565E-2</v>
      </c>
      <c r="DF83" s="103">
        <f t="shared" si="261"/>
        <v>7.6793844100792041E-2</v>
      </c>
      <c r="DG83" s="465">
        <f t="shared" si="261"/>
        <v>7.1879533337751988E-2</v>
      </c>
      <c r="DH83" s="103">
        <f t="shared" si="261"/>
        <v>6.7332264542517173E-2</v>
      </c>
      <c r="DI83" s="103">
        <f t="shared" si="261"/>
        <v>6.4407255907630079E-2</v>
      </c>
      <c r="DJ83" s="103">
        <f t="shared" si="261"/>
        <v>6.544604214107963E-2</v>
      </c>
      <c r="DK83" s="103">
        <f t="shared" si="261"/>
        <v>7.0130135995581266E-2</v>
      </c>
      <c r="DL83" s="465">
        <f t="shared" si="261"/>
        <v>6.6981364725252401E-2</v>
      </c>
      <c r="DM83" s="103">
        <f t="shared" si="261"/>
        <v>6.1452768398653879E-2</v>
      </c>
      <c r="DN83" s="103">
        <f t="shared" si="261"/>
        <v>6.2639797333599478E-2</v>
      </c>
      <c r="DO83" s="103">
        <f t="shared" si="261"/>
        <v>6.4487709976163821E-2</v>
      </c>
      <c r="DP83" s="103">
        <f t="shared" si="261"/>
        <v>6.6034730053785573E-2</v>
      </c>
      <c r="DQ83" s="465">
        <f t="shared" si="261"/>
        <v>6.379396319410402E-2</v>
      </c>
      <c r="DR83" s="103">
        <f t="shared" ref="DR83" si="262">DR17/DM17-1</f>
        <v>6.6146522645316175E-2</v>
      </c>
      <c r="DS83" s="103">
        <f t="shared" ref="DS83" si="263">DS17/DN17-1</f>
        <v>6.6538341341544349E-2</v>
      </c>
      <c r="DT83" s="103">
        <f t="shared" ref="DT83" si="264">DT17/DO17-1</f>
        <v>6.6488609788388553E-2</v>
      </c>
      <c r="DU83" s="103">
        <f t="shared" ref="DU83" si="265">DU17/DP17-1</f>
        <v>6.682220024139629E-2</v>
      </c>
      <c r="DV83" s="465">
        <f t="shared" ref="DV83" si="266">DV17/DQ17-1</f>
        <v>6.6516488423830511E-2</v>
      </c>
      <c r="DW83" s="103">
        <f t="shared" ref="DW83" si="267">DW17/DR17-1</f>
        <v>6.6089086466515568E-2</v>
      </c>
      <c r="DX83" s="103">
        <f t="shared" ref="DX83" si="268">DX17/DS17-1</f>
        <v>6.6777039646097824E-2</v>
      </c>
      <c r="DY83" s="103">
        <f t="shared" ref="DY83" si="269">DY17/DT17-1</f>
        <v>6.690335179212159E-2</v>
      </c>
      <c r="DZ83" s="103">
        <f t="shared" ref="DZ83" si="270">DZ17/DU17-1</f>
        <v>6.766575763171323E-2</v>
      </c>
      <c r="EA83" s="465">
        <f t="shared" ref="EA83" si="271">EA17/DV17-1</f>
        <v>6.6903842010652692E-2</v>
      </c>
      <c r="EB83" s="18"/>
      <c r="EC83" s="1212" t="s">
        <v>367</v>
      </c>
      <c r="ED83" s="1213">
        <f>DA83</f>
        <v>2.5397560599042857E-2</v>
      </c>
      <c r="EE83" s="1213">
        <v>2.9493416939917916E-2</v>
      </c>
      <c r="EF83" s="1214">
        <f t="shared" ref="EF83:EF92" si="272">ED83-EE83</f>
        <v>-4.0958563408750592E-3</v>
      </c>
      <c r="EG83" s="1213">
        <f>CV83</f>
        <v>5.1290374939133354E-2</v>
      </c>
      <c r="EH83" s="1215"/>
      <c r="EI83" s="18"/>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row>
    <row r="84" spans="1:259" s="2438" customFormat="1" hidden="1" outlineLevel="1" x14ac:dyDescent="0.2">
      <c r="A84" s="2423" t="s">
        <v>660</v>
      </c>
      <c r="B84" s="1166"/>
      <c r="C84" s="1166"/>
      <c r="D84" s="1166"/>
      <c r="E84" s="1166"/>
      <c r="F84" s="2424"/>
      <c r="G84" s="2425"/>
      <c r="H84" s="2425"/>
      <c r="I84" s="2425"/>
      <c r="J84" s="2425"/>
      <c r="K84" s="2426"/>
      <c r="L84" s="2425"/>
      <c r="M84" s="2425"/>
      <c r="N84" s="2425"/>
      <c r="O84" s="2425"/>
      <c r="P84" s="2426"/>
      <c r="Q84" s="2425"/>
      <c r="R84" s="2425"/>
      <c r="S84" s="2425"/>
      <c r="T84" s="2425"/>
      <c r="U84" s="2426"/>
      <c r="V84" s="2425"/>
      <c r="W84" s="2425"/>
      <c r="X84" s="2425"/>
      <c r="Y84" s="2425"/>
      <c r="Z84" s="2426"/>
      <c r="AA84" s="2425"/>
      <c r="AB84" s="2425"/>
      <c r="AC84" s="2425"/>
      <c r="AD84" s="2425"/>
      <c r="AE84" s="2426"/>
      <c r="AF84" s="2425"/>
      <c r="AG84" s="2425"/>
      <c r="AH84" s="2425"/>
      <c r="AI84" s="2425"/>
      <c r="AJ84" s="2426"/>
      <c r="AK84" s="2425"/>
      <c r="AL84" s="2425"/>
      <c r="AM84" s="2425"/>
      <c r="AN84" s="2425"/>
      <c r="AO84" s="2426"/>
      <c r="AP84" s="2425"/>
      <c r="AQ84" s="2425"/>
      <c r="AR84" s="2425"/>
      <c r="AS84" s="2425"/>
      <c r="AT84" s="2426"/>
      <c r="AU84" s="2425"/>
      <c r="AV84" s="2425"/>
      <c r="AW84" s="2425"/>
      <c r="AX84" s="2425"/>
      <c r="AY84" s="2426"/>
      <c r="AZ84" s="2425"/>
      <c r="BA84" s="2425"/>
      <c r="BB84" s="2425"/>
      <c r="BC84" s="2425"/>
      <c r="BD84" s="2426"/>
      <c r="BE84" s="2425"/>
      <c r="BF84" s="2425"/>
      <c r="BG84" s="2425"/>
      <c r="BH84" s="2425"/>
      <c r="BI84" s="2426"/>
      <c r="BJ84" s="2425"/>
      <c r="BK84" s="2425"/>
      <c r="BL84" s="2425"/>
      <c r="BM84" s="2425"/>
      <c r="BN84" s="2427"/>
      <c r="BO84" s="2425"/>
      <c r="BP84" s="2425"/>
      <c r="BQ84" s="2425"/>
      <c r="BR84" s="2425"/>
      <c r="BS84" s="2427"/>
      <c r="BT84" s="2425"/>
      <c r="BU84" s="2425"/>
      <c r="BV84" s="2425"/>
      <c r="BW84" s="2425"/>
      <c r="BX84" s="2427"/>
      <c r="BY84" s="2425"/>
      <c r="BZ84" s="2425"/>
      <c r="CA84" s="2425"/>
      <c r="CB84" s="2425"/>
      <c r="CC84" s="2427"/>
      <c r="CD84" s="2425"/>
      <c r="CE84" s="2425"/>
      <c r="CF84" s="2425"/>
      <c r="CG84" s="2425"/>
      <c r="CH84" s="2428"/>
      <c r="CI84" s="2429">
        <v>0.22958510514180941</v>
      </c>
      <c r="CJ84" s="2425">
        <v>0.28255147713300643</v>
      </c>
      <c r="CK84" s="2425">
        <v>0.30658741222510844</v>
      </c>
      <c r="CL84" s="2425">
        <v>0.26228332582113056</v>
      </c>
      <c r="CM84" s="2430">
        <v>0.27018060023768453</v>
      </c>
      <c r="CN84" s="2429">
        <v>9.8238326860593528E-2</v>
      </c>
      <c r="CO84" s="2425">
        <v>6.7347955563442863E-2</v>
      </c>
      <c r="CP84" s="2425">
        <v>7.7255683767736505E-2</v>
      </c>
      <c r="CQ84" s="2425">
        <v>-3.2659669029136085E-2</v>
      </c>
      <c r="CR84" s="2430">
        <v>4.5398940174734559E-2</v>
      </c>
      <c r="CS84" s="2431">
        <v>6.7258243123011541E-2</v>
      </c>
      <c r="CT84" s="2431">
        <v>4.0528034686406089E-2</v>
      </c>
      <c r="CU84" s="2431">
        <v>4.3182073524985043E-2</v>
      </c>
      <c r="CV84" s="1023">
        <v>6.0666108240471806E-2</v>
      </c>
      <c r="CW84" s="2432">
        <v>5.4115981847104644E-2</v>
      </c>
      <c r="CX84" s="1023">
        <v>4.624012433557434E-2</v>
      </c>
      <c r="CY84" s="1023">
        <v>4.681854133954233E-2</v>
      </c>
      <c r="CZ84" s="1023">
        <v>6.0261041603051346E-2</v>
      </c>
      <c r="DA84" s="1023">
        <v>0.04</v>
      </c>
      <c r="DB84" s="2433">
        <v>0.05</v>
      </c>
      <c r="DC84" s="1023">
        <v>5.5665354814756762E-2</v>
      </c>
      <c r="DD84" s="1023">
        <v>5.2743905670904923E-2</v>
      </c>
      <c r="DE84" s="1023">
        <v>5.496663871100349E-2</v>
      </c>
      <c r="DF84" s="1023">
        <v>6.3873754966686347E-2</v>
      </c>
      <c r="DG84" s="2433">
        <v>5.7139339588260452E-2</v>
      </c>
      <c r="DH84" s="1023">
        <v>6.7332264542517173E-2</v>
      </c>
      <c r="DI84" s="1023">
        <v>6.4407255907630079E-2</v>
      </c>
      <c r="DJ84" s="1023">
        <v>6.544604214107963E-2</v>
      </c>
      <c r="DK84" s="1023">
        <v>7.0130135995581266E-2</v>
      </c>
      <c r="DL84" s="2433">
        <v>6.6981364725252401E-2</v>
      </c>
      <c r="DM84" s="1023">
        <v>6.1452768398653879E-2</v>
      </c>
      <c r="DN84" s="1023">
        <v>6.2639797333599478E-2</v>
      </c>
      <c r="DO84" s="1023">
        <v>6.4487709976163821E-2</v>
      </c>
      <c r="DP84" s="1023">
        <v>6.6034730053785795E-2</v>
      </c>
      <c r="DQ84" s="2433">
        <v>6.379396319410402E-2</v>
      </c>
      <c r="DR84" s="1023">
        <v>6.6146522645316175E-2</v>
      </c>
      <c r="DS84" s="1023">
        <v>6.6538341341544349E-2</v>
      </c>
      <c r="DT84" s="1023">
        <v>6.6488609788388553E-2</v>
      </c>
      <c r="DU84" s="1023">
        <v>6.6822200241396512E-2</v>
      </c>
      <c r="DV84" s="2433">
        <v>6.6516488423830511E-2</v>
      </c>
      <c r="DW84" s="1023">
        <v>6.6089086466515568E-2</v>
      </c>
      <c r="DX84" s="1023">
        <v>6.6777039646097824E-2</v>
      </c>
      <c r="DY84" s="1023">
        <v>6.690335179212159E-2</v>
      </c>
      <c r="DZ84" s="1023">
        <v>6.766575763171323E-2</v>
      </c>
      <c r="EA84" s="2433">
        <v>6.6903842010652692E-2</v>
      </c>
      <c r="EB84" s="2434"/>
      <c r="EC84" s="839"/>
      <c r="ED84" s="2435"/>
      <c r="EE84" s="2435"/>
      <c r="EF84" s="2436"/>
      <c r="EG84" s="2435"/>
      <c r="EH84" s="2437"/>
      <c r="EI84" s="2434"/>
      <c r="EK84"/>
      <c r="EL84"/>
      <c r="EM84"/>
      <c r="EN84"/>
      <c r="EO84"/>
      <c r="EP84"/>
      <c r="EQ84" s="2439"/>
      <c r="ER84" s="2439"/>
      <c r="ES84" s="2439"/>
      <c r="ET84" s="2439"/>
      <c r="EU84" s="2439"/>
      <c r="EV84" s="2439"/>
      <c r="EW84" s="2439"/>
      <c r="EX84" s="2439"/>
      <c r="EY84" s="2439"/>
      <c r="EZ84" s="2439"/>
      <c r="FA84" s="2439"/>
      <c r="FB84" s="2439"/>
      <c r="FC84" s="2439"/>
      <c r="FD84" s="2439"/>
      <c r="FE84" s="2439"/>
      <c r="FF84" s="2439"/>
      <c r="FG84" s="2439"/>
      <c r="FH84" s="2439"/>
      <c r="FI84" s="2439"/>
      <c r="FJ84" s="2439"/>
      <c r="FK84" s="2439"/>
      <c r="FL84" s="2439"/>
      <c r="FM84" s="2439"/>
      <c r="FN84" s="2439"/>
      <c r="FO84" s="2439"/>
      <c r="FP84" s="2439"/>
      <c r="FQ84" s="2439"/>
      <c r="FR84" s="2439"/>
      <c r="FS84" s="2439"/>
      <c r="FT84" s="2439"/>
      <c r="FU84" s="2439"/>
      <c r="FV84" s="2439"/>
      <c r="FW84" s="2439"/>
      <c r="FX84" s="2439"/>
      <c r="FY84" s="2439"/>
      <c r="FZ84" s="2439"/>
      <c r="GA84" s="2439"/>
      <c r="GB84" s="2439"/>
      <c r="GC84" s="2439"/>
      <c r="GD84" s="2439"/>
      <c r="GE84" s="2439"/>
      <c r="GF84" s="2439"/>
      <c r="GG84" s="2439"/>
      <c r="GH84" s="2439"/>
      <c r="GI84" s="2439"/>
      <c r="GJ84" s="2439"/>
      <c r="GK84" s="2439"/>
      <c r="GL84" s="2439"/>
      <c r="GM84" s="2439"/>
      <c r="GN84" s="2439"/>
      <c r="GO84" s="2439"/>
      <c r="GP84" s="2439"/>
      <c r="GQ84" s="2439"/>
      <c r="GR84" s="2439"/>
      <c r="GS84" s="2439"/>
      <c r="GT84" s="2439"/>
      <c r="GU84" s="2439"/>
      <c r="GV84" s="2439"/>
      <c r="GW84" s="2439"/>
      <c r="GX84" s="2439"/>
      <c r="GY84" s="2439"/>
      <c r="GZ84" s="2439"/>
      <c r="HA84" s="2439"/>
      <c r="HB84" s="2439"/>
      <c r="HC84" s="2439"/>
      <c r="HD84" s="2439"/>
      <c r="HE84" s="2439"/>
      <c r="HF84" s="2439"/>
      <c r="HG84" s="2439"/>
      <c r="HH84" s="2439"/>
      <c r="HI84" s="2439"/>
      <c r="HJ84" s="2439"/>
      <c r="HK84" s="2439"/>
      <c r="HL84" s="2439"/>
      <c r="HM84" s="2439"/>
      <c r="HN84" s="2439"/>
      <c r="HO84" s="2439"/>
      <c r="HP84" s="2439"/>
      <c r="HQ84" s="2439"/>
      <c r="HR84" s="2439"/>
      <c r="HS84" s="2439"/>
      <c r="HT84" s="2439"/>
      <c r="HU84" s="2439"/>
      <c r="HV84" s="2439"/>
      <c r="HW84" s="2439"/>
      <c r="HX84" s="2439"/>
      <c r="HY84" s="2439"/>
      <c r="HZ84" s="2439"/>
      <c r="IA84" s="2439"/>
      <c r="IB84" s="2439"/>
      <c r="IC84" s="2439"/>
      <c r="ID84" s="2439"/>
      <c r="IE84" s="2439"/>
      <c r="IF84" s="2439"/>
      <c r="IG84" s="2439"/>
      <c r="IH84" s="2439"/>
      <c r="II84" s="2439"/>
      <c r="IJ84" s="2439"/>
      <c r="IK84" s="2439"/>
      <c r="IL84" s="2439"/>
      <c r="IM84" s="2439"/>
      <c r="IN84" s="2439"/>
      <c r="IO84" s="2439"/>
      <c r="IP84" s="2439"/>
      <c r="IQ84" s="2439"/>
      <c r="IR84" s="2439"/>
      <c r="IS84" s="2439"/>
      <c r="IT84" s="2439"/>
      <c r="IU84" s="2439"/>
      <c r="IV84" s="2439"/>
      <c r="IW84" s="2439"/>
      <c r="IX84" s="2439"/>
      <c r="IY84" s="2439"/>
    </row>
    <row r="85" spans="1:259" s="340" customFormat="1" collapsed="1" x14ac:dyDescent="0.2">
      <c r="A85" s="1224" t="s">
        <v>662</v>
      </c>
      <c r="B85" s="1365"/>
      <c r="C85" s="1365"/>
      <c r="D85" s="1365"/>
      <c r="E85" s="1365"/>
      <c r="F85" s="1840"/>
      <c r="G85" s="1525"/>
      <c r="H85" s="1525"/>
      <c r="I85" s="1525"/>
      <c r="J85" s="1525"/>
      <c r="K85" s="1841"/>
      <c r="L85" s="1525"/>
      <c r="M85" s="1525"/>
      <c r="N85" s="1525"/>
      <c r="O85" s="1525"/>
      <c r="P85" s="1841"/>
      <c r="Q85" s="1525"/>
      <c r="R85" s="1525"/>
      <c r="S85" s="1525"/>
      <c r="T85" s="1525"/>
      <c r="U85" s="1841"/>
      <c r="V85" s="1525"/>
      <c r="W85" s="1525"/>
      <c r="X85" s="1525"/>
      <c r="Y85" s="1525"/>
      <c r="Z85" s="1841"/>
      <c r="AA85" s="1525"/>
      <c r="AB85" s="1525"/>
      <c r="AC85" s="1525"/>
      <c r="AD85" s="1525"/>
      <c r="AE85" s="1841"/>
      <c r="AF85" s="1525"/>
      <c r="AG85" s="1525"/>
      <c r="AH85" s="1525"/>
      <c r="AI85" s="1525"/>
      <c r="AJ85" s="1841"/>
      <c r="AK85" s="1525"/>
      <c r="AL85" s="1525"/>
      <c r="AM85" s="1525"/>
      <c r="AN85" s="1525"/>
      <c r="AO85" s="1841"/>
      <c r="AP85" s="1525"/>
      <c r="AQ85" s="1525"/>
      <c r="AR85" s="1525"/>
      <c r="AS85" s="1525"/>
      <c r="AT85" s="1841"/>
      <c r="AU85" s="1525"/>
      <c r="AV85" s="1525"/>
      <c r="AW85" s="1525"/>
      <c r="AX85" s="1525"/>
      <c r="AY85" s="1841"/>
      <c r="AZ85" s="1525"/>
      <c r="BA85" s="1525"/>
      <c r="BB85" s="1525"/>
      <c r="BC85" s="1525"/>
      <c r="BD85" s="1841"/>
      <c r="BE85" s="1525"/>
      <c r="BF85" s="1525"/>
      <c r="BG85" s="1525"/>
      <c r="BH85" s="1525"/>
      <c r="BI85" s="1841"/>
      <c r="BJ85" s="1525"/>
      <c r="BK85" s="1525"/>
      <c r="BL85" s="1525"/>
      <c r="BM85" s="1525"/>
      <c r="BN85" s="1530"/>
      <c r="BO85" s="1525"/>
      <c r="BP85" s="1525"/>
      <c r="BQ85" s="1525"/>
      <c r="BR85" s="1525"/>
      <c r="BS85" s="1530"/>
      <c r="BT85" s="1525"/>
      <c r="BU85" s="1525"/>
      <c r="BV85" s="1525"/>
      <c r="BW85" s="1525"/>
      <c r="BX85" s="1530"/>
      <c r="BY85" s="1525"/>
      <c r="BZ85" s="1525"/>
      <c r="CA85" s="1525"/>
      <c r="CB85" s="1525"/>
      <c r="CC85" s="1530"/>
      <c r="CD85" s="1531">
        <v>0.01</v>
      </c>
      <c r="CE85" s="1531">
        <v>0.01</v>
      </c>
      <c r="CF85" s="1531">
        <v>0.01</v>
      </c>
      <c r="CG85" s="1531">
        <v>0.02</v>
      </c>
      <c r="CH85" s="1838">
        <f>AVERAGE(CD85:CG85)</f>
        <v>1.2500000000000001E-2</v>
      </c>
      <c r="CI85" s="1533">
        <v>0.04</v>
      </c>
      <c r="CJ85" s="1531">
        <v>0.06</v>
      </c>
      <c r="CK85" s="1531">
        <v>0.01</v>
      </c>
      <c r="CL85" s="1531">
        <v>0.03</v>
      </c>
      <c r="CM85" s="1539">
        <f>AVERAGE(CI85:CL85)</f>
        <v>3.5000000000000003E-2</v>
      </c>
      <c r="CN85" s="1533">
        <v>0.04</v>
      </c>
      <c r="CO85" s="1531">
        <v>0.03</v>
      </c>
      <c r="CP85" s="1531">
        <v>0.06</v>
      </c>
      <c r="CQ85" s="1043">
        <v>0.06</v>
      </c>
      <c r="CR85" s="1044"/>
      <c r="CS85" s="2074">
        <v>0.05</v>
      </c>
      <c r="CT85" s="2074">
        <v>0.03</v>
      </c>
      <c r="CU85" s="2074">
        <v>0.04</v>
      </c>
      <c r="CV85" s="1022">
        <v>0.08</v>
      </c>
      <c r="CW85" s="1226">
        <v>0.05</v>
      </c>
      <c r="CX85" s="1022">
        <v>0.05</v>
      </c>
      <c r="CY85" s="1022">
        <v>0.06</v>
      </c>
      <c r="CZ85" s="1022"/>
      <c r="DA85" s="1022">
        <v>0.04</v>
      </c>
      <c r="DB85" s="1225">
        <v>0.05</v>
      </c>
      <c r="DC85" s="1022"/>
      <c r="DD85" s="1022"/>
      <c r="DE85" s="1022"/>
      <c r="DF85" s="1022"/>
      <c r="DG85" s="1225"/>
      <c r="DH85" s="1022"/>
      <c r="DI85" s="1022"/>
      <c r="DJ85" s="1022"/>
      <c r="DK85" s="1022"/>
      <c r="DL85" s="1225"/>
      <c r="DM85" s="1022"/>
      <c r="DN85" s="1022"/>
      <c r="DO85" s="1022"/>
      <c r="DP85" s="1022"/>
      <c r="DQ85" s="1225"/>
      <c r="DR85" s="1022"/>
      <c r="DS85" s="1022"/>
      <c r="DT85" s="1022"/>
      <c r="DU85" s="1022"/>
      <c r="DV85" s="1225"/>
      <c r="DW85" s="1022"/>
      <c r="DX85" s="1022"/>
      <c r="DY85" s="1022"/>
      <c r="DZ85" s="1022"/>
      <c r="EA85" s="1225"/>
      <c r="EB85" s="1227"/>
      <c r="EC85" s="1233"/>
      <c r="ED85" s="1228"/>
      <c r="EE85" s="1228"/>
      <c r="EF85" s="1229"/>
      <c r="EG85" s="1228"/>
      <c r="EH85" s="1230"/>
      <c r="EI85" s="1227"/>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row>
    <row r="86" spans="1:259" s="337" customFormat="1" x14ac:dyDescent="0.2">
      <c r="A86" s="431" t="s">
        <v>236</v>
      </c>
      <c r="B86" s="1540" t="s">
        <v>235</v>
      </c>
      <c r="C86" s="1540" t="s">
        <v>235</v>
      </c>
      <c r="D86" s="1540" t="s">
        <v>235</v>
      </c>
      <c r="E86" s="1540" t="s">
        <v>235</v>
      </c>
      <c r="F86" s="1519"/>
      <c r="G86" s="1834">
        <f t="shared" ref="G86:P88" si="273">G20/B20-1</f>
        <v>-0.11429985155863431</v>
      </c>
      <c r="H86" s="1518">
        <f t="shared" si="273"/>
        <v>-0.12182502351834434</v>
      </c>
      <c r="I86" s="1518">
        <f t="shared" si="273"/>
        <v>-0.13552266419981496</v>
      </c>
      <c r="J86" s="1534">
        <f t="shared" si="273"/>
        <v>-0.10435117443203701</v>
      </c>
      <c r="K86" s="1519">
        <f t="shared" si="273"/>
        <v>-0.11236717160298437</v>
      </c>
      <c r="L86" s="1839">
        <f t="shared" si="273"/>
        <v>-7.1508379888268192E-2</v>
      </c>
      <c r="M86" s="1518">
        <f t="shared" si="273"/>
        <v>-7.7129084092126377E-2</v>
      </c>
      <c r="N86" s="1518">
        <f t="shared" si="273"/>
        <v>-0.12306046013911187</v>
      </c>
      <c r="O86" s="1518">
        <f t="shared" si="273"/>
        <v>-0.10791057609630261</v>
      </c>
      <c r="P86" s="1519">
        <f t="shared" si="273"/>
        <v>-9.5899133978604167E-2</v>
      </c>
      <c r="Q86" s="1834">
        <f t="shared" ref="Q86:Z88" si="274">Q20/L20-1</f>
        <v>-0.14259927797833938</v>
      </c>
      <c r="R86" s="1518">
        <f t="shared" si="274"/>
        <v>-0.14103308183401042</v>
      </c>
      <c r="S86" s="1518">
        <f t="shared" si="274"/>
        <v>-0.10311165344722395</v>
      </c>
      <c r="T86" s="1520">
        <f t="shared" si="274"/>
        <v>-6.9879518072289204E-2</v>
      </c>
      <c r="U86" s="1519">
        <f t="shared" si="274"/>
        <v>-0.11184673897732078</v>
      </c>
      <c r="V86" s="1834">
        <f t="shared" si="274"/>
        <v>-6.9473684210526354E-2</v>
      </c>
      <c r="W86" s="1518">
        <f t="shared" si="274"/>
        <v>-4.3243243243243246E-2</v>
      </c>
      <c r="X86" s="1518">
        <f t="shared" si="274"/>
        <v>-1.4285714285714235E-2</v>
      </c>
      <c r="Y86" s="1518">
        <f t="shared" si="274"/>
        <v>8.8082901554404902E-3</v>
      </c>
      <c r="Z86" s="1519">
        <f t="shared" si="274"/>
        <v>-2.6486915146708978E-2</v>
      </c>
      <c r="AA86" s="1518">
        <f t="shared" ref="AA86:AJ88" si="275">AA20/V20-1</f>
        <v>7.5414781297134192E-2</v>
      </c>
      <c r="AB86" s="1518">
        <f t="shared" si="275"/>
        <v>0.10946327683615809</v>
      </c>
      <c r="AC86" s="1518">
        <f t="shared" si="275"/>
        <v>0.17667356797791589</v>
      </c>
      <c r="AD86" s="1518">
        <f t="shared" si="275"/>
        <v>0.12429378531073443</v>
      </c>
      <c r="AE86" s="1519">
        <f t="shared" si="275"/>
        <v>0.12267839687194515</v>
      </c>
      <c r="AF86" s="1834">
        <f t="shared" si="275"/>
        <v>0.11991584852734927</v>
      </c>
      <c r="AG86" s="1518">
        <f t="shared" si="275"/>
        <v>9.6753660089115234E-2</v>
      </c>
      <c r="AH86" s="1518">
        <f t="shared" si="275"/>
        <v>3.5190615835777095E-2</v>
      </c>
      <c r="AI86" s="1520">
        <f t="shared" si="275"/>
        <v>7.6290543627226981E-2</v>
      </c>
      <c r="AJ86" s="1519">
        <f t="shared" si="275"/>
        <v>7.9814250471629711E-2</v>
      </c>
      <c r="AK86" s="1518">
        <f t="shared" ref="AK86:AT88" si="276">AK20/AF20-1</f>
        <v>9.3926111458985551E-2</v>
      </c>
      <c r="AL86" s="1518">
        <f t="shared" si="276"/>
        <v>7.138711549622756E-2</v>
      </c>
      <c r="AM86" s="1518">
        <f t="shared" si="276"/>
        <v>9.6317280453257714E-2</v>
      </c>
      <c r="AN86" s="1518">
        <f t="shared" si="276"/>
        <v>4.5840407470288724E-2</v>
      </c>
      <c r="AO86" s="1519">
        <f t="shared" si="276"/>
        <v>7.4049186937239719E-2</v>
      </c>
      <c r="AP86" s="1518">
        <f t="shared" si="276"/>
        <v>3.6061820263308508E-2</v>
      </c>
      <c r="AQ86" s="1518">
        <f t="shared" si="276"/>
        <v>3.0335861321776791E-2</v>
      </c>
      <c r="AR86" s="1518">
        <f t="shared" si="276"/>
        <v>2.067183462532296E-2</v>
      </c>
      <c r="AS86" s="1518">
        <f t="shared" si="276"/>
        <v>3.0032467532467466E-2</v>
      </c>
      <c r="AT86" s="1519">
        <f t="shared" si="276"/>
        <v>2.9154154154154233E-2</v>
      </c>
      <c r="AU86" s="1518">
        <f t="shared" ref="AU86:BD88" si="277">AU20/AP20-1</f>
        <v>4.972375690607711E-3</v>
      </c>
      <c r="AV86" s="1518">
        <f t="shared" si="277"/>
        <v>5.2576235541534899E-3</v>
      </c>
      <c r="AW86" s="1518">
        <f t="shared" si="277"/>
        <v>7.088607594936791E-3</v>
      </c>
      <c r="AX86" s="1518">
        <f t="shared" si="277"/>
        <v>4.2159180457052692E-2</v>
      </c>
      <c r="AY86" s="1519">
        <f t="shared" si="277"/>
        <v>1.7021276595744705E-2</v>
      </c>
      <c r="AZ86" s="1518">
        <f t="shared" si="277"/>
        <v>6.7619571192963246E-2</v>
      </c>
      <c r="BA86" s="1518">
        <f t="shared" si="277"/>
        <v>8.4205020920502083E-2</v>
      </c>
      <c r="BB86" s="1518">
        <f t="shared" si="277"/>
        <v>0.12770236299648063</v>
      </c>
      <c r="BC86" s="1518">
        <f t="shared" si="277"/>
        <v>7.4480151228733416E-2</v>
      </c>
      <c r="BD86" s="1519">
        <f t="shared" si="277"/>
        <v>8.786610878661083E-2</v>
      </c>
      <c r="BE86" s="1518">
        <f t="shared" ref="BE86:BN88" si="278">BE20/AZ20-1</f>
        <v>7.8269824922760023E-2</v>
      </c>
      <c r="BF86" s="1518">
        <f t="shared" si="278"/>
        <v>0.12059816690786307</v>
      </c>
      <c r="BG86" s="1518">
        <f t="shared" si="278"/>
        <v>0.10655372269282215</v>
      </c>
      <c r="BH86" s="1518">
        <f t="shared" si="278"/>
        <v>3.5890218156227949E-2</v>
      </c>
      <c r="BI86" s="1519">
        <f t="shared" si="278"/>
        <v>8.1648351648351714E-2</v>
      </c>
      <c r="BJ86" s="1518">
        <f t="shared" si="278"/>
        <v>-8.4049665711556809E-2</v>
      </c>
      <c r="BK86" s="1518">
        <f t="shared" si="278"/>
        <v>-7.3611708996986658E-2</v>
      </c>
      <c r="BL86" s="1518">
        <f t="shared" si="278"/>
        <v>-2.0145044319097472E-2</v>
      </c>
      <c r="BM86" s="1518">
        <f t="shared" si="278"/>
        <v>-1.1209239130434812E-2</v>
      </c>
      <c r="BN86" s="1521">
        <f t="shared" si="278"/>
        <v>-4.3685868129635264E-2</v>
      </c>
      <c r="BO86" s="1518">
        <f t="shared" ref="BO86:BX88" si="279">BO20/BJ20-1</f>
        <v>4.0667361835245108E-2</v>
      </c>
      <c r="BP86" s="1518">
        <f t="shared" si="279"/>
        <v>3.1598513011152463E-2</v>
      </c>
      <c r="BQ86" s="1518">
        <f t="shared" si="279"/>
        <v>2.6315789473684292E-2</v>
      </c>
      <c r="BR86" s="1518">
        <f t="shared" si="279"/>
        <v>5.4963929920989418E-2</v>
      </c>
      <c r="BS86" s="1521">
        <f t="shared" si="279"/>
        <v>3.9307340911505451E-2</v>
      </c>
      <c r="BT86" s="1518">
        <f t="shared" si="279"/>
        <v>2.7555110220440993E-2</v>
      </c>
      <c r="BU86" s="1518">
        <f t="shared" si="279"/>
        <v>9.5045045045045073E-2</v>
      </c>
      <c r="BV86" s="1518">
        <f t="shared" si="279"/>
        <v>0.14342948717948723</v>
      </c>
      <c r="BW86" s="1518">
        <f t="shared" si="279"/>
        <v>0.15825464018235103</v>
      </c>
      <c r="BX86" s="1521">
        <f t="shared" si="279"/>
        <v>0.11346212818153933</v>
      </c>
      <c r="BY86" s="1518">
        <f t="shared" ref="BY86:CH88" si="280">BY20/BT20-1</f>
        <v>0.14285714285714279</v>
      </c>
      <c r="BZ86" s="1518">
        <f t="shared" si="280"/>
        <v>0.13615795968737143</v>
      </c>
      <c r="CA86" s="1518">
        <f t="shared" si="280"/>
        <v>0.10091100210231252</v>
      </c>
      <c r="CB86" s="1518">
        <f t="shared" si="280"/>
        <v>7.8718020804049438E-3</v>
      </c>
      <c r="CC86" s="1521">
        <f t="shared" si="280"/>
        <v>8.6293950243275575E-2</v>
      </c>
      <c r="CD86" s="1522">
        <f t="shared" si="280"/>
        <v>-0.58788395904436852</v>
      </c>
      <c r="CE86" s="1522">
        <f t="shared" si="280"/>
        <v>-0.62165097755249821</v>
      </c>
      <c r="CF86" s="1522">
        <f t="shared" si="280"/>
        <v>-0.67536600891152132</v>
      </c>
      <c r="CG86" s="1522">
        <f t="shared" si="280"/>
        <v>-0.62259414225941423</v>
      </c>
      <c r="CH86" s="1835">
        <f t="shared" si="280"/>
        <v>-0.62951069044198427</v>
      </c>
      <c r="CI86" s="1522">
        <f t="shared" ref="CI86:CR88" si="281">CI20/CD20-1</f>
        <v>-3.105590062111796E-2</v>
      </c>
      <c r="CJ86" s="1522">
        <f t="shared" si="281"/>
        <v>2.8708133971291794E-2</v>
      </c>
      <c r="CK86" s="1522">
        <f t="shared" si="281"/>
        <v>6.0784313725490202E-2</v>
      </c>
      <c r="CL86" s="1522">
        <f t="shared" si="281"/>
        <v>4.2128603104212958E-2</v>
      </c>
      <c r="CM86" s="1523">
        <f t="shared" si="281"/>
        <v>2.7144160583941535E-2</v>
      </c>
      <c r="CN86" s="1524">
        <f t="shared" si="281"/>
        <v>7.9059829059829001E-2</v>
      </c>
      <c r="CO86" s="1522">
        <f t="shared" si="281"/>
        <v>-1.8604651162790753E-2</v>
      </c>
      <c r="CP86" s="1522">
        <f t="shared" si="281"/>
        <v>-5.2680221811460259E-2</v>
      </c>
      <c r="CQ86" s="1071">
        <f t="shared" si="281"/>
        <v>-0.11560283687943262</v>
      </c>
      <c r="CR86" s="1126">
        <f t="shared" si="281"/>
        <v>-3.6864312680435218E-2</v>
      </c>
      <c r="CS86" s="974">
        <f t="shared" ref="CS86:DB88" si="282">CS20/CN20-1</f>
        <v>-5.6435643564356486E-2</v>
      </c>
      <c r="CT86" s="974">
        <f t="shared" si="282"/>
        <v>-4.549763033175358E-2</v>
      </c>
      <c r="CU86" s="974">
        <f t="shared" si="282"/>
        <v>-3.3170731707317103E-2</v>
      </c>
      <c r="CV86" s="16">
        <f t="shared" si="282"/>
        <v>-6.4153969526864474E-3</v>
      </c>
      <c r="CW86" s="100">
        <f t="shared" si="282"/>
        <v>-3.3894397048651159E-2</v>
      </c>
      <c r="CX86" s="16">
        <f t="shared" si="282"/>
        <v>-5.3515215110178427E-2</v>
      </c>
      <c r="CY86" s="16">
        <f t="shared" si="282"/>
        <v>-9.7318768619662377E-2</v>
      </c>
      <c r="CZ86" s="16">
        <f t="shared" si="282"/>
        <v>-0.12108980827447025</v>
      </c>
      <c r="DA86" s="16">
        <f t="shared" si="282"/>
        <v>-0.28167877320419699</v>
      </c>
      <c r="DB86" s="464">
        <f t="shared" si="282"/>
        <v>-0.1474940334128878</v>
      </c>
      <c r="DC86" s="16">
        <f t="shared" ref="DC86:DL88" si="283">DC20/CX20-1</f>
        <v>-0.43331860796736565</v>
      </c>
      <c r="DD86" s="16">
        <f t="shared" si="283"/>
        <v>-0.47966063965593642</v>
      </c>
      <c r="DE86" s="16">
        <f t="shared" si="283"/>
        <v>-0.50377251005792067</v>
      </c>
      <c r="DF86" s="16">
        <f t="shared" si="283"/>
        <v>-0.40743832865774432</v>
      </c>
      <c r="DG86" s="464">
        <f t="shared" si="283"/>
        <v>-0.45584291002229882</v>
      </c>
      <c r="DH86" s="16">
        <f t="shared" si="283"/>
        <v>-0.2746860610430798</v>
      </c>
      <c r="DI86" s="16">
        <f t="shared" si="283"/>
        <v>-0.24746810294416832</v>
      </c>
      <c r="DJ86" s="16">
        <f t="shared" si="283"/>
        <v>-0.23070302771553541</v>
      </c>
      <c r="DK86" s="16">
        <f t="shared" si="283"/>
        <v>-0.24733919158083761</v>
      </c>
      <c r="DL86" s="464">
        <f t="shared" si="283"/>
        <v>-0.25086275253035739</v>
      </c>
      <c r="DM86" s="16">
        <f t="shared" ref="DM86:DQ88" si="284">DM20/DH20-1</f>
        <v>-0.2402935754365747</v>
      </c>
      <c r="DN86" s="16">
        <f t="shared" si="284"/>
        <v>-0.153603021188222</v>
      </c>
      <c r="DO86" s="16">
        <f t="shared" si="284"/>
        <v>-5.6633283706896131E-2</v>
      </c>
      <c r="DP86" s="16">
        <f t="shared" si="284"/>
        <v>6.5778439626067442E-2</v>
      </c>
      <c r="DQ86" s="464">
        <f t="shared" si="284"/>
        <v>-9.3729101730530617E-2</v>
      </c>
      <c r="DR86" s="16">
        <f t="shared" ref="DR86:DR88" si="285">DR20/DM20-1</f>
        <v>0.13282216042811457</v>
      </c>
      <c r="DS86" s="16">
        <f t="shared" ref="DS86:DS88" si="286">DS20/DN20-1</f>
        <v>0.13042417456876132</v>
      </c>
      <c r="DT86" s="16">
        <f t="shared" ref="DT86:DT88" si="287">DT20/DO20-1</f>
        <v>0.1272542018717564</v>
      </c>
      <c r="DU86" s="16">
        <f t="shared" ref="DU86:DU88" si="288">DU20/DP20-1</f>
        <v>0.12422617412941772</v>
      </c>
      <c r="DV86" s="464">
        <f t="shared" ref="DV86:DV88" si="289">DV20/DQ20-1</f>
        <v>0.12819555403085903</v>
      </c>
      <c r="DW86" s="16">
        <f t="shared" ref="DW86:DW88" si="290">DW20/DR20-1</f>
        <v>0.12848865472843096</v>
      </c>
      <c r="DX86" s="16">
        <f t="shared" ref="DX86:DX88" si="291">DX20/DS20-1</f>
        <v>0.13864504714242099</v>
      </c>
      <c r="DY86" s="16">
        <f t="shared" ref="DY86:DY88" si="292">DY20/DT20-1</f>
        <v>0.14825692823603509</v>
      </c>
      <c r="DZ86" s="16">
        <f t="shared" ref="DZ86:DZ88" si="293">DZ20/DU20-1</f>
        <v>0.1555552399871809</v>
      </c>
      <c r="EA86" s="464">
        <f t="shared" ref="EA86:EA88" si="294">EA20/DV20-1</f>
        <v>0.1441532005053705</v>
      </c>
      <c r="EB86" s="11"/>
      <c r="EC86" s="14" t="s">
        <v>236</v>
      </c>
      <c r="ED86" s="138">
        <f t="shared" ref="ED86:ED92" si="295">DA86</f>
        <v>-0.28167877320419699</v>
      </c>
      <c r="EE86" s="138">
        <v>-0.25390366440442314</v>
      </c>
      <c r="EF86" s="140">
        <f t="shared" si="272"/>
        <v>-2.7775108799773851E-2</v>
      </c>
      <c r="EG86" s="138">
        <f t="shared" ref="EG86:EG92" si="296">CV86</f>
        <v>-6.4153969526864474E-3</v>
      </c>
      <c r="EH86" s="399"/>
      <c r="EI86" s="11"/>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row>
    <row r="87" spans="1:259" s="337" customFormat="1" x14ac:dyDescent="0.2">
      <c r="A87" s="431" t="s">
        <v>237</v>
      </c>
      <c r="B87" s="1540" t="s">
        <v>235</v>
      </c>
      <c r="C87" s="1540" t="s">
        <v>235</v>
      </c>
      <c r="D87" s="1540" t="s">
        <v>235</v>
      </c>
      <c r="E87" s="1540" t="s">
        <v>235</v>
      </c>
      <c r="F87" s="1519"/>
      <c r="G87" s="1834">
        <f t="shared" si="273"/>
        <v>0.15789473684210531</v>
      </c>
      <c r="H87" s="1518">
        <f t="shared" si="273"/>
        <v>-3.5971223021582732E-2</v>
      </c>
      <c r="I87" s="1518">
        <f t="shared" si="273"/>
        <v>0.10000000000000009</v>
      </c>
      <c r="J87" s="1534">
        <f t="shared" si="273"/>
        <v>0.1092896174863387</v>
      </c>
      <c r="K87" s="1519">
        <f t="shared" si="273"/>
        <v>9.3891797556718837E-2</v>
      </c>
      <c r="L87" s="1839">
        <f t="shared" si="273"/>
        <v>0.14393939393939403</v>
      </c>
      <c r="M87" s="1518">
        <f t="shared" si="273"/>
        <v>0.21641791044776126</v>
      </c>
      <c r="N87" s="1518">
        <f t="shared" si="273"/>
        <v>0.13965744400527003</v>
      </c>
      <c r="O87" s="1518">
        <f t="shared" si="273"/>
        <v>0.16256157635467972</v>
      </c>
      <c r="P87" s="1519">
        <f t="shared" si="273"/>
        <v>0.15347798340778573</v>
      </c>
      <c r="Q87" s="1834">
        <f t="shared" si="274"/>
        <v>0.13907284768211925</v>
      </c>
      <c r="R87" s="1518">
        <f t="shared" si="274"/>
        <v>7.9754601226993849E-2</v>
      </c>
      <c r="S87" s="1518">
        <f t="shared" si="274"/>
        <v>8.6705202312138629E-2</v>
      </c>
      <c r="T87" s="1520">
        <f t="shared" si="274"/>
        <v>6.7796610169491567E-2</v>
      </c>
      <c r="U87" s="1519">
        <f t="shared" si="274"/>
        <v>8.9903181189488146E-2</v>
      </c>
      <c r="V87" s="1834">
        <f t="shared" si="274"/>
        <v>4.6511627906976827E-2</v>
      </c>
      <c r="W87" s="1518">
        <f t="shared" si="274"/>
        <v>7.3863636363636465E-2</v>
      </c>
      <c r="X87" s="1518">
        <f t="shared" si="274"/>
        <v>1.5957446808510634E-2</v>
      </c>
      <c r="Y87" s="1518">
        <f t="shared" si="274"/>
        <v>1.1904761904761862E-2</v>
      </c>
      <c r="Z87" s="1519">
        <f t="shared" si="274"/>
        <v>3.4263959390862908E-2</v>
      </c>
      <c r="AA87" s="1518">
        <f t="shared" si="275"/>
        <v>4.4444444444444509E-2</v>
      </c>
      <c r="AB87" s="1518">
        <f t="shared" si="275"/>
        <v>3.7037037037036979E-2</v>
      </c>
      <c r="AC87" s="1518">
        <f t="shared" si="275"/>
        <v>9.9476439790575855E-2</v>
      </c>
      <c r="AD87" s="1518">
        <f t="shared" si="275"/>
        <v>6.6666666666666652E-2</v>
      </c>
      <c r="AE87" s="1519">
        <f t="shared" si="275"/>
        <v>6.25766871165645E-2</v>
      </c>
      <c r="AF87" s="1834">
        <f t="shared" si="275"/>
        <v>9.0425531914893664E-2</v>
      </c>
      <c r="AG87" s="1518">
        <f t="shared" si="275"/>
        <v>8.6734693877551061E-2</v>
      </c>
      <c r="AH87" s="1518">
        <f t="shared" si="275"/>
        <v>6.6666666666666652E-2</v>
      </c>
      <c r="AI87" s="1520">
        <f t="shared" si="275"/>
        <v>9.1911764705882248E-2</v>
      </c>
      <c r="AJ87" s="1519">
        <f t="shared" si="275"/>
        <v>8.4295612009237963E-2</v>
      </c>
      <c r="AK87" s="1518">
        <f t="shared" si="276"/>
        <v>8.7804878048780566E-2</v>
      </c>
      <c r="AL87" s="1518">
        <f t="shared" si="276"/>
        <v>8.4507042253521236E-2</v>
      </c>
      <c r="AM87" s="1518">
        <f t="shared" si="276"/>
        <v>8.9285714285714191E-2</v>
      </c>
      <c r="AN87" s="1518">
        <f t="shared" si="276"/>
        <v>8.0808080808080884E-2</v>
      </c>
      <c r="AO87" s="1519">
        <f t="shared" si="276"/>
        <v>8.5197018104366418E-2</v>
      </c>
      <c r="AP87" s="1518">
        <f t="shared" si="276"/>
        <v>9.4170403587443996E-2</v>
      </c>
      <c r="AQ87" s="1518">
        <f t="shared" si="276"/>
        <v>8.6580086580086535E-2</v>
      </c>
      <c r="AR87" s="1518">
        <f t="shared" si="276"/>
        <v>9.8360655737705027E-2</v>
      </c>
      <c r="AS87" s="1518">
        <f t="shared" si="276"/>
        <v>0.12461059190031154</v>
      </c>
      <c r="AT87" s="1519">
        <f t="shared" si="276"/>
        <v>0.10304219823356231</v>
      </c>
      <c r="AU87" s="1518">
        <f t="shared" si="277"/>
        <v>9.0163934426229497E-2</v>
      </c>
      <c r="AV87" s="1518">
        <f t="shared" si="277"/>
        <v>7.5697211155378419E-2</v>
      </c>
      <c r="AW87" s="1518">
        <f t="shared" si="277"/>
        <v>7.835820895522394E-2</v>
      </c>
      <c r="AX87" s="1518">
        <f t="shared" si="277"/>
        <v>2.7700831024930705E-2</v>
      </c>
      <c r="AY87" s="1519">
        <f t="shared" si="277"/>
        <v>6.4056939501779375E-2</v>
      </c>
      <c r="AZ87" s="1518">
        <f t="shared" si="277"/>
        <v>5.6390977443609103E-2</v>
      </c>
      <c r="BA87" s="1518">
        <f t="shared" si="277"/>
        <v>8.8888888888888795E-2</v>
      </c>
      <c r="BB87" s="1518">
        <f t="shared" si="277"/>
        <v>0.11072664359861584</v>
      </c>
      <c r="BC87" s="1518">
        <f t="shared" si="277"/>
        <v>0.13207547169811318</v>
      </c>
      <c r="BD87" s="1519">
        <f t="shared" si="277"/>
        <v>0.10033444816053505</v>
      </c>
      <c r="BE87" s="1518">
        <f t="shared" si="278"/>
        <v>0.13523131672597866</v>
      </c>
      <c r="BF87" s="1518">
        <f t="shared" si="278"/>
        <v>0.12244897959183665</v>
      </c>
      <c r="BG87" s="1518">
        <f t="shared" si="278"/>
        <v>0.12149532710280364</v>
      </c>
      <c r="BH87" s="1518">
        <f t="shared" si="278"/>
        <v>4.5238095238095299E-2</v>
      </c>
      <c r="BI87" s="1519">
        <f t="shared" si="278"/>
        <v>0.10030395136778125</v>
      </c>
      <c r="BJ87" s="1518">
        <f t="shared" si="278"/>
        <v>-6.2695924764890276E-2</v>
      </c>
      <c r="BK87" s="1518">
        <f t="shared" si="278"/>
        <v>-1.8181818181818188E-2</v>
      </c>
      <c r="BL87" s="1518">
        <f t="shared" si="278"/>
        <v>-3.8888888888888862E-2</v>
      </c>
      <c r="BM87" s="1518">
        <f t="shared" si="278"/>
        <v>3.4168564920273425E-2</v>
      </c>
      <c r="BN87" s="1521">
        <f t="shared" si="278"/>
        <v>-1.7265193370165743E-2</v>
      </c>
      <c r="BO87" s="1518">
        <f t="shared" si="279"/>
        <v>0.16722408026755864</v>
      </c>
      <c r="BP87" s="1518">
        <f t="shared" si="279"/>
        <v>9.259259259259256E-2</v>
      </c>
      <c r="BQ87" s="1518">
        <f t="shared" si="279"/>
        <v>5.7803468208092568E-2</v>
      </c>
      <c r="BR87" s="1518">
        <f t="shared" si="279"/>
        <v>8.1497797356828272E-2</v>
      </c>
      <c r="BS87" s="1521">
        <f t="shared" si="279"/>
        <v>9.6275474349964973E-2</v>
      </c>
      <c r="BT87" s="1518">
        <f t="shared" si="279"/>
        <v>7.1633237822349649E-2</v>
      </c>
      <c r="BU87" s="1518">
        <f t="shared" si="279"/>
        <v>8.7570621468926468E-2</v>
      </c>
      <c r="BV87" s="1518">
        <f t="shared" si="279"/>
        <v>0.14754098360655732</v>
      </c>
      <c r="BW87" s="1518">
        <f t="shared" si="279"/>
        <v>0.12830957230142559</v>
      </c>
      <c r="BX87" s="1521">
        <f t="shared" si="279"/>
        <v>0.11089743589743595</v>
      </c>
      <c r="BY87" s="1518">
        <f t="shared" si="280"/>
        <v>6.6844919786096302E-2</v>
      </c>
      <c r="BZ87" s="1518">
        <f t="shared" si="280"/>
        <v>5.4545454545454453E-2</v>
      </c>
      <c r="CA87" s="1518">
        <f t="shared" si="280"/>
        <v>1.6666666666666607E-2</v>
      </c>
      <c r="CB87" s="1518">
        <f t="shared" si="280"/>
        <v>2.5270758122743597E-2</v>
      </c>
      <c r="CC87" s="1521">
        <f t="shared" si="280"/>
        <v>3.8661281015579974E-2</v>
      </c>
      <c r="CD87" s="1522">
        <f t="shared" si="280"/>
        <v>0.14116917293233078</v>
      </c>
      <c r="CE87" s="1522">
        <f t="shared" si="280"/>
        <v>0.12243226600985224</v>
      </c>
      <c r="CF87" s="1522">
        <f t="shared" si="280"/>
        <v>0.12538056206088988</v>
      </c>
      <c r="CG87" s="1522">
        <f t="shared" si="280"/>
        <v>0.12927552816901433</v>
      </c>
      <c r="CH87" s="1835">
        <f t="shared" si="280"/>
        <v>0.12944444444444447</v>
      </c>
      <c r="CI87" s="1522">
        <f t="shared" si="281"/>
        <v>2.4707545025370869E-4</v>
      </c>
      <c r="CJ87" s="1522">
        <f t="shared" si="281"/>
        <v>4.453624309452886E-2</v>
      </c>
      <c r="CK87" s="1522">
        <f t="shared" si="281"/>
        <v>2.511250422703748E-2</v>
      </c>
      <c r="CL87" s="1522">
        <f t="shared" si="281"/>
        <v>2.8880070031188199E-2</v>
      </c>
      <c r="CM87" s="1523">
        <f t="shared" si="281"/>
        <v>2.5086079685194385E-2</v>
      </c>
      <c r="CN87" s="1524">
        <f t="shared" si="281"/>
        <v>2.3896723820314048E-2</v>
      </c>
      <c r="CO87" s="1522">
        <f t="shared" si="281"/>
        <v>-1.0231027955704963E-3</v>
      </c>
      <c r="CP87" s="1522">
        <f t="shared" si="281"/>
        <v>3.7301692025049071E-3</v>
      </c>
      <c r="CQ87" s="1071">
        <f t="shared" si="281"/>
        <v>-1.8111895847128689E-2</v>
      </c>
      <c r="CR87" s="1126">
        <f t="shared" si="281"/>
        <v>1.3483685220716524E-4</v>
      </c>
      <c r="CS87" s="974">
        <f t="shared" si="282"/>
        <v>5.0774946523060693E-2</v>
      </c>
      <c r="CT87" s="974">
        <f t="shared" si="282"/>
        <v>5.7798265463202103E-2</v>
      </c>
      <c r="CU87" s="974">
        <f t="shared" si="282"/>
        <v>6.382440829823488E-2</v>
      </c>
      <c r="CV87" s="16">
        <f t="shared" si="282"/>
        <v>0</v>
      </c>
      <c r="CW87" s="100">
        <f t="shared" si="282"/>
        <v>3.9687067146896293E-2</v>
      </c>
      <c r="CX87" s="16">
        <f t="shared" si="282"/>
        <v>5.1020408163265252E-2</v>
      </c>
      <c r="CY87" s="16">
        <f t="shared" si="282"/>
        <v>7.1570576540755493E-2</v>
      </c>
      <c r="CZ87" s="16">
        <f t="shared" si="282"/>
        <v>7.4144486692015121E-2</v>
      </c>
      <c r="DA87" s="16">
        <f t="shared" si="282"/>
        <v>6.0185185185185119E-2</v>
      </c>
      <c r="DB87" s="464">
        <f t="shared" si="282"/>
        <v>6.4143977849561606E-2</v>
      </c>
      <c r="DC87" s="16">
        <f t="shared" si="283"/>
        <v>0.11697022523406519</v>
      </c>
      <c r="DD87" s="16">
        <f t="shared" si="283"/>
        <v>0.10418598134526547</v>
      </c>
      <c r="DE87" s="16">
        <f t="shared" si="283"/>
        <v>0.10526914296446477</v>
      </c>
      <c r="DF87" s="16">
        <f t="shared" si="283"/>
        <v>0.10594416139161167</v>
      </c>
      <c r="DG87" s="464">
        <f t="shared" si="283"/>
        <v>0.10783027519150101</v>
      </c>
      <c r="DH87" s="16">
        <f t="shared" si="283"/>
        <v>8.383934552119876E-2</v>
      </c>
      <c r="DI87" s="16">
        <f t="shared" si="283"/>
        <v>7.7934548512540225E-2</v>
      </c>
      <c r="DJ87" s="16">
        <f t="shared" si="283"/>
        <v>7.6241150147775993E-2</v>
      </c>
      <c r="DK87" s="16">
        <f t="shared" si="283"/>
        <v>8.2483476889308127E-2</v>
      </c>
      <c r="DL87" s="464">
        <f t="shared" si="283"/>
        <v>8.0203106384076461E-2</v>
      </c>
      <c r="DM87" s="16">
        <f t="shared" si="284"/>
        <v>7.061228514398632E-2</v>
      </c>
      <c r="DN87" s="16">
        <f t="shared" si="284"/>
        <v>6.914726687815298E-2</v>
      </c>
      <c r="DO87" s="16">
        <f t="shared" si="284"/>
        <v>6.7775944975537961E-2</v>
      </c>
      <c r="DP87" s="16">
        <f t="shared" si="284"/>
        <v>6.6267315306518748E-2</v>
      </c>
      <c r="DQ87" s="464">
        <f t="shared" si="284"/>
        <v>6.8285936235491729E-2</v>
      </c>
      <c r="DR87" s="16">
        <f t="shared" si="285"/>
        <v>6.4958945986405503E-2</v>
      </c>
      <c r="DS87" s="16">
        <f t="shared" si="286"/>
        <v>6.5356724513948583E-2</v>
      </c>
      <c r="DT87" s="16">
        <f t="shared" si="287"/>
        <v>6.546525463040398E-2</v>
      </c>
      <c r="DU87" s="16">
        <f t="shared" si="288"/>
        <v>6.5633942828223102E-2</v>
      </c>
      <c r="DV87" s="464">
        <f t="shared" si="289"/>
        <v>6.5375543985283668E-2</v>
      </c>
      <c r="DW87" s="16">
        <f t="shared" si="290"/>
        <v>6.5066592469072981E-2</v>
      </c>
      <c r="DX87" s="16">
        <f t="shared" si="291"/>
        <v>6.5433061103493895E-2</v>
      </c>
      <c r="DY87" s="16">
        <f t="shared" si="292"/>
        <v>6.5456482154161E-2</v>
      </c>
      <c r="DZ87" s="16">
        <f t="shared" si="293"/>
        <v>6.5648315634555088E-2</v>
      </c>
      <c r="EA87" s="464">
        <f t="shared" si="294"/>
        <v>6.5419867159665301E-2</v>
      </c>
      <c r="EB87" s="11"/>
      <c r="EC87" s="14" t="s">
        <v>237</v>
      </c>
      <c r="ED87" s="138">
        <f t="shared" si="295"/>
        <v>6.0185185185185119E-2</v>
      </c>
      <c r="EE87" s="138">
        <v>7.4943627940972091E-2</v>
      </c>
      <c r="EF87" s="140">
        <f t="shared" si="272"/>
        <v>-1.4758442755786971E-2</v>
      </c>
      <c r="EG87" s="138">
        <f t="shared" si="296"/>
        <v>0</v>
      </c>
      <c r="EH87" s="399"/>
      <c r="EI87" s="11"/>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row>
    <row r="88" spans="1:259" s="340" customFormat="1" x14ac:dyDescent="0.2">
      <c r="A88" s="684" t="s">
        <v>238</v>
      </c>
      <c r="B88" s="1542" t="s">
        <v>235</v>
      </c>
      <c r="C88" s="1542" t="s">
        <v>235</v>
      </c>
      <c r="D88" s="1542" t="s">
        <v>235</v>
      </c>
      <c r="E88" s="1542" t="s">
        <v>235</v>
      </c>
      <c r="F88" s="1526"/>
      <c r="G88" s="1836">
        <f t="shared" si="273"/>
        <v>-9.9765807962529318E-2</v>
      </c>
      <c r="H88" s="1525">
        <f t="shared" si="273"/>
        <v>-0.11655629139072843</v>
      </c>
      <c r="I88" s="1525">
        <f t="shared" si="273"/>
        <v>-0.12139130434782608</v>
      </c>
      <c r="J88" s="1527">
        <f t="shared" si="273"/>
        <v>-9.0287769784172633E-2</v>
      </c>
      <c r="K88" s="1526">
        <f t="shared" si="273"/>
        <v>-9.981951374880571E-2</v>
      </c>
      <c r="L88" s="1837">
        <f t="shared" si="273"/>
        <v>-5.6711758584807481E-2</v>
      </c>
      <c r="M88" s="1525">
        <f t="shared" si="273"/>
        <v>-5.7471264367816133E-2</v>
      </c>
      <c r="N88" s="1525">
        <f t="shared" si="273"/>
        <v>-0.10332541567695963</v>
      </c>
      <c r="O88" s="1525">
        <f t="shared" si="273"/>
        <v>-8.6200079082641379E-2</v>
      </c>
      <c r="P88" s="1526">
        <f t="shared" si="273"/>
        <v>-7.7463792046044144E-2</v>
      </c>
      <c r="Q88" s="1836">
        <f t="shared" si="274"/>
        <v>-0.11913954771097623</v>
      </c>
      <c r="R88" s="1525">
        <f t="shared" si="274"/>
        <v>-0.12195121951219512</v>
      </c>
      <c r="S88" s="1525">
        <f t="shared" si="274"/>
        <v>-8.4988962472406171E-2</v>
      </c>
      <c r="T88" s="1528">
        <f t="shared" si="274"/>
        <v>-5.5819991345737785E-2</v>
      </c>
      <c r="U88" s="1526">
        <f t="shared" si="274"/>
        <v>-9.3198670416773211E-2</v>
      </c>
      <c r="V88" s="1836">
        <f t="shared" si="274"/>
        <v>-5.6981840951784601E-2</v>
      </c>
      <c r="W88" s="1525">
        <f t="shared" si="274"/>
        <v>-3.0797101449275388E-2</v>
      </c>
      <c r="X88" s="1525">
        <f t="shared" si="274"/>
        <v>-1.0856453558504175E-2</v>
      </c>
      <c r="Y88" s="1525">
        <f t="shared" si="274"/>
        <v>9.1659028414299293E-3</v>
      </c>
      <c r="Z88" s="1526">
        <f t="shared" si="274"/>
        <v>-1.9737769632031554E-2</v>
      </c>
      <c r="AA88" s="1525">
        <f t="shared" si="275"/>
        <v>7.1713147410358502E-2</v>
      </c>
      <c r="AB88" s="1525">
        <f t="shared" si="275"/>
        <v>0.10093457943925244</v>
      </c>
      <c r="AC88" s="1525">
        <f t="shared" si="275"/>
        <v>0.16768292682926833</v>
      </c>
      <c r="AD88" s="1525">
        <f t="shared" si="275"/>
        <v>0.11762034514078112</v>
      </c>
      <c r="AE88" s="1526">
        <f t="shared" si="275"/>
        <v>0.1156335394793615</v>
      </c>
      <c r="AF88" s="1836">
        <f t="shared" si="275"/>
        <v>0.11648079306071879</v>
      </c>
      <c r="AG88" s="1525">
        <f t="shared" si="275"/>
        <v>9.5642331635540367E-2</v>
      </c>
      <c r="AH88" s="1525">
        <f t="shared" si="275"/>
        <v>3.8642297650130608E-2</v>
      </c>
      <c r="AI88" s="1528">
        <f t="shared" si="275"/>
        <v>7.8017066233238452E-2</v>
      </c>
      <c r="AJ88" s="1526">
        <f t="shared" si="275"/>
        <v>8.0314554595849019E-2</v>
      </c>
      <c r="AK88" s="1525">
        <f t="shared" si="276"/>
        <v>9.3229744728079877E-2</v>
      </c>
      <c r="AL88" s="1525">
        <f t="shared" si="276"/>
        <v>7.2830578512396604E-2</v>
      </c>
      <c r="AM88" s="1525">
        <f t="shared" si="276"/>
        <v>9.5525389643036807E-2</v>
      </c>
      <c r="AN88" s="1525">
        <f t="shared" si="276"/>
        <v>4.9754994346023373E-2</v>
      </c>
      <c r="AO88" s="1526">
        <f t="shared" si="276"/>
        <v>7.5298329355608651E-2</v>
      </c>
      <c r="AP88" s="1525">
        <f t="shared" si="276"/>
        <v>4.2639593908629481E-2</v>
      </c>
      <c r="AQ88" s="1525">
        <f t="shared" si="276"/>
        <v>3.6591237361579099E-2</v>
      </c>
      <c r="AR88" s="1525">
        <f t="shared" si="276"/>
        <v>2.9371271225332674E-2</v>
      </c>
      <c r="AS88" s="1525">
        <f t="shared" si="276"/>
        <v>4.0933572710951438E-2</v>
      </c>
      <c r="AT88" s="1526">
        <f t="shared" si="276"/>
        <v>3.7509710354011849E-2</v>
      </c>
      <c r="AU88" s="1525">
        <f t="shared" si="277"/>
        <v>1.5092502434274513E-2</v>
      </c>
      <c r="AV88" s="1525">
        <f t="shared" si="277"/>
        <v>1.3469577333952598E-2</v>
      </c>
      <c r="AW88" s="1525">
        <f t="shared" si="277"/>
        <v>1.5604101649576485E-2</v>
      </c>
      <c r="AX88" s="1525">
        <f t="shared" si="277"/>
        <v>4.0358744394618729E-2</v>
      </c>
      <c r="AY88" s="1526">
        <f t="shared" si="277"/>
        <v>2.2676222055834749E-2</v>
      </c>
      <c r="AZ88" s="1525">
        <f t="shared" si="277"/>
        <v>6.6187050359712174E-2</v>
      </c>
      <c r="BA88" s="1525">
        <f t="shared" si="277"/>
        <v>8.4784601283226291E-2</v>
      </c>
      <c r="BB88" s="1525">
        <f t="shared" si="277"/>
        <v>0.12554872695346786</v>
      </c>
      <c r="BC88" s="1525">
        <f t="shared" si="277"/>
        <v>8.1564986737400424E-2</v>
      </c>
      <c r="BD88" s="1526">
        <f t="shared" si="277"/>
        <v>8.9425792281142114E-2</v>
      </c>
      <c r="BE88" s="1525">
        <f t="shared" si="278"/>
        <v>8.5470085470085388E-2</v>
      </c>
      <c r="BF88" s="1525">
        <f t="shared" si="278"/>
        <v>0.12082805238698779</v>
      </c>
      <c r="BG88" s="1525">
        <f t="shared" si="278"/>
        <v>0.10842433697347897</v>
      </c>
      <c r="BH88" s="1525">
        <f t="shared" si="278"/>
        <v>3.7093807480073515E-2</v>
      </c>
      <c r="BI88" s="1526">
        <f t="shared" si="278"/>
        <v>8.4005376344086002E-2</v>
      </c>
      <c r="BJ88" s="1525">
        <f t="shared" si="278"/>
        <v>-8.1226688769167055E-2</v>
      </c>
      <c r="BK88" s="1525">
        <f t="shared" si="278"/>
        <v>-6.671692423671316E-2</v>
      </c>
      <c r="BL88" s="1525">
        <f t="shared" si="278"/>
        <v>-2.2519352568613704E-2</v>
      </c>
      <c r="BM88" s="1525">
        <f t="shared" si="278"/>
        <v>-5.3207212533254999E-3</v>
      </c>
      <c r="BN88" s="1530">
        <f t="shared" si="278"/>
        <v>-4.0297582145071287E-2</v>
      </c>
      <c r="BO88" s="1525">
        <f t="shared" si="279"/>
        <v>5.773567884528652E-2</v>
      </c>
      <c r="BP88" s="1525">
        <f t="shared" si="279"/>
        <v>3.9579967689822304E-2</v>
      </c>
      <c r="BQ88" s="1525">
        <f t="shared" si="279"/>
        <v>3.0237580993520474E-2</v>
      </c>
      <c r="BR88" s="1525">
        <f t="shared" si="279"/>
        <v>5.8543833580980698E-2</v>
      </c>
      <c r="BS88" s="1530">
        <f t="shared" si="279"/>
        <v>4.6788482834994483E-2</v>
      </c>
      <c r="BT88" s="1525">
        <f t="shared" si="279"/>
        <v>3.4115138592750505E-2</v>
      </c>
      <c r="BU88" s="1525">
        <f t="shared" si="279"/>
        <v>9.4017094017094127E-2</v>
      </c>
      <c r="BV88" s="1525">
        <f t="shared" si="279"/>
        <v>0.14395527603074765</v>
      </c>
      <c r="BW88" s="1525">
        <f t="shared" si="279"/>
        <v>0.15412689500280741</v>
      </c>
      <c r="BX88" s="1530">
        <f t="shared" si="279"/>
        <v>0.11310940668253555</v>
      </c>
      <c r="BY88" s="1525">
        <f t="shared" si="280"/>
        <v>0.13113402061855672</v>
      </c>
      <c r="BZ88" s="1525">
        <f t="shared" si="280"/>
        <v>0.125</v>
      </c>
      <c r="CA88" s="1525">
        <f t="shared" si="280"/>
        <v>9.010384850335984E-2</v>
      </c>
      <c r="CB88" s="1525">
        <f t="shared" si="280"/>
        <v>1.0216492337630667E-2</v>
      </c>
      <c r="CC88" s="1530">
        <f t="shared" si="280"/>
        <v>7.9756058926025553E-2</v>
      </c>
      <c r="CD88" s="1531">
        <f t="shared" si="280"/>
        <v>-0.48183503463361277</v>
      </c>
      <c r="CE88" s="1531">
        <f t="shared" si="280"/>
        <v>-0.52629182449494949</v>
      </c>
      <c r="CF88" s="1531">
        <f t="shared" si="280"/>
        <v>-0.57956360325021017</v>
      </c>
      <c r="CG88" s="1531">
        <f t="shared" si="280"/>
        <v>-0.51976197929207801</v>
      </c>
      <c r="CH88" s="1838">
        <f t="shared" si="280"/>
        <v>-0.52930389496075692</v>
      </c>
      <c r="CI88" s="1531">
        <f t="shared" si="281"/>
        <v>-2.1027891902388518E-2</v>
      </c>
      <c r="CJ88" s="1531">
        <f t="shared" si="281"/>
        <v>3.3514525648735694E-2</v>
      </c>
      <c r="CK88" s="1531">
        <f t="shared" si="281"/>
        <v>4.9360645768599554E-2</v>
      </c>
      <c r="CL88" s="1531">
        <f t="shared" si="281"/>
        <v>3.7867740056863441E-2</v>
      </c>
      <c r="CM88" s="1532">
        <f t="shared" si="281"/>
        <v>2.649213027894648E-2</v>
      </c>
      <c r="CN88" s="1533">
        <f t="shared" si="281"/>
        <v>6.100411157082708E-2</v>
      </c>
      <c r="CO88" s="1531">
        <f t="shared" si="281"/>
        <v>-1.3208871936417843E-2</v>
      </c>
      <c r="CP88" s="1531">
        <f t="shared" si="281"/>
        <v>-3.5032595476325756E-2</v>
      </c>
      <c r="CQ88" s="1043">
        <f t="shared" si="281"/>
        <v>-8.4520276547341844E-2</v>
      </c>
      <c r="CR88" s="1044">
        <f t="shared" si="281"/>
        <v>-2.5158494003339915E-2</v>
      </c>
      <c r="CS88" s="2074">
        <f t="shared" si="282"/>
        <v>-2.2571287777568894E-2</v>
      </c>
      <c r="CT88" s="2074">
        <f t="shared" si="282"/>
        <v>-1.340462954977284E-2</v>
      </c>
      <c r="CU88" s="2074">
        <f t="shared" si="282"/>
        <v>-1.607497486742715E-3</v>
      </c>
      <c r="CV88" s="103">
        <f t="shared" si="282"/>
        <v>-4.2216358839050061E-3</v>
      </c>
      <c r="CW88" s="104">
        <f t="shared" si="282"/>
        <v>-1.001061937641412E-2</v>
      </c>
      <c r="CX88" s="103">
        <f t="shared" si="282"/>
        <v>-1.8018018018018056E-2</v>
      </c>
      <c r="CY88" s="103">
        <f t="shared" si="282"/>
        <v>-4.1059602649006655E-2</v>
      </c>
      <c r="CZ88" s="103">
        <f t="shared" si="282"/>
        <v>-5.339485827290702E-2</v>
      </c>
      <c r="DA88" s="103">
        <f t="shared" si="282"/>
        <v>-0.16428192898781135</v>
      </c>
      <c r="DB88" s="465">
        <f t="shared" si="282"/>
        <v>-7.5350007865345292E-2</v>
      </c>
      <c r="DC88" s="103">
        <f t="shared" si="283"/>
        <v>-0.23331949074877933</v>
      </c>
      <c r="DD88" s="103">
        <f t="shared" si="283"/>
        <v>-0.2623309927501023</v>
      </c>
      <c r="DE88" s="103">
        <f t="shared" si="283"/>
        <v>-0.264142611758723</v>
      </c>
      <c r="DF88" s="103">
        <f t="shared" si="283"/>
        <v>-0.18378977401988283</v>
      </c>
      <c r="DG88" s="465">
        <f t="shared" si="283"/>
        <v>-0.23470810820143762</v>
      </c>
      <c r="DH88" s="103">
        <f t="shared" si="283"/>
        <v>-8.484747543658111E-2</v>
      </c>
      <c r="DI88" s="103">
        <f t="shared" si="283"/>
        <v>-6.6158009160373954E-2</v>
      </c>
      <c r="DJ88" s="103">
        <f t="shared" si="283"/>
        <v>-4.9306989002533164E-2</v>
      </c>
      <c r="DK88" s="103">
        <f t="shared" si="283"/>
        <v>-5.2652298967713396E-2</v>
      </c>
      <c r="DL88" s="465">
        <f t="shared" si="283"/>
        <v>-6.2848732562669762E-2</v>
      </c>
      <c r="DM88" s="103">
        <f t="shared" si="284"/>
        <v>-4.5324877323072776E-2</v>
      </c>
      <c r="DN88" s="103">
        <f t="shared" si="284"/>
        <v>-1.0338661610255206E-2</v>
      </c>
      <c r="DO88" s="103">
        <f t="shared" si="284"/>
        <v>2.6598708213337208E-2</v>
      </c>
      <c r="DP88" s="103">
        <f t="shared" si="284"/>
        <v>6.6108175740700714E-2</v>
      </c>
      <c r="DQ88" s="465">
        <f t="shared" si="284"/>
        <v>1.2324858542706263E-2</v>
      </c>
      <c r="DR88" s="103">
        <f t="shared" si="285"/>
        <v>8.509704067406143E-2</v>
      </c>
      <c r="DS88" s="103">
        <f t="shared" si="286"/>
        <v>8.5214164767412504E-2</v>
      </c>
      <c r="DT88" s="103">
        <f t="shared" si="287"/>
        <v>8.4258216551858611E-2</v>
      </c>
      <c r="DU88" s="103">
        <f t="shared" si="288"/>
        <v>8.470107727717946E-2</v>
      </c>
      <c r="DV88" s="465">
        <f t="shared" si="289"/>
        <v>8.4800805623059805E-2</v>
      </c>
      <c r="DW88" s="103">
        <f t="shared" si="290"/>
        <v>8.4714552612352279E-2</v>
      </c>
      <c r="DX88" s="103">
        <f t="shared" si="291"/>
        <v>8.870687986806125E-2</v>
      </c>
      <c r="DY88" s="103">
        <f t="shared" si="292"/>
        <v>9.1638689352929292E-2</v>
      </c>
      <c r="DZ88" s="103">
        <f t="shared" si="293"/>
        <v>9.5972013002656675E-2</v>
      </c>
      <c r="EA88" s="465">
        <f t="shared" si="294"/>
        <v>9.0739762080538133E-2</v>
      </c>
      <c r="EB88" s="18"/>
      <c r="EC88" s="26" t="s">
        <v>238</v>
      </c>
      <c r="ED88" s="512">
        <f t="shared" si="295"/>
        <v>-0.16428192898781135</v>
      </c>
      <c r="EE88" s="512">
        <v>-0.14097677227945438</v>
      </c>
      <c r="EF88" s="698">
        <f t="shared" si="272"/>
        <v>-2.3305156708356978E-2</v>
      </c>
      <c r="EG88" s="512">
        <f t="shared" si="296"/>
        <v>-4.2216358839050061E-3</v>
      </c>
      <c r="EH88" s="637"/>
      <c r="EI88" s="1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row>
    <row r="89" spans="1:259" s="337" customFormat="1" ht="12" customHeight="1" x14ac:dyDescent="0.2">
      <c r="A89" s="431" t="s">
        <v>239</v>
      </c>
      <c r="B89" s="1542" t="s">
        <v>235</v>
      </c>
      <c r="C89" s="1542" t="s">
        <v>235</v>
      </c>
      <c r="D89" s="1542" t="s">
        <v>235</v>
      </c>
      <c r="E89" s="1542" t="s">
        <v>235</v>
      </c>
      <c r="F89" s="1519"/>
      <c r="G89" s="1834">
        <f t="shared" ref="G89:AL89" si="297">SUM(G24:G26)/SUM(B24:B26)-1</f>
        <v>-0.11617565314063372</v>
      </c>
      <c r="H89" s="1518">
        <f t="shared" si="297"/>
        <v>-0.13555675094136632</v>
      </c>
      <c r="I89" s="1518">
        <f t="shared" si="297"/>
        <v>-0.16351706036745406</v>
      </c>
      <c r="J89" s="1520">
        <f t="shared" si="297"/>
        <v>-0.13304535637149029</v>
      </c>
      <c r="K89" s="1519">
        <f t="shared" si="297"/>
        <v>-0.13715410002538719</v>
      </c>
      <c r="L89" s="1834">
        <f t="shared" si="297"/>
        <v>-0.11761006289308173</v>
      </c>
      <c r="M89" s="1518">
        <f t="shared" si="297"/>
        <v>-9.6453018046048555E-2</v>
      </c>
      <c r="N89" s="1518">
        <f t="shared" si="297"/>
        <v>-0.13460935048635081</v>
      </c>
      <c r="O89" s="1520">
        <f t="shared" si="297"/>
        <v>-0.11609367214748378</v>
      </c>
      <c r="P89" s="1519">
        <f t="shared" si="297"/>
        <v>-0.11614564178006626</v>
      </c>
      <c r="Q89" s="1834">
        <f t="shared" si="297"/>
        <v>-0.12758374910905201</v>
      </c>
      <c r="R89" s="1518">
        <f t="shared" si="297"/>
        <v>-0.14393939393939392</v>
      </c>
      <c r="S89" s="1518">
        <f t="shared" si="297"/>
        <v>-9.789702683103696E-2</v>
      </c>
      <c r="T89" s="1518">
        <f t="shared" si="297"/>
        <v>-7.4971815107102602E-2</v>
      </c>
      <c r="U89" s="1519">
        <f t="shared" si="297"/>
        <v>-0.10918774966711053</v>
      </c>
      <c r="V89" s="1834">
        <f t="shared" si="297"/>
        <v>-6.8627450980392135E-2</v>
      </c>
      <c r="W89" s="1518">
        <f t="shared" si="297"/>
        <v>-2.6548672566371723E-2</v>
      </c>
      <c r="X89" s="1518">
        <f t="shared" si="297"/>
        <v>-6.4308681672026191E-3</v>
      </c>
      <c r="Y89" s="1520">
        <f t="shared" si="297"/>
        <v>3.0469226081657474E-3</v>
      </c>
      <c r="Z89" s="1519">
        <f t="shared" si="297"/>
        <v>-2.2421524663677084E-2</v>
      </c>
      <c r="AA89" s="1834">
        <f t="shared" si="297"/>
        <v>5.5263157894736903E-2</v>
      </c>
      <c r="AB89" s="1518">
        <f t="shared" si="297"/>
        <v>8.181818181818179E-2</v>
      </c>
      <c r="AC89" s="1518">
        <f t="shared" si="297"/>
        <v>0.15210355987055024</v>
      </c>
      <c r="AD89" s="1520">
        <f t="shared" si="297"/>
        <v>0.12636695018225996</v>
      </c>
      <c r="AE89" s="1519">
        <f t="shared" si="297"/>
        <v>0.1066513761467891</v>
      </c>
      <c r="AF89" s="1834">
        <f t="shared" si="297"/>
        <v>0.14048212801330018</v>
      </c>
      <c r="AG89" s="1518">
        <f t="shared" si="297"/>
        <v>0.1207028265851795</v>
      </c>
      <c r="AH89" s="1518">
        <f t="shared" si="297"/>
        <v>5.1966292134831393E-2</v>
      </c>
      <c r="AI89" s="1520">
        <f t="shared" si="297"/>
        <v>7.8748651564185534E-2</v>
      </c>
      <c r="AJ89" s="1519">
        <f t="shared" si="297"/>
        <v>9.4473229706390383E-2</v>
      </c>
      <c r="AK89" s="1518">
        <f t="shared" si="297"/>
        <v>8.6734693877551061E-2</v>
      </c>
      <c r="AL89" s="1518">
        <f t="shared" si="297"/>
        <v>7.4301295160190906E-2</v>
      </c>
      <c r="AM89" s="1518">
        <f t="shared" ref="AM89:BR89" si="298">SUM(AM24:AM26)/SUM(AH24:AH26)-1</f>
        <v>9.4793057409879866E-2</v>
      </c>
      <c r="AN89" s="1520">
        <f t="shared" si="298"/>
        <v>6.2999999999999945E-2</v>
      </c>
      <c r="AO89" s="1519">
        <f t="shared" si="298"/>
        <v>7.827047498816464E-2</v>
      </c>
      <c r="AP89" s="1518">
        <f t="shared" si="298"/>
        <v>4.0241448692152959E-2</v>
      </c>
      <c r="AQ89" s="1518">
        <f t="shared" si="298"/>
        <v>3.8071065989847774E-2</v>
      </c>
      <c r="AR89" s="1518">
        <f t="shared" si="298"/>
        <v>2.4999999999999911E-2</v>
      </c>
      <c r="AS89" s="1520">
        <f t="shared" si="298"/>
        <v>3.5747883349012133E-2</v>
      </c>
      <c r="AT89" s="1519">
        <f t="shared" si="298"/>
        <v>3.4684618761890773E-2</v>
      </c>
      <c r="AU89" s="1518">
        <f t="shared" si="298"/>
        <v>-1.0315925209542276E-2</v>
      </c>
      <c r="AV89" s="1518">
        <f t="shared" si="298"/>
        <v>-1.5281173594132058E-2</v>
      </c>
      <c r="AW89" s="1518">
        <f t="shared" si="298"/>
        <v>-7.7334919690660309E-3</v>
      </c>
      <c r="AX89" s="1520">
        <f t="shared" si="298"/>
        <v>3.5422343324250649E-2</v>
      </c>
      <c r="AY89" s="1519">
        <f t="shared" si="298"/>
        <v>3.3946251768033342E-3</v>
      </c>
      <c r="AZ89" s="1518">
        <f t="shared" si="298"/>
        <v>7.75244299674267E-2</v>
      </c>
      <c r="BA89" s="1518">
        <f t="shared" si="298"/>
        <v>9.4351334574798162E-2</v>
      </c>
      <c r="BB89" s="1518">
        <f t="shared" si="298"/>
        <v>0.13309352517985618</v>
      </c>
      <c r="BC89" s="1520">
        <f t="shared" si="298"/>
        <v>8.1578947368420973E-2</v>
      </c>
      <c r="BD89" s="1519">
        <f t="shared" si="298"/>
        <v>9.5714688469128895E-2</v>
      </c>
      <c r="BE89" s="1518">
        <f t="shared" si="298"/>
        <v>7.9806529625151112E-2</v>
      </c>
      <c r="BF89" s="1518">
        <f t="shared" si="298"/>
        <v>0.14123652864435621</v>
      </c>
      <c r="BG89" s="1518">
        <f t="shared" si="298"/>
        <v>0.12380952380952381</v>
      </c>
      <c r="BH89" s="1520">
        <f t="shared" si="298"/>
        <v>3.1224655312246608E-2</v>
      </c>
      <c r="BI89" s="1519">
        <f t="shared" si="298"/>
        <v>8.9026116042711934E-2</v>
      </c>
      <c r="BJ89" s="1518">
        <f t="shared" si="298"/>
        <v>-9.85442329227324E-2</v>
      </c>
      <c r="BK89" s="1518">
        <f t="shared" si="298"/>
        <v>-9.1451292246520821E-2</v>
      </c>
      <c r="BL89" s="1518">
        <f t="shared" si="298"/>
        <v>-5.5084745762711829E-2</v>
      </c>
      <c r="BM89" s="1520">
        <f t="shared" si="298"/>
        <v>-2.1234762092017356E-2</v>
      </c>
      <c r="BN89" s="1521">
        <f t="shared" si="298"/>
        <v>-6.2728883638511479E-2</v>
      </c>
      <c r="BO89" s="1518">
        <f t="shared" si="298"/>
        <v>2.857142857142847E-2</v>
      </c>
      <c r="BP89" s="1518">
        <f t="shared" si="298"/>
        <v>1.4223194748358869E-2</v>
      </c>
      <c r="BQ89" s="1518">
        <f t="shared" si="298"/>
        <v>4.9825610363727346E-3</v>
      </c>
      <c r="BR89" s="1520">
        <f t="shared" si="298"/>
        <v>4.1783848935315282E-2</v>
      </c>
      <c r="BS89" s="1521">
        <f t="shared" ref="BS89:CX89" si="299">SUM(BS24:BS26)/SUM(BN24:BN26)-1</f>
        <v>2.3443408116964992E-2</v>
      </c>
      <c r="BT89" s="1518">
        <f t="shared" si="299"/>
        <v>2.1135265700483075E-2</v>
      </c>
      <c r="BU89" s="1518">
        <f t="shared" si="299"/>
        <v>0.1030204962243797</v>
      </c>
      <c r="BV89" s="1518">
        <f t="shared" si="299"/>
        <v>0.17005453644025792</v>
      </c>
      <c r="BW89" s="1520">
        <f t="shared" si="299"/>
        <v>0.1739298110296954</v>
      </c>
      <c r="BX89" s="1521">
        <f t="shared" si="299"/>
        <v>0.12561576354679804</v>
      </c>
      <c r="BY89" s="1518">
        <f t="shared" si="299"/>
        <v>0.12596096984033123</v>
      </c>
      <c r="BZ89" s="1518">
        <f t="shared" si="299"/>
        <v>0.14376528117359411</v>
      </c>
      <c r="CA89" s="1518">
        <f t="shared" si="299"/>
        <v>7.7542372881356014E-2</v>
      </c>
      <c r="CB89" s="1520">
        <f t="shared" si="299"/>
        <v>7.227332457293123E-3</v>
      </c>
      <c r="CC89" s="1521">
        <f t="shared" si="299"/>
        <v>7.7899343544857835E-2</v>
      </c>
      <c r="CD89" s="1522">
        <f t="shared" si="299"/>
        <v>-0.56880252100840334</v>
      </c>
      <c r="CE89" s="1522">
        <f t="shared" si="299"/>
        <v>-0.62077811030354857</v>
      </c>
      <c r="CF89" s="1522">
        <f t="shared" si="299"/>
        <v>-0.65473849783720017</v>
      </c>
      <c r="CG89" s="1522">
        <f t="shared" si="299"/>
        <v>-0.62002609262883235</v>
      </c>
      <c r="CH89" s="1835">
        <f t="shared" si="299"/>
        <v>-0.61926512383272425</v>
      </c>
      <c r="CI89" s="1522">
        <f t="shared" si="299"/>
        <v>-1.0962241169305775E-2</v>
      </c>
      <c r="CJ89" s="1522">
        <f t="shared" si="299"/>
        <v>4.8478015783540052E-2</v>
      </c>
      <c r="CK89" s="1522">
        <f t="shared" si="299"/>
        <v>5.0113895216400861E-2</v>
      </c>
      <c r="CL89" s="1535">
        <f t="shared" si="299"/>
        <v>3.4334763948497882E-2</v>
      </c>
      <c r="CM89" s="1523">
        <f t="shared" si="299"/>
        <v>3.1458277792588696E-2</v>
      </c>
      <c r="CN89" s="1524">
        <f t="shared" si="299"/>
        <v>-2.0935960591133007E-2</v>
      </c>
      <c r="CO89" s="1522">
        <f t="shared" si="299"/>
        <v>-6.0215053763440829E-2</v>
      </c>
      <c r="CP89" s="1522">
        <f t="shared" si="299"/>
        <v>-5.3145336225596584E-2</v>
      </c>
      <c r="CQ89" s="1071">
        <f t="shared" si="299"/>
        <v>-8.2987551867219955E-2</v>
      </c>
      <c r="CR89" s="1126">
        <f t="shared" si="299"/>
        <v>-5.7379167743602966E-2</v>
      </c>
      <c r="CS89" s="974">
        <f t="shared" si="299"/>
        <v>1.2578616352201255E-2</v>
      </c>
      <c r="CT89" s="974">
        <f t="shared" si="299"/>
        <v>-4.0045766590389054E-2</v>
      </c>
      <c r="CU89" s="974">
        <f t="shared" si="299"/>
        <v>-4.8109965635738883E-2</v>
      </c>
      <c r="CV89" s="16">
        <f t="shared" si="299"/>
        <v>-8.2352941176470629E-2</v>
      </c>
      <c r="CW89" s="100">
        <f t="shared" si="299"/>
        <v>-4.3323279407732396E-2</v>
      </c>
      <c r="CX89" s="16">
        <f t="shared" si="299"/>
        <v>-5.8385093167701907E-2</v>
      </c>
      <c r="CY89" s="16">
        <f t="shared" ref="CY89:DQ89" si="300">SUM(CY24:CY26)/SUM(CT24:CT26)-1</f>
        <v>-0.10846245530393328</v>
      </c>
      <c r="CZ89" s="16">
        <f t="shared" si="300"/>
        <v>-0.13718411552346566</v>
      </c>
      <c r="DA89" s="63">
        <f t="shared" si="300"/>
        <v>-0.27909270216962523</v>
      </c>
      <c r="DB89" s="464">
        <f t="shared" si="300"/>
        <v>-0.15333906563485245</v>
      </c>
      <c r="DC89" s="16">
        <f t="shared" si="300"/>
        <v>-0.44204536949683038</v>
      </c>
      <c r="DD89" s="16">
        <f t="shared" si="300"/>
        <v>-0.48785752575098174</v>
      </c>
      <c r="DE89" s="16">
        <f t="shared" si="300"/>
        <v>-0.5076441481098366</v>
      </c>
      <c r="DF89" s="63">
        <f t="shared" si="300"/>
        <v>-0.41246799371718479</v>
      </c>
      <c r="DG89" s="464">
        <f t="shared" si="300"/>
        <v>-0.46224873965549995</v>
      </c>
      <c r="DH89" s="16">
        <f t="shared" si="300"/>
        <v>-0.28197475608173239</v>
      </c>
      <c r="DI89" s="16">
        <f t="shared" si="300"/>
        <v>-0.25425648910263021</v>
      </c>
      <c r="DJ89" s="16">
        <f t="shared" si="300"/>
        <v>-0.23596663681653396</v>
      </c>
      <c r="DK89" s="63">
        <f t="shared" si="300"/>
        <v>-0.25353600712640179</v>
      </c>
      <c r="DL89" s="464">
        <f t="shared" si="300"/>
        <v>-0.25737686506754842</v>
      </c>
      <c r="DM89" s="16">
        <f t="shared" si="300"/>
        <v>-0.24660121581112293</v>
      </c>
      <c r="DN89" s="16">
        <f t="shared" si="300"/>
        <v>-0.15962367181031611</v>
      </c>
      <c r="DO89" s="16">
        <f t="shared" si="300"/>
        <v>-6.0532721941052081E-2</v>
      </c>
      <c r="DP89" s="63">
        <f t="shared" si="300"/>
        <v>6.22167810045966E-2</v>
      </c>
      <c r="DQ89" s="464">
        <f t="shared" si="300"/>
        <v>-9.9068641867412488E-2</v>
      </c>
      <c r="DR89" s="16">
        <f t="shared" ref="DR89" si="301">SUM(DR24:DR26)/SUM(DM24:DM26)-1</f>
        <v>0.13272354004208364</v>
      </c>
      <c r="DS89" s="16">
        <f t="shared" ref="DS89" si="302">SUM(DS24:DS26)/SUM(DN24:DN26)-1</f>
        <v>0.12986320013850894</v>
      </c>
      <c r="DT89" s="16">
        <f t="shared" ref="DT89" si="303">SUM(DT24:DT26)/SUM(DO24:DO26)-1</f>
        <v>0.12671450920144411</v>
      </c>
      <c r="DU89" s="63">
        <f t="shared" ref="DU89" si="304">SUM(DU24:DU26)/SUM(DP24:DP26)-1</f>
        <v>0.12434257060613363</v>
      </c>
      <c r="DV89" s="464">
        <f t="shared" ref="DV89" si="305">SUM(DV24:DV26)/SUM(DQ24:DQ26)-1</f>
        <v>0.12795931803055716</v>
      </c>
      <c r="DW89" s="16">
        <f t="shared" ref="DW89" si="306">SUM(DW24:DW26)/SUM(DR24:DR26)-1</f>
        <v>0.12809901656497735</v>
      </c>
      <c r="DX89" s="16">
        <f t="shared" ref="DX89" si="307">SUM(DX24:DX26)/SUM(DS24:DS26)-1</f>
        <v>0.13824341151201769</v>
      </c>
      <c r="DY89" s="16">
        <f t="shared" ref="DY89" si="308">SUM(DY24:DY26)/SUM(DT24:DT26)-1</f>
        <v>0.14776221786937715</v>
      </c>
      <c r="DZ89" s="63">
        <f t="shared" ref="DZ89" si="309">SUM(DZ24:DZ26)/SUM(DU24:DU26)-1</f>
        <v>0.15646947957740287</v>
      </c>
      <c r="EA89" s="464">
        <f t="shared" ref="EA89" si="310">SUM(EA24:EA26)/SUM(DV24:DV26)-1</f>
        <v>0.14413863483451195</v>
      </c>
      <c r="EB89" s="11"/>
      <c r="EC89" s="14" t="s">
        <v>239</v>
      </c>
      <c r="ED89" s="138">
        <f t="shared" si="295"/>
        <v>-0.27909270216962523</v>
      </c>
      <c r="EE89" s="138">
        <v>-0.24684788344019393</v>
      </c>
      <c r="EF89" s="140">
        <f t="shared" si="272"/>
        <v>-3.2244818729431302E-2</v>
      </c>
      <c r="EG89" s="138">
        <f t="shared" si="296"/>
        <v>-8.2352941176470629E-2</v>
      </c>
      <c r="EH89" s="399"/>
      <c r="EI89" s="11"/>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row>
    <row r="90" spans="1:259" s="337" customFormat="1" x14ac:dyDescent="0.2">
      <c r="A90" s="431" t="s">
        <v>240</v>
      </c>
      <c r="B90" s="1540" t="s">
        <v>235</v>
      </c>
      <c r="C90" s="1540" t="s">
        <v>235</v>
      </c>
      <c r="D90" s="1540" t="s">
        <v>235</v>
      </c>
      <c r="E90" s="1540" t="s">
        <v>235</v>
      </c>
      <c r="F90" s="1519"/>
      <c r="G90" s="1834">
        <f t="shared" ref="G90:AL90" si="311">G28/B28-1</f>
        <v>1.8421052631578894E-2</v>
      </c>
      <c r="H90" s="1518">
        <f t="shared" si="311"/>
        <v>-3.7558685446009377E-2</v>
      </c>
      <c r="I90" s="1518">
        <f t="shared" si="311"/>
        <v>-0.12076271186440679</v>
      </c>
      <c r="J90" s="1534">
        <f t="shared" si="311"/>
        <v>4.6511627906975495E-3</v>
      </c>
      <c r="K90" s="1519">
        <f t="shared" si="311"/>
        <v>-3.3617021276595715E-2</v>
      </c>
      <c r="L90" s="1839">
        <f t="shared" si="311"/>
        <v>7.4935400516795925E-2</v>
      </c>
      <c r="M90" s="1518">
        <f t="shared" si="311"/>
        <v>7.3170731707317138E-2</v>
      </c>
      <c r="N90" s="1518">
        <f t="shared" si="311"/>
        <v>-3.1325301204819245E-2</v>
      </c>
      <c r="O90" s="1518">
        <f t="shared" si="311"/>
        <v>-3.1084656084656048E-2</v>
      </c>
      <c r="P90" s="1519">
        <f t="shared" si="311"/>
        <v>1.4971378247468081E-2</v>
      </c>
      <c r="Q90" s="1834">
        <f t="shared" si="311"/>
        <v>-0.16346153846153844</v>
      </c>
      <c r="R90" s="1518">
        <f t="shared" si="311"/>
        <v>-0.15000000000000002</v>
      </c>
      <c r="S90" s="1518">
        <f t="shared" si="311"/>
        <v>-3.4825870646766122E-2</v>
      </c>
      <c r="T90" s="1518">
        <f t="shared" si="311"/>
        <v>2.0477815699658786E-2</v>
      </c>
      <c r="U90" s="1519">
        <f t="shared" si="311"/>
        <v>-7.3752711496746226E-2</v>
      </c>
      <c r="V90" s="1834">
        <f t="shared" si="311"/>
        <v>-5.7471264367816577E-3</v>
      </c>
      <c r="W90" s="1518">
        <f t="shared" si="311"/>
        <v>1.6042780748663166E-2</v>
      </c>
      <c r="X90" s="1518">
        <f t="shared" si="311"/>
        <v>-8.7628865979381465E-2</v>
      </c>
      <c r="Y90" s="1518">
        <f t="shared" si="311"/>
        <v>-0.14046822742474918</v>
      </c>
      <c r="Z90" s="1519">
        <f t="shared" si="311"/>
        <v>-6.6744730679156872E-2</v>
      </c>
      <c r="AA90" s="1518">
        <f t="shared" si="311"/>
        <v>5.2023121387283267E-2</v>
      </c>
      <c r="AB90" s="1518">
        <f t="shared" si="311"/>
        <v>0.13157894736842102</v>
      </c>
      <c r="AC90" s="1518">
        <f t="shared" si="311"/>
        <v>0.23728813559322037</v>
      </c>
      <c r="AD90" s="1518">
        <f t="shared" si="311"/>
        <v>0.15564202334630339</v>
      </c>
      <c r="AE90" s="1519">
        <f t="shared" si="311"/>
        <v>0.14554579673776669</v>
      </c>
      <c r="AF90" s="1834">
        <f t="shared" si="311"/>
        <v>0.11538461538461542</v>
      </c>
      <c r="AG90" s="1518">
        <f t="shared" si="311"/>
        <v>-3.2558139534883734E-2</v>
      </c>
      <c r="AH90" s="1518">
        <f t="shared" si="311"/>
        <v>-3.1963470319634757E-2</v>
      </c>
      <c r="AI90" s="1520">
        <f t="shared" si="311"/>
        <v>8.4175084175084125E-2</v>
      </c>
      <c r="AJ90" s="1519">
        <f t="shared" si="311"/>
        <v>3.5049288061336226E-2</v>
      </c>
      <c r="AK90" s="1518">
        <f t="shared" si="311"/>
        <v>0.16748768472906406</v>
      </c>
      <c r="AL90" s="1518">
        <f t="shared" si="311"/>
        <v>0.125</v>
      </c>
      <c r="AM90" s="1518">
        <f t="shared" ref="AM90:BR90" si="312">AM28/AH28-1</f>
        <v>0.179245283018868</v>
      </c>
      <c r="AN90" s="1518">
        <f t="shared" si="312"/>
        <v>4.0372670807453437E-2</v>
      </c>
      <c r="AO90" s="1519">
        <f t="shared" si="312"/>
        <v>0.11746031746031749</v>
      </c>
      <c r="AP90" s="1518">
        <f t="shared" si="312"/>
        <v>4.2194092827004148E-2</v>
      </c>
      <c r="AQ90" s="1518">
        <f t="shared" si="312"/>
        <v>0.16666666666666674</v>
      </c>
      <c r="AR90" s="1518">
        <f t="shared" si="312"/>
        <v>5.600000000000005E-2</v>
      </c>
      <c r="AS90" s="1518">
        <f t="shared" si="312"/>
        <v>0.11641791044776117</v>
      </c>
      <c r="AT90" s="1519">
        <f t="shared" si="312"/>
        <v>9.6590909090909172E-2</v>
      </c>
      <c r="AU90" s="1518">
        <f t="shared" si="312"/>
        <v>2.8340080971659853E-2</v>
      </c>
      <c r="AV90" s="1518">
        <f t="shared" si="312"/>
        <v>-3.2967032967032961E-2</v>
      </c>
      <c r="AW90" s="1518">
        <f t="shared" si="312"/>
        <v>2.6515151515151603E-2</v>
      </c>
      <c r="AX90" s="1518">
        <f t="shared" si="312"/>
        <v>6.4171122994652441E-2</v>
      </c>
      <c r="AY90" s="1519">
        <f t="shared" si="312"/>
        <v>2.5043177892918767E-2</v>
      </c>
      <c r="AZ90" s="1518">
        <f t="shared" si="312"/>
        <v>3.1496062992125928E-2</v>
      </c>
      <c r="BA90" s="1518">
        <f t="shared" si="312"/>
        <v>8.7121212121212155E-2</v>
      </c>
      <c r="BB90" s="1518">
        <f t="shared" si="312"/>
        <v>3.6900369003689981E-2</v>
      </c>
      <c r="BC90" s="1518">
        <f t="shared" si="312"/>
        <v>0.16331658291457285</v>
      </c>
      <c r="BD90" s="1519">
        <f t="shared" si="312"/>
        <v>8.9300758213984865E-2</v>
      </c>
      <c r="BE90" s="1518">
        <f t="shared" si="312"/>
        <v>5.3435114503816772E-2</v>
      </c>
      <c r="BF90" s="1518">
        <f t="shared" si="312"/>
        <v>0.10452961672473871</v>
      </c>
      <c r="BG90" s="1518">
        <f t="shared" si="312"/>
        <v>8.5409252669039093E-2</v>
      </c>
      <c r="BH90" s="1518">
        <f t="shared" si="312"/>
        <v>-4.1036717062635009E-2</v>
      </c>
      <c r="BI90" s="1519">
        <f t="shared" si="312"/>
        <v>3.7896365042536795E-2</v>
      </c>
      <c r="BJ90" s="1518">
        <f t="shared" si="312"/>
        <v>-7.6086956521739135E-2</v>
      </c>
      <c r="BK90" s="1518">
        <f t="shared" si="312"/>
        <v>-0.11356466876971605</v>
      </c>
      <c r="BL90" s="1518">
        <f t="shared" si="312"/>
        <v>-9.5081967213114793E-2</v>
      </c>
      <c r="BM90" s="1518">
        <f t="shared" si="312"/>
        <v>-7.8828828828828801E-2</v>
      </c>
      <c r="BN90" s="1521">
        <f t="shared" si="312"/>
        <v>-9.0163934426229497E-2</v>
      </c>
      <c r="BO90" s="1518">
        <f t="shared" si="312"/>
        <v>-3.9215686274509776E-2</v>
      </c>
      <c r="BP90" s="1518">
        <f t="shared" si="312"/>
        <v>7.1174377224199059E-3</v>
      </c>
      <c r="BQ90" s="1518">
        <f t="shared" si="312"/>
        <v>3.2608695652173836E-2</v>
      </c>
      <c r="BR90" s="1518">
        <f t="shared" si="312"/>
        <v>0.13447432762836176</v>
      </c>
      <c r="BS90" s="1521">
        <f t="shared" ref="BS90:CX90" si="313">BS28/BN28-1</f>
        <v>4.5864045864045799E-2</v>
      </c>
      <c r="BT90" s="1518">
        <f t="shared" si="313"/>
        <v>4.081632653061229E-2</v>
      </c>
      <c r="BU90" s="1518">
        <f t="shared" si="313"/>
        <v>8.8339222614840951E-2</v>
      </c>
      <c r="BV90" s="1518">
        <f t="shared" si="313"/>
        <v>8.7719298245614086E-2</v>
      </c>
      <c r="BW90" s="1518">
        <f t="shared" si="313"/>
        <v>7.5431034482758674E-2</v>
      </c>
      <c r="BX90" s="1521">
        <f t="shared" si="313"/>
        <v>7.439310884886452E-2</v>
      </c>
      <c r="BY90" s="1518">
        <f t="shared" si="313"/>
        <v>6.6666666666666652E-2</v>
      </c>
      <c r="BZ90" s="1518">
        <f t="shared" si="313"/>
        <v>0.12337662337662336</v>
      </c>
      <c r="CA90" s="1518">
        <f t="shared" si="313"/>
        <v>7.0967741935483941E-2</v>
      </c>
      <c r="CB90" s="1518">
        <f t="shared" si="313"/>
        <v>0.12224448897795592</v>
      </c>
      <c r="CC90" s="1521">
        <f t="shared" si="313"/>
        <v>0.10058309037900881</v>
      </c>
      <c r="CD90" s="1522">
        <f t="shared" si="313"/>
        <v>-0.23161764705882348</v>
      </c>
      <c r="CE90" s="1522">
        <f t="shared" si="313"/>
        <v>-0.2774566473988439</v>
      </c>
      <c r="CF90" s="1522">
        <f t="shared" si="313"/>
        <v>-0.31325301204819278</v>
      </c>
      <c r="CG90" s="1522">
        <f t="shared" si="313"/>
        <v>-0.31607142857142856</v>
      </c>
      <c r="CH90" s="1835">
        <f t="shared" si="313"/>
        <v>-0.29139072847682124</v>
      </c>
      <c r="CI90" s="1522">
        <f t="shared" si="313"/>
        <v>0</v>
      </c>
      <c r="CJ90" s="1522">
        <f t="shared" si="313"/>
        <v>0</v>
      </c>
      <c r="CK90" s="1522">
        <f t="shared" si="313"/>
        <v>0</v>
      </c>
      <c r="CL90" s="1522">
        <f t="shared" si="313"/>
        <v>-6.7885117493472591E-2</v>
      </c>
      <c r="CM90" s="1523">
        <f t="shared" si="313"/>
        <v>-2.4299065420560706E-2</v>
      </c>
      <c r="CN90" s="1524">
        <f t="shared" si="313"/>
        <v>8.6124401913875603E-2</v>
      </c>
      <c r="CO90" s="1522">
        <f t="shared" si="313"/>
        <v>1.2000000000000011E-2</v>
      </c>
      <c r="CP90" s="1522">
        <f t="shared" si="313"/>
        <v>4.3859649122806932E-2</v>
      </c>
      <c r="CQ90" s="1071">
        <f t="shared" si="313"/>
        <v>6.7226890756302504E-2</v>
      </c>
      <c r="CR90" s="1126">
        <f t="shared" si="313"/>
        <v>5.268199233716464E-2</v>
      </c>
      <c r="CS90" s="974">
        <f t="shared" si="313"/>
        <v>7.0484581497797461E-2</v>
      </c>
      <c r="CT90" s="974">
        <f t="shared" si="313"/>
        <v>3.9525691699604515E-3</v>
      </c>
      <c r="CU90" s="974">
        <f t="shared" si="313"/>
        <v>0.13445378151260501</v>
      </c>
      <c r="CV90" s="16">
        <f t="shared" si="313"/>
        <v>-4.986876640419946E-2</v>
      </c>
      <c r="CW90" s="100">
        <f t="shared" si="313"/>
        <v>2.7297543221109999E-2</v>
      </c>
      <c r="CX90" s="16">
        <f t="shared" si="313"/>
        <v>-2.4691358024691357E-2</v>
      </c>
      <c r="CY90" s="16">
        <f t="shared" ref="CY90:DQ90" si="314">CY28/CT28-1</f>
        <v>-2.7559055118110187E-2</v>
      </c>
      <c r="CZ90" s="16">
        <f t="shared" si="314"/>
        <v>-0.20370370370370372</v>
      </c>
      <c r="DA90" s="16">
        <f t="shared" si="314"/>
        <v>-0.17127071823204421</v>
      </c>
      <c r="DB90" s="464">
        <f t="shared" si="314"/>
        <v>-0.11514614703277237</v>
      </c>
      <c r="DC90" s="16">
        <f t="shared" si="314"/>
        <v>-0.11293248945147683</v>
      </c>
      <c r="DD90" s="16">
        <f t="shared" si="314"/>
        <v>-0.12702429149797567</v>
      </c>
      <c r="DE90" s="16">
        <f t="shared" si="314"/>
        <v>-0.10883720930232565</v>
      </c>
      <c r="DF90" s="16">
        <f t="shared" si="314"/>
        <v>-0.11855000000000004</v>
      </c>
      <c r="DG90" s="464">
        <f t="shared" si="314"/>
        <v>-0.11722222222222223</v>
      </c>
      <c r="DH90" s="16">
        <f t="shared" si="314"/>
        <v>9.94839108616552E-3</v>
      </c>
      <c r="DI90" s="16">
        <f t="shared" si="314"/>
        <v>3.666086956521708E-3</v>
      </c>
      <c r="DJ90" s="16">
        <f t="shared" si="314"/>
        <v>0</v>
      </c>
      <c r="DK90" s="16">
        <f t="shared" si="314"/>
        <v>0</v>
      </c>
      <c r="DL90" s="464">
        <f t="shared" si="314"/>
        <v>3.2679627393283894E-3</v>
      </c>
      <c r="DM90" s="16">
        <f t="shared" si="314"/>
        <v>5.2059328439926444E-2</v>
      </c>
      <c r="DN90" s="16">
        <f t="shared" si="314"/>
        <v>5.2630356882940266E-2</v>
      </c>
      <c r="DO90" s="16">
        <f t="shared" si="314"/>
        <v>5.1996346555323703E-2</v>
      </c>
      <c r="DP90" s="16">
        <f t="shared" si="314"/>
        <v>5.2025072324011656E-2</v>
      </c>
      <c r="DQ90" s="464">
        <f t="shared" si="314"/>
        <v>5.217512435336813E-2</v>
      </c>
      <c r="DR90" s="16">
        <f t="shared" ref="DR90" si="315">DR28/DM28-1</f>
        <v>6.1012788405590657E-2</v>
      </c>
      <c r="DS90" s="16">
        <f t="shared" ref="DS90" si="316">DS28/DN28-1</f>
        <v>6.7309665777421479E-2</v>
      </c>
      <c r="DT90" s="16">
        <f t="shared" ref="DT90" si="317">DT28/DO28-1</f>
        <v>6.0439069767441955E-2</v>
      </c>
      <c r="DU90" s="16">
        <f t="shared" ref="DU90" si="318">DU28/DP28-1</f>
        <v>6.0298363811357003E-2</v>
      </c>
      <c r="DV90" s="464">
        <f t="shared" ref="DV90" si="319">DV28/DQ28-1</f>
        <v>6.2215954545315144E-2</v>
      </c>
      <c r="DW90" s="16">
        <f t="shared" ref="DW90" si="320">DW28/DR28-1</f>
        <v>7.2488913440687197E-2</v>
      </c>
      <c r="DX90" s="16">
        <f t="shared" ref="DX90" si="321">DX28/DS28-1</f>
        <v>7.8539873874943655E-2</v>
      </c>
      <c r="DY90" s="16">
        <f t="shared" ref="DY90" si="322">DY28/DT28-1</f>
        <v>7.1814219998385997E-2</v>
      </c>
      <c r="DZ90" s="16">
        <f t="shared" ref="DZ90" si="323">DZ28/DU28-1</f>
        <v>7.2130440702582455E-2</v>
      </c>
      <c r="EA90" s="464">
        <f t="shared" ref="EA90" si="324">EA28/DV28-1</f>
        <v>7.3723947065422513E-2</v>
      </c>
      <c r="EB90" s="11"/>
      <c r="EC90" s="14" t="s">
        <v>240</v>
      </c>
      <c r="ED90" s="138">
        <f t="shared" si="295"/>
        <v>-0.17127071823204421</v>
      </c>
      <c r="EE90" s="138">
        <v>-0.16823204419889493</v>
      </c>
      <c r="EF90" s="140">
        <f t="shared" si="272"/>
        <v>-3.0386740331492801E-3</v>
      </c>
      <c r="EG90" s="138">
        <f t="shared" si="296"/>
        <v>-4.986876640419946E-2</v>
      </c>
      <c r="EH90" s="399"/>
      <c r="EI90" s="11"/>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row>
    <row r="91" spans="1:259" s="337" customFormat="1" x14ac:dyDescent="0.2">
      <c r="A91" s="431" t="s">
        <v>231</v>
      </c>
      <c r="B91" s="1540" t="s">
        <v>235</v>
      </c>
      <c r="C91" s="1540" t="s">
        <v>235</v>
      </c>
      <c r="D91" s="1540" t="s">
        <v>235</v>
      </c>
      <c r="E91" s="1540" t="s">
        <v>235</v>
      </c>
      <c r="F91" s="1519"/>
      <c r="G91" s="1834">
        <f t="shared" ref="G91:AL91" si="325">G38/B38-1</f>
        <v>-5.1369863013698613E-2</v>
      </c>
      <c r="H91" s="1518">
        <f t="shared" si="325"/>
        <v>-2.0725388601036232E-2</v>
      </c>
      <c r="I91" s="1518">
        <f t="shared" si="325"/>
        <v>0.38238993710691793</v>
      </c>
      <c r="J91" s="1534">
        <f t="shared" si="325"/>
        <v>0.33902439024390252</v>
      </c>
      <c r="K91" s="1519">
        <f t="shared" si="325"/>
        <v>0.15845921450151046</v>
      </c>
      <c r="L91" s="1839">
        <f t="shared" si="325"/>
        <v>0.45848375451263546</v>
      </c>
      <c r="M91" s="1518">
        <f t="shared" si="325"/>
        <v>0.13227513227513232</v>
      </c>
      <c r="N91" s="1518">
        <f t="shared" si="325"/>
        <v>5.5505004549590842E-2</v>
      </c>
      <c r="O91" s="1518">
        <f t="shared" si="325"/>
        <v>0.11111111111111094</v>
      </c>
      <c r="P91" s="1519">
        <f t="shared" si="325"/>
        <v>0.1631242665275785</v>
      </c>
      <c r="Q91" s="1834">
        <f t="shared" si="325"/>
        <v>-1.4851485148514865E-2</v>
      </c>
      <c r="R91" s="1518">
        <f t="shared" si="325"/>
        <v>5.6074766355140193E-2</v>
      </c>
      <c r="S91" s="1518">
        <f t="shared" si="325"/>
        <v>-5.1724137931034475E-2</v>
      </c>
      <c r="T91" s="1518">
        <f t="shared" si="325"/>
        <v>-8.1967213114754189E-3</v>
      </c>
      <c r="U91" s="1519">
        <f t="shared" si="325"/>
        <v>-5.6053811659192432E-3</v>
      </c>
      <c r="V91" s="1834">
        <f t="shared" si="325"/>
        <v>-9.5477386934673336E-2</v>
      </c>
      <c r="W91" s="1518">
        <f t="shared" si="325"/>
        <v>-0.14601769911504425</v>
      </c>
      <c r="X91" s="1518">
        <f t="shared" si="325"/>
        <v>9.0909090909090384E-3</v>
      </c>
      <c r="Y91" s="1518">
        <f t="shared" si="325"/>
        <v>0.21487603305785119</v>
      </c>
      <c r="Z91" s="1519">
        <f t="shared" si="325"/>
        <v>2.2547914317925244E-3</v>
      </c>
      <c r="AA91" s="1518">
        <f t="shared" si="325"/>
        <v>0.19444444444444442</v>
      </c>
      <c r="AB91" s="1518">
        <f t="shared" si="325"/>
        <v>0.20207253886010368</v>
      </c>
      <c r="AC91" s="1518">
        <f t="shared" si="325"/>
        <v>0.14414414414414423</v>
      </c>
      <c r="AD91" s="1518">
        <f t="shared" si="325"/>
        <v>2.7210884353741527E-2</v>
      </c>
      <c r="AE91" s="1519">
        <f t="shared" si="325"/>
        <v>0.12823397075365572</v>
      </c>
      <c r="AF91" s="1834">
        <f t="shared" si="325"/>
        <v>9.302325581395321E-3</v>
      </c>
      <c r="AG91" s="1518">
        <f t="shared" si="325"/>
        <v>0.10775862068965525</v>
      </c>
      <c r="AH91" s="1518">
        <f t="shared" si="325"/>
        <v>7.4803149606299302E-2</v>
      </c>
      <c r="AI91" s="1520">
        <f t="shared" si="325"/>
        <v>8.6092715231788075E-2</v>
      </c>
      <c r="AJ91" s="1519">
        <f t="shared" si="325"/>
        <v>7.1784646061814561E-2</v>
      </c>
      <c r="AK91" s="1518">
        <f t="shared" si="325"/>
        <v>0.1198156682027649</v>
      </c>
      <c r="AL91" s="1518">
        <f t="shared" si="325"/>
        <v>1.5564202334630295E-2</v>
      </c>
      <c r="AM91" s="1518">
        <f t="shared" ref="AM91:BR91" si="326">AM38/AH38-1</f>
        <v>6.5934065934065922E-2</v>
      </c>
      <c r="AN91" s="1518">
        <f t="shared" si="326"/>
        <v>6.0975609756097615E-3</v>
      </c>
      <c r="AO91" s="1519">
        <f t="shared" si="326"/>
        <v>4.6511627906976827E-2</v>
      </c>
      <c r="AP91" s="1518">
        <f t="shared" si="326"/>
        <v>3.292181069958855E-2</v>
      </c>
      <c r="AQ91" s="1518">
        <f t="shared" si="326"/>
        <v>0</v>
      </c>
      <c r="AR91" s="1518">
        <f t="shared" si="326"/>
        <v>5.841924398625431E-2</v>
      </c>
      <c r="AS91" s="1518">
        <f t="shared" si="326"/>
        <v>3.0303030303029388E-3</v>
      </c>
      <c r="AT91" s="1519">
        <f t="shared" si="326"/>
        <v>2.3111111111111082E-2</v>
      </c>
      <c r="AU91" s="1518">
        <f t="shared" si="326"/>
        <v>0.12350597609561742</v>
      </c>
      <c r="AV91" s="1518">
        <f t="shared" si="326"/>
        <v>0.17624521072796928</v>
      </c>
      <c r="AW91" s="1518">
        <f t="shared" si="326"/>
        <v>0.11688311688311681</v>
      </c>
      <c r="AX91" s="1518">
        <f t="shared" si="326"/>
        <v>-6.0422960725075026E-3</v>
      </c>
      <c r="AY91" s="1519">
        <f t="shared" si="326"/>
        <v>9.6437880104257134E-2</v>
      </c>
      <c r="AZ91" s="1518">
        <f t="shared" si="326"/>
        <v>0.12056737588652489</v>
      </c>
      <c r="BA91" s="1518">
        <f t="shared" si="326"/>
        <v>9.7719869706840434E-3</v>
      </c>
      <c r="BB91" s="1518">
        <f t="shared" si="326"/>
        <v>0.16569767441860472</v>
      </c>
      <c r="BC91" s="1518">
        <f t="shared" si="326"/>
        <v>3.0395136778116338E-3</v>
      </c>
      <c r="BD91" s="1519">
        <f t="shared" si="326"/>
        <v>7.5277337559429558E-2</v>
      </c>
      <c r="BE91" s="1518">
        <f t="shared" si="326"/>
        <v>0.34810126582278489</v>
      </c>
      <c r="BF91" s="1518">
        <f t="shared" si="326"/>
        <v>1.6129032258064502E-2</v>
      </c>
      <c r="BG91" s="1518">
        <f t="shared" si="326"/>
        <v>2.4937655860349128E-2</v>
      </c>
      <c r="BH91" s="1518">
        <f t="shared" si="326"/>
        <v>0.10000000000000009</v>
      </c>
      <c r="BI91" s="1519">
        <f t="shared" si="326"/>
        <v>0.1164333087693441</v>
      </c>
      <c r="BJ91" s="1518">
        <f t="shared" si="326"/>
        <v>-0.176056338028169</v>
      </c>
      <c r="BK91" s="1518">
        <f t="shared" si="326"/>
        <v>0.25079365079365079</v>
      </c>
      <c r="BL91" s="1518">
        <f t="shared" si="326"/>
        <v>0.14355231143552305</v>
      </c>
      <c r="BM91" s="1518">
        <f t="shared" si="326"/>
        <v>3.3057851239669311E-2</v>
      </c>
      <c r="BN91" s="1521">
        <f t="shared" si="326"/>
        <v>4.9504950495049549E-2</v>
      </c>
      <c r="BO91" s="1518">
        <f t="shared" si="326"/>
        <v>3.7037037037036979E-2</v>
      </c>
      <c r="BP91" s="1518">
        <f t="shared" si="326"/>
        <v>6.8527918781725816E-2</v>
      </c>
      <c r="BQ91" s="1518">
        <f t="shared" si="326"/>
        <v>0.15744680851063819</v>
      </c>
      <c r="BR91" s="1518">
        <f t="shared" si="326"/>
        <v>0.17333333333333334</v>
      </c>
      <c r="BS91" s="1521">
        <f t="shared" ref="BS91:CX91" si="327">BS38/BN38-1</f>
        <v>0.11257861635220134</v>
      </c>
      <c r="BT91" s="1518">
        <f t="shared" si="327"/>
        <v>0.10164835164835173</v>
      </c>
      <c r="BU91" s="1518">
        <f t="shared" si="327"/>
        <v>-4.7505938242280443E-3</v>
      </c>
      <c r="BV91" s="1518">
        <f t="shared" si="327"/>
        <v>-0.1029411764705882</v>
      </c>
      <c r="BW91" s="1518">
        <f t="shared" si="327"/>
        <v>0.15227272727272734</v>
      </c>
      <c r="BX91" s="1521">
        <f t="shared" si="327"/>
        <v>2.6003391746749482E-2</v>
      </c>
      <c r="BY91" s="1518">
        <f t="shared" si="327"/>
        <v>0.60847880299251877</v>
      </c>
      <c r="BZ91" s="1518">
        <f t="shared" si="327"/>
        <v>0.12887828162291171</v>
      </c>
      <c r="CA91" s="1518">
        <f t="shared" si="327"/>
        <v>0.375</v>
      </c>
      <c r="CB91" s="1518">
        <f t="shared" si="327"/>
        <v>-3.9447731755424265E-3</v>
      </c>
      <c r="CC91" s="1521">
        <f t="shared" si="327"/>
        <v>0.26391184573002757</v>
      </c>
      <c r="CD91" s="1522">
        <f t="shared" si="327"/>
        <v>-0.41344728682170528</v>
      </c>
      <c r="CE91" s="1522">
        <f t="shared" si="327"/>
        <v>-0.25220401691331928</v>
      </c>
      <c r="CF91" s="1522">
        <f t="shared" si="327"/>
        <v>-0.41946721311475421</v>
      </c>
      <c r="CG91" s="1522">
        <f t="shared" si="327"/>
        <v>-0.18925049504950497</v>
      </c>
      <c r="CH91" s="1835">
        <f t="shared" si="327"/>
        <v>-0.3326068003487358</v>
      </c>
      <c r="CI91" s="1522">
        <f t="shared" si="327"/>
        <v>-0.13252442004459175</v>
      </c>
      <c r="CJ91" s="1522">
        <f t="shared" si="327"/>
        <v>-0.10447756974336153</v>
      </c>
      <c r="CK91" s="1522">
        <f t="shared" si="327"/>
        <v>3.5471552803003847E-2</v>
      </c>
      <c r="CL91" s="1522">
        <f t="shared" si="327"/>
        <v>0.14233132280727889</v>
      </c>
      <c r="CM91" s="1523">
        <f t="shared" si="327"/>
        <v>-9.7975179621162534E-3</v>
      </c>
      <c r="CN91" s="1524">
        <f t="shared" si="327"/>
        <v>0.29977695778956703</v>
      </c>
      <c r="CO91" s="1522">
        <f t="shared" si="327"/>
        <v>-0.10729811556638724</v>
      </c>
      <c r="CP91" s="1522">
        <f t="shared" si="327"/>
        <v>-0.19192150834872479</v>
      </c>
      <c r="CQ91" s="1071">
        <f t="shared" si="327"/>
        <v>-0.25593806325809321</v>
      </c>
      <c r="CR91" s="1126">
        <f t="shared" si="327"/>
        <v>-8.7545514511873423E-2</v>
      </c>
      <c r="CS91" s="974">
        <f t="shared" si="327"/>
        <v>-0.18185068188877618</v>
      </c>
      <c r="CT91" s="974">
        <f t="shared" si="327"/>
        <v>0.47118111795618955</v>
      </c>
      <c r="CU91" s="974">
        <f t="shared" si="327"/>
        <v>0.21800624343250696</v>
      </c>
      <c r="CV91" s="16">
        <f t="shared" si="327"/>
        <v>0.49712643678160928</v>
      </c>
      <c r="CW91" s="100">
        <f t="shared" si="327"/>
        <v>0.21667253435852873</v>
      </c>
      <c r="CX91" s="16">
        <f t="shared" si="327"/>
        <v>0.38681948424068757</v>
      </c>
      <c r="CY91" s="16">
        <f t="shared" ref="CY91:DQ91" si="328">CY38/CT38-1</f>
        <v>7.2115384615385469E-3</v>
      </c>
      <c r="CZ91" s="16">
        <f t="shared" si="328"/>
        <v>0.61964735516372804</v>
      </c>
      <c r="DA91" s="16">
        <f t="shared" si="328"/>
        <v>1.3320537428023034</v>
      </c>
      <c r="DB91" s="464">
        <f t="shared" si="328"/>
        <v>0.64052287581699341</v>
      </c>
      <c r="DC91" s="16">
        <f t="shared" si="328"/>
        <v>-0.20870520055490371</v>
      </c>
      <c r="DD91" s="16">
        <f t="shared" si="328"/>
        <v>-3.8093835463301584E-2</v>
      </c>
      <c r="DE91" s="16">
        <f t="shared" si="328"/>
        <v>-0.32020250344296008</v>
      </c>
      <c r="DF91" s="16">
        <f t="shared" si="328"/>
        <v>-0.58288729776534631</v>
      </c>
      <c r="DG91" s="464">
        <f t="shared" si="328"/>
        <v>-0.37344183651807905</v>
      </c>
      <c r="DH91" s="16">
        <f t="shared" si="328"/>
        <v>0.10648800767817335</v>
      </c>
      <c r="DI91" s="16">
        <f t="shared" si="328"/>
        <v>0.10476273831910232</v>
      </c>
      <c r="DJ91" s="16">
        <f t="shared" si="328"/>
        <v>0.10775447837554819</v>
      </c>
      <c r="DK91" s="16">
        <f t="shared" si="328"/>
        <v>0.11207141904889961</v>
      </c>
      <c r="DL91" s="464">
        <f t="shared" si="328"/>
        <v>0.10804175194274457</v>
      </c>
      <c r="DM91" s="16">
        <f t="shared" si="328"/>
        <v>4.2335728780574788E-2</v>
      </c>
      <c r="DN91" s="16">
        <f t="shared" si="328"/>
        <v>5.2886727476383788E-2</v>
      </c>
      <c r="DO91" s="16">
        <f t="shared" si="328"/>
        <v>6.68020993543601E-2</v>
      </c>
      <c r="DP91" s="16">
        <f t="shared" si="328"/>
        <v>8.1896087812887153E-2</v>
      </c>
      <c r="DQ91" s="464">
        <f t="shared" si="328"/>
        <v>6.2598650558691293E-2</v>
      </c>
      <c r="DR91" s="16">
        <f t="shared" ref="DR91:DR92" si="329">DR38/DM38-1</f>
        <v>8.2414405983404881E-2</v>
      </c>
      <c r="DS91" s="16">
        <f t="shared" ref="DS91:DS92" si="330">DS38/DN38-1</f>
        <v>8.0288208987683518E-2</v>
      </c>
      <c r="DT91" s="16">
        <f t="shared" ref="DT91:DT92" si="331">DT38/DO38-1</f>
        <v>8.1656914768693634E-2</v>
      </c>
      <c r="DU91" s="16">
        <f t="shared" ref="DU91:DU92" si="332">DU38/DP38-1</f>
        <v>8.2868305727647362E-2</v>
      </c>
      <c r="DV91" s="464">
        <f t="shared" ref="DV91:DV92" si="333">DV38/DQ38-1</f>
        <v>8.1868797407428362E-2</v>
      </c>
      <c r="DW91" s="16">
        <f t="shared" ref="DW91:DW92" si="334">DW38/DR38-1</f>
        <v>7.6723768927250635E-2</v>
      </c>
      <c r="DX91" s="16">
        <f t="shared" ref="DX91:DX92" si="335">DX38/DS38-1</f>
        <v>7.6373335410646392E-2</v>
      </c>
      <c r="DY91" s="16">
        <f t="shared" ref="DY91:DY92" si="336">DY38/DT38-1</f>
        <v>8.0042618611503746E-2</v>
      </c>
      <c r="DZ91" s="16">
        <f t="shared" ref="DZ91:DZ92" si="337">DZ38/DU38-1</f>
        <v>8.1721808120354122E-2</v>
      </c>
      <c r="EA91" s="464">
        <f t="shared" ref="EA91:EA92" si="338">EA38/DV38-1</f>
        <v>7.8982352410741585E-2</v>
      </c>
      <c r="EB91" s="11"/>
      <c r="EC91" s="14" t="s">
        <v>231</v>
      </c>
      <c r="ED91" s="138">
        <f t="shared" si="295"/>
        <v>1.3320537428023034</v>
      </c>
      <c r="EE91" s="138">
        <v>-0.10351857417837695</v>
      </c>
      <c r="EF91" s="140">
        <f t="shared" si="272"/>
        <v>1.4355723169806804</v>
      </c>
      <c r="EG91" s="138">
        <f t="shared" si="296"/>
        <v>0.49712643678160928</v>
      </c>
      <c r="EH91" s="399"/>
      <c r="EI91" s="1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row>
    <row r="92" spans="1:259" s="337" customFormat="1" x14ac:dyDescent="0.2">
      <c r="A92" s="431" t="s">
        <v>583</v>
      </c>
      <c r="B92" s="1540"/>
      <c r="C92" s="1540"/>
      <c r="D92" s="1540"/>
      <c r="E92" s="1540"/>
      <c r="F92" s="1519"/>
      <c r="G92" s="1834"/>
      <c r="H92" s="1518"/>
      <c r="I92" s="1518"/>
      <c r="J92" s="1534"/>
      <c r="K92" s="1519">
        <f t="shared" ref="K92:AP92" si="339">K39/F39-1</f>
        <v>-7.576832151300239E-2</v>
      </c>
      <c r="L92" s="1839">
        <f t="shared" si="339"/>
        <v>0.45848375451263546</v>
      </c>
      <c r="M92" s="1518">
        <f t="shared" si="339"/>
        <v>0.14285714285714279</v>
      </c>
      <c r="N92" s="1518">
        <f t="shared" si="339"/>
        <v>6.6108007448789863E-2</v>
      </c>
      <c r="O92" s="1518">
        <f t="shared" si="339"/>
        <v>0.1686143572621035</v>
      </c>
      <c r="P92" s="1519">
        <f t="shared" si="339"/>
        <v>0.18557360276250168</v>
      </c>
      <c r="Q92" s="1834">
        <f t="shared" si="339"/>
        <v>4.9504950495049549E-3</v>
      </c>
      <c r="R92" s="1518">
        <f t="shared" si="339"/>
        <v>0.37962962962962954</v>
      </c>
      <c r="S92" s="1518">
        <f t="shared" si="339"/>
        <v>0.36244541484716164</v>
      </c>
      <c r="T92" s="1518">
        <f t="shared" si="339"/>
        <v>-7.1428571428571175E-3</v>
      </c>
      <c r="U92" s="1519">
        <f t="shared" si="339"/>
        <v>0.1769147788565264</v>
      </c>
      <c r="V92" s="1834">
        <f t="shared" si="339"/>
        <v>-0.10344827586206895</v>
      </c>
      <c r="W92" s="1518">
        <f t="shared" si="339"/>
        <v>-0.36577181208053688</v>
      </c>
      <c r="X92" s="1518">
        <f t="shared" si="339"/>
        <v>-0.28846153846153844</v>
      </c>
      <c r="Y92" s="1518">
        <f t="shared" si="339"/>
        <v>2.877697841726623E-2</v>
      </c>
      <c r="Z92" s="1519">
        <f t="shared" si="339"/>
        <v>-0.19431714023831348</v>
      </c>
      <c r="AA92" s="1518">
        <f t="shared" si="339"/>
        <v>0.12087912087912089</v>
      </c>
      <c r="AB92" s="1518">
        <f t="shared" si="339"/>
        <v>0.17989417989418</v>
      </c>
      <c r="AC92" s="1518">
        <f t="shared" si="339"/>
        <v>0.12612612612612617</v>
      </c>
      <c r="AD92" s="1518">
        <f t="shared" si="339"/>
        <v>4.5454545454545414E-2</v>
      </c>
      <c r="AE92" s="1519">
        <f t="shared" si="339"/>
        <v>0.11035267349260525</v>
      </c>
      <c r="AF92" s="1834">
        <f t="shared" si="339"/>
        <v>6.3725490196078427E-2</v>
      </c>
      <c r="AG92" s="1518">
        <f t="shared" si="339"/>
        <v>0.31838565022421528</v>
      </c>
      <c r="AH92" s="1518">
        <f t="shared" si="339"/>
        <v>0.1080000000000001</v>
      </c>
      <c r="AI92" s="1520">
        <f t="shared" si="339"/>
        <v>1.3377926421404673E-2</v>
      </c>
      <c r="AJ92" s="1519">
        <f t="shared" si="339"/>
        <v>0.11782786885245899</v>
      </c>
      <c r="AK92" s="1518">
        <f t="shared" si="339"/>
        <v>0.1198156682027649</v>
      </c>
      <c r="AL92" s="1518">
        <f t="shared" si="339"/>
        <v>-0.15986394557823125</v>
      </c>
      <c r="AM92" s="1518">
        <f t="shared" si="339"/>
        <v>5.0541516245487417E-2</v>
      </c>
      <c r="AN92" s="1518">
        <f t="shared" si="339"/>
        <v>3.630363036303641E-2</v>
      </c>
      <c r="AO92" s="1519">
        <f t="shared" si="339"/>
        <v>3.6663611365719273E-3</v>
      </c>
      <c r="AP92" s="1518">
        <f t="shared" si="339"/>
        <v>3.292181069958855E-2</v>
      </c>
      <c r="AQ92" s="1518">
        <f t="shared" ref="AQ92:BV92" si="340">AQ39/AL39-1</f>
        <v>5.6680161943319929E-2</v>
      </c>
      <c r="AR92" s="1518">
        <f t="shared" si="340"/>
        <v>5.1546391752577359E-2</v>
      </c>
      <c r="AS92" s="1518">
        <f t="shared" si="340"/>
        <v>4.7770700636942776E-2</v>
      </c>
      <c r="AT92" s="1519">
        <f t="shared" si="340"/>
        <v>4.7488584474885798E-2</v>
      </c>
      <c r="AU92" s="1518">
        <f t="shared" si="340"/>
        <v>0.12350597609561742</v>
      </c>
      <c r="AV92" s="1518">
        <f t="shared" si="340"/>
        <v>0.17624521072796928</v>
      </c>
      <c r="AW92" s="1518">
        <f t="shared" si="340"/>
        <v>0.12418300653594772</v>
      </c>
      <c r="AX92" s="1518">
        <f t="shared" si="340"/>
        <v>0</v>
      </c>
      <c r="AY92" s="1519">
        <f t="shared" si="340"/>
        <v>0.10026155187445518</v>
      </c>
      <c r="AZ92" s="1518">
        <f t="shared" si="340"/>
        <v>0.12056737588652489</v>
      </c>
      <c r="BA92" s="1518">
        <f t="shared" si="340"/>
        <v>9.7719869706840434E-3</v>
      </c>
      <c r="BB92" s="1518">
        <f t="shared" si="340"/>
        <v>0.16569767441860472</v>
      </c>
      <c r="BC92" s="1518">
        <f t="shared" si="340"/>
        <v>3.0395136778116338E-3</v>
      </c>
      <c r="BD92" s="1519">
        <f t="shared" si="340"/>
        <v>7.5277337559429558E-2</v>
      </c>
      <c r="BE92" s="1518">
        <f t="shared" si="340"/>
        <v>0.13291139240506333</v>
      </c>
      <c r="BF92" s="1518">
        <f t="shared" si="340"/>
        <v>2.5806451612903292E-2</v>
      </c>
      <c r="BG92" s="1518">
        <f t="shared" si="340"/>
        <v>2.4937655860349128E-2</v>
      </c>
      <c r="BH92" s="1518">
        <f t="shared" si="340"/>
        <v>0.17878787878787872</v>
      </c>
      <c r="BI92" s="1519">
        <f t="shared" si="340"/>
        <v>8.7693441414885775E-2</v>
      </c>
      <c r="BJ92" s="1518">
        <f t="shared" si="340"/>
        <v>2.7932960893854775E-2</v>
      </c>
      <c r="BK92" s="1518">
        <f t="shared" si="340"/>
        <v>5.031446540880502E-2</v>
      </c>
      <c r="BL92" s="1518">
        <f t="shared" si="340"/>
        <v>0.15085158150851585</v>
      </c>
      <c r="BM92" s="1518">
        <f t="shared" si="340"/>
        <v>2.0565552699228773E-2</v>
      </c>
      <c r="BN92" s="1521">
        <f t="shared" si="340"/>
        <v>6.5040650406503975E-2</v>
      </c>
      <c r="BO92" s="1518">
        <f t="shared" si="340"/>
        <v>0.14945652173913038</v>
      </c>
      <c r="BP92" s="1518">
        <f t="shared" si="340"/>
        <v>0.24251497005988032</v>
      </c>
      <c r="BQ92" s="1518">
        <f t="shared" si="340"/>
        <v>0.14587737843551807</v>
      </c>
      <c r="BR92" s="1518">
        <f t="shared" si="340"/>
        <v>2.5188916876574208E-2</v>
      </c>
      <c r="BS92" s="1521">
        <f t="shared" si="340"/>
        <v>0.13676844783715003</v>
      </c>
      <c r="BT92" s="1518">
        <f t="shared" si="340"/>
        <v>0.10165484633569744</v>
      </c>
      <c r="BU92" s="1518">
        <f t="shared" si="340"/>
        <v>2.4096385542168752E-2</v>
      </c>
      <c r="BV92" s="1518">
        <f t="shared" si="340"/>
        <v>-7.7490774907749027E-2</v>
      </c>
      <c r="BW92" s="1518">
        <f t="shared" ref="BW92:DB92" si="341">BW39/BR39-1</f>
        <v>0.31449631449631443</v>
      </c>
      <c r="BX92" s="1521">
        <f t="shared" si="341"/>
        <v>7.7783995523223348E-2</v>
      </c>
      <c r="BY92" s="1518">
        <f t="shared" si="341"/>
        <v>0.12231759656652352</v>
      </c>
      <c r="BZ92" s="1518">
        <f t="shared" si="341"/>
        <v>7.5294117647058734E-2</v>
      </c>
      <c r="CA92" s="1518">
        <f t="shared" si="341"/>
        <v>0.33400000000000007</v>
      </c>
      <c r="CB92" s="1518">
        <f t="shared" si="341"/>
        <v>-2.9906542056074792E-2</v>
      </c>
      <c r="CC92" s="1521">
        <f t="shared" si="341"/>
        <v>0.12461059190031154</v>
      </c>
      <c r="CD92" s="1522">
        <f t="shared" si="341"/>
        <v>-0.30912715105162503</v>
      </c>
      <c r="CE92" s="1522">
        <f t="shared" si="341"/>
        <v>-0.25446936542669585</v>
      </c>
      <c r="CF92" s="1522">
        <f t="shared" si="341"/>
        <v>-0.43697526236881568</v>
      </c>
      <c r="CG92" s="1522">
        <f t="shared" si="341"/>
        <v>-0.21112042389210017</v>
      </c>
      <c r="CH92" s="1835">
        <f t="shared" si="341"/>
        <v>-0.31348107109879964</v>
      </c>
      <c r="CI92" s="1522">
        <f t="shared" si="341"/>
        <v>-9.7245842748871936E-2</v>
      </c>
      <c r="CJ92" s="1522">
        <f t="shared" si="341"/>
        <v>-7.3243177799138692E-2</v>
      </c>
      <c r="CK92" s="1522">
        <f t="shared" si="341"/>
        <v>5.2771028192923675E-2</v>
      </c>
      <c r="CL92" s="1522">
        <f t="shared" si="341"/>
        <v>0.15429922440670341</v>
      </c>
      <c r="CM92" s="1523">
        <f t="shared" si="341"/>
        <v>1.5400134498990914E-2</v>
      </c>
      <c r="CN92" s="1524">
        <f t="shared" si="341"/>
        <v>0.30774642921741746</v>
      </c>
      <c r="CO92" s="1522">
        <f t="shared" si="341"/>
        <v>0.13859884149952695</v>
      </c>
      <c r="CP92" s="1522">
        <f t="shared" si="341"/>
        <v>-0.11929152280861477</v>
      </c>
      <c r="CQ92" s="1071">
        <f t="shared" si="341"/>
        <v>-0.27846416548350295</v>
      </c>
      <c r="CR92" s="1126">
        <f t="shared" si="341"/>
        <v>-2.2928008477382411E-2</v>
      </c>
      <c r="CS92" s="974">
        <f t="shared" si="341"/>
        <v>-0.16075227540453263</v>
      </c>
      <c r="CT92" s="974">
        <f t="shared" si="341"/>
        <v>4.585053238242498E-2</v>
      </c>
      <c r="CU92" s="974">
        <f t="shared" si="341"/>
        <v>0.1688936436023174</v>
      </c>
      <c r="CV92" s="16">
        <f t="shared" si="341"/>
        <v>0.48680351906158359</v>
      </c>
      <c r="CW92" s="100">
        <f t="shared" si="341"/>
        <v>0.117075323277396</v>
      </c>
      <c r="CX92" s="16">
        <f t="shared" si="341"/>
        <v>7.5418994413407825E-2</v>
      </c>
      <c r="CY92" s="16">
        <f t="shared" si="341"/>
        <v>0.16755319148936176</v>
      </c>
      <c r="CZ92" s="16">
        <f t="shared" si="341"/>
        <v>0.11302211302211296</v>
      </c>
      <c r="DA92" s="16">
        <f t="shared" si="341"/>
        <v>-4.7337278106508895E-2</v>
      </c>
      <c r="DB92" s="464">
        <f t="shared" si="341"/>
        <v>6.7961165048543659E-2</v>
      </c>
      <c r="DC92" s="16">
        <f t="shared" ref="DC92:DD92" si="342">DC39/CX39-1</f>
        <v>3.373164397773154E-2</v>
      </c>
      <c r="DD92" s="16">
        <f t="shared" si="342"/>
        <v>-4.7747874849939365E-2</v>
      </c>
      <c r="DE92" s="16">
        <f t="shared" ref="DE92:DQ92" si="343">DE39/CZ39-1</f>
        <v>-1.9651428561221485E-3</v>
      </c>
      <c r="DF92" s="16">
        <f t="shared" si="343"/>
        <v>8.031456152195493E-2</v>
      </c>
      <c r="DG92" s="464">
        <f t="shared" si="343"/>
        <v>1.7004028053172915E-2</v>
      </c>
      <c r="DH92" s="16">
        <f t="shared" si="343"/>
        <v>6.4784802955536014E-2</v>
      </c>
      <c r="DI92" s="16">
        <f t="shared" si="343"/>
        <v>6.5121810933609137E-2</v>
      </c>
      <c r="DJ92" s="16">
        <f t="shared" si="343"/>
        <v>7.1001641934834492E-2</v>
      </c>
      <c r="DK92" s="16">
        <f t="shared" si="343"/>
        <v>8.0102601165973786E-2</v>
      </c>
      <c r="DL92" s="464">
        <f t="shared" si="343"/>
        <v>7.0899174733171311E-2</v>
      </c>
      <c r="DM92" s="16">
        <f t="shared" si="343"/>
        <v>4.2335728780574788E-2</v>
      </c>
      <c r="DN92" s="16">
        <f t="shared" si="343"/>
        <v>5.2886727476383788E-2</v>
      </c>
      <c r="DO92" s="16">
        <f t="shared" si="343"/>
        <v>6.68020993543601E-2</v>
      </c>
      <c r="DP92" s="16">
        <f t="shared" si="343"/>
        <v>8.1896087812887153E-2</v>
      </c>
      <c r="DQ92" s="464">
        <f t="shared" si="343"/>
        <v>6.2598650558691071E-2</v>
      </c>
      <c r="DR92" s="16">
        <f t="shared" si="329"/>
        <v>8.2414405983404881E-2</v>
      </c>
      <c r="DS92" s="16">
        <f t="shared" si="330"/>
        <v>8.0288208987683518E-2</v>
      </c>
      <c r="DT92" s="16">
        <f t="shared" si="331"/>
        <v>8.1656914768693634E-2</v>
      </c>
      <c r="DU92" s="16">
        <f t="shared" si="332"/>
        <v>8.2868305727647362E-2</v>
      </c>
      <c r="DV92" s="464">
        <f t="shared" si="333"/>
        <v>8.1868797407428584E-2</v>
      </c>
      <c r="DW92" s="16">
        <f t="shared" si="334"/>
        <v>7.6723768927250635E-2</v>
      </c>
      <c r="DX92" s="16">
        <f t="shared" si="335"/>
        <v>7.6373335410646392E-2</v>
      </c>
      <c r="DY92" s="16">
        <f t="shared" si="336"/>
        <v>8.0042618611503746E-2</v>
      </c>
      <c r="DZ92" s="16">
        <f t="shared" si="337"/>
        <v>8.1721808120354122E-2</v>
      </c>
      <c r="EA92" s="464">
        <f t="shared" si="338"/>
        <v>7.8982352410741807E-2</v>
      </c>
      <c r="EB92" s="11"/>
      <c r="EC92" s="14" t="s">
        <v>583</v>
      </c>
      <c r="ED92" s="138">
        <f t="shared" si="295"/>
        <v>-4.7337278106508895E-2</v>
      </c>
      <c r="EE92" s="138">
        <v>-4.1288317844052069E-2</v>
      </c>
      <c r="EF92" s="140">
        <f t="shared" si="272"/>
        <v>-6.0489602624568262E-3</v>
      </c>
      <c r="EG92" s="138">
        <f t="shared" si="296"/>
        <v>0.48680351906158359</v>
      </c>
      <c r="EH92" s="399"/>
      <c r="EI92" s="11"/>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row>
    <row r="93" spans="1:259" s="340" customFormat="1" x14ac:dyDescent="0.2">
      <c r="A93" s="684" t="s">
        <v>655</v>
      </c>
      <c r="B93" s="1542"/>
      <c r="C93" s="1542"/>
      <c r="D93" s="1542"/>
      <c r="E93" s="1542"/>
      <c r="F93" s="1526"/>
      <c r="G93" s="1836"/>
      <c r="H93" s="1525"/>
      <c r="I93" s="1525"/>
      <c r="J93" s="1527"/>
      <c r="K93" s="1526"/>
      <c r="L93" s="1837"/>
      <c r="M93" s="1525"/>
      <c r="N93" s="1525"/>
      <c r="O93" s="1525"/>
      <c r="P93" s="1526"/>
      <c r="Q93" s="1836"/>
      <c r="R93" s="1525"/>
      <c r="S93" s="1525"/>
      <c r="T93" s="1525"/>
      <c r="U93" s="1526"/>
      <c r="V93" s="1836"/>
      <c r="W93" s="1525"/>
      <c r="X93" s="1525"/>
      <c r="Y93" s="1525"/>
      <c r="Z93" s="1526"/>
      <c r="AA93" s="1525"/>
      <c r="AB93" s="1525"/>
      <c r="AC93" s="1525"/>
      <c r="AD93" s="1525"/>
      <c r="AE93" s="1526"/>
      <c r="AF93" s="1836"/>
      <c r="AG93" s="1525"/>
      <c r="AH93" s="1525"/>
      <c r="AI93" s="1528"/>
      <c r="AJ93" s="1526"/>
      <c r="AK93" s="1525"/>
      <c r="AL93" s="1525"/>
      <c r="AM93" s="1525"/>
      <c r="AN93" s="1525"/>
      <c r="AO93" s="1526"/>
      <c r="AP93" s="1525"/>
      <c r="AQ93" s="1525"/>
      <c r="AR93" s="1525"/>
      <c r="AS93" s="1525"/>
      <c r="AT93" s="1526"/>
      <c r="AU93" s="1525"/>
      <c r="AV93" s="1525"/>
      <c r="AW93" s="1525"/>
      <c r="AX93" s="1525"/>
      <c r="AY93" s="1526"/>
      <c r="AZ93" s="1525"/>
      <c r="BA93" s="1525"/>
      <c r="BB93" s="1525"/>
      <c r="BC93" s="1525"/>
      <c r="BD93" s="1526"/>
      <c r="BE93" s="1525"/>
      <c r="BF93" s="1525"/>
      <c r="BG93" s="1525"/>
      <c r="BH93" s="1525"/>
      <c r="BI93" s="1526"/>
      <c r="BJ93" s="1525"/>
      <c r="BK93" s="1525"/>
      <c r="BL93" s="1525"/>
      <c r="BM93" s="1525"/>
      <c r="BN93" s="1530"/>
      <c r="BO93" s="1525"/>
      <c r="BP93" s="1525"/>
      <c r="BQ93" s="1525"/>
      <c r="BR93" s="1525"/>
      <c r="BS93" s="1530"/>
      <c r="BT93" s="1525"/>
      <c r="BU93" s="1525"/>
      <c r="BV93" s="1525"/>
      <c r="BW93" s="1525"/>
      <c r="BX93" s="1530"/>
      <c r="BY93" s="1525"/>
      <c r="BZ93" s="1525"/>
      <c r="CA93" s="1525"/>
      <c r="CB93" s="1525"/>
      <c r="CC93" s="1530"/>
      <c r="CD93" s="1531"/>
      <c r="CE93" s="1531"/>
      <c r="CF93" s="1531"/>
      <c r="CG93" s="1531"/>
      <c r="CH93" s="1838"/>
      <c r="CI93" s="1531"/>
      <c r="CJ93" s="1531"/>
      <c r="CK93" s="1531"/>
      <c r="CL93" s="1531"/>
      <c r="CM93" s="1532"/>
      <c r="CN93" s="1531">
        <f t="shared" ref="CN93:DQ93" si="344">CN40/CI39-1</f>
        <v>0.30774642921741746</v>
      </c>
      <c r="CO93" s="1531">
        <f t="shared" si="344"/>
        <v>0.13859884149952695</v>
      </c>
      <c r="CP93" s="1531">
        <f t="shared" si="344"/>
        <v>-0.11929152280861477</v>
      </c>
      <c r="CQ93" s="1043">
        <f t="shared" si="344"/>
        <v>-0.27846416548350295</v>
      </c>
      <c r="CR93" s="1044">
        <f t="shared" si="344"/>
        <v>-2.2928008477382411E-2</v>
      </c>
      <c r="CS93" s="2074">
        <v>0.21</v>
      </c>
      <c r="CT93" s="2074">
        <v>7.0000000000000007E-2</v>
      </c>
      <c r="CU93" s="2074">
        <v>0.11</v>
      </c>
      <c r="CV93" s="103">
        <v>0.27</v>
      </c>
      <c r="CW93" s="104">
        <v>0.13</v>
      </c>
      <c r="CX93" s="103">
        <v>0.09</v>
      </c>
      <c r="CY93" s="103">
        <v>0.19</v>
      </c>
      <c r="CZ93" s="103">
        <f t="shared" si="344"/>
        <v>0.10810810810810811</v>
      </c>
      <c r="DA93" s="103">
        <f t="shared" si="344"/>
        <v>-6.5088757396449703E-2</v>
      </c>
      <c r="DB93" s="104">
        <f t="shared" si="344"/>
        <v>6.7961165048543659E-2</v>
      </c>
      <c r="DC93" s="103">
        <f t="shared" si="344"/>
        <v>6.9046604392013489E-3</v>
      </c>
      <c r="DD93" s="103">
        <f t="shared" si="344"/>
        <v>-6.032869690136522E-2</v>
      </c>
      <c r="DE93" s="103">
        <f t="shared" si="344"/>
        <v>-1.0932717164123362E-2</v>
      </c>
      <c r="DF93" s="103">
        <f t="shared" si="344"/>
        <v>6.6550019653126347E-2</v>
      </c>
      <c r="DG93" s="104">
        <f>DG40/DB39-1</f>
        <v>1.9120084923327507E-3</v>
      </c>
      <c r="DH93" s="103">
        <f t="shared" si="344"/>
        <v>6.4784802955536014E-2</v>
      </c>
      <c r="DI93" s="103">
        <f t="shared" si="344"/>
        <v>6.5121810933609137E-2</v>
      </c>
      <c r="DJ93" s="103">
        <f t="shared" si="344"/>
        <v>7.1001641934834492E-2</v>
      </c>
      <c r="DK93" s="103">
        <f t="shared" si="344"/>
        <v>8.0102601165973786E-2</v>
      </c>
      <c r="DL93" s="104">
        <f t="shared" si="344"/>
        <v>7.0899174733171311E-2</v>
      </c>
      <c r="DM93" s="103">
        <f t="shared" si="344"/>
        <v>4.2335728780574788E-2</v>
      </c>
      <c r="DN93" s="103">
        <f t="shared" si="344"/>
        <v>5.2886727476383788E-2</v>
      </c>
      <c r="DO93" s="103">
        <f t="shared" si="344"/>
        <v>6.68020993543601E-2</v>
      </c>
      <c r="DP93" s="103">
        <f t="shared" si="344"/>
        <v>8.1896087812887153E-2</v>
      </c>
      <c r="DQ93" s="104">
        <f t="shared" si="344"/>
        <v>6.2598650558691071E-2</v>
      </c>
      <c r="DR93" s="103">
        <f t="shared" ref="DR93" si="345">DR40/DM39-1</f>
        <v>8.2414405983404881E-2</v>
      </c>
      <c r="DS93" s="103">
        <f t="shared" ref="DS93" si="346">DS40/DN39-1</f>
        <v>8.0288208987683518E-2</v>
      </c>
      <c r="DT93" s="103">
        <f t="shared" ref="DT93" si="347">DT40/DO39-1</f>
        <v>8.1656914768693634E-2</v>
      </c>
      <c r="DU93" s="103">
        <f t="shared" ref="DU93" si="348">DU40/DP39-1</f>
        <v>8.2868305727647362E-2</v>
      </c>
      <c r="DV93" s="104">
        <f t="shared" ref="DV93" si="349">DV40/DQ39-1</f>
        <v>8.1868797407428584E-2</v>
      </c>
      <c r="DW93" s="103">
        <f t="shared" ref="DW93" si="350">DW40/DR39-1</f>
        <v>7.6723768927250635E-2</v>
      </c>
      <c r="DX93" s="103">
        <f t="shared" ref="DX93" si="351">DX40/DS39-1</f>
        <v>7.6373335410646392E-2</v>
      </c>
      <c r="DY93" s="103">
        <f t="shared" ref="DY93" si="352">DY40/DT39-1</f>
        <v>8.0042618611503746E-2</v>
      </c>
      <c r="DZ93" s="103">
        <f t="shared" ref="DZ93" si="353">DZ40/DU39-1</f>
        <v>8.1721808120354122E-2</v>
      </c>
      <c r="EA93" s="104">
        <f t="shared" ref="EA93" si="354">EA40/DV39-1</f>
        <v>7.8982352410741807E-2</v>
      </c>
      <c r="EB93" s="18"/>
      <c r="EC93" s="26"/>
      <c r="ED93" s="512"/>
      <c r="EE93" s="512"/>
      <c r="EF93" s="698"/>
      <c r="EG93" s="512"/>
      <c r="EH93" s="637"/>
      <c r="EI93" s="18"/>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row>
    <row r="94" spans="1:259" s="933" customFormat="1" hidden="1" outlineLevel="1" x14ac:dyDescent="0.2">
      <c r="A94" s="691" t="s">
        <v>715</v>
      </c>
      <c r="B94" s="1543"/>
      <c r="C94" s="1543"/>
      <c r="D94" s="1543"/>
      <c r="E94" s="1543"/>
      <c r="F94" s="1544"/>
      <c r="G94" s="1842"/>
      <c r="H94" s="1545"/>
      <c r="I94" s="1545"/>
      <c r="J94" s="1546"/>
      <c r="K94" s="1544"/>
      <c r="L94" s="1843"/>
      <c r="M94" s="1545"/>
      <c r="N94" s="1545"/>
      <c r="O94" s="1545"/>
      <c r="P94" s="1544"/>
      <c r="Q94" s="1842"/>
      <c r="R94" s="1545"/>
      <c r="S94" s="1545"/>
      <c r="T94" s="1545"/>
      <c r="U94" s="1544"/>
      <c r="V94" s="1842"/>
      <c r="W94" s="1545"/>
      <c r="X94" s="1545"/>
      <c r="Y94" s="1545"/>
      <c r="Z94" s="1544"/>
      <c r="AA94" s="1545"/>
      <c r="AB94" s="1545"/>
      <c r="AC94" s="1545"/>
      <c r="AD94" s="1545"/>
      <c r="AE94" s="1544"/>
      <c r="AF94" s="1842"/>
      <c r="AG94" s="1545"/>
      <c r="AH94" s="1545"/>
      <c r="AI94" s="1547"/>
      <c r="AJ94" s="1544"/>
      <c r="AK94" s="1545"/>
      <c r="AL94" s="1545"/>
      <c r="AM94" s="1545"/>
      <c r="AN94" s="1545"/>
      <c r="AO94" s="1544"/>
      <c r="AP94" s="1545"/>
      <c r="AQ94" s="1545"/>
      <c r="AR94" s="1545"/>
      <c r="AS94" s="1545"/>
      <c r="AT94" s="1544"/>
      <c r="AU94" s="1545"/>
      <c r="AV94" s="1545"/>
      <c r="AW94" s="1545"/>
      <c r="AX94" s="1545"/>
      <c r="AY94" s="1544"/>
      <c r="AZ94" s="1545"/>
      <c r="BA94" s="1545"/>
      <c r="BB94" s="1545"/>
      <c r="BC94" s="1545"/>
      <c r="BD94" s="1544"/>
      <c r="BE94" s="1545"/>
      <c r="BF94" s="1545"/>
      <c r="BG94" s="1545"/>
      <c r="BH94" s="1545"/>
      <c r="BI94" s="1544"/>
      <c r="BJ94" s="1545"/>
      <c r="BK94" s="1545"/>
      <c r="BL94" s="1545"/>
      <c r="BM94" s="1545"/>
      <c r="BN94" s="1548">
        <v>0.09</v>
      </c>
      <c r="BO94" s="1545">
        <v>0.13</v>
      </c>
      <c r="BP94" s="1545">
        <v>0.21</v>
      </c>
      <c r="BQ94" s="1545">
        <v>0.14000000000000001</v>
      </c>
      <c r="BR94" s="1545">
        <v>0.13</v>
      </c>
      <c r="BS94" s="1548">
        <v>0.15</v>
      </c>
      <c r="BT94" s="1545">
        <v>0.05</v>
      </c>
      <c r="BU94" s="1545">
        <v>-0.02</v>
      </c>
      <c r="BV94" s="1545">
        <v>-0.13653136531365317</v>
      </c>
      <c r="BW94" s="1545">
        <v>0.28255528255528262</v>
      </c>
      <c r="BX94" s="1548">
        <v>0.04</v>
      </c>
      <c r="BY94" s="1545">
        <v>0.15</v>
      </c>
      <c r="BZ94" s="1545">
        <v>7.0000000000000007E-2</v>
      </c>
      <c r="CA94" s="1545">
        <v>0.18</v>
      </c>
      <c r="CB94" s="1545">
        <v>0.06</v>
      </c>
      <c r="CC94" s="1548">
        <v>0.12</v>
      </c>
      <c r="CD94" s="1549">
        <v>-0.14000000000000001</v>
      </c>
      <c r="CE94" s="1549">
        <v>-0.2</v>
      </c>
      <c r="CF94" s="1549">
        <v>-0.09</v>
      </c>
      <c r="CG94" s="1549">
        <v>0.02</v>
      </c>
      <c r="CH94" s="1844">
        <v>-0.1</v>
      </c>
      <c r="CI94" s="1549">
        <v>-8.1986354356005875E-2</v>
      </c>
      <c r="CJ94" s="1549">
        <v>-5.2697695237117093E-2</v>
      </c>
      <c r="CK94" s="1549">
        <v>6.8748127683653681E-2</v>
      </c>
      <c r="CL94" s="1549">
        <v>0.1696964328625743</v>
      </c>
      <c r="CM94" s="1550">
        <v>3.2089921651014874E-2</v>
      </c>
      <c r="CN94" s="1549">
        <v>0.37810716956288304</v>
      </c>
      <c r="CO94" s="1549">
        <v>0.20284031481380893</v>
      </c>
      <c r="CP94" s="1549">
        <v>-7.2885960514704307E-2</v>
      </c>
      <c r="CQ94" s="1131">
        <v>-0.22435107314584934</v>
      </c>
      <c r="CR94" s="1129">
        <v>3.4795031667469889E-2</v>
      </c>
      <c r="CS94" s="2075">
        <v>-0.11186608675548426</v>
      </c>
      <c r="CT94" s="2075">
        <v>7.884718949647862E-2</v>
      </c>
      <c r="CU94" s="2075">
        <v>0.19964462799294491</v>
      </c>
      <c r="CV94" s="1054">
        <v>0.4939748062551772</v>
      </c>
      <c r="CW94" s="152">
        <v>0.14833800405363107</v>
      </c>
      <c r="CX94" s="153">
        <v>8.6654229880533507E-2</v>
      </c>
      <c r="CY94" s="153">
        <v>0.17523212456938619</v>
      </c>
      <c r="CZ94" s="153">
        <v>0.11182220100964613</v>
      </c>
      <c r="DA94" s="153">
        <v>-4.9314249868326665E-2</v>
      </c>
      <c r="DB94" s="626">
        <v>7.1347190534149618E-2</v>
      </c>
      <c r="DC94" s="153">
        <v>6.9046604392013489E-3</v>
      </c>
      <c r="DD94" s="153">
        <v>-6.032869690136522E-2</v>
      </c>
      <c r="DE94" s="153">
        <v>-1.0932717164123362E-2</v>
      </c>
      <c r="DF94" s="153">
        <v>6.6550019653126347E-2</v>
      </c>
      <c r="DG94" s="626">
        <v>1.955476876454032E-3</v>
      </c>
      <c r="DH94" s="153">
        <v>6.4784802955536014E-2</v>
      </c>
      <c r="DI94" s="153">
        <v>6.5121810933609137E-2</v>
      </c>
      <c r="DJ94" s="153">
        <v>7.1001641934834492E-2</v>
      </c>
      <c r="DK94" s="153">
        <v>8.0102601165973786E-2</v>
      </c>
      <c r="DL94" s="626">
        <v>7.0899174733171311E-2</v>
      </c>
      <c r="DM94" s="153">
        <v>4.2335728780574788E-2</v>
      </c>
      <c r="DN94" s="153">
        <v>5.2886727476383788E-2</v>
      </c>
      <c r="DO94" s="153">
        <v>6.68020993543601E-2</v>
      </c>
      <c r="DP94" s="153">
        <v>8.1896087812887153E-2</v>
      </c>
      <c r="DQ94" s="626">
        <v>6.2598650558691071E-2</v>
      </c>
      <c r="DR94" s="153">
        <v>8.2414405983404881E-2</v>
      </c>
      <c r="DS94" s="153">
        <v>8.0288208987683518E-2</v>
      </c>
      <c r="DT94" s="153">
        <v>8.1656914768693634E-2</v>
      </c>
      <c r="DU94" s="153">
        <v>8.2868305727647362E-2</v>
      </c>
      <c r="DV94" s="626">
        <v>8.1868797407428584E-2</v>
      </c>
      <c r="DW94" s="153">
        <v>7.6723768927250635E-2</v>
      </c>
      <c r="DX94" s="153">
        <v>7.6373335410646392E-2</v>
      </c>
      <c r="DY94" s="153">
        <v>8.0042618611503746E-2</v>
      </c>
      <c r="DZ94" s="153">
        <v>8.1721808120354122E-2</v>
      </c>
      <c r="EA94" s="626">
        <v>7.8982352410742029E-2</v>
      </c>
      <c r="EB94" s="137"/>
      <c r="EC94" s="134"/>
      <c r="ED94" s="135">
        <f>DA94</f>
        <v>-4.9314249868326665E-2</v>
      </c>
      <c r="EE94" s="135">
        <v>-4.522863378665487E-2</v>
      </c>
      <c r="EF94" s="136"/>
      <c r="EG94" s="135">
        <f>CV94</f>
        <v>0.4939748062551772</v>
      </c>
      <c r="EH94" s="932"/>
      <c r="EI94" s="137"/>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row>
    <row r="95" spans="1:259" s="933" customFormat="1" hidden="1" outlineLevel="1" x14ac:dyDescent="0.2">
      <c r="A95" s="684" t="s">
        <v>659</v>
      </c>
      <c r="B95" s="1543"/>
      <c r="C95" s="1543"/>
      <c r="D95" s="1543"/>
      <c r="E95" s="1543"/>
      <c r="F95" s="1544"/>
      <c r="G95" s="1842"/>
      <c r="H95" s="1545"/>
      <c r="I95" s="1545"/>
      <c r="J95" s="1546"/>
      <c r="K95" s="1544"/>
      <c r="L95" s="1843"/>
      <c r="M95" s="1545"/>
      <c r="N95" s="1545"/>
      <c r="O95" s="1545"/>
      <c r="P95" s="1544"/>
      <c r="Q95" s="1842"/>
      <c r="R95" s="1545"/>
      <c r="S95" s="1545"/>
      <c r="T95" s="1545"/>
      <c r="U95" s="1544"/>
      <c r="V95" s="1842"/>
      <c r="W95" s="1545"/>
      <c r="X95" s="1545"/>
      <c r="Y95" s="1545"/>
      <c r="Z95" s="1544"/>
      <c r="AA95" s="1545"/>
      <c r="AB95" s="1545"/>
      <c r="AC95" s="1545"/>
      <c r="AD95" s="1545"/>
      <c r="AE95" s="1544"/>
      <c r="AF95" s="1842"/>
      <c r="AG95" s="1545"/>
      <c r="AH95" s="1545"/>
      <c r="AI95" s="1547"/>
      <c r="AJ95" s="1544"/>
      <c r="AK95" s="1545"/>
      <c r="AL95" s="1545"/>
      <c r="AM95" s="1545"/>
      <c r="AN95" s="1545"/>
      <c r="AO95" s="1544"/>
      <c r="AP95" s="1545"/>
      <c r="AQ95" s="1545"/>
      <c r="AR95" s="1545"/>
      <c r="AS95" s="1545"/>
      <c r="AT95" s="1544"/>
      <c r="AU95" s="1545"/>
      <c r="AV95" s="1545"/>
      <c r="AW95" s="1545"/>
      <c r="AX95" s="1545"/>
      <c r="AY95" s="1544"/>
      <c r="AZ95" s="1545"/>
      <c r="BA95" s="1545"/>
      <c r="BB95" s="1545"/>
      <c r="BC95" s="1545"/>
      <c r="BD95" s="1544"/>
      <c r="BE95" s="1545"/>
      <c r="BF95" s="1545"/>
      <c r="BG95" s="1545"/>
      <c r="BH95" s="1545"/>
      <c r="BI95" s="1544"/>
      <c r="BJ95" s="1545"/>
      <c r="BK95" s="1545"/>
      <c r="BL95" s="1545"/>
      <c r="BM95" s="1545"/>
      <c r="BN95" s="1548"/>
      <c r="BO95" s="1545"/>
      <c r="BP95" s="1545"/>
      <c r="BQ95" s="1545"/>
      <c r="BR95" s="1545"/>
      <c r="BS95" s="1548"/>
      <c r="BT95" s="1545"/>
      <c r="BU95" s="1545"/>
      <c r="BV95" s="1545"/>
      <c r="BW95" s="1545"/>
      <c r="BX95" s="1548"/>
      <c r="BY95" s="1545"/>
      <c r="BZ95" s="1545"/>
      <c r="CA95" s="1545"/>
      <c r="CB95" s="1545"/>
      <c r="CC95" s="1548">
        <f t="shared" ref="CC95:DQ95" si="355">CC42/BX42-1</f>
        <v>0.10062646828504307</v>
      </c>
      <c r="CD95" s="1549">
        <f t="shared" si="355"/>
        <v>-0.25669213313161854</v>
      </c>
      <c r="CE95" s="1549">
        <f t="shared" si="355"/>
        <v>-0.14597408026755854</v>
      </c>
      <c r="CF95" s="1549">
        <f t="shared" si="355"/>
        <v>-0.32859547123623023</v>
      </c>
      <c r="CG95" s="1549">
        <f t="shared" si="355"/>
        <v>-0.10553945578231294</v>
      </c>
      <c r="CH95" s="1844">
        <f t="shared" si="355"/>
        <v>-0.21451440768409824</v>
      </c>
      <c r="CI95" s="1549">
        <f t="shared" si="355"/>
        <v>-5.1162516167966299E-2</v>
      </c>
      <c r="CJ95" s="1549">
        <f t="shared" si="355"/>
        <v>-2.9281927522114004E-2</v>
      </c>
      <c r="CK95" s="1549">
        <f t="shared" si="355"/>
        <v>5.0712120866850618E-2</v>
      </c>
      <c r="CL95" s="1549">
        <f t="shared" si="355"/>
        <v>8.0882559852516245E-2</v>
      </c>
      <c r="CM95" s="1550">
        <f t="shared" si="355"/>
        <v>1.8523550724637516E-2</v>
      </c>
      <c r="CN95" s="1549">
        <f t="shared" si="355"/>
        <v>8.1522758767114123E-3</v>
      </c>
      <c r="CO95" s="1549">
        <f t="shared" si="355"/>
        <v>-0.11322016328514994</v>
      </c>
      <c r="CP95" s="1549">
        <f t="shared" si="355"/>
        <v>-0.29062504206227835</v>
      </c>
      <c r="CQ95" s="1131">
        <f t="shared" si="355"/>
        <v>-0.27763331932426449</v>
      </c>
      <c r="CR95" s="1129">
        <f t="shared" si="355"/>
        <v>-0.16213215349726517</v>
      </c>
      <c r="CS95" s="2075">
        <f t="shared" si="355"/>
        <v>-0.11945415920227931</v>
      </c>
      <c r="CT95" s="2075">
        <f t="shared" si="355"/>
        <v>5.3520616701251189E-2</v>
      </c>
      <c r="CU95" s="2075">
        <f t="shared" si="355"/>
        <v>0.14019112834598402</v>
      </c>
      <c r="CV95" s="153">
        <f t="shared" si="355"/>
        <v>0.20555541679224376</v>
      </c>
      <c r="CW95" s="152">
        <f t="shared" si="355"/>
        <v>4.1245971274985083E-2</v>
      </c>
      <c r="CX95" s="153">
        <f t="shared" si="355"/>
        <v>9.9439332613103115E-2</v>
      </c>
      <c r="CY95" s="153">
        <f t="shared" si="355"/>
        <v>8.8194024729352893E-2</v>
      </c>
      <c r="CZ95" s="153">
        <f t="shared" si="355"/>
        <v>0.10045880432680088</v>
      </c>
      <c r="DA95" s="153">
        <f t="shared" si="355"/>
        <v>-0.12577072820922552</v>
      </c>
      <c r="DB95" s="626">
        <f t="shared" si="355"/>
        <v>2.5993883792049033E-2</v>
      </c>
      <c r="DC95" s="153">
        <f t="shared" si="355"/>
        <v>-2.9797507262009248E-2</v>
      </c>
      <c r="DD95" s="153">
        <f t="shared" si="355"/>
        <v>-7.5188104259365174E-2</v>
      </c>
      <c r="DE95" s="153">
        <f t="shared" si="355"/>
        <v>-5.689955833993976E-2</v>
      </c>
      <c r="DF95" s="153">
        <f t="shared" si="355"/>
        <v>4.7768311715483902E-2</v>
      </c>
      <c r="DG95" s="626">
        <f t="shared" si="355"/>
        <v>-2.722279540051975E-2</v>
      </c>
      <c r="DH95" s="153">
        <f t="shared" si="355"/>
        <v>3.8794116897728381E-2</v>
      </c>
      <c r="DI95" s="153">
        <f t="shared" si="355"/>
        <v>3.0183459643705612E-2</v>
      </c>
      <c r="DJ95" s="153">
        <f t="shared" si="355"/>
        <v>7.3500704046401077E-2</v>
      </c>
      <c r="DK95" s="153">
        <f t="shared" si="355"/>
        <v>6.9551693927555114E-2</v>
      </c>
      <c r="DL95" s="626">
        <f t="shared" si="355"/>
        <v>5.4222897861923469E-2</v>
      </c>
      <c r="DM95" s="153">
        <f t="shared" si="355"/>
        <v>2.5334768140513386E-2</v>
      </c>
      <c r="DN95" s="153">
        <f t="shared" si="355"/>
        <v>4.2122280693146941E-2</v>
      </c>
      <c r="DO95" s="153">
        <f t="shared" si="355"/>
        <v>3.6280730792684235E-2</v>
      </c>
      <c r="DP95" s="153">
        <f t="shared" si="355"/>
        <v>7.0063319245783129E-2</v>
      </c>
      <c r="DQ95" s="626">
        <f t="shared" si="355"/>
        <v>4.5129288122992994E-2</v>
      </c>
      <c r="DR95" s="153">
        <f t="shared" ref="DR95" si="356">DR42/DM42-1</f>
        <v>8.2576866265684057E-2</v>
      </c>
      <c r="DS95" s="153">
        <f t="shared" ref="DS95" si="357">DS42/DN42-1</f>
        <v>8.0599175334400419E-2</v>
      </c>
      <c r="DT95" s="153">
        <f t="shared" ref="DT95" si="358">DT42/DO42-1</f>
        <v>8.1761590034643339E-2</v>
      </c>
      <c r="DU95" s="153">
        <f t="shared" ref="DU95" si="359">DU42/DP42-1</f>
        <v>8.2978485079146402E-2</v>
      </c>
      <c r="DV95" s="626">
        <f t="shared" ref="DV95" si="360">DV42/DQ42-1</f>
        <v>8.203556489776398E-2</v>
      </c>
      <c r="DW95" s="153">
        <f t="shared" ref="DW95" si="361">DW42/DR42-1</f>
        <v>7.7208817105772765E-2</v>
      </c>
      <c r="DX95" s="153">
        <f t="shared" ref="DX95" si="362">DX42/DS42-1</f>
        <v>7.7155254126161088E-2</v>
      </c>
      <c r="DY95" s="153">
        <f t="shared" ref="DY95" si="363">DY42/DT42-1</f>
        <v>8.0510316442061303E-2</v>
      </c>
      <c r="DZ95" s="153">
        <f t="shared" ref="DZ95" si="364">DZ42/DU42-1</f>
        <v>8.2579839613289741E-2</v>
      </c>
      <c r="EA95" s="626">
        <f t="shared" ref="EA95" si="365">EA42/DV42-1</f>
        <v>7.9636185998652742E-2</v>
      </c>
      <c r="EB95" s="137"/>
      <c r="EC95" s="134"/>
      <c r="ED95" s="135"/>
      <c r="EE95" s="135"/>
      <c r="EF95" s="136"/>
      <c r="EG95" s="135"/>
      <c r="EH95" s="932"/>
      <c r="EI95" s="137"/>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row>
    <row r="96" spans="1:259" s="337" customFormat="1" collapsed="1" x14ac:dyDescent="0.2">
      <c r="A96" s="431" t="s">
        <v>254</v>
      </c>
      <c r="B96" s="1540" t="s">
        <v>235</v>
      </c>
      <c r="C96" s="1540" t="s">
        <v>235</v>
      </c>
      <c r="D96" s="1540" t="s">
        <v>235</v>
      </c>
      <c r="E96" s="1540" t="s">
        <v>235</v>
      </c>
      <c r="F96" s="1519"/>
      <c r="G96" s="1834">
        <f t="shared" ref="G96:S96" si="366">G45/B45-1</f>
        <v>-0.13124999999999998</v>
      </c>
      <c r="H96" s="1518">
        <f t="shared" si="366"/>
        <v>-5.4263565891472854E-2</v>
      </c>
      <c r="I96" s="1518">
        <f t="shared" si="366"/>
        <v>0.54705882352941138</v>
      </c>
      <c r="J96" s="1534">
        <f t="shared" si="366"/>
        <v>0.91578947368421093</v>
      </c>
      <c r="K96" s="1519">
        <f t="shared" si="366"/>
        <v>0.27551546391752568</v>
      </c>
      <c r="L96" s="1839">
        <f t="shared" si="366"/>
        <v>1.1582733812949639</v>
      </c>
      <c r="M96" s="1518">
        <f t="shared" si="366"/>
        <v>0.33606557377049184</v>
      </c>
      <c r="N96" s="1518">
        <f t="shared" si="366"/>
        <v>0.20405576679340975</v>
      </c>
      <c r="O96" s="1518">
        <f t="shared" si="366"/>
        <v>0.28434065934065922</v>
      </c>
      <c r="P96" s="1519">
        <f t="shared" si="366"/>
        <v>0.39422105475853719</v>
      </c>
      <c r="Q96" s="1834">
        <f t="shared" si="366"/>
        <v>5.3333333333333233E-2</v>
      </c>
      <c r="R96" s="1518">
        <f t="shared" si="366"/>
        <v>0.13496932515337434</v>
      </c>
      <c r="S96" s="1518">
        <f t="shared" si="366"/>
        <v>-4.7368421052631615E-2</v>
      </c>
      <c r="T96" s="1518">
        <f>T45/17*16/O45-1</f>
        <v>-5.8823529411764719E-2</v>
      </c>
      <c r="U96" s="1519">
        <f t="shared" ref="U96:AZ96" si="367">U45/P45-1</f>
        <v>3.0434782608695699E-2</v>
      </c>
      <c r="V96" s="1834">
        <f t="shared" si="367"/>
        <v>-0.10759493670886078</v>
      </c>
      <c r="W96" s="1518">
        <f t="shared" si="367"/>
        <v>-0.15675675675675671</v>
      </c>
      <c r="X96" s="1518">
        <f t="shared" si="367"/>
        <v>2.7624309392265234E-2</v>
      </c>
      <c r="Y96" s="1518">
        <f t="shared" si="367"/>
        <v>0.3262032085561497</v>
      </c>
      <c r="Z96" s="1519">
        <f t="shared" si="367"/>
        <v>2.8129395218002839E-2</v>
      </c>
      <c r="AA96" s="1518">
        <f t="shared" si="367"/>
        <v>0.28368794326241131</v>
      </c>
      <c r="AB96" s="1518">
        <f t="shared" si="367"/>
        <v>0.27564102564102555</v>
      </c>
      <c r="AC96" s="1518">
        <f t="shared" si="367"/>
        <v>0.12365591397849451</v>
      </c>
      <c r="AD96" s="1518">
        <f t="shared" si="367"/>
        <v>-2.4193548387096753E-2</v>
      </c>
      <c r="AE96" s="1519">
        <f t="shared" si="367"/>
        <v>0.13625170998632008</v>
      </c>
      <c r="AF96" s="1834">
        <f t="shared" si="367"/>
        <v>-3.3149171270718258E-2</v>
      </c>
      <c r="AG96" s="1518">
        <f t="shared" si="367"/>
        <v>8.040201005025116E-2</v>
      </c>
      <c r="AH96" s="1518">
        <f t="shared" si="367"/>
        <v>0.11961722488038284</v>
      </c>
      <c r="AI96" s="1520">
        <f t="shared" si="367"/>
        <v>0.14876033057851235</v>
      </c>
      <c r="AJ96" s="1519">
        <f t="shared" si="367"/>
        <v>8.5961955213099017E-2</v>
      </c>
      <c r="AK96" s="1518">
        <f t="shared" si="367"/>
        <v>0.18857142857142861</v>
      </c>
      <c r="AL96" s="1518">
        <f t="shared" si="367"/>
        <v>6.5116279069767469E-2</v>
      </c>
      <c r="AM96" s="1518">
        <f t="shared" si="367"/>
        <v>0.11965811965811968</v>
      </c>
      <c r="AN96" s="1518">
        <f t="shared" si="367"/>
        <v>6.8345323741007213E-2</v>
      </c>
      <c r="AO96" s="1519">
        <f t="shared" si="367"/>
        <v>0.10421286031042132</v>
      </c>
      <c r="AP96" s="1518">
        <f t="shared" si="367"/>
        <v>7.2115384615384581E-2</v>
      </c>
      <c r="AQ96" s="1518">
        <f t="shared" si="367"/>
        <v>8.733624454148492E-3</v>
      </c>
      <c r="AR96" s="1518">
        <f t="shared" si="367"/>
        <v>6.8702290076335881E-2</v>
      </c>
      <c r="AS96" s="1518">
        <f t="shared" si="367"/>
        <v>-2.3569023569023573E-2</v>
      </c>
      <c r="AT96" s="1519">
        <f t="shared" si="367"/>
        <v>2.8112449799196693E-2</v>
      </c>
      <c r="AU96" s="1518">
        <f t="shared" si="367"/>
        <v>0.10762331838565031</v>
      </c>
      <c r="AV96" s="1518">
        <f t="shared" si="367"/>
        <v>0.17316017316017307</v>
      </c>
      <c r="AW96" s="1518">
        <f t="shared" si="367"/>
        <v>0.10714285714285721</v>
      </c>
      <c r="AX96" s="1518">
        <f t="shared" si="367"/>
        <v>-3.4482758620689613E-2</v>
      </c>
      <c r="AY96" s="1519">
        <f t="shared" si="367"/>
        <v>8.203125E-2</v>
      </c>
      <c r="AZ96" s="1518">
        <f t="shared" si="367"/>
        <v>0.13198380566801626</v>
      </c>
      <c r="BA96" s="1518">
        <f t="shared" ref="BA96:CF96" si="368">BA45/AV45-1</f>
        <v>3.6900369003689537E-3</v>
      </c>
      <c r="BB96" s="1518">
        <f t="shared" si="368"/>
        <v>0.17096774193548381</v>
      </c>
      <c r="BC96" s="1518">
        <f t="shared" si="368"/>
        <v>-1.4285714285714235E-2</v>
      </c>
      <c r="BD96" s="1519">
        <f t="shared" si="368"/>
        <v>7.4548736462093812E-2</v>
      </c>
      <c r="BE96" s="1518">
        <f t="shared" si="368"/>
        <v>0.33404864091559361</v>
      </c>
      <c r="BF96" s="1518">
        <f t="shared" si="368"/>
        <v>-3.3088235294117641E-2</v>
      </c>
      <c r="BG96" s="1518">
        <f t="shared" si="368"/>
        <v>2.7548209366390353E-3</v>
      </c>
      <c r="BH96" s="1518">
        <f t="shared" si="368"/>
        <v>4.7101449275362306E-2</v>
      </c>
      <c r="BI96" s="1519">
        <f t="shared" si="368"/>
        <v>8.2647404669914382E-2</v>
      </c>
      <c r="BJ96" s="1518">
        <f t="shared" si="368"/>
        <v>-0.20107238605898126</v>
      </c>
      <c r="BK96" s="1518">
        <f t="shared" si="368"/>
        <v>0.33460076045627374</v>
      </c>
      <c r="BL96" s="1518">
        <f t="shared" si="368"/>
        <v>0.17582417582417587</v>
      </c>
      <c r="BM96" s="1518">
        <f t="shared" si="368"/>
        <v>0.10380622837370246</v>
      </c>
      <c r="BN96" s="1521">
        <f t="shared" si="368"/>
        <v>8.3010085337470896E-2</v>
      </c>
      <c r="BO96" s="1518">
        <f t="shared" si="368"/>
        <v>8.3892617449664364E-2</v>
      </c>
      <c r="BP96" s="1518">
        <f t="shared" si="368"/>
        <v>7.9772079772079785E-2</v>
      </c>
      <c r="BQ96" s="1518">
        <f t="shared" si="368"/>
        <v>0.18224299065420557</v>
      </c>
      <c r="BR96" s="1518">
        <f t="shared" si="368"/>
        <v>0.21003134796238254</v>
      </c>
      <c r="BS96" s="1521">
        <f t="shared" si="368"/>
        <v>0.1418338108882522</v>
      </c>
      <c r="BT96" s="1518">
        <f t="shared" si="368"/>
        <v>0.1083591331269349</v>
      </c>
      <c r="BU96" s="1518">
        <f t="shared" si="368"/>
        <v>1.3192612137203241E-2</v>
      </c>
      <c r="BV96" s="1518">
        <f t="shared" si="368"/>
        <v>-9.8814229249011842E-2</v>
      </c>
      <c r="BW96" s="1518">
        <f t="shared" si="368"/>
        <v>0.19430051813471505</v>
      </c>
      <c r="BX96" s="1521">
        <f t="shared" si="368"/>
        <v>4.0777917189460444E-2</v>
      </c>
      <c r="BY96" s="1518">
        <f t="shared" si="368"/>
        <v>0.6983240223463687</v>
      </c>
      <c r="BZ96" s="1518">
        <f t="shared" si="368"/>
        <v>0.1328125</v>
      </c>
      <c r="CA96" s="1518">
        <f t="shared" si="368"/>
        <v>0.40131578947368429</v>
      </c>
      <c r="CB96" s="1518">
        <f t="shared" si="368"/>
        <v>4.3383947939261702E-3</v>
      </c>
      <c r="CC96" s="1521">
        <f t="shared" si="368"/>
        <v>0.29294755877034362</v>
      </c>
      <c r="CD96" s="1522">
        <f t="shared" si="368"/>
        <v>-0.42873930921052616</v>
      </c>
      <c r="CE96" s="1522">
        <f t="shared" si="368"/>
        <v>-0.26044252873563223</v>
      </c>
      <c r="CF96" s="1522">
        <f t="shared" si="368"/>
        <v>-0.43890845070422546</v>
      </c>
      <c r="CG96" s="1522">
        <f t="shared" ref="CG96:DL96" si="369">CG45/CB45-1</f>
        <v>-0.45695788336933052</v>
      </c>
      <c r="CH96" s="1835">
        <f t="shared" si="369"/>
        <v>-0.40372960372960376</v>
      </c>
      <c r="CI96" s="1522">
        <f t="shared" si="369"/>
        <v>-0.16018789237216358</v>
      </c>
      <c r="CJ96" s="1522">
        <f t="shared" si="369"/>
        <v>-0.1164240808809246</v>
      </c>
      <c r="CK96" s="1522">
        <f t="shared" si="369"/>
        <v>3.7143952864066243E-2</v>
      </c>
      <c r="CL96" s="1522">
        <f t="shared" si="369"/>
        <v>0.68717150203735855</v>
      </c>
      <c r="CM96" s="1523">
        <f t="shared" si="369"/>
        <v>7.2713057075840526E-2</v>
      </c>
      <c r="CN96" s="1524">
        <f t="shared" si="369"/>
        <v>0.33900318489898562</v>
      </c>
      <c r="CO96" s="1522">
        <f t="shared" si="369"/>
        <v>-0.12836100234650072</v>
      </c>
      <c r="CP96" s="1522">
        <f t="shared" si="369"/>
        <v>-0.20952387355286306</v>
      </c>
      <c r="CQ96" s="1071">
        <f t="shared" si="369"/>
        <v>-0.26921780374019033</v>
      </c>
      <c r="CR96" s="1126">
        <f t="shared" si="369"/>
        <v>-9.4547376093294444E-2</v>
      </c>
      <c r="CS96" s="974">
        <f t="shared" si="369"/>
        <v>-0.21141401404348747</v>
      </c>
      <c r="CT96" s="974">
        <f t="shared" si="369"/>
        <v>0.4731641952487422</v>
      </c>
      <c r="CU96" s="974">
        <f t="shared" si="369"/>
        <v>2.060777192818275E-2</v>
      </c>
      <c r="CV96" s="16">
        <f t="shared" si="369"/>
        <v>0.20322580645161281</v>
      </c>
      <c r="CW96" s="100">
        <f t="shared" si="369"/>
        <v>8.3490772216591846E-2</v>
      </c>
      <c r="CX96" s="16">
        <f t="shared" si="369"/>
        <v>0.12662337662337664</v>
      </c>
      <c r="CY96" s="16">
        <f t="shared" si="369"/>
        <v>-0.147945205479452</v>
      </c>
      <c r="CZ96" s="16">
        <f t="shared" si="369"/>
        <v>0.74666666666666659</v>
      </c>
      <c r="DA96" s="16">
        <f t="shared" si="369"/>
        <v>1.9276139410187669</v>
      </c>
      <c r="DB96" s="464">
        <f t="shared" si="369"/>
        <v>0.68945022288261515</v>
      </c>
      <c r="DC96" s="16">
        <f t="shared" si="369"/>
        <v>-0.2089043206350264</v>
      </c>
      <c r="DD96" s="16">
        <f t="shared" si="369"/>
        <v>-5.0581501357353842E-2</v>
      </c>
      <c r="DE96" s="16">
        <f t="shared" si="369"/>
        <v>-0.37148805262755158</v>
      </c>
      <c r="DF96" s="16">
        <f t="shared" si="369"/>
        <v>-0.64483688387898774</v>
      </c>
      <c r="DG96" s="464">
        <f t="shared" si="369"/>
        <v>-0.43405552460650099</v>
      </c>
      <c r="DH96" s="16">
        <f t="shared" si="369"/>
        <v>0.15545769007624699</v>
      </c>
      <c r="DI96" s="16">
        <f t="shared" si="369"/>
        <v>0.14299982112346266</v>
      </c>
      <c r="DJ96" s="16">
        <f t="shared" si="369"/>
        <v>0.143014818123401</v>
      </c>
      <c r="DK96" s="16">
        <f t="shared" si="369"/>
        <v>0.14902817832417914</v>
      </c>
      <c r="DL96" s="464">
        <f t="shared" si="369"/>
        <v>0.14747765112309752</v>
      </c>
      <c r="DM96" s="16">
        <f t="shared" ref="DM96:DQ96" si="370">DM45/DH45-1</f>
        <v>5.9652129418115374E-2</v>
      </c>
      <c r="DN96" s="16">
        <f t="shared" si="370"/>
        <v>7.2711178052347503E-2</v>
      </c>
      <c r="DO96" s="16">
        <f t="shared" si="370"/>
        <v>8.7669069223113461E-2</v>
      </c>
      <c r="DP96" s="16">
        <f t="shared" si="370"/>
        <v>0.10281230064619717</v>
      </c>
      <c r="DQ96" s="464">
        <f t="shared" si="370"/>
        <v>8.2802761719730889E-2</v>
      </c>
      <c r="DR96" s="16">
        <f t="shared" ref="DR96" si="371">DR45/DM45-1</f>
        <v>0.10732319472706586</v>
      </c>
      <c r="DS96" s="16">
        <f t="shared" ref="DS96" si="372">DS45/DN45-1</f>
        <v>0.10304303069033383</v>
      </c>
      <c r="DT96" s="16">
        <f t="shared" ref="DT96" si="373">DT45/DO45-1</f>
        <v>0.1030190197939751</v>
      </c>
      <c r="DU96" s="16">
        <f t="shared" ref="DU96" si="374">DU45/DP45-1</f>
        <v>0.10281431958896103</v>
      </c>
      <c r="DV96" s="464">
        <f t="shared" ref="DV96" si="375">DV45/DQ45-1</f>
        <v>0.10386624948707834</v>
      </c>
      <c r="DW96" s="16">
        <f t="shared" ref="DW96" si="376">DW45/DR45-1</f>
        <v>9.856239646433318E-2</v>
      </c>
      <c r="DX96" s="16">
        <f t="shared" ref="DX96" si="377">DX45/DS45-1</f>
        <v>9.685884625221397E-2</v>
      </c>
      <c r="DY96" s="16">
        <f t="shared" ref="DY96" si="378">DY45/DT45-1</f>
        <v>9.9026690330806133E-2</v>
      </c>
      <c r="DZ96" s="16">
        <f t="shared" ref="DZ96" si="379">DZ45/DU45-1</f>
        <v>9.955804482547026E-2</v>
      </c>
      <c r="EA96" s="464">
        <f t="shared" ref="EA96" si="380">EA45/DV45-1</f>
        <v>9.8601498222192996E-2</v>
      </c>
      <c r="EB96" s="11"/>
      <c r="EC96" s="14" t="s">
        <v>254</v>
      </c>
      <c r="ED96" s="138">
        <f>DA96</f>
        <v>1.9276139410187669</v>
      </c>
      <c r="EE96" s="138">
        <v>-7.1904149683286622E-2</v>
      </c>
      <c r="EF96" s="140">
        <f>ED96-EE96</f>
        <v>1.9995180907020536</v>
      </c>
      <c r="EG96" s="138">
        <f>CV96</f>
        <v>0.20322580645161281</v>
      </c>
      <c r="EH96" s="699"/>
      <c r="EI96" s="11"/>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row>
    <row r="97" spans="1:259" s="337" customFormat="1" x14ac:dyDescent="0.2">
      <c r="A97" s="431" t="s">
        <v>233</v>
      </c>
      <c r="B97" s="1540" t="s">
        <v>235</v>
      </c>
      <c r="C97" s="1540" t="s">
        <v>235</v>
      </c>
      <c r="D97" s="1540" t="s">
        <v>235</v>
      </c>
      <c r="E97" s="1540" t="s">
        <v>235</v>
      </c>
      <c r="F97" s="1519"/>
      <c r="G97" s="1834">
        <f t="shared" ref="G97:AL97" si="381">G49/B49-1</f>
        <v>-0.1071428571428571</v>
      </c>
      <c r="H97" s="1518">
        <f t="shared" si="381"/>
        <v>-0.47297297297297303</v>
      </c>
      <c r="I97" s="1518">
        <f t="shared" si="381"/>
        <v>3.2967032967028409E-3</v>
      </c>
      <c r="J97" s="1534">
        <f t="shared" si="381"/>
        <v>0.92444444444444485</v>
      </c>
      <c r="K97" s="1519">
        <f t="shared" si="381"/>
        <v>5.5335968379446321E-3</v>
      </c>
      <c r="L97" s="1839">
        <f t="shared" si="381"/>
        <v>1.3199999999999998</v>
      </c>
      <c r="M97" s="1518">
        <f t="shared" si="381"/>
        <v>1.4871794871794872</v>
      </c>
      <c r="N97" s="1518">
        <f t="shared" si="381"/>
        <v>0.22672508214676945</v>
      </c>
      <c r="O97" s="1518">
        <f t="shared" si="381"/>
        <v>0.42032332563510355</v>
      </c>
      <c r="P97" s="1519">
        <f t="shared" si="381"/>
        <v>0.64701257861635231</v>
      </c>
      <c r="Q97" s="1834">
        <f t="shared" si="381"/>
        <v>0.10689655172413781</v>
      </c>
      <c r="R97" s="1518">
        <f t="shared" si="381"/>
        <v>0.1649484536082475</v>
      </c>
      <c r="S97" s="1518">
        <f t="shared" si="381"/>
        <v>1.0792778649921786E-3</v>
      </c>
      <c r="T97" s="1518">
        <f t="shared" si="381"/>
        <v>-2.4390243902439046E-2</v>
      </c>
      <c r="U97" s="1519">
        <f t="shared" si="381"/>
        <v>5.3510451362480005E-2</v>
      </c>
      <c r="V97" s="1834">
        <f t="shared" si="381"/>
        <v>-8.6188992731048741E-2</v>
      </c>
      <c r="W97" s="1518">
        <f t="shared" si="381"/>
        <v>-1.7699115044247815E-2</v>
      </c>
      <c r="X97" s="1518">
        <f t="shared" si="381"/>
        <v>0.11486817602665877</v>
      </c>
      <c r="Y97" s="1518">
        <f t="shared" si="381"/>
        <v>0.3666666666666667</v>
      </c>
      <c r="Z97" s="1519">
        <f t="shared" si="381"/>
        <v>0.10552088286328121</v>
      </c>
      <c r="AA97" s="1518">
        <f t="shared" si="381"/>
        <v>0.32386363636363646</v>
      </c>
      <c r="AB97" s="1518">
        <f t="shared" si="381"/>
        <v>0.20720720720720731</v>
      </c>
      <c r="AC97" s="1518">
        <f t="shared" si="381"/>
        <v>0.14399999999999991</v>
      </c>
      <c r="AD97" s="1518">
        <f t="shared" si="381"/>
        <v>3.6585365853658569E-2</v>
      </c>
      <c r="AE97" s="1519">
        <f t="shared" si="381"/>
        <v>0.15901639344262297</v>
      </c>
      <c r="AF97" s="1834">
        <f t="shared" si="381"/>
        <v>1.2875536480686733E-2</v>
      </c>
      <c r="AG97" s="1518">
        <f t="shared" si="381"/>
        <v>8.2089552238805874E-2</v>
      </c>
      <c r="AH97" s="1518">
        <f t="shared" si="381"/>
        <v>0.16083916083916083</v>
      </c>
      <c r="AI97" s="1520">
        <f t="shared" si="381"/>
        <v>0.16764705882352948</v>
      </c>
      <c r="AJ97" s="1519">
        <f t="shared" si="381"/>
        <v>0.10944130127298446</v>
      </c>
      <c r="AK97" s="1518">
        <f t="shared" si="381"/>
        <v>0.20338983050847448</v>
      </c>
      <c r="AL97" s="1518">
        <f t="shared" si="381"/>
        <v>0.16275862068965519</v>
      </c>
      <c r="AM97" s="1518">
        <f t="shared" ref="AM97:BR97" si="382">AM49/AH49-1</f>
        <v>0.1144578313253013</v>
      </c>
      <c r="AN97" s="1518">
        <f t="shared" si="382"/>
        <v>0.13350125944584379</v>
      </c>
      <c r="AO97" s="1519">
        <f t="shared" si="382"/>
        <v>0.14836653386454191</v>
      </c>
      <c r="AP97" s="1518">
        <f t="shared" si="382"/>
        <v>7.7464788732394263E-2</v>
      </c>
      <c r="AQ97" s="1518">
        <f t="shared" si="382"/>
        <v>5.5753262158956041E-2</v>
      </c>
      <c r="AR97" s="1518">
        <f t="shared" si="382"/>
        <v>0.10810810810810811</v>
      </c>
      <c r="AS97" s="1518">
        <f t="shared" si="382"/>
        <v>-4.4444444444444731E-3</v>
      </c>
      <c r="AT97" s="1519">
        <f t="shared" si="382"/>
        <v>5.4676658340272022E-2</v>
      </c>
      <c r="AU97" s="1518">
        <f t="shared" si="382"/>
        <v>0.11111111111111116</v>
      </c>
      <c r="AV97" s="1518">
        <f t="shared" si="382"/>
        <v>7.8651685393258397E-2</v>
      </c>
      <c r="AW97" s="1518">
        <f t="shared" si="382"/>
        <v>0.12195121951219523</v>
      </c>
      <c r="AX97" s="1518">
        <f t="shared" si="382"/>
        <v>3.5714285714285809E-2</v>
      </c>
      <c r="AY97" s="1519">
        <f t="shared" si="382"/>
        <v>8.4210526315789513E-2</v>
      </c>
      <c r="AZ97" s="1518">
        <f t="shared" si="382"/>
        <v>0.13882352941176479</v>
      </c>
      <c r="BA97" s="1518">
        <f t="shared" si="382"/>
        <v>0.11458333333333326</v>
      </c>
      <c r="BB97" s="1518">
        <f t="shared" si="382"/>
        <v>0.17391304347826098</v>
      </c>
      <c r="BC97" s="1518">
        <f t="shared" si="382"/>
        <v>-4.3103448275861878E-3</v>
      </c>
      <c r="BD97" s="1519">
        <f t="shared" si="382"/>
        <v>0.10266990291262124</v>
      </c>
      <c r="BE97" s="1518">
        <f t="shared" si="382"/>
        <v>0.31198347107438007</v>
      </c>
      <c r="BF97" s="1518">
        <f t="shared" si="382"/>
        <v>4.6728971962616717E-2</v>
      </c>
      <c r="BG97" s="1518">
        <f t="shared" si="382"/>
        <v>4.4444444444444509E-2</v>
      </c>
      <c r="BH97" s="1518">
        <f t="shared" si="382"/>
        <v>-0.11255411255411252</v>
      </c>
      <c r="BI97" s="1519">
        <f t="shared" si="382"/>
        <v>6.2073519700638347E-2</v>
      </c>
      <c r="BJ97" s="1518">
        <f t="shared" si="382"/>
        <v>-0.1417322834645669</v>
      </c>
      <c r="BK97" s="1518">
        <f t="shared" si="382"/>
        <v>0.3526785714285714</v>
      </c>
      <c r="BL97" s="1518">
        <f t="shared" si="382"/>
        <v>0.18439716312056742</v>
      </c>
      <c r="BM97" s="1518">
        <f t="shared" si="382"/>
        <v>5.3658536585365901E-2</v>
      </c>
      <c r="BN97" s="1521">
        <f t="shared" si="382"/>
        <v>0.10984455958549222</v>
      </c>
      <c r="BO97" s="1518">
        <f t="shared" si="382"/>
        <v>0.10550458715596323</v>
      </c>
      <c r="BP97" s="1518">
        <f t="shared" si="382"/>
        <v>-5.6105610561056118E-2</v>
      </c>
      <c r="BQ97" s="1518">
        <f t="shared" si="382"/>
        <v>6.8862275449101729E-2</v>
      </c>
      <c r="BR97" s="1518">
        <f t="shared" si="382"/>
        <v>0.2685185185185186</v>
      </c>
      <c r="BS97" s="1521">
        <f t="shared" ref="BS97:CX97" si="383">BS49/BN49-1</f>
        <v>8.1232492997198813E-2</v>
      </c>
      <c r="BT97" s="1518">
        <f t="shared" si="383"/>
        <v>9.543568464730301E-2</v>
      </c>
      <c r="BU97" s="1518">
        <f t="shared" si="383"/>
        <v>0.10489510489510478</v>
      </c>
      <c r="BV97" s="1518">
        <f t="shared" si="383"/>
        <v>7.2829131652661028E-2</v>
      </c>
      <c r="BW97" s="1518">
        <f t="shared" si="383"/>
        <v>0.2992700729927007</v>
      </c>
      <c r="BX97" s="1521">
        <f t="shared" si="383"/>
        <v>0.13903281519861821</v>
      </c>
      <c r="BY97" s="1518">
        <f t="shared" si="383"/>
        <v>0.73484848484848486</v>
      </c>
      <c r="BZ97" s="1518">
        <f t="shared" si="383"/>
        <v>4.7468354430379778E-2</v>
      </c>
      <c r="CA97" s="1518">
        <f t="shared" si="383"/>
        <v>0.22976501305483032</v>
      </c>
      <c r="CB97" s="1518">
        <f t="shared" si="383"/>
        <v>-5.3370786516853896E-2</v>
      </c>
      <c r="CC97" s="1521">
        <f t="shared" si="383"/>
        <v>0.21076573161485967</v>
      </c>
      <c r="CD97" s="1522">
        <f t="shared" si="383"/>
        <v>-0.44943441266375528</v>
      </c>
      <c r="CE97" s="1522">
        <f t="shared" si="383"/>
        <v>-0.29438173716012084</v>
      </c>
      <c r="CF97" s="1522">
        <f t="shared" si="383"/>
        <v>-0.44734984076433137</v>
      </c>
      <c r="CG97" s="1522">
        <f t="shared" si="383"/>
        <v>-0.45834691097922853</v>
      </c>
      <c r="CH97" s="1835">
        <f t="shared" si="383"/>
        <v>-0.41828428303068255</v>
      </c>
      <c r="CI97" s="1522">
        <f t="shared" si="383"/>
        <v>-6.1293694095971851E-2</v>
      </c>
      <c r="CJ97" s="1522">
        <f t="shared" si="383"/>
        <v>-5.79891701753531E-2</v>
      </c>
      <c r="CK97" s="1522">
        <f t="shared" si="383"/>
        <v>0.15891203253498976</v>
      </c>
      <c r="CL97" s="1522">
        <f t="shared" si="383"/>
        <v>0.35105834462980456</v>
      </c>
      <c r="CM97" s="1523">
        <f t="shared" si="383"/>
        <v>8.1808396124865457E-2</v>
      </c>
      <c r="CN97" s="1524">
        <f t="shared" si="383"/>
        <v>0.38017470649329521</v>
      </c>
      <c r="CO97" s="1522">
        <f t="shared" si="383"/>
        <v>-0.22384635115723384</v>
      </c>
      <c r="CP97" s="1522">
        <f t="shared" si="383"/>
        <v>-0.3007340034646967</v>
      </c>
      <c r="CQ97" s="1071">
        <f t="shared" si="383"/>
        <v>-0.15253639369607086</v>
      </c>
      <c r="CR97" s="1126">
        <f t="shared" si="383"/>
        <v>-8.7163800995024965E-2</v>
      </c>
      <c r="CS97" s="974">
        <f t="shared" si="383"/>
        <v>-0.30821665968557288</v>
      </c>
      <c r="CT97" s="974">
        <f t="shared" si="383"/>
        <v>0.56354309405853553</v>
      </c>
      <c r="CU97" s="974">
        <f t="shared" si="383"/>
        <v>2.8716356353034156E-2</v>
      </c>
      <c r="CV97" s="16">
        <f t="shared" si="383"/>
        <v>0.47846889952153115</v>
      </c>
      <c r="CW97" s="100">
        <f t="shared" si="383"/>
        <v>0.11074730533684773</v>
      </c>
      <c r="CX97" s="16">
        <f t="shared" si="383"/>
        <v>0.23893805309734506</v>
      </c>
      <c r="CY97" s="16">
        <f t="shared" ref="CY97:DQ97" si="384">CY49/CT49-1</f>
        <v>-0.22846441947565543</v>
      </c>
      <c r="CZ97" s="16">
        <f t="shared" si="384"/>
        <v>0.92626728110599088</v>
      </c>
      <c r="DA97" s="16">
        <f t="shared" si="384"/>
        <v>0.41100323624595458</v>
      </c>
      <c r="DB97" s="464">
        <f t="shared" si="384"/>
        <v>0.31501472031403344</v>
      </c>
      <c r="DC97" s="16">
        <f t="shared" si="384"/>
        <v>-0.21078317287351822</v>
      </c>
      <c r="DD97" s="16">
        <f t="shared" si="384"/>
        <v>0.15384304964893047</v>
      </c>
      <c r="DE97" s="16">
        <f t="shared" si="384"/>
        <v>-0.36574423530945877</v>
      </c>
      <c r="DF97" s="16">
        <f t="shared" si="384"/>
        <v>-0.28392273197858497</v>
      </c>
      <c r="DG97" s="464">
        <f t="shared" si="384"/>
        <v>-0.22686494155143477</v>
      </c>
      <c r="DH97" s="16">
        <f t="shared" si="384"/>
        <v>0.14828093423726396</v>
      </c>
      <c r="DI97" s="16">
        <f t="shared" si="384"/>
        <v>0.1359004433525095</v>
      </c>
      <c r="DJ97" s="16">
        <f t="shared" si="384"/>
        <v>0.13591534720338005</v>
      </c>
      <c r="DK97" s="16">
        <f t="shared" si="384"/>
        <v>0.14189135734079916</v>
      </c>
      <c r="DL97" s="464">
        <f t="shared" si="384"/>
        <v>0.14035046074345092</v>
      </c>
      <c r="DM97" s="16">
        <f t="shared" si="384"/>
        <v>4.6406477800388979E-2</v>
      </c>
      <c r="DN97" s="16">
        <f t="shared" si="384"/>
        <v>5.9302288326693153E-2</v>
      </c>
      <c r="DO97" s="16">
        <f t="shared" si="384"/>
        <v>7.407320585782462E-2</v>
      </c>
      <c r="DP97" s="16">
        <f t="shared" si="384"/>
        <v>8.9027146888119857E-2</v>
      </c>
      <c r="DQ97" s="464">
        <f t="shared" si="384"/>
        <v>6.9267727198234263E-2</v>
      </c>
      <c r="DR97" s="16">
        <f t="shared" ref="DR97" si="385">DR49/DM49-1</f>
        <v>0.10732319472706564</v>
      </c>
      <c r="DS97" s="16">
        <f t="shared" ref="DS97" si="386">DS49/DN49-1</f>
        <v>0.10304303069033405</v>
      </c>
      <c r="DT97" s="16">
        <f t="shared" ref="DT97" si="387">DT49/DO49-1</f>
        <v>0.10301901979397488</v>
      </c>
      <c r="DU97" s="16">
        <f t="shared" ref="DU97" si="388">DU49/DP49-1</f>
        <v>0.10281431958896103</v>
      </c>
      <c r="DV97" s="464">
        <f t="shared" ref="DV97" si="389">DV49/DQ49-1</f>
        <v>0.10386624948707834</v>
      </c>
      <c r="DW97" s="16">
        <f t="shared" ref="DW97" si="390">DW49/DR49-1</f>
        <v>9.856239646433318E-2</v>
      </c>
      <c r="DX97" s="16">
        <f t="shared" ref="DX97" si="391">DX49/DS49-1</f>
        <v>9.685884625221397E-2</v>
      </c>
      <c r="DY97" s="16">
        <f t="shared" ref="DY97" si="392">DY49/DT49-1</f>
        <v>9.9026690330806133E-2</v>
      </c>
      <c r="DZ97" s="16">
        <f t="shared" ref="DZ97" si="393">DZ49/DU49-1</f>
        <v>9.955804482547026E-2</v>
      </c>
      <c r="EA97" s="464">
        <f t="shared" ref="EA97" si="394">EA49/DV49-1</f>
        <v>9.8601498222192774E-2</v>
      </c>
      <c r="EB97" s="11"/>
      <c r="EC97" s="14" t="s">
        <v>233</v>
      </c>
      <c r="ED97" s="138">
        <f>DA97</f>
        <v>0.41100323624595458</v>
      </c>
      <c r="EE97" s="138">
        <v>-0.17656272542531215</v>
      </c>
      <c r="EF97" s="140">
        <f>ED97-EE97</f>
        <v>0.58756596167126673</v>
      </c>
      <c r="EG97" s="138">
        <f>CV97</f>
        <v>0.47846889952153115</v>
      </c>
      <c r="EH97" s="699"/>
      <c r="EI97" s="11"/>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row>
    <row r="98" spans="1:259" s="340" customFormat="1" ht="13.5" thickBot="1" x14ac:dyDescent="0.25">
      <c r="A98" s="684" t="s">
        <v>475</v>
      </c>
      <c r="B98" s="1542" t="s">
        <v>235</v>
      </c>
      <c r="C98" s="1542" t="s">
        <v>235</v>
      </c>
      <c r="D98" s="1542" t="s">
        <v>235</v>
      </c>
      <c r="E98" s="1542" t="s">
        <v>235</v>
      </c>
      <c r="F98" s="1526"/>
      <c r="G98" s="1836">
        <f t="shared" ref="G98:AL98" si="395">G59/B59-1</f>
        <v>-0.1071428571428571</v>
      </c>
      <c r="H98" s="1525">
        <f t="shared" si="395"/>
        <v>-0.47297297297297303</v>
      </c>
      <c r="I98" s="1525">
        <f t="shared" si="395"/>
        <v>3.2967032967028409E-3</v>
      </c>
      <c r="J98" s="1525">
        <f t="shared" si="395"/>
        <v>0.85136427566807371</v>
      </c>
      <c r="K98" s="1526">
        <f t="shared" si="395"/>
        <v>-2.0249315901489928E-2</v>
      </c>
      <c r="L98" s="1836">
        <f t="shared" si="395"/>
        <v>1.2191304347826089</v>
      </c>
      <c r="M98" s="1525">
        <f t="shared" si="395"/>
        <v>1.3651093282995128</v>
      </c>
      <c r="N98" s="1525">
        <f t="shared" si="395"/>
        <v>0.20372398685651749</v>
      </c>
      <c r="O98" s="1525">
        <f t="shared" si="395"/>
        <v>0.42936997102131458</v>
      </c>
      <c r="P98" s="1526">
        <f t="shared" si="395"/>
        <v>0.60583726415094352</v>
      </c>
      <c r="Q98" s="1525">
        <f t="shared" si="395"/>
        <v>0.18020095912308731</v>
      </c>
      <c r="R98" s="1525">
        <f t="shared" si="395"/>
        <v>0.27440669757143854</v>
      </c>
      <c r="S98" s="1525">
        <f t="shared" si="395"/>
        <v>0.10273793086677285</v>
      </c>
      <c r="T98" s="1525">
        <f t="shared" si="395"/>
        <v>3.4937376400790976E-2</v>
      </c>
      <c r="U98" s="1526">
        <f t="shared" si="395"/>
        <v>0.13653044900461397</v>
      </c>
      <c r="V98" s="1836">
        <f t="shared" si="395"/>
        <v>-7.3923073170391707E-2</v>
      </c>
      <c r="W98" s="1525">
        <f t="shared" si="395"/>
        <v>-3.7086632510479722E-2</v>
      </c>
      <c r="X98" s="1525">
        <f t="shared" si="395"/>
        <v>5.8396095214850785E-2</v>
      </c>
      <c r="Y98" s="1525">
        <f t="shared" si="395"/>
        <v>0.32982686828840668</v>
      </c>
      <c r="Z98" s="1526">
        <f t="shared" si="395"/>
        <v>7.8701091708291981E-2</v>
      </c>
      <c r="AA98" s="1525">
        <f t="shared" si="395"/>
        <v>0.27097733130271795</v>
      </c>
      <c r="AB98" s="1525">
        <f t="shared" si="395"/>
        <v>0.1671256551042839</v>
      </c>
      <c r="AC98" s="1525">
        <f t="shared" si="395"/>
        <v>0.12380096308186195</v>
      </c>
      <c r="AD98" s="1525">
        <f t="shared" si="395"/>
        <v>2.9142520537476901E-2</v>
      </c>
      <c r="AE98" s="1526">
        <f t="shared" si="395"/>
        <v>0.13658381808566888</v>
      </c>
      <c r="AF98" s="1836">
        <f t="shared" si="395"/>
        <v>3.7612430770973981E-2</v>
      </c>
      <c r="AG98" s="1525">
        <f t="shared" si="395"/>
        <v>0.11925078554595436</v>
      </c>
      <c r="AH98" s="1525">
        <f t="shared" si="395"/>
        <v>0.17785471857133084</v>
      </c>
      <c r="AI98" s="1528">
        <f t="shared" si="395"/>
        <v>0.16347010999521738</v>
      </c>
      <c r="AJ98" s="1526">
        <f t="shared" si="395"/>
        <v>0.12948047091830905</v>
      </c>
      <c r="AK98" s="1525">
        <f t="shared" si="395"/>
        <v>0.19549874965268121</v>
      </c>
      <c r="AL98" s="1525">
        <f t="shared" si="395"/>
        <v>0.16088745341277266</v>
      </c>
      <c r="AM98" s="1525">
        <f t="shared" ref="AM98:BR98" si="396">AM59/AH59-1</f>
        <v>0.1217657515307129</v>
      </c>
      <c r="AN98" s="1525">
        <f t="shared" si="396"/>
        <v>0.13534735270227038</v>
      </c>
      <c r="AO98" s="1526">
        <f t="shared" si="396"/>
        <v>0.14508545976390463</v>
      </c>
      <c r="AP98" s="1525">
        <f t="shared" si="396"/>
        <v>8.1009080800592992E-2</v>
      </c>
      <c r="AQ98" s="1525">
        <f t="shared" si="396"/>
        <v>6.4457982764174027E-2</v>
      </c>
      <c r="AR98" s="1525">
        <f t="shared" si="396"/>
        <v>8.987846907309982E-2</v>
      </c>
      <c r="AS98" s="1525">
        <f t="shared" si="396"/>
        <v>4.6697108066971138E-2</v>
      </c>
      <c r="AT98" s="1526">
        <f t="shared" si="396"/>
        <v>8.0769288083941904E-2</v>
      </c>
      <c r="AU98" s="1525">
        <f t="shared" si="396"/>
        <v>0.18104118104118094</v>
      </c>
      <c r="AV98" s="1525">
        <f t="shared" si="396"/>
        <v>0.15926266544044143</v>
      </c>
      <c r="AW98" s="1525">
        <f t="shared" si="396"/>
        <v>0.25602448276493983</v>
      </c>
      <c r="AX98" s="1525">
        <f t="shared" si="396"/>
        <v>8.7872559095580671E-2</v>
      </c>
      <c r="AY98" s="1526">
        <f t="shared" si="396"/>
        <v>0.14572601717058609</v>
      </c>
      <c r="AZ98" s="1525">
        <f t="shared" si="396"/>
        <v>0.18437647058823559</v>
      </c>
      <c r="BA98" s="1525">
        <f t="shared" si="396"/>
        <v>0.14514777574649607</v>
      </c>
      <c r="BB98" s="1525">
        <f t="shared" si="396"/>
        <v>0.20212167483725785</v>
      </c>
      <c r="BC98" s="1525">
        <f t="shared" si="396"/>
        <v>4.8491379310344751E-2</v>
      </c>
      <c r="BD98" s="1526">
        <f t="shared" si="396"/>
        <v>0.14954866033774183</v>
      </c>
      <c r="BE98" s="1525">
        <f t="shared" si="396"/>
        <v>0.19216720779220764</v>
      </c>
      <c r="BF98" s="1525">
        <f t="shared" si="396"/>
        <v>0.16283505793901609</v>
      </c>
      <c r="BG98" s="1525">
        <f t="shared" si="396"/>
        <v>0.16025553274013249</v>
      </c>
      <c r="BH98" s="1525">
        <f t="shared" si="396"/>
        <v>5.457798985982687E-2</v>
      </c>
      <c r="BI98" s="1526">
        <f t="shared" si="396"/>
        <v>0.14119039698100422</v>
      </c>
      <c r="BJ98" s="1525">
        <f t="shared" si="396"/>
        <v>0.13925287611602188</v>
      </c>
      <c r="BK98" s="1525">
        <f t="shared" si="396"/>
        <v>9.2243697086549448E-2</v>
      </c>
      <c r="BL98" s="1525">
        <f t="shared" si="396"/>
        <v>0.21064560941726973</v>
      </c>
      <c r="BM98" s="1525">
        <f t="shared" si="396"/>
        <v>6.8069226104399139E-2</v>
      </c>
      <c r="BN98" s="1530">
        <f t="shared" si="396"/>
        <v>0.13208901434623521</v>
      </c>
      <c r="BO98" s="1525">
        <f t="shared" si="396"/>
        <v>0.19895556656012237</v>
      </c>
      <c r="BP98" s="1525">
        <f t="shared" si="396"/>
        <v>0.17015463917525775</v>
      </c>
      <c r="BQ98" s="1525">
        <f t="shared" si="396"/>
        <v>4.9222168206125572E-2</v>
      </c>
      <c r="BR98" s="1525">
        <f t="shared" si="396"/>
        <v>5.2069757870910172E-2</v>
      </c>
      <c r="BS98" s="1530">
        <f t="shared" ref="BS98:CX98" si="397">BS59/BN59-1</f>
        <v>0.10971415319061961</v>
      </c>
      <c r="BT98" s="1525">
        <f t="shared" si="397"/>
        <v>9.4864848861651474E-2</v>
      </c>
      <c r="BU98" s="1525">
        <f t="shared" si="397"/>
        <v>0.13709630150635954</v>
      </c>
      <c r="BV98" s="1525">
        <f t="shared" si="397"/>
        <v>-8.1384755542058929E-2</v>
      </c>
      <c r="BW98" s="1525">
        <f t="shared" si="397"/>
        <v>0.44360752728267072</v>
      </c>
      <c r="BX98" s="1530">
        <f t="shared" si="397"/>
        <v>0.12616823259231391</v>
      </c>
      <c r="BY98" s="1525">
        <f t="shared" si="397"/>
        <v>0.1434117566362576</v>
      </c>
      <c r="BZ98" s="1525">
        <f t="shared" si="397"/>
        <v>5.1624737945492605E-3</v>
      </c>
      <c r="CA98" s="1525">
        <f t="shared" si="397"/>
        <v>0.46432203389830518</v>
      </c>
      <c r="CB98" s="1525">
        <f t="shared" si="397"/>
        <v>-2.6449041154923525E-2</v>
      </c>
      <c r="CC98" s="1530">
        <f t="shared" si="397"/>
        <v>0.14455420560294141</v>
      </c>
      <c r="CD98" s="1531">
        <f t="shared" si="397"/>
        <v>-0.27725621090316299</v>
      </c>
      <c r="CE98" s="1531">
        <f t="shared" si="397"/>
        <v>-0.25554803474790611</v>
      </c>
      <c r="CF98" s="1531">
        <f t="shared" si="397"/>
        <v>-0.48631936809932808</v>
      </c>
      <c r="CG98" s="1531">
        <f t="shared" si="397"/>
        <v>-0.23126587235077922</v>
      </c>
      <c r="CH98" s="1838">
        <f t="shared" si="397"/>
        <v>-0.32762860030617014</v>
      </c>
      <c r="CI98" s="1531">
        <f t="shared" si="397"/>
        <v>-3.7696839641249147E-3</v>
      </c>
      <c r="CJ98" s="1531">
        <f t="shared" si="397"/>
        <v>-2.7059420753059893E-2</v>
      </c>
      <c r="CK98" s="1531">
        <f t="shared" si="397"/>
        <v>0.30009337274571402</v>
      </c>
      <c r="CL98" s="1531">
        <f t="shared" si="397"/>
        <v>8.5148203044544957E-3</v>
      </c>
      <c r="CM98" s="1532">
        <f t="shared" si="397"/>
        <v>6.0503320437095276E-2</v>
      </c>
      <c r="CN98" s="1533">
        <f t="shared" si="397"/>
        <v>0.41772871657000343</v>
      </c>
      <c r="CO98" s="1531">
        <f t="shared" si="397"/>
        <v>0.14515877684009615</v>
      </c>
      <c r="CP98" s="1531">
        <f t="shared" si="397"/>
        <v>-0.2153687845713308</v>
      </c>
      <c r="CQ98" s="1043">
        <f t="shared" si="397"/>
        <v>-0.14915399767795534</v>
      </c>
      <c r="CR98" s="1958">
        <f t="shared" si="397"/>
        <v>3.3692005066340958E-2</v>
      </c>
      <c r="CS98" s="2074">
        <f t="shared" si="397"/>
        <v>-0.24443758898120116</v>
      </c>
      <c r="CT98" s="2074">
        <f t="shared" si="397"/>
        <v>2.2911764688562153E-2</v>
      </c>
      <c r="CU98" s="2074">
        <f t="shared" si="397"/>
        <v>8.4045920289883558E-2</v>
      </c>
      <c r="CV98" s="103">
        <f t="shared" si="397"/>
        <v>0.66109922030270596</v>
      </c>
      <c r="CW98" s="107">
        <f t="shared" si="397"/>
        <v>7.7555348854319472E-2</v>
      </c>
      <c r="CX98" s="103">
        <f t="shared" si="397"/>
        <v>0.17644908739329357</v>
      </c>
      <c r="CY98" s="103">
        <f t="shared" ref="CY98:DQ98" si="398">CY59/CT59-1</f>
        <v>0.2038031800601634</v>
      </c>
      <c r="CZ98" s="103">
        <f t="shared" si="398"/>
        <v>0.21978919429344357</v>
      </c>
      <c r="DA98" s="103">
        <f t="shared" si="398"/>
        <v>0.19806763285024154</v>
      </c>
      <c r="DB98" s="465">
        <f t="shared" si="398"/>
        <v>0.20218267005685231</v>
      </c>
      <c r="DC98" s="103">
        <f t="shared" si="398"/>
        <v>4.9148027396399563E-2</v>
      </c>
      <c r="DD98" s="103">
        <f t="shared" si="398"/>
        <v>9.9451746825468756E-2</v>
      </c>
      <c r="DE98" s="103">
        <f t="shared" si="398"/>
        <v>0.23118184507269079</v>
      </c>
      <c r="DF98" s="103">
        <f t="shared" si="398"/>
        <v>4.7934098459987418E-2</v>
      </c>
      <c r="DG98" s="465">
        <f t="shared" si="398"/>
        <v>0.10228378243333691</v>
      </c>
      <c r="DH98" s="103">
        <f t="shared" si="398"/>
        <v>0.161892604747091</v>
      </c>
      <c r="DI98" s="103">
        <f t="shared" si="398"/>
        <v>0.14567710573213954</v>
      </c>
      <c r="DJ98" s="103">
        <f t="shared" si="398"/>
        <v>0.14358774817406328</v>
      </c>
      <c r="DK98" s="103">
        <f t="shared" si="398"/>
        <v>0.14905005485363088</v>
      </c>
      <c r="DL98" s="465">
        <f t="shared" si="398"/>
        <v>0.15089124825124633</v>
      </c>
      <c r="DM98" s="103">
        <f t="shared" si="398"/>
        <v>8.6054341442045823E-2</v>
      </c>
      <c r="DN98" s="103">
        <f t="shared" si="398"/>
        <v>9.2057430465624979E-2</v>
      </c>
      <c r="DO98" s="103">
        <f t="shared" si="398"/>
        <v>9.9860449935512019E-2</v>
      </c>
      <c r="DP98" s="103">
        <f t="shared" si="398"/>
        <v>0.1076092650113285</v>
      </c>
      <c r="DQ98" s="465">
        <f t="shared" si="398"/>
        <v>9.8679865696746916E-2</v>
      </c>
      <c r="DR98" s="103">
        <f t="shared" ref="DR98" si="399">DR59/DM59-1</f>
        <v>0.12212797366624151</v>
      </c>
      <c r="DS98" s="103">
        <f t="shared" ref="DS98" si="400">DS59/DN59-1</f>
        <v>0.11733100125920815</v>
      </c>
      <c r="DT98" s="103">
        <f t="shared" ref="DT98" si="401">DT59/DO59-1</f>
        <v>0.1168487423184168</v>
      </c>
      <c r="DU98" s="103">
        <f t="shared" ref="DU98" si="402">DU59/DP59-1</f>
        <v>0.11613280795299241</v>
      </c>
      <c r="DV98" s="465">
        <f t="shared" ref="DV98" si="403">DV59/DQ59-1</f>
        <v>0.11792562975099319</v>
      </c>
      <c r="DW98" s="103">
        <f t="shared" ref="DW98" si="404">DW59/DR59-1</f>
        <v>0.11133338298170647</v>
      </c>
      <c r="DX98" s="103">
        <f t="shared" ref="DX98" si="405">DX59/DS59-1</f>
        <v>0.10917353234480265</v>
      </c>
      <c r="DY98" s="103">
        <f t="shared" ref="DY98" si="406">DY59/DT59-1</f>
        <v>0.11093047299402969</v>
      </c>
      <c r="DZ98" s="103">
        <f t="shared" ref="DZ98" si="407">DZ59/DU59-1</f>
        <v>0.11098846258564765</v>
      </c>
      <c r="EA98" s="465">
        <f t="shared" ref="EA98" si="408">EA59/DV59-1</f>
        <v>0.11070968920579372</v>
      </c>
      <c r="EB98" s="18"/>
      <c r="EC98" s="624" t="s">
        <v>475</v>
      </c>
      <c r="ED98" s="622">
        <f>DA98</f>
        <v>0.19806763285024154</v>
      </c>
      <c r="EE98" s="622">
        <v>-3.318694039101433E-2</v>
      </c>
      <c r="EF98" s="700">
        <f>ED98-EE98</f>
        <v>0.23125457324125587</v>
      </c>
      <c r="EG98" s="622">
        <f>CV98</f>
        <v>0.66109922030270596</v>
      </c>
      <c r="EH98" s="701"/>
      <c r="EI98" s="1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row>
    <row r="99" spans="1:259" s="337" customFormat="1" x14ac:dyDescent="0.2">
      <c r="A99" s="459" t="s">
        <v>436</v>
      </c>
      <c r="B99" s="1552"/>
      <c r="C99" s="1552"/>
      <c r="D99" s="1552"/>
      <c r="E99" s="1552"/>
      <c r="F99" s="1553"/>
      <c r="G99" s="1553"/>
      <c r="H99" s="1553"/>
      <c r="I99" s="1553"/>
      <c r="J99" s="1553"/>
      <c r="K99" s="1553"/>
      <c r="L99" s="1553"/>
      <c r="M99" s="1553"/>
      <c r="N99" s="1553"/>
      <c r="O99" s="1553"/>
      <c r="P99" s="1553"/>
      <c r="Q99" s="1553"/>
      <c r="R99" s="1553"/>
      <c r="S99" s="1553"/>
      <c r="T99" s="1553"/>
      <c r="U99" s="1553"/>
      <c r="V99" s="1516"/>
      <c r="W99" s="1516"/>
      <c r="X99" s="1516"/>
      <c r="Y99" s="1516"/>
      <c r="Z99" s="1516"/>
      <c r="AA99" s="1516"/>
      <c r="AB99" s="1516"/>
      <c r="AC99" s="1516"/>
      <c r="AD99" s="1516"/>
      <c r="AE99" s="1516"/>
      <c r="AF99" s="1516"/>
      <c r="AG99" s="1516"/>
      <c r="AH99" s="1516"/>
      <c r="AI99" s="1516"/>
      <c r="AJ99" s="1516"/>
      <c r="AK99" s="1516"/>
      <c r="AL99" s="1516"/>
      <c r="AM99" s="1516"/>
      <c r="AN99" s="1516"/>
      <c r="AO99" s="1516"/>
      <c r="AP99" s="1516"/>
      <c r="AQ99" s="1516"/>
      <c r="AR99" s="1516"/>
      <c r="AS99" s="1516"/>
      <c r="AT99" s="1516"/>
      <c r="AU99" s="1516"/>
      <c r="AV99" s="1516"/>
      <c r="AW99" s="1516"/>
      <c r="AX99" s="1516"/>
      <c r="AY99" s="1516"/>
      <c r="AZ99" s="1516"/>
      <c r="BA99" s="1516"/>
      <c r="BB99" s="1516"/>
      <c r="BC99" s="1516"/>
      <c r="BD99" s="1538"/>
      <c r="BE99" s="1516"/>
      <c r="BF99" s="1516"/>
      <c r="BG99" s="1516"/>
      <c r="BH99" s="1516"/>
      <c r="BI99" s="1538"/>
      <c r="BJ99" s="1516"/>
      <c r="BK99" s="1516"/>
      <c r="BL99" s="1516"/>
      <c r="BM99" s="1516"/>
      <c r="BN99" s="1517"/>
      <c r="BO99" s="1516"/>
      <c r="BP99" s="1516"/>
      <c r="BQ99" s="1516"/>
      <c r="BR99" s="1516"/>
      <c r="BS99" s="1517"/>
      <c r="BT99" s="1516"/>
      <c r="BU99" s="1516"/>
      <c r="BV99" s="1516"/>
      <c r="BW99" s="1516"/>
      <c r="BX99" s="1517"/>
      <c r="BY99" s="1516"/>
      <c r="BZ99" s="1516"/>
      <c r="CA99" s="1516"/>
      <c r="CB99" s="1516"/>
      <c r="CC99" s="1517"/>
      <c r="CD99" s="1554"/>
      <c r="CE99" s="1554"/>
      <c r="CF99" s="1554"/>
      <c r="CG99" s="1554"/>
      <c r="CH99" s="2009"/>
      <c r="CI99" s="1999"/>
      <c r="CJ99" s="1999"/>
      <c r="CK99" s="1999"/>
      <c r="CL99" s="1999"/>
      <c r="CM99" s="2001"/>
      <c r="CN99" s="2003"/>
      <c r="CO99" s="1999"/>
      <c r="CP99" s="1999"/>
      <c r="CQ99" s="1999"/>
      <c r="CR99" s="2001"/>
      <c r="CS99" s="3"/>
      <c r="CT99" s="3"/>
      <c r="CU99" s="3"/>
      <c r="CV99" s="1160"/>
      <c r="CW99" s="1169"/>
      <c r="CX99" s="3"/>
      <c r="CY99" s="3"/>
      <c r="CZ99" s="3"/>
      <c r="DA99" s="1160"/>
      <c r="DB99" s="1169"/>
      <c r="DC99" s="3"/>
      <c r="DD99" s="3"/>
      <c r="DE99" s="3"/>
      <c r="DF99" s="1160"/>
      <c r="DG99" s="1169"/>
      <c r="DH99" s="3"/>
      <c r="DI99" s="3"/>
      <c r="DJ99" s="3"/>
      <c r="DK99" s="1160"/>
      <c r="DL99" s="1169"/>
      <c r="DM99" s="3"/>
      <c r="DN99" s="3"/>
      <c r="DO99" s="3"/>
      <c r="DP99" s="1160"/>
      <c r="DQ99" s="1169"/>
      <c r="DR99" s="3"/>
      <c r="DS99" s="3"/>
      <c r="DT99" s="3"/>
      <c r="DU99" s="1160"/>
      <c r="DV99" s="1169"/>
      <c r="DW99" s="3"/>
      <c r="DX99" s="3"/>
      <c r="DY99" s="3"/>
      <c r="DZ99" s="1160"/>
      <c r="EA99" s="1169"/>
      <c r="EB99" s="11"/>
      <c r="EC99" s="1159" t="s">
        <v>436</v>
      </c>
      <c r="ED99" s="1216"/>
      <c r="EE99" s="1216"/>
      <c r="EF99" s="1217"/>
      <c r="EG99" s="1216"/>
      <c r="EH99" s="1218"/>
      <c r="EI99" s="11"/>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row>
    <row r="100" spans="1:259" s="337" customFormat="1" ht="12" customHeight="1" x14ac:dyDescent="0.2">
      <c r="A100" s="431" t="s">
        <v>466</v>
      </c>
      <c r="B100" s="1845">
        <v>-0.08</v>
      </c>
      <c r="C100" s="1555">
        <v>-0.05</v>
      </c>
      <c r="D100" s="1555">
        <v>0.03</v>
      </c>
      <c r="E100" s="1556">
        <v>0.05</v>
      </c>
      <c r="F100" s="1557">
        <f>(B100*12/52+C100*12/52+D100*12/52+E100*16/52)</f>
        <v>-7.6923076923076927E-3</v>
      </c>
      <c r="G100" s="1846">
        <v>0.05</v>
      </c>
      <c r="H100" s="1558">
        <v>0.09</v>
      </c>
      <c r="I100" s="1558">
        <v>0.04</v>
      </c>
      <c r="J100" s="1559">
        <v>0.04</v>
      </c>
      <c r="K100" s="1557">
        <f>(G100*12/52+H100*12/52+I100*12/52+J100*16/52)</f>
        <v>5.3846153846153849E-2</v>
      </c>
      <c r="L100" s="1846"/>
      <c r="M100" s="1558"/>
      <c r="N100" s="1558"/>
      <c r="O100" s="1560"/>
      <c r="P100" s="1557"/>
      <c r="Q100" s="1845"/>
      <c r="R100" s="1555"/>
      <c r="S100" s="1555"/>
      <c r="T100" s="1556"/>
      <c r="U100" s="1557"/>
      <c r="V100" s="1846"/>
      <c r="W100" s="1558"/>
      <c r="X100" s="1558"/>
      <c r="Y100" s="1560"/>
      <c r="Z100" s="1557"/>
      <c r="AA100" s="1846"/>
      <c r="AB100" s="1558"/>
      <c r="AC100" s="1558"/>
      <c r="AD100" s="1560"/>
      <c r="AE100" s="1557"/>
      <c r="AF100" s="1846"/>
      <c r="AG100" s="1558"/>
      <c r="AH100" s="1558"/>
      <c r="AI100" s="1560"/>
      <c r="AJ100" s="1557"/>
      <c r="AK100" s="1558"/>
      <c r="AL100" s="1558"/>
      <c r="AM100" s="1558"/>
      <c r="AN100" s="1560"/>
      <c r="AO100" s="1557"/>
      <c r="AP100" s="1558"/>
      <c r="AQ100" s="1558"/>
      <c r="AR100" s="1558"/>
      <c r="AS100" s="1560"/>
      <c r="AT100" s="1557"/>
      <c r="AU100" s="1558"/>
      <c r="AV100" s="1558"/>
      <c r="AW100" s="1558"/>
      <c r="AX100" s="1560"/>
      <c r="AY100" s="1557"/>
      <c r="AZ100" s="1561"/>
      <c r="BA100" s="1558"/>
      <c r="BB100" s="1558"/>
      <c r="BC100" s="1560"/>
      <c r="BD100" s="1557"/>
      <c r="BE100" s="1561"/>
      <c r="BF100" s="1558"/>
      <c r="BG100" s="1561"/>
      <c r="BH100" s="1562"/>
      <c r="BI100" s="1557"/>
      <c r="BJ100" s="1558"/>
      <c r="BK100" s="1558"/>
      <c r="BL100" s="1558"/>
      <c r="BM100" s="1560"/>
      <c r="BN100" s="1563"/>
      <c r="BO100" s="1558"/>
      <c r="BP100" s="1561"/>
      <c r="BQ100" s="1561"/>
      <c r="BR100" s="1560"/>
      <c r="BS100" s="1563"/>
      <c r="BT100" s="1561"/>
      <c r="BU100" s="1561"/>
      <c r="BV100" s="1558"/>
      <c r="BW100" s="1562"/>
      <c r="BX100" s="1563"/>
      <c r="BY100" s="1561"/>
      <c r="BZ100" s="1561"/>
      <c r="CA100" s="1561"/>
      <c r="CB100" s="1562"/>
      <c r="CC100" s="1563"/>
      <c r="CD100" s="1564">
        <v>0.01</v>
      </c>
      <c r="CE100" s="1564">
        <v>0.02</v>
      </c>
      <c r="CF100" s="1564">
        <v>0</v>
      </c>
      <c r="CG100" s="1564">
        <v>0</v>
      </c>
      <c r="CH100" s="1847">
        <v>0.01</v>
      </c>
      <c r="CI100" s="1565">
        <v>0.01</v>
      </c>
      <c r="CJ100" s="1565">
        <v>0.02</v>
      </c>
      <c r="CK100" s="1565">
        <v>0.03</v>
      </c>
      <c r="CL100" s="1565">
        <v>0.04</v>
      </c>
      <c r="CM100" s="1566">
        <v>0.01</v>
      </c>
      <c r="CN100" s="1567">
        <v>0.05</v>
      </c>
      <c r="CO100" s="1565">
        <v>0.03</v>
      </c>
      <c r="CP100" s="1565">
        <v>0.03</v>
      </c>
      <c r="CQ100" s="1082">
        <v>0.03</v>
      </c>
      <c r="CR100" s="1959">
        <v>3.4615384615384617E-2</v>
      </c>
      <c r="CS100" s="2076">
        <v>0.03</v>
      </c>
      <c r="CT100" s="2076">
        <v>0.03</v>
      </c>
      <c r="CU100" s="2076">
        <v>0.02</v>
      </c>
      <c r="CV100" s="1078">
        <v>0.02</v>
      </c>
      <c r="CW100" s="628">
        <v>2.4615384615384619E-2</v>
      </c>
      <c r="CX100" s="128">
        <v>0.02</v>
      </c>
      <c r="CY100" s="128">
        <v>0.03</v>
      </c>
      <c r="CZ100" s="128">
        <v>0.04</v>
      </c>
      <c r="DA100" s="128">
        <v>0.03</v>
      </c>
      <c r="DB100" s="628">
        <v>0.03</v>
      </c>
      <c r="DC100" s="128">
        <v>0.03</v>
      </c>
      <c r="DD100" s="128">
        <v>0.02</v>
      </c>
      <c r="DE100" s="128">
        <v>0.02</v>
      </c>
      <c r="DF100" s="128">
        <v>0.03</v>
      </c>
      <c r="DG100" s="628">
        <v>2.5384615384615387E-2</v>
      </c>
      <c r="DH100" s="109">
        <v>0.02</v>
      </c>
      <c r="DI100" s="109">
        <v>0.02</v>
      </c>
      <c r="DJ100" s="109">
        <v>0.03</v>
      </c>
      <c r="DK100" s="109">
        <v>0.03</v>
      </c>
      <c r="DL100" s="467">
        <v>2.5384615384615387E-2</v>
      </c>
      <c r="DM100" s="109">
        <v>0.02</v>
      </c>
      <c r="DN100" s="109">
        <v>0.02</v>
      </c>
      <c r="DO100" s="109">
        <v>0.02</v>
      </c>
      <c r="DP100" s="109">
        <v>0.02</v>
      </c>
      <c r="DQ100" s="467">
        <v>2.0000000000000004E-2</v>
      </c>
      <c r="DR100" s="109">
        <v>0.02</v>
      </c>
      <c r="DS100" s="109">
        <v>0.02</v>
      </c>
      <c r="DT100" s="109">
        <v>0.02</v>
      </c>
      <c r="DU100" s="109">
        <v>0.02</v>
      </c>
      <c r="DV100" s="467">
        <v>2.0000000000000004E-2</v>
      </c>
      <c r="DW100" s="109">
        <v>0.02</v>
      </c>
      <c r="DX100" s="109">
        <v>0.02</v>
      </c>
      <c r="DY100" s="109">
        <v>0.02</v>
      </c>
      <c r="DZ100" s="109">
        <v>0.02</v>
      </c>
      <c r="EA100" s="467">
        <v>2.0000000000000004E-2</v>
      </c>
      <c r="EB100" s="11"/>
      <c r="EC100" s="1162" t="s">
        <v>241</v>
      </c>
      <c r="ED100" s="138">
        <f t="shared" ref="ED100:ED112" si="409">DA100</f>
        <v>0.03</v>
      </c>
      <c r="EE100" s="138">
        <v>0.04</v>
      </c>
      <c r="EF100" s="808">
        <f t="shared" ref="EF100:EF105" si="410">(ED100-EE100)*10000</f>
        <v>-100.00000000000001</v>
      </c>
      <c r="EG100" s="138">
        <f t="shared" ref="EG100:EG112" si="411">CV100</f>
        <v>0.02</v>
      </c>
      <c r="EH100" s="1219">
        <f t="shared" ref="EH100:EH105" si="412">(ED100-EG100)*10000</f>
        <v>99.999999999999986</v>
      </c>
      <c r="EI100" s="11"/>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row>
    <row r="101" spans="1:259" s="337" customFormat="1" x14ac:dyDescent="0.2">
      <c r="A101" s="431" t="s">
        <v>467</v>
      </c>
      <c r="B101" s="1845">
        <v>0.03</v>
      </c>
      <c r="C101" s="1555">
        <v>0.02</v>
      </c>
      <c r="D101" s="1555">
        <v>0.03</v>
      </c>
      <c r="E101" s="1556">
        <v>0.01</v>
      </c>
      <c r="F101" s="1557">
        <f>+(B101*12/52+C101*12/52+D101*12/52+E101*16/52)</f>
        <v>2.1538461538461538E-2</v>
      </c>
      <c r="G101" s="1846">
        <v>-0.03</v>
      </c>
      <c r="H101" s="1558">
        <v>0.03</v>
      </c>
      <c r="I101" s="1558">
        <v>0.02</v>
      </c>
      <c r="J101" s="1559">
        <v>0.09</v>
      </c>
      <c r="K101" s="1557">
        <f>+(G101*12/52+H101*12/52+I101*12/52+J101*16/52)</f>
        <v>3.2307692307692301E-2</v>
      </c>
      <c r="L101" s="1846"/>
      <c r="M101" s="1558"/>
      <c r="N101" s="1558"/>
      <c r="O101" s="1560"/>
      <c r="P101" s="1557"/>
      <c r="Q101" s="1845"/>
      <c r="R101" s="1555"/>
      <c r="S101" s="1555"/>
      <c r="T101" s="1556"/>
      <c r="U101" s="1557"/>
      <c r="V101" s="1846"/>
      <c r="W101" s="1558"/>
      <c r="X101" s="1558"/>
      <c r="Y101" s="1560"/>
      <c r="Z101" s="1557"/>
      <c r="AA101" s="1846"/>
      <c r="AB101" s="1558"/>
      <c r="AC101" s="1558"/>
      <c r="AD101" s="1560"/>
      <c r="AE101" s="1557"/>
      <c r="AF101" s="1846"/>
      <c r="AG101" s="1558"/>
      <c r="AH101" s="1558"/>
      <c r="AI101" s="1560"/>
      <c r="AJ101" s="1557"/>
      <c r="AK101" s="1558"/>
      <c r="AL101" s="1558"/>
      <c r="AM101" s="1558"/>
      <c r="AN101" s="1560"/>
      <c r="AO101" s="1557"/>
      <c r="AP101" s="1558"/>
      <c r="AQ101" s="1558"/>
      <c r="AR101" s="1558"/>
      <c r="AS101" s="1560"/>
      <c r="AT101" s="1557"/>
      <c r="AU101" s="1558"/>
      <c r="AV101" s="1558"/>
      <c r="AW101" s="1558"/>
      <c r="AX101" s="1560"/>
      <c r="AY101" s="1557"/>
      <c r="AZ101" s="1561"/>
      <c r="BA101" s="1558"/>
      <c r="BB101" s="1558"/>
      <c r="BC101" s="1560"/>
      <c r="BD101" s="1557"/>
      <c r="BE101" s="1561"/>
      <c r="BF101" s="1558"/>
      <c r="BG101" s="1561"/>
      <c r="BH101" s="1562"/>
      <c r="BI101" s="1557"/>
      <c r="BJ101" s="1558"/>
      <c r="BK101" s="1558"/>
      <c r="BL101" s="1558"/>
      <c r="BM101" s="1560"/>
      <c r="BN101" s="1563"/>
      <c r="BO101" s="1558"/>
      <c r="BP101" s="1561"/>
      <c r="BQ101" s="1561"/>
      <c r="BR101" s="1560"/>
      <c r="BS101" s="1563"/>
      <c r="BT101" s="1561"/>
      <c r="BU101" s="1561"/>
      <c r="BV101" s="1558"/>
      <c r="BW101" s="1562"/>
      <c r="BX101" s="1563"/>
      <c r="BY101" s="1561"/>
      <c r="BZ101" s="1561"/>
      <c r="CA101" s="1561"/>
      <c r="CB101" s="1562"/>
      <c r="CC101" s="1563"/>
      <c r="CD101" s="1564">
        <v>-0.01</v>
      </c>
      <c r="CE101" s="1564">
        <v>0</v>
      </c>
      <c r="CF101" s="1564">
        <v>-0.01</v>
      </c>
      <c r="CG101" s="1564">
        <v>-0.02</v>
      </c>
      <c r="CH101" s="1847">
        <v>-0.01</v>
      </c>
      <c r="CI101" s="1565">
        <v>-0.02</v>
      </c>
      <c r="CJ101" s="1565">
        <v>-0.03</v>
      </c>
      <c r="CK101" s="1565">
        <v>-0.01</v>
      </c>
      <c r="CL101" s="1565">
        <v>0</v>
      </c>
      <c r="CM101" s="1566">
        <v>-0.02</v>
      </c>
      <c r="CN101" s="1567">
        <v>0</v>
      </c>
      <c r="CO101" s="1565">
        <v>0</v>
      </c>
      <c r="CP101" s="1565">
        <v>0.01</v>
      </c>
      <c r="CQ101" s="1082">
        <v>0.01</v>
      </c>
      <c r="CR101" s="1959">
        <v>0.01</v>
      </c>
      <c r="CS101" s="2076">
        <v>-0.01</v>
      </c>
      <c r="CT101" s="2076">
        <v>-0.01</v>
      </c>
      <c r="CU101" s="2076">
        <v>-0.01</v>
      </c>
      <c r="CV101" s="1078">
        <v>-0.03</v>
      </c>
      <c r="CW101" s="628">
        <v>-0.02</v>
      </c>
      <c r="CX101" s="128">
        <v>-0.03</v>
      </c>
      <c r="CY101" s="128">
        <v>-0.01</v>
      </c>
      <c r="CZ101" s="128">
        <v>0.01</v>
      </c>
      <c r="DA101" s="128">
        <v>0.01</v>
      </c>
      <c r="DB101" s="628">
        <v>0</v>
      </c>
      <c r="DC101" s="128">
        <v>0.02</v>
      </c>
      <c r="DD101" s="128">
        <v>0.01</v>
      </c>
      <c r="DE101" s="128">
        <v>0</v>
      </c>
      <c r="DF101" s="128">
        <v>0</v>
      </c>
      <c r="DG101" s="628">
        <v>6.9230769230769242E-3</v>
      </c>
      <c r="DH101" s="109">
        <v>0.02</v>
      </c>
      <c r="DI101" s="109">
        <v>0.02</v>
      </c>
      <c r="DJ101" s="109">
        <v>0.02</v>
      </c>
      <c r="DK101" s="109">
        <v>0.02</v>
      </c>
      <c r="DL101" s="467">
        <v>2.0000000000000004E-2</v>
      </c>
      <c r="DM101" s="109">
        <v>0.02</v>
      </c>
      <c r="DN101" s="109">
        <v>0.02</v>
      </c>
      <c r="DO101" s="109">
        <v>0.02</v>
      </c>
      <c r="DP101" s="109">
        <v>0.02</v>
      </c>
      <c r="DQ101" s="467">
        <v>2.0000000000000004E-2</v>
      </c>
      <c r="DR101" s="109">
        <v>0.02</v>
      </c>
      <c r="DS101" s="109">
        <v>0.02</v>
      </c>
      <c r="DT101" s="109">
        <v>0.02</v>
      </c>
      <c r="DU101" s="109">
        <v>0.02</v>
      </c>
      <c r="DV101" s="467">
        <v>2.0000000000000004E-2</v>
      </c>
      <c r="DW101" s="109">
        <v>0.02</v>
      </c>
      <c r="DX101" s="109">
        <v>0.02</v>
      </c>
      <c r="DY101" s="109">
        <v>0.02</v>
      </c>
      <c r="DZ101" s="109">
        <v>0.02</v>
      </c>
      <c r="EA101" s="467">
        <v>2.0000000000000004E-2</v>
      </c>
      <c r="EB101" s="11"/>
      <c r="EC101" s="14" t="s">
        <v>242</v>
      </c>
      <c r="ED101" s="138">
        <f t="shared" si="409"/>
        <v>0.01</v>
      </c>
      <c r="EE101" s="138">
        <v>0.02</v>
      </c>
      <c r="EF101" s="808">
        <f t="shared" si="410"/>
        <v>-100</v>
      </c>
      <c r="EG101" s="138">
        <f t="shared" si="411"/>
        <v>-0.03</v>
      </c>
      <c r="EH101" s="1219">
        <f t="shared" si="412"/>
        <v>400</v>
      </c>
      <c r="EI101" s="1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row>
    <row r="102" spans="1:259" s="337" customFormat="1" x14ac:dyDescent="0.2">
      <c r="A102" s="431" t="s">
        <v>468</v>
      </c>
      <c r="B102" s="1555">
        <v>0.05</v>
      </c>
      <c r="C102" s="1555">
        <v>0.03</v>
      </c>
      <c r="D102" s="1555">
        <v>0.02</v>
      </c>
      <c r="E102" s="1556">
        <v>0.01</v>
      </c>
      <c r="F102" s="1555">
        <f>+(B102*12/52+C102*12/52+D102*12/52+E102*16/52)</f>
        <v>2.6153846153846156E-2</v>
      </c>
      <c r="G102" s="1555">
        <v>0.04</v>
      </c>
      <c r="H102" s="1555">
        <v>-0.01</v>
      </c>
      <c r="I102" s="1555">
        <v>0.05</v>
      </c>
      <c r="J102" s="1556">
        <v>0.04</v>
      </c>
      <c r="K102" s="1568">
        <f>+(G102*12/52+H102*12/52+I102*12/52+J102*16/52)</f>
        <v>3.0769230769230771E-2</v>
      </c>
      <c r="L102" s="1555"/>
      <c r="M102" s="1555"/>
      <c r="N102" s="1555"/>
      <c r="O102" s="1556"/>
      <c r="P102" s="1556"/>
      <c r="Q102" s="1555"/>
      <c r="R102" s="1555"/>
      <c r="S102" s="1555"/>
      <c r="T102" s="1555"/>
      <c r="U102" s="1568"/>
      <c r="V102" s="1555"/>
      <c r="W102" s="1555"/>
      <c r="X102" s="1555"/>
      <c r="Y102" s="1556"/>
      <c r="Z102" s="1568"/>
      <c r="AA102" s="1555"/>
      <c r="AB102" s="1555"/>
      <c r="AC102" s="1555"/>
      <c r="AD102" s="1556"/>
      <c r="AE102" s="1556"/>
      <c r="AF102" s="1555"/>
      <c r="AG102" s="1555"/>
      <c r="AH102" s="1555"/>
      <c r="AI102" s="1556"/>
      <c r="AJ102" s="1556"/>
      <c r="AK102" s="1555"/>
      <c r="AL102" s="1555"/>
      <c r="AM102" s="1555"/>
      <c r="AN102" s="1556"/>
      <c r="AO102" s="1556"/>
      <c r="AP102" s="1555"/>
      <c r="AQ102" s="1555"/>
      <c r="AR102" s="1555"/>
      <c r="AS102" s="1556"/>
      <c r="AT102" s="1556"/>
      <c r="AU102" s="1555"/>
      <c r="AV102" s="1555"/>
      <c r="AW102" s="1555"/>
      <c r="AX102" s="1556"/>
      <c r="AY102" s="1520"/>
      <c r="AZ102" s="1518"/>
      <c r="BA102" s="1518"/>
      <c r="BB102" s="1518"/>
      <c r="BC102" s="1520"/>
      <c r="BD102" s="1520"/>
      <c r="BE102" s="1518"/>
      <c r="BF102" s="1518"/>
      <c r="BG102" s="1518"/>
      <c r="BH102" s="1520"/>
      <c r="BI102" s="1520"/>
      <c r="BJ102" s="1518"/>
      <c r="BK102" s="1518"/>
      <c r="BL102" s="1518"/>
      <c r="BM102" s="1520"/>
      <c r="BN102" s="1519"/>
      <c r="BO102" s="1518"/>
      <c r="BP102" s="1518"/>
      <c r="BQ102" s="1518"/>
      <c r="BR102" s="1520"/>
      <c r="BS102" s="1521"/>
      <c r="BT102" s="1518"/>
      <c r="BU102" s="1518"/>
      <c r="BV102" s="1518"/>
      <c r="BW102" s="1520"/>
      <c r="BX102" s="1569"/>
      <c r="BY102" s="1518"/>
      <c r="BZ102" s="1518"/>
      <c r="CA102" s="1518"/>
      <c r="CB102" s="1520"/>
      <c r="CC102" s="1569"/>
      <c r="CD102" s="1522">
        <v>0.06</v>
      </c>
      <c r="CE102" s="1522">
        <v>0.02</v>
      </c>
      <c r="CF102" s="1522">
        <v>0.02</v>
      </c>
      <c r="CG102" s="1522">
        <v>0.02</v>
      </c>
      <c r="CH102" s="1835">
        <v>0.03</v>
      </c>
      <c r="CI102" s="1570">
        <v>-0.01</v>
      </c>
      <c r="CJ102" s="1522">
        <v>0.02</v>
      </c>
      <c r="CK102" s="1522">
        <v>0.03</v>
      </c>
      <c r="CL102" s="1522">
        <v>0.06</v>
      </c>
      <c r="CM102" s="1523">
        <v>2.7692307692307697E-2</v>
      </c>
      <c r="CN102" s="1524">
        <v>0.06</v>
      </c>
      <c r="CO102" s="1522">
        <v>0.06</v>
      </c>
      <c r="CP102" s="1522">
        <v>0.04</v>
      </c>
      <c r="CQ102" s="1071">
        <v>0.04</v>
      </c>
      <c r="CR102" s="1955">
        <v>0.05</v>
      </c>
      <c r="CS102" s="974">
        <v>0.01</v>
      </c>
      <c r="CT102" s="974">
        <v>-0.01</v>
      </c>
      <c r="CU102" s="974">
        <v>0.03</v>
      </c>
      <c r="CV102" s="1020">
        <v>0.03</v>
      </c>
      <c r="CW102" s="464">
        <v>1.6153846153846154E-2</v>
      </c>
      <c r="CX102" s="16">
        <v>0.08</v>
      </c>
      <c r="CY102" s="16">
        <v>0.04</v>
      </c>
      <c r="CZ102" s="16">
        <v>0.03</v>
      </c>
      <c r="DA102" s="16">
        <v>0.02</v>
      </c>
      <c r="DB102" s="464">
        <v>0.04</v>
      </c>
      <c r="DC102" s="16">
        <v>-0.01</v>
      </c>
      <c r="DD102" s="16">
        <v>0.02</v>
      </c>
      <c r="DE102" s="16">
        <v>2.5000000000000001E-2</v>
      </c>
      <c r="DF102" s="16">
        <v>0.04</v>
      </c>
      <c r="DG102" s="464">
        <v>2.0384615384615386E-2</v>
      </c>
      <c r="DH102" s="16">
        <v>0.04</v>
      </c>
      <c r="DI102" s="16">
        <v>2.5000000000000001E-2</v>
      </c>
      <c r="DJ102" s="16">
        <v>2.5000000000000001E-2</v>
      </c>
      <c r="DK102" s="16">
        <v>0.03</v>
      </c>
      <c r="DL102" s="464">
        <v>0.03</v>
      </c>
      <c r="DM102" s="16">
        <v>2.5000000000000001E-2</v>
      </c>
      <c r="DN102" s="16">
        <v>2.5000000000000001E-2</v>
      </c>
      <c r="DO102" s="16">
        <v>2.5000000000000001E-2</v>
      </c>
      <c r="DP102" s="16">
        <v>2.5000000000000001E-2</v>
      </c>
      <c r="DQ102" s="464">
        <v>2.5000000000000001E-2</v>
      </c>
      <c r="DR102" s="16">
        <v>2.5000000000000001E-2</v>
      </c>
      <c r="DS102" s="16">
        <v>2.5000000000000001E-2</v>
      </c>
      <c r="DT102" s="16">
        <v>2.5000000000000001E-2</v>
      </c>
      <c r="DU102" s="16">
        <v>2.5000000000000001E-2</v>
      </c>
      <c r="DV102" s="464">
        <v>2.5000000000000001E-2</v>
      </c>
      <c r="DW102" s="16">
        <v>2.5000000000000001E-2</v>
      </c>
      <c r="DX102" s="16">
        <v>2.5000000000000001E-2</v>
      </c>
      <c r="DY102" s="16">
        <v>2.5000000000000001E-2</v>
      </c>
      <c r="DZ102" s="16">
        <v>2.5000000000000001E-2</v>
      </c>
      <c r="EA102" s="464">
        <v>2.5000000000000001E-2</v>
      </c>
      <c r="EB102" s="11"/>
      <c r="EC102" s="14" t="s">
        <v>243</v>
      </c>
      <c r="ED102" s="138">
        <f t="shared" si="409"/>
        <v>0.02</v>
      </c>
      <c r="EE102" s="138">
        <v>0.03</v>
      </c>
      <c r="EF102" s="808">
        <f t="shared" si="410"/>
        <v>-99.999999999999986</v>
      </c>
      <c r="EG102" s="138">
        <f t="shared" si="411"/>
        <v>0.03</v>
      </c>
      <c r="EH102" s="1219">
        <f t="shared" si="412"/>
        <v>-99.999999999999986</v>
      </c>
      <c r="EI102" s="11"/>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row>
    <row r="103" spans="1:259" s="337" customFormat="1" hidden="1" outlineLevel="1" x14ac:dyDescent="0.2">
      <c r="A103" s="431" t="s">
        <v>203</v>
      </c>
      <c r="B103" s="1555"/>
      <c r="C103" s="1555"/>
      <c r="D103" s="1555"/>
      <c r="E103" s="1556"/>
      <c r="F103" s="1555"/>
      <c r="G103" s="1555"/>
      <c r="H103" s="1555"/>
      <c r="I103" s="1555"/>
      <c r="J103" s="1556"/>
      <c r="K103" s="1568"/>
      <c r="L103" s="1555"/>
      <c r="M103" s="1555"/>
      <c r="N103" s="1555"/>
      <c r="O103" s="1556"/>
      <c r="P103" s="1556"/>
      <c r="Q103" s="1555"/>
      <c r="R103" s="1555"/>
      <c r="S103" s="1555"/>
      <c r="T103" s="1555"/>
      <c r="U103" s="1568"/>
      <c r="V103" s="1555"/>
      <c r="W103" s="1555"/>
      <c r="X103" s="1555"/>
      <c r="Y103" s="1556"/>
      <c r="Z103" s="1568"/>
      <c r="AA103" s="1555"/>
      <c r="AB103" s="1555"/>
      <c r="AC103" s="1555"/>
      <c r="AD103" s="1556"/>
      <c r="AE103" s="1556"/>
      <c r="AF103" s="1555"/>
      <c r="AG103" s="1555"/>
      <c r="AH103" s="1555"/>
      <c r="AI103" s="1556"/>
      <c r="AJ103" s="1556"/>
      <c r="AK103" s="1555"/>
      <c r="AL103" s="1555"/>
      <c r="AM103" s="1555"/>
      <c r="AN103" s="1556"/>
      <c r="AO103" s="1556"/>
      <c r="AP103" s="1555"/>
      <c r="AQ103" s="1555"/>
      <c r="AR103" s="1555"/>
      <c r="AS103" s="1556"/>
      <c r="AT103" s="1556"/>
      <c r="AU103" s="1555"/>
      <c r="AV103" s="1555"/>
      <c r="AW103" s="1555"/>
      <c r="AX103" s="1556"/>
      <c r="AY103" s="1520">
        <v>0</v>
      </c>
      <c r="AZ103" s="1518">
        <v>-0.06</v>
      </c>
      <c r="BA103" s="1518">
        <v>-0.03</v>
      </c>
      <c r="BB103" s="1518">
        <v>-0.01</v>
      </c>
      <c r="BC103" s="1520">
        <v>-0.01</v>
      </c>
      <c r="BD103" s="1520">
        <v>-0.03</v>
      </c>
      <c r="BE103" s="1518">
        <v>0.03</v>
      </c>
      <c r="BF103" s="1518">
        <v>0.04</v>
      </c>
      <c r="BG103" s="1518">
        <v>0.04</v>
      </c>
      <c r="BH103" s="1520">
        <v>0.03</v>
      </c>
      <c r="BI103" s="1520">
        <v>3.4615384615384617E-2</v>
      </c>
      <c r="BJ103" s="1518">
        <v>-0.02</v>
      </c>
      <c r="BK103" s="1518">
        <v>-0.01</v>
      </c>
      <c r="BL103" s="1518">
        <v>-0.06</v>
      </c>
      <c r="BM103" s="1520">
        <v>-0.08</v>
      </c>
      <c r="BN103" s="1519">
        <v>-0.05</v>
      </c>
      <c r="BO103" s="1518">
        <v>-0.01</v>
      </c>
      <c r="BP103" s="1518">
        <v>0</v>
      </c>
      <c r="BQ103" s="1518">
        <v>0.01</v>
      </c>
      <c r="BR103" s="1520">
        <v>0.05</v>
      </c>
      <c r="BS103" s="1521">
        <v>0.01</v>
      </c>
      <c r="BT103" s="1518">
        <v>-0.01</v>
      </c>
      <c r="BU103" s="1518">
        <v>-0.04</v>
      </c>
      <c r="BV103" s="1518">
        <v>-0.03</v>
      </c>
      <c r="BW103" s="1520">
        <v>0.01</v>
      </c>
      <c r="BX103" s="1569">
        <v>-0.01</v>
      </c>
      <c r="BY103" s="1518">
        <v>0.05</v>
      </c>
      <c r="BZ103" s="1518">
        <v>7.0000000000000007E-2</v>
      </c>
      <c r="CA103" s="1518">
        <v>0.06</v>
      </c>
      <c r="CB103" s="1520">
        <v>0.03</v>
      </c>
      <c r="CC103" s="1569">
        <v>0.05</v>
      </c>
      <c r="CD103" s="1522">
        <v>0.02</v>
      </c>
      <c r="CE103" s="1522">
        <v>0.01</v>
      </c>
      <c r="CF103" s="1522">
        <v>0</v>
      </c>
      <c r="CG103" s="1522">
        <v>-0.02</v>
      </c>
      <c r="CH103" s="1835">
        <v>0</v>
      </c>
      <c r="CI103" s="1522"/>
      <c r="CJ103" s="1522"/>
      <c r="CK103" s="1522"/>
      <c r="CL103" s="1522"/>
      <c r="CM103" s="1523"/>
      <c r="CN103" s="1524"/>
      <c r="CO103" s="1522"/>
      <c r="CP103" s="1522"/>
      <c r="CQ103" s="1071"/>
      <c r="CR103" s="1955"/>
      <c r="CS103" s="974"/>
      <c r="CT103" s="974"/>
      <c r="CU103" s="974"/>
      <c r="CV103" s="1020"/>
      <c r="CW103" s="464"/>
      <c r="CX103" s="16"/>
      <c r="CY103" s="16"/>
      <c r="CZ103" s="16"/>
      <c r="DA103" s="16"/>
      <c r="DB103" s="464"/>
      <c r="DC103" s="16"/>
      <c r="DD103" s="16"/>
      <c r="DE103" s="16"/>
      <c r="DF103" s="16"/>
      <c r="DG103" s="464"/>
      <c r="DH103" s="16"/>
      <c r="DI103" s="16"/>
      <c r="DJ103" s="16"/>
      <c r="DK103" s="16"/>
      <c r="DL103" s="464"/>
      <c r="DM103" s="16"/>
      <c r="DN103" s="16"/>
      <c r="DO103" s="16"/>
      <c r="DP103" s="16"/>
      <c r="DQ103" s="464"/>
      <c r="DR103" s="16"/>
      <c r="DS103" s="16"/>
      <c r="DT103" s="16"/>
      <c r="DU103" s="16"/>
      <c r="DV103" s="464"/>
      <c r="DW103" s="16"/>
      <c r="DX103" s="16"/>
      <c r="DY103" s="16"/>
      <c r="DZ103" s="16"/>
      <c r="EA103" s="464"/>
      <c r="EB103" s="11"/>
      <c r="EC103" s="14" t="s">
        <v>203</v>
      </c>
      <c r="ED103" s="138">
        <f t="shared" si="409"/>
        <v>0</v>
      </c>
      <c r="EE103" s="138">
        <v>0</v>
      </c>
      <c r="EF103" s="808">
        <f t="shared" si="410"/>
        <v>0</v>
      </c>
      <c r="EG103" s="138">
        <f t="shared" si="411"/>
        <v>0</v>
      </c>
      <c r="EH103" s="1219">
        <f t="shared" si="412"/>
        <v>0</v>
      </c>
      <c r="EI103" s="11"/>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row>
    <row r="104" spans="1:259" s="337" customFormat="1" hidden="1" outlineLevel="1" x14ac:dyDescent="0.2">
      <c r="A104" s="431" t="s">
        <v>443</v>
      </c>
      <c r="B104" s="1555"/>
      <c r="C104" s="1555"/>
      <c r="D104" s="1555"/>
      <c r="E104" s="1556"/>
      <c r="F104" s="1555"/>
      <c r="G104" s="1555"/>
      <c r="H104" s="1555"/>
      <c r="I104" s="1555"/>
      <c r="J104" s="1556"/>
      <c r="K104" s="1568"/>
      <c r="L104" s="1555"/>
      <c r="M104" s="1555"/>
      <c r="N104" s="1555"/>
      <c r="O104" s="1556"/>
      <c r="P104" s="1556"/>
      <c r="Q104" s="1555"/>
      <c r="R104" s="1555"/>
      <c r="S104" s="1555"/>
      <c r="T104" s="1555"/>
      <c r="U104" s="1568"/>
      <c r="V104" s="1555"/>
      <c r="W104" s="1555"/>
      <c r="X104" s="1555"/>
      <c r="Y104" s="1556"/>
      <c r="Z104" s="1568"/>
      <c r="AA104" s="1555"/>
      <c r="AB104" s="1555"/>
      <c r="AC104" s="1555"/>
      <c r="AD104" s="1556"/>
      <c r="AE104" s="1556"/>
      <c r="AF104" s="1555"/>
      <c r="AG104" s="1555"/>
      <c r="AH104" s="1555"/>
      <c r="AI104" s="1556"/>
      <c r="AJ104" s="1556"/>
      <c r="AK104" s="1555"/>
      <c r="AL104" s="1555"/>
      <c r="AM104" s="1555"/>
      <c r="AN104" s="1556"/>
      <c r="AO104" s="1556"/>
      <c r="AP104" s="1555"/>
      <c r="AQ104" s="1555"/>
      <c r="AR104" s="1555"/>
      <c r="AS104" s="1556"/>
      <c r="AT104" s="1556"/>
      <c r="AU104" s="1555"/>
      <c r="AV104" s="1555"/>
      <c r="AW104" s="1555"/>
      <c r="AX104" s="1556"/>
      <c r="AY104" s="1520">
        <v>0</v>
      </c>
      <c r="AZ104" s="1518">
        <v>7.0000000000000007E-2</v>
      </c>
      <c r="BA104" s="1518">
        <v>0.05</v>
      </c>
      <c r="BB104" s="1518">
        <v>7.0000000000000007E-2</v>
      </c>
      <c r="BC104" s="1520">
        <v>0.05</v>
      </c>
      <c r="BD104" s="1520">
        <v>0.06</v>
      </c>
      <c r="BE104" s="1518">
        <v>0.05</v>
      </c>
      <c r="BF104" s="1518">
        <v>0.04</v>
      </c>
      <c r="BG104" s="1518">
        <v>0.04</v>
      </c>
      <c r="BH104" s="1520">
        <v>0.05</v>
      </c>
      <c r="BI104" s="1520">
        <v>0.04</v>
      </c>
      <c r="BJ104" s="1518">
        <v>0.06</v>
      </c>
      <c r="BK104" s="1518">
        <v>0.01</v>
      </c>
      <c r="BL104" s="1518">
        <v>0</v>
      </c>
      <c r="BM104" s="1520">
        <v>-0.02</v>
      </c>
      <c r="BN104" s="1519">
        <v>0.01</v>
      </c>
      <c r="BO104" s="1518">
        <v>-0.02</v>
      </c>
      <c r="BP104" s="1518">
        <v>0.01</v>
      </c>
      <c r="BQ104" s="1518">
        <v>0.01</v>
      </c>
      <c r="BR104" s="1520">
        <v>0.01</v>
      </c>
      <c r="BS104" s="1521">
        <v>0</v>
      </c>
      <c r="BT104" s="1518">
        <v>0.02</v>
      </c>
      <c r="BU104" s="1518">
        <v>0.02</v>
      </c>
      <c r="BV104" s="1518">
        <v>0.03</v>
      </c>
      <c r="BW104" s="1520">
        <v>0.02</v>
      </c>
      <c r="BX104" s="1569">
        <v>0.02</v>
      </c>
      <c r="BY104" s="1518">
        <v>0.05</v>
      </c>
      <c r="BZ104" s="1518">
        <v>0.04</v>
      </c>
      <c r="CA104" s="1518">
        <v>0.02</v>
      </c>
      <c r="CB104" s="1520">
        <v>0.03</v>
      </c>
      <c r="CC104" s="1569">
        <v>0.03</v>
      </c>
      <c r="CD104" s="1522">
        <v>0.01</v>
      </c>
      <c r="CE104" s="1522">
        <v>0.01</v>
      </c>
      <c r="CF104" s="1522">
        <v>0.01</v>
      </c>
      <c r="CG104" s="1522">
        <v>0.02</v>
      </c>
      <c r="CH104" s="1835">
        <v>0.01</v>
      </c>
      <c r="CI104" s="1522"/>
      <c r="CJ104" s="1522"/>
      <c r="CK104" s="1522"/>
      <c r="CL104" s="1522"/>
      <c r="CM104" s="1523"/>
      <c r="CN104" s="1524"/>
      <c r="CO104" s="1522"/>
      <c r="CP104" s="1522"/>
      <c r="CQ104" s="1071"/>
      <c r="CR104" s="1955"/>
      <c r="CS104" s="974"/>
      <c r="CT104" s="974"/>
      <c r="CU104" s="974"/>
      <c r="CV104" s="1020"/>
      <c r="CW104" s="464"/>
      <c r="CX104" s="16"/>
      <c r="CY104" s="16"/>
      <c r="CZ104" s="16"/>
      <c r="DA104" s="16"/>
      <c r="DB104" s="464"/>
      <c r="DC104" s="16"/>
      <c r="DD104" s="16"/>
      <c r="DE104" s="16"/>
      <c r="DF104" s="16"/>
      <c r="DG104" s="464"/>
      <c r="DH104" s="16"/>
      <c r="DI104" s="16"/>
      <c r="DJ104" s="16"/>
      <c r="DK104" s="16"/>
      <c r="DL104" s="464"/>
      <c r="DM104" s="16"/>
      <c r="DN104" s="16"/>
      <c r="DO104" s="16"/>
      <c r="DP104" s="16"/>
      <c r="DQ104" s="464"/>
      <c r="DR104" s="16"/>
      <c r="DS104" s="16"/>
      <c r="DT104" s="16"/>
      <c r="DU104" s="16"/>
      <c r="DV104" s="464"/>
      <c r="DW104" s="16"/>
      <c r="DX104" s="16"/>
      <c r="DY104" s="16"/>
      <c r="DZ104" s="16"/>
      <c r="EA104" s="464"/>
      <c r="EB104" s="11"/>
      <c r="EC104" s="14" t="s">
        <v>443</v>
      </c>
      <c r="ED104" s="138">
        <f t="shared" si="409"/>
        <v>0</v>
      </c>
      <c r="EE104" s="138">
        <v>0</v>
      </c>
      <c r="EF104" s="808">
        <f t="shared" si="410"/>
        <v>0</v>
      </c>
      <c r="EG104" s="138">
        <f t="shared" si="411"/>
        <v>0</v>
      </c>
      <c r="EH104" s="1219">
        <f t="shared" si="412"/>
        <v>0</v>
      </c>
      <c r="EI104" s="11"/>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row>
    <row r="105" spans="1:259" s="337" customFormat="1" collapsed="1" x14ac:dyDescent="0.2">
      <c r="A105" s="431" t="s">
        <v>0</v>
      </c>
      <c r="B105" s="1555"/>
      <c r="C105" s="1555"/>
      <c r="D105" s="1555"/>
      <c r="E105" s="1556"/>
      <c r="F105" s="1555"/>
      <c r="G105" s="1555"/>
      <c r="H105" s="1555"/>
      <c r="I105" s="1555"/>
      <c r="J105" s="1556"/>
      <c r="K105" s="1568"/>
      <c r="L105" s="1555"/>
      <c r="M105" s="1555"/>
      <c r="N105" s="1555"/>
      <c r="O105" s="1556"/>
      <c r="P105" s="1556"/>
      <c r="Q105" s="1555"/>
      <c r="R105" s="1555"/>
      <c r="S105" s="1555"/>
      <c r="T105" s="1555"/>
      <c r="U105" s="1568"/>
      <c r="V105" s="1555"/>
      <c r="W105" s="1555"/>
      <c r="X105" s="1555"/>
      <c r="Y105" s="1556"/>
      <c r="Z105" s="1568"/>
      <c r="AA105" s="1555"/>
      <c r="AB105" s="1555"/>
      <c r="AC105" s="1555"/>
      <c r="AD105" s="1556"/>
      <c r="AE105" s="1556"/>
      <c r="AF105" s="1555"/>
      <c r="AG105" s="1555"/>
      <c r="AH105" s="1555"/>
      <c r="AI105" s="1556"/>
      <c r="AJ105" s="1556"/>
      <c r="AK105" s="1555"/>
      <c r="AL105" s="1555"/>
      <c r="AM105" s="1555"/>
      <c r="AN105" s="1556"/>
      <c r="AO105" s="1556"/>
      <c r="AP105" s="1555"/>
      <c r="AQ105" s="1555"/>
      <c r="AR105" s="1555"/>
      <c r="AS105" s="1556"/>
      <c r="AT105" s="1556"/>
      <c r="AU105" s="1555">
        <v>-0.03</v>
      </c>
      <c r="AV105" s="1555">
        <v>0.16</v>
      </c>
      <c r="AW105" s="1555">
        <v>0.12</v>
      </c>
      <c r="AX105" s="1556">
        <v>0.12</v>
      </c>
      <c r="AY105" s="1520">
        <v>9.2499999999999999E-2</v>
      </c>
      <c r="AZ105" s="1518">
        <v>0.09</v>
      </c>
      <c r="BA105" s="1518">
        <v>7.0000000000000007E-2</v>
      </c>
      <c r="BB105" s="1518">
        <v>0.11</v>
      </c>
      <c r="BC105" s="1520">
        <v>0.17</v>
      </c>
      <c r="BD105" s="1520">
        <v>0.12</v>
      </c>
      <c r="BE105" s="1518">
        <v>0.12</v>
      </c>
      <c r="BF105" s="1518">
        <v>0.14000000000000001</v>
      </c>
      <c r="BG105" s="1518">
        <v>0.05</v>
      </c>
      <c r="BH105" s="1520">
        <v>0.01</v>
      </c>
      <c r="BI105" s="1520">
        <v>7.0000000000000007E-2</v>
      </c>
      <c r="BJ105" s="1518">
        <v>0.02</v>
      </c>
      <c r="BK105" s="1518">
        <v>-0.04</v>
      </c>
      <c r="BL105" s="1518">
        <v>0</v>
      </c>
      <c r="BM105" s="1520">
        <v>-0.03</v>
      </c>
      <c r="BN105" s="1519">
        <v>-0.01</v>
      </c>
      <c r="BO105" s="1518">
        <v>0.04</v>
      </c>
      <c r="BP105" s="1518">
        <v>0.04</v>
      </c>
      <c r="BQ105" s="1518">
        <v>0.06</v>
      </c>
      <c r="BR105" s="1520">
        <v>0.08</v>
      </c>
      <c r="BS105" s="1521">
        <v>0.06</v>
      </c>
      <c r="BT105" s="1518">
        <v>0.13</v>
      </c>
      <c r="BU105" s="1518">
        <v>0.18</v>
      </c>
      <c r="BV105" s="1518">
        <v>0.19</v>
      </c>
      <c r="BW105" s="1520">
        <v>0.21</v>
      </c>
      <c r="BX105" s="1569">
        <v>0.19</v>
      </c>
      <c r="BY105" s="1518">
        <v>0.14000000000000001</v>
      </c>
      <c r="BZ105" s="1518">
        <v>0.1</v>
      </c>
      <c r="CA105" s="1518">
        <v>0.06</v>
      </c>
      <c r="CB105" s="1520">
        <v>-0.06</v>
      </c>
      <c r="CC105" s="1569">
        <v>0.04</v>
      </c>
      <c r="CD105" s="1522">
        <v>-0.2</v>
      </c>
      <c r="CE105" s="1522">
        <v>-0.2</v>
      </c>
      <c r="CF105" s="1522">
        <v>-0.11</v>
      </c>
      <c r="CG105" s="1522">
        <v>-0.04</v>
      </c>
      <c r="CH105" s="1835">
        <v>-0.12365384615384617</v>
      </c>
      <c r="CI105" s="1522">
        <v>0.09</v>
      </c>
      <c r="CJ105" s="1522">
        <v>0.15</v>
      </c>
      <c r="CK105" s="1522">
        <v>-0.14000000000000001</v>
      </c>
      <c r="CL105" s="1522">
        <v>-0.16</v>
      </c>
      <c r="CM105" s="1523">
        <v>-3.663461538461539E-2</v>
      </c>
      <c r="CN105" s="1524">
        <v>-0.12</v>
      </c>
      <c r="CO105" s="1522">
        <v>-0.1</v>
      </c>
      <c r="CP105" s="1522">
        <v>0.02</v>
      </c>
      <c r="CQ105" s="1071">
        <v>1.9999999999999997E-2</v>
      </c>
      <c r="CR105" s="1955">
        <v>-3.2884615384615387E-2</v>
      </c>
      <c r="CS105" s="974">
        <v>0.06</v>
      </c>
      <c r="CT105" s="974">
        <v>0</v>
      </c>
      <c r="CU105" s="974">
        <v>-0.01</v>
      </c>
      <c r="CV105" s="1020">
        <v>1.3300000000000001E-2</v>
      </c>
      <c r="CW105" s="464">
        <v>1.1783653846153846E-2</v>
      </c>
      <c r="CX105" s="16">
        <v>1.6500000000000001E-2</v>
      </c>
      <c r="CY105" s="16">
        <v>3.6600000000000001E-2</v>
      </c>
      <c r="CZ105" s="16">
        <v>4.3400000000000001E-2</v>
      </c>
      <c r="DA105" s="16">
        <v>3.3399999999999999E-2</v>
      </c>
      <c r="DB105" s="464">
        <v>3.2475000000000004E-2</v>
      </c>
      <c r="DC105" s="16">
        <v>0.03</v>
      </c>
      <c r="DD105" s="16">
        <v>0.03</v>
      </c>
      <c r="DE105" s="16">
        <v>0.03</v>
      </c>
      <c r="DF105" s="16">
        <v>0.03</v>
      </c>
      <c r="DG105" s="464">
        <v>0.03</v>
      </c>
      <c r="DH105" s="16">
        <v>0.03</v>
      </c>
      <c r="DI105" s="16">
        <v>0.03</v>
      </c>
      <c r="DJ105" s="16">
        <v>0.03</v>
      </c>
      <c r="DK105" s="16">
        <v>0.03</v>
      </c>
      <c r="DL105" s="464">
        <v>0.03</v>
      </c>
      <c r="DM105" s="16">
        <v>0.03</v>
      </c>
      <c r="DN105" s="16">
        <v>0.03</v>
      </c>
      <c r="DO105" s="16">
        <v>0.03</v>
      </c>
      <c r="DP105" s="16">
        <v>0.03</v>
      </c>
      <c r="DQ105" s="464">
        <v>0.03</v>
      </c>
      <c r="DR105" s="16">
        <v>0.03</v>
      </c>
      <c r="DS105" s="16">
        <v>0.03</v>
      </c>
      <c r="DT105" s="16">
        <v>0.03</v>
      </c>
      <c r="DU105" s="16">
        <v>0.03</v>
      </c>
      <c r="DV105" s="464">
        <v>0.03</v>
      </c>
      <c r="DW105" s="16">
        <v>0.03</v>
      </c>
      <c r="DX105" s="16">
        <v>0.03</v>
      </c>
      <c r="DY105" s="16">
        <v>0.03</v>
      </c>
      <c r="DZ105" s="16">
        <v>0.03</v>
      </c>
      <c r="EA105" s="464">
        <v>0.03</v>
      </c>
      <c r="EB105" s="11"/>
      <c r="EC105" s="14" t="s">
        <v>0</v>
      </c>
      <c r="ED105" s="138">
        <f t="shared" si="409"/>
        <v>3.3399999999999999E-2</v>
      </c>
      <c r="EE105" s="138">
        <v>3.3399999999999999E-2</v>
      </c>
      <c r="EF105" s="808">
        <f t="shared" si="410"/>
        <v>0</v>
      </c>
      <c r="EG105" s="138">
        <f t="shared" si="411"/>
        <v>1.3300000000000001E-2</v>
      </c>
      <c r="EH105" s="1219">
        <f t="shared" si="412"/>
        <v>201</v>
      </c>
      <c r="EI105" s="11"/>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row>
    <row r="106" spans="1:259" s="936" customFormat="1" collapsed="1" x14ac:dyDescent="0.2">
      <c r="A106" s="949" t="s">
        <v>355</v>
      </c>
      <c r="B106" s="1571"/>
      <c r="C106" s="1571"/>
      <c r="D106" s="1571"/>
      <c r="E106" s="1571"/>
      <c r="F106" s="1553"/>
      <c r="G106" s="1553"/>
      <c r="H106" s="1553"/>
      <c r="I106" s="1553"/>
      <c r="J106" s="1553"/>
      <c r="K106" s="1553"/>
      <c r="L106" s="1553"/>
      <c r="M106" s="1553"/>
      <c r="N106" s="1553"/>
      <c r="O106" s="1553"/>
      <c r="P106" s="1553"/>
      <c r="Q106" s="1553"/>
      <c r="R106" s="1553"/>
      <c r="S106" s="1553"/>
      <c r="T106" s="1553"/>
      <c r="U106" s="1553"/>
      <c r="V106" s="1516"/>
      <c r="W106" s="1516"/>
      <c r="X106" s="1516"/>
      <c r="Y106" s="1516"/>
      <c r="Z106" s="1516"/>
      <c r="AA106" s="1516"/>
      <c r="AB106" s="1516"/>
      <c r="AC106" s="1516"/>
      <c r="AD106" s="1516"/>
      <c r="AE106" s="1516"/>
      <c r="AF106" s="1516"/>
      <c r="AG106" s="1516"/>
      <c r="AH106" s="1516"/>
      <c r="AI106" s="1516"/>
      <c r="AJ106" s="1516"/>
      <c r="AK106" s="1516"/>
      <c r="AL106" s="1516"/>
      <c r="AM106" s="1516"/>
      <c r="AN106" s="1516"/>
      <c r="AO106" s="1516"/>
      <c r="AP106" s="1516"/>
      <c r="AQ106" s="1516"/>
      <c r="AR106" s="1516"/>
      <c r="AS106" s="1516"/>
      <c r="AT106" s="1516"/>
      <c r="AU106" s="1516"/>
      <c r="AV106" s="1516"/>
      <c r="AW106" s="1516"/>
      <c r="AX106" s="1516"/>
      <c r="AY106" s="1516"/>
      <c r="AZ106" s="1516"/>
      <c r="BA106" s="1516"/>
      <c r="BB106" s="1516"/>
      <c r="BC106" s="1516"/>
      <c r="BD106" s="1538"/>
      <c r="BE106" s="1516"/>
      <c r="BF106" s="1516"/>
      <c r="BG106" s="1516"/>
      <c r="BH106" s="1516"/>
      <c r="BI106" s="1538"/>
      <c r="BJ106" s="1516"/>
      <c r="BK106" s="1516"/>
      <c r="BL106" s="1516"/>
      <c r="BM106" s="1516"/>
      <c r="BN106" s="1517"/>
      <c r="BO106" s="1516"/>
      <c r="BP106" s="1516"/>
      <c r="BQ106" s="1516"/>
      <c r="BR106" s="1516"/>
      <c r="BS106" s="1517"/>
      <c r="BT106" s="1516"/>
      <c r="BU106" s="1516"/>
      <c r="BV106" s="1516"/>
      <c r="BW106" s="1516"/>
      <c r="BX106" s="1517"/>
      <c r="BY106" s="1516"/>
      <c r="BZ106" s="1516"/>
      <c r="CA106" s="1516"/>
      <c r="CB106" s="1516"/>
      <c r="CC106" s="1517"/>
      <c r="CD106" s="1572"/>
      <c r="CE106" s="1554"/>
      <c r="CF106" s="1554"/>
      <c r="CG106" s="1554"/>
      <c r="CH106" s="2009"/>
      <c r="CI106" s="1999"/>
      <c r="CJ106" s="1999"/>
      <c r="CK106" s="1999"/>
      <c r="CL106" s="1999"/>
      <c r="CM106" s="2001"/>
      <c r="CN106" s="2003"/>
      <c r="CO106" s="1999"/>
      <c r="CP106" s="1999"/>
      <c r="CQ106" s="1999"/>
      <c r="CR106" s="2001"/>
      <c r="CS106" s="3"/>
      <c r="CT106" s="3"/>
      <c r="CU106" s="3"/>
      <c r="CV106" s="1160"/>
      <c r="CW106" s="1169"/>
      <c r="CX106" s="944"/>
      <c r="CY106" s="944"/>
      <c r="CZ106" s="944"/>
      <c r="DA106" s="944"/>
      <c r="DB106" s="945"/>
      <c r="DC106" s="944"/>
      <c r="DD106" s="944"/>
      <c r="DE106" s="944"/>
      <c r="DF106" s="944"/>
      <c r="DG106" s="945"/>
      <c r="DH106" s="944"/>
      <c r="DI106" s="944"/>
      <c r="DJ106" s="944"/>
      <c r="DK106" s="944"/>
      <c r="DL106" s="945"/>
      <c r="DM106" s="944"/>
      <c r="DN106" s="944"/>
      <c r="DO106" s="944"/>
      <c r="DP106" s="944"/>
      <c r="DQ106" s="945"/>
      <c r="DR106" s="944"/>
      <c r="DS106" s="944"/>
      <c r="DT106" s="944"/>
      <c r="DU106" s="944"/>
      <c r="DV106" s="945"/>
      <c r="DW106" s="944"/>
      <c r="DX106" s="944"/>
      <c r="DY106" s="944"/>
      <c r="DZ106" s="944"/>
      <c r="EA106" s="945"/>
      <c r="EB106" s="1008"/>
      <c r="EC106" s="949" t="s">
        <v>355</v>
      </c>
      <c r="ED106" s="953">
        <f t="shared" si="409"/>
        <v>0</v>
      </c>
      <c r="EE106" s="953">
        <v>0</v>
      </c>
      <c r="EF106" s="954"/>
      <c r="EG106" s="953">
        <f t="shared" si="411"/>
        <v>0</v>
      </c>
      <c r="EH106" s="955"/>
      <c r="EI106" s="1008"/>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row>
    <row r="107" spans="1:259" s="936" customFormat="1" ht="12" customHeight="1" x14ac:dyDescent="0.2">
      <c r="A107" s="940" t="s">
        <v>466</v>
      </c>
      <c r="B107" s="1848">
        <v>-0.08</v>
      </c>
      <c r="C107" s="1573">
        <v>-0.05</v>
      </c>
      <c r="D107" s="1573">
        <v>0.03</v>
      </c>
      <c r="E107" s="1574">
        <v>0.05</v>
      </c>
      <c r="F107" s="1575">
        <f>(B107*12/52+C107*12/52+D107*12/52+E107*16/52)</f>
        <v>-7.6923076923076927E-3</v>
      </c>
      <c r="G107" s="1849">
        <v>0.05</v>
      </c>
      <c r="H107" s="1576">
        <v>0.09</v>
      </c>
      <c r="I107" s="1576">
        <v>0.04</v>
      </c>
      <c r="J107" s="1577">
        <v>0.04</v>
      </c>
      <c r="K107" s="1575">
        <f>(G107*12/52+H107*12/52+I107*12/52+J107*16/52)</f>
        <v>5.3846153846153849E-2</v>
      </c>
      <c r="L107" s="1849"/>
      <c r="M107" s="1576"/>
      <c r="N107" s="1576"/>
      <c r="O107" s="1578"/>
      <c r="P107" s="1575"/>
      <c r="Q107" s="1848"/>
      <c r="R107" s="1573"/>
      <c r="S107" s="1573"/>
      <c r="T107" s="1574"/>
      <c r="U107" s="1575"/>
      <c r="V107" s="1849"/>
      <c r="W107" s="1576"/>
      <c r="X107" s="1576"/>
      <c r="Y107" s="1578"/>
      <c r="Z107" s="1575"/>
      <c r="AA107" s="1849"/>
      <c r="AB107" s="1576"/>
      <c r="AC107" s="1576"/>
      <c r="AD107" s="1578"/>
      <c r="AE107" s="1575"/>
      <c r="AF107" s="1849"/>
      <c r="AG107" s="1576"/>
      <c r="AH107" s="1576"/>
      <c r="AI107" s="1578"/>
      <c r="AJ107" s="1575"/>
      <c r="AK107" s="1576"/>
      <c r="AL107" s="1576"/>
      <c r="AM107" s="1576"/>
      <c r="AN107" s="1578"/>
      <c r="AO107" s="1575"/>
      <c r="AP107" s="1576"/>
      <c r="AQ107" s="1576"/>
      <c r="AR107" s="1576"/>
      <c r="AS107" s="1578"/>
      <c r="AT107" s="1575"/>
      <c r="AU107" s="1576"/>
      <c r="AV107" s="1576"/>
      <c r="AW107" s="1576"/>
      <c r="AX107" s="1578"/>
      <c r="AY107" s="1575"/>
      <c r="AZ107" s="1579"/>
      <c r="BA107" s="1576"/>
      <c r="BB107" s="1576"/>
      <c r="BC107" s="1578"/>
      <c r="BD107" s="1575"/>
      <c r="BE107" s="1579"/>
      <c r="BF107" s="1576"/>
      <c r="BG107" s="1579"/>
      <c r="BH107" s="1580"/>
      <c r="BI107" s="1575"/>
      <c r="BJ107" s="1576"/>
      <c r="BK107" s="1576"/>
      <c r="BL107" s="1576"/>
      <c r="BM107" s="1578"/>
      <c r="BN107" s="1581"/>
      <c r="BO107" s="1576"/>
      <c r="BP107" s="1579"/>
      <c r="BQ107" s="1579"/>
      <c r="BR107" s="1578"/>
      <c r="BS107" s="1581"/>
      <c r="BT107" s="1579"/>
      <c r="BU107" s="1579"/>
      <c r="BV107" s="1576"/>
      <c r="BW107" s="1580"/>
      <c r="BX107" s="1581"/>
      <c r="BY107" s="1579"/>
      <c r="BZ107" s="1579"/>
      <c r="CA107" s="1579"/>
      <c r="CB107" s="1580"/>
      <c r="CC107" s="1581"/>
      <c r="CD107" s="1582">
        <v>2.412304968462986E-2</v>
      </c>
      <c r="CE107" s="1582">
        <v>2.0454170561390095E-2</v>
      </c>
      <c r="CF107" s="1582">
        <v>2.0654139045636288E-2</v>
      </c>
      <c r="CG107" s="1583">
        <v>2.7600734579237285E-2</v>
      </c>
      <c r="CH107" s="1584">
        <v>2.7600734579237285E-2</v>
      </c>
      <c r="CI107" s="1582">
        <v>3.2685035116153394E-2</v>
      </c>
      <c r="CJ107" s="1582">
        <v>3.3676383425831125E-2</v>
      </c>
      <c r="CK107" s="1582">
        <v>3.5748792270531293E-2</v>
      </c>
      <c r="CL107" s="1583">
        <v>3.0643889618922504E-2</v>
      </c>
      <c r="CM107" s="1584">
        <v>3.0643889618922504E-2</v>
      </c>
      <c r="CN107" s="1582">
        <v>0</v>
      </c>
      <c r="CO107" s="1582">
        <v>0</v>
      </c>
      <c r="CP107" s="1582">
        <v>0</v>
      </c>
      <c r="CQ107" s="1900">
        <v>0</v>
      </c>
      <c r="CR107" s="1960">
        <v>0</v>
      </c>
      <c r="CS107" s="2077">
        <v>2.4500256278831456E-2</v>
      </c>
      <c r="CT107" s="2077">
        <v>2.8412284736062166E-2</v>
      </c>
      <c r="CU107" s="2077">
        <v>3.1005387821490205E-2</v>
      </c>
      <c r="CV107" s="1900">
        <v>3.2873011107775518E-2</v>
      </c>
      <c r="CW107" s="961">
        <v>3.2873011107775518E-2</v>
      </c>
      <c r="CX107" s="959">
        <v>3.6421853111867186E-2</v>
      </c>
      <c r="CY107" s="959">
        <v>3.6223602484471984E-2</v>
      </c>
      <c r="CZ107" s="959">
        <v>3.8404653914415388E-2</v>
      </c>
      <c r="DA107" s="960">
        <v>4.0885530203943254E-2</v>
      </c>
      <c r="DB107" s="961">
        <v>4.0885530203943254E-2</v>
      </c>
      <c r="DC107" s="956">
        <v>4.3444680440239525E-2</v>
      </c>
      <c r="DD107" s="956">
        <v>4.5315047472906933E-2</v>
      </c>
      <c r="DE107" s="956">
        <v>4.5814936143949048E-2</v>
      </c>
      <c r="DF107" s="957">
        <v>4.6958626146041738E-2</v>
      </c>
      <c r="DG107" s="958">
        <v>4.6958626146041738E-2</v>
      </c>
      <c r="DH107" s="956">
        <v>4.7141006661732154E-2</v>
      </c>
      <c r="DI107" s="956">
        <v>4.715812651956508E-2</v>
      </c>
      <c r="DJ107" s="956">
        <v>4.7031051389140988E-2</v>
      </c>
      <c r="DK107" s="957">
        <v>4.636379800853474E-2</v>
      </c>
      <c r="DL107" s="958">
        <v>4.636379800853474E-2</v>
      </c>
      <c r="DM107" s="956">
        <v>4.6299977910315926E-2</v>
      </c>
      <c r="DN107" s="956">
        <v>4.6129583388093032E-2</v>
      </c>
      <c r="DO107" s="956">
        <v>4.5872355185570646E-2</v>
      </c>
      <c r="DP107" s="957">
        <v>4.5159097667700321E-2</v>
      </c>
      <c r="DQ107" s="958">
        <v>4.5159097667700321E-2</v>
      </c>
      <c r="DR107" s="956">
        <v>4.5095638221509082E-2</v>
      </c>
      <c r="DS107" s="956">
        <v>4.4932998324958229E-2</v>
      </c>
      <c r="DT107" s="956">
        <v>4.4689495066744023E-2</v>
      </c>
      <c r="DU107" s="957">
        <v>4.4020811316153097E-2</v>
      </c>
      <c r="DV107" s="958">
        <v>4.4020811316153097E-2</v>
      </c>
      <c r="DW107" s="956">
        <v>4.4079027110015767E-2</v>
      </c>
      <c r="DX107" s="956">
        <v>4.4243177173085346E-2</v>
      </c>
      <c r="DY107" s="956">
        <v>4.4126984126984237E-2</v>
      </c>
      <c r="DZ107" s="957">
        <v>4.3605217052754552E-2</v>
      </c>
      <c r="EA107" s="958">
        <v>4.3605217052754552E-2</v>
      </c>
      <c r="EB107" s="1008"/>
      <c r="EC107" s="962" t="s">
        <v>241</v>
      </c>
      <c r="ED107" s="948">
        <f t="shared" si="409"/>
        <v>4.0885530203943254E-2</v>
      </c>
      <c r="EE107" s="948">
        <v>3.4200455360170468E-2</v>
      </c>
      <c r="EF107" s="963">
        <f t="shared" ref="EF107:EF109" si="413">(ED107-EE107)*10000</f>
        <v>66.850748437727873</v>
      </c>
      <c r="EG107" s="948">
        <f t="shared" si="411"/>
        <v>3.2873011107775518E-2</v>
      </c>
      <c r="EH107" s="964">
        <f t="shared" ref="EH107:EH109" si="414">(ED107-EG107)*10000</f>
        <v>80.125190961677362</v>
      </c>
      <c r="EI107" s="1008"/>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row>
    <row r="108" spans="1:259" s="936" customFormat="1" x14ac:dyDescent="0.2">
      <c r="A108" s="940" t="s">
        <v>467</v>
      </c>
      <c r="B108" s="1848">
        <v>0.03</v>
      </c>
      <c r="C108" s="1573">
        <v>0.02</v>
      </c>
      <c r="D108" s="1573">
        <v>0.03</v>
      </c>
      <c r="E108" s="1574">
        <v>0.01</v>
      </c>
      <c r="F108" s="1575">
        <f>+(B108*12/52+C108*12/52+D108*12/52+E108*16/52)</f>
        <v>2.1538461538461538E-2</v>
      </c>
      <c r="G108" s="1849">
        <v>-0.03</v>
      </c>
      <c r="H108" s="1576">
        <v>0.03</v>
      </c>
      <c r="I108" s="1576">
        <v>0.02</v>
      </c>
      <c r="J108" s="1577">
        <v>0.09</v>
      </c>
      <c r="K108" s="1575">
        <f>+(G108*12/52+H108*12/52+I108*12/52+J108*16/52)</f>
        <v>3.2307692307692301E-2</v>
      </c>
      <c r="L108" s="1849"/>
      <c r="M108" s="1576"/>
      <c r="N108" s="1576"/>
      <c r="O108" s="1578"/>
      <c r="P108" s="1575"/>
      <c r="Q108" s="1848"/>
      <c r="R108" s="1573"/>
      <c r="S108" s="1573"/>
      <c r="T108" s="1574"/>
      <c r="U108" s="1575"/>
      <c r="V108" s="1849"/>
      <c r="W108" s="1576"/>
      <c r="X108" s="1576"/>
      <c r="Y108" s="1578"/>
      <c r="Z108" s="1575"/>
      <c r="AA108" s="1849"/>
      <c r="AB108" s="1576"/>
      <c r="AC108" s="1576"/>
      <c r="AD108" s="1578"/>
      <c r="AE108" s="1575"/>
      <c r="AF108" s="1849"/>
      <c r="AG108" s="1576"/>
      <c r="AH108" s="1576"/>
      <c r="AI108" s="1578"/>
      <c r="AJ108" s="1575"/>
      <c r="AK108" s="1576"/>
      <c r="AL108" s="1576"/>
      <c r="AM108" s="1576"/>
      <c r="AN108" s="1578"/>
      <c r="AO108" s="1575"/>
      <c r="AP108" s="1576"/>
      <c r="AQ108" s="1576"/>
      <c r="AR108" s="1576"/>
      <c r="AS108" s="1578"/>
      <c r="AT108" s="1575"/>
      <c r="AU108" s="1576"/>
      <c r="AV108" s="1576"/>
      <c r="AW108" s="1576"/>
      <c r="AX108" s="1578"/>
      <c r="AY108" s="1575"/>
      <c r="AZ108" s="1579"/>
      <c r="BA108" s="1576"/>
      <c r="BB108" s="1576"/>
      <c r="BC108" s="1578"/>
      <c r="BD108" s="1575"/>
      <c r="BE108" s="1579"/>
      <c r="BF108" s="1576"/>
      <c r="BG108" s="1579"/>
      <c r="BH108" s="1580"/>
      <c r="BI108" s="1575"/>
      <c r="BJ108" s="1576"/>
      <c r="BK108" s="1576"/>
      <c r="BL108" s="1576"/>
      <c r="BM108" s="1578"/>
      <c r="BN108" s="1581"/>
      <c r="BO108" s="1576"/>
      <c r="BP108" s="1579"/>
      <c r="BQ108" s="1579"/>
      <c r="BR108" s="1578"/>
      <c r="BS108" s="1581"/>
      <c r="BT108" s="1579"/>
      <c r="BU108" s="1579"/>
      <c r="BV108" s="1576"/>
      <c r="BW108" s="1580"/>
      <c r="BX108" s="1581"/>
      <c r="BY108" s="1579"/>
      <c r="BZ108" s="1579"/>
      <c r="CA108" s="1579"/>
      <c r="CB108" s="1580"/>
      <c r="CC108" s="1581"/>
      <c r="CD108" s="1582">
        <v>3.5199321458863508E-2</v>
      </c>
      <c r="CE108" s="1582">
        <v>3.4732985768634705E-2</v>
      </c>
      <c r="CF108" s="1582">
        <v>3.6948748510131191E-2</v>
      </c>
      <c r="CG108" s="1583">
        <v>3.9315068493150696E-2</v>
      </c>
      <c r="CH108" s="1584">
        <v>3.9315068493150696E-2</v>
      </c>
      <c r="CI108" s="1582">
        <v>4.0147480540762004E-2</v>
      </c>
      <c r="CJ108" s="1582">
        <v>3.7856607884523719E-2</v>
      </c>
      <c r="CK108" s="1582">
        <v>3.5902636916835595E-2</v>
      </c>
      <c r="CL108" s="1583">
        <v>3.0117305918017756E-2</v>
      </c>
      <c r="CM108" s="1584">
        <v>3.0117305918017756E-2</v>
      </c>
      <c r="CN108" s="1582">
        <v>0</v>
      </c>
      <c r="CO108" s="1582">
        <v>0</v>
      </c>
      <c r="CP108" s="1582">
        <v>0</v>
      </c>
      <c r="CQ108" s="1900">
        <v>0</v>
      </c>
      <c r="CR108" s="1960">
        <v>0</v>
      </c>
      <c r="CS108" s="2077">
        <v>2.7134010087467297E-2</v>
      </c>
      <c r="CT108" s="2077">
        <v>2.9593330363393289E-2</v>
      </c>
      <c r="CU108" s="2077">
        <v>2.5097989632064666E-2</v>
      </c>
      <c r="CV108" s="1900">
        <v>2.089032578960448E-2</v>
      </c>
      <c r="CW108" s="961"/>
      <c r="CX108" s="959">
        <v>2.2749875683739429E-2</v>
      </c>
      <c r="CY108" s="959">
        <v>1.6936580541476065E-2</v>
      </c>
      <c r="CZ108" s="959">
        <v>2.0721554116558849E-2</v>
      </c>
      <c r="DA108" s="960">
        <v>1.9975639464068218E-2</v>
      </c>
      <c r="DB108" s="961">
        <v>1.9975639464068218E-2</v>
      </c>
      <c r="DC108" s="956">
        <v>2.0967545885498984E-2</v>
      </c>
      <c r="DD108" s="956">
        <v>2.7230731825917731E-2</v>
      </c>
      <c r="DE108" s="956">
        <v>2.8397075705395514E-2</v>
      </c>
      <c r="DF108" s="957">
        <v>3.2481490327203266E-2</v>
      </c>
      <c r="DG108" s="958">
        <v>3.2481490327203266E-2</v>
      </c>
      <c r="DH108" s="956">
        <v>3.4049645812250784E-2</v>
      </c>
      <c r="DI108" s="956">
        <v>3.6627218934911276E-2</v>
      </c>
      <c r="DJ108" s="956">
        <v>3.9069384877504332E-2</v>
      </c>
      <c r="DK108" s="957">
        <v>4.0481147351376423E-2</v>
      </c>
      <c r="DL108" s="958">
        <v>4.0481147351376423E-2</v>
      </c>
      <c r="DM108" s="956">
        <v>3.9145702607794597E-2</v>
      </c>
      <c r="DN108" s="956">
        <v>3.7673383183971731E-2</v>
      </c>
      <c r="DO108" s="956">
        <v>3.9013909306796268E-2</v>
      </c>
      <c r="DP108" s="957">
        <v>3.7238772787905772E-2</v>
      </c>
      <c r="DQ108" s="958">
        <v>3.7238772787905772E-2</v>
      </c>
      <c r="DR108" s="956">
        <v>3.7117057226746519E-2</v>
      </c>
      <c r="DS108" s="956">
        <v>3.6855712635458504E-2</v>
      </c>
      <c r="DT108" s="956">
        <v>3.6460600783630781E-2</v>
      </c>
      <c r="DU108" s="957">
        <v>3.5901832601007433E-2</v>
      </c>
      <c r="DV108" s="958">
        <v>3.5901832601007433E-2</v>
      </c>
      <c r="DW108" s="956">
        <v>3.5788686501789346E-2</v>
      </c>
      <c r="DX108" s="956">
        <v>3.554565228924611E-2</v>
      </c>
      <c r="DY108" s="956">
        <v>3.5177990129160897E-2</v>
      </c>
      <c r="DZ108" s="957">
        <v>3.4657562590523439E-2</v>
      </c>
      <c r="EA108" s="958">
        <v>3.4657562590523439E-2</v>
      </c>
      <c r="EB108" s="1008"/>
      <c r="EC108" s="965" t="s">
        <v>242</v>
      </c>
      <c r="ED108" s="948">
        <f t="shared" si="409"/>
        <v>1.9975639464068218E-2</v>
      </c>
      <c r="EE108" s="948">
        <v>3.3252131546894104E-2</v>
      </c>
      <c r="EF108" s="963">
        <f t="shared" si="413"/>
        <v>-132.76492082825885</v>
      </c>
      <c r="EG108" s="948">
        <f t="shared" si="411"/>
        <v>2.089032578960448E-2</v>
      </c>
      <c r="EH108" s="964">
        <f t="shared" si="414"/>
        <v>-9.146863255362625</v>
      </c>
      <c r="EI108" s="10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row>
    <row r="109" spans="1:259" s="936" customFormat="1" x14ac:dyDescent="0.2">
      <c r="A109" s="940" t="s">
        <v>468</v>
      </c>
      <c r="B109" s="1573">
        <v>0.05</v>
      </c>
      <c r="C109" s="1573">
        <v>0.03</v>
      </c>
      <c r="D109" s="1573">
        <v>0.02</v>
      </c>
      <c r="E109" s="1574">
        <v>0.01</v>
      </c>
      <c r="F109" s="1573">
        <f>+(B109*12/52+C109*12/52+D109*12/52+E109*16/52)</f>
        <v>2.6153846153846156E-2</v>
      </c>
      <c r="G109" s="1573">
        <v>0.04</v>
      </c>
      <c r="H109" s="1573">
        <v>-0.01</v>
      </c>
      <c r="I109" s="1573">
        <v>0.05</v>
      </c>
      <c r="J109" s="1574">
        <v>0.04</v>
      </c>
      <c r="K109" s="1585">
        <f>+(G109*12/52+H109*12/52+I109*12/52+J109*16/52)</f>
        <v>3.0769230769230771E-2</v>
      </c>
      <c r="L109" s="1573"/>
      <c r="M109" s="1573"/>
      <c r="N109" s="1573"/>
      <c r="O109" s="1574"/>
      <c r="P109" s="1574"/>
      <c r="Q109" s="1573"/>
      <c r="R109" s="1573"/>
      <c r="S109" s="1573"/>
      <c r="T109" s="1573"/>
      <c r="U109" s="1585"/>
      <c r="V109" s="1573"/>
      <c r="W109" s="1573"/>
      <c r="X109" s="1573"/>
      <c r="Y109" s="1574"/>
      <c r="Z109" s="1585"/>
      <c r="AA109" s="1573"/>
      <c r="AB109" s="1573"/>
      <c r="AC109" s="1573"/>
      <c r="AD109" s="1574"/>
      <c r="AE109" s="1574"/>
      <c r="AF109" s="1573"/>
      <c r="AG109" s="1573"/>
      <c r="AH109" s="1573"/>
      <c r="AI109" s="1574"/>
      <c r="AJ109" s="1574"/>
      <c r="AK109" s="1573"/>
      <c r="AL109" s="1573"/>
      <c r="AM109" s="1573"/>
      <c r="AN109" s="1574"/>
      <c r="AO109" s="1574"/>
      <c r="AP109" s="1573"/>
      <c r="AQ109" s="1573"/>
      <c r="AR109" s="1573"/>
      <c r="AS109" s="1574"/>
      <c r="AT109" s="1574"/>
      <c r="AU109" s="1573"/>
      <c r="AV109" s="1573"/>
      <c r="AW109" s="1573"/>
      <c r="AX109" s="1574"/>
      <c r="AY109" s="1586"/>
      <c r="AZ109" s="1587"/>
      <c r="BA109" s="1587"/>
      <c r="BB109" s="1587"/>
      <c r="BC109" s="1586"/>
      <c r="BD109" s="1586"/>
      <c r="BE109" s="1587"/>
      <c r="BF109" s="1587"/>
      <c r="BG109" s="1587"/>
      <c r="BH109" s="1586"/>
      <c r="BI109" s="1586"/>
      <c r="BJ109" s="1587"/>
      <c r="BK109" s="1587"/>
      <c r="BL109" s="1587"/>
      <c r="BM109" s="1586"/>
      <c r="BN109" s="1588"/>
      <c r="BO109" s="1587"/>
      <c r="BP109" s="1587"/>
      <c r="BQ109" s="1587"/>
      <c r="BR109" s="1586"/>
      <c r="BS109" s="1589"/>
      <c r="BT109" s="1587"/>
      <c r="BU109" s="1587"/>
      <c r="BV109" s="1587"/>
      <c r="BW109" s="1586"/>
      <c r="BX109" s="1590"/>
      <c r="BY109" s="1587"/>
      <c r="BZ109" s="1587"/>
      <c r="CA109" s="1587"/>
      <c r="CB109" s="1586"/>
      <c r="CC109" s="1590"/>
      <c r="CD109" s="1591">
        <v>1.2203276496155047E-2</v>
      </c>
      <c r="CE109" s="1591">
        <v>1.4531484883915091E-2</v>
      </c>
      <c r="CF109" s="1591">
        <v>1.7657837747792726E-2</v>
      </c>
      <c r="CG109" s="1592">
        <v>2.4966931216931165E-2</v>
      </c>
      <c r="CH109" s="1593">
        <v>2.4966931216931165E-2</v>
      </c>
      <c r="CI109" s="1591">
        <v>2.857142857142847E-2</v>
      </c>
      <c r="CJ109" s="1591">
        <v>3.0128416200197572E-2</v>
      </c>
      <c r="CK109" s="1591">
        <v>3.3557046979865834E-2</v>
      </c>
      <c r="CL109" s="1592">
        <v>3.242458461042097E-2</v>
      </c>
      <c r="CM109" s="1593">
        <v>3.242458461042097E-2</v>
      </c>
      <c r="CN109" s="1591">
        <v>0</v>
      </c>
      <c r="CO109" s="1591">
        <v>0</v>
      </c>
      <c r="CP109" s="1591">
        <v>0</v>
      </c>
      <c r="CQ109" s="1066">
        <v>0</v>
      </c>
      <c r="CR109" s="1961">
        <v>0</v>
      </c>
      <c r="CS109" s="1069">
        <v>3.1410256410256521E-2</v>
      </c>
      <c r="CT109" s="1069">
        <v>3.1918289179700077E-2</v>
      </c>
      <c r="CU109" s="1069">
        <v>3.0365332911592491E-2</v>
      </c>
      <c r="CV109" s="1066">
        <v>3.1030718852331107E-2</v>
      </c>
      <c r="CW109" s="966">
        <v>3.1030718852331107E-2</v>
      </c>
      <c r="CX109" s="946">
        <v>3.2939714108141782E-2</v>
      </c>
      <c r="CY109" s="946">
        <v>3.4024126198577198E-2</v>
      </c>
      <c r="CZ109" s="946">
        <v>3.4228702993092774E-2</v>
      </c>
      <c r="DA109" s="947">
        <v>3.5843920145190555E-2</v>
      </c>
      <c r="DB109" s="966">
        <v>3.5843920145190555E-2</v>
      </c>
      <c r="DC109" s="946">
        <v>3.6101083032491044E-2</v>
      </c>
      <c r="DD109" s="946">
        <v>3.7241998205204796E-2</v>
      </c>
      <c r="DE109" s="946">
        <v>3.8587117839121499E-2</v>
      </c>
      <c r="DF109" s="947">
        <v>3.8253759672944865E-2</v>
      </c>
      <c r="DG109" s="966">
        <v>3.8253759672944865E-2</v>
      </c>
      <c r="DH109" s="946">
        <v>3.5859465737514418E-2</v>
      </c>
      <c r="DI109" s="946">
        <v>3.3453496755587508E-2</v>
      </c>
      <c r="DJ109" s="946">
        <v>3.0294369819948486E-2</v>
      </c>
      <c r="DK109" s="947">
        <v>2.8406693854591492E-2</v>
      </c>
      <c r="DL109" s="966">
        <v>2.8406693854591492E-2</v>
      </c>
      <c r="DM109" s="946">
        <v>3.3777154870357373E-2</v>
      </c>
      <c r="DN109" s="946">
        <v>3.9067950327891676E-2</v>
      </c>
      <c r="DO109" s="946">
        <v>4.4244105409154022E-2</v>
      </c>
      <c r="DP109" s="947">
        <v>4.8953917680842229E-2</v>
      </c>
      <c r="DQ109" s="966">
        <v>4.8953917680842229E-2</v>
      </c>
      <c r="DR109" s="946">
        <v>5.0162689804772231E-2</v>
      </c>
      <c r="DS109" s="946">
        <v>5.1295823821673192E-2</v>
      </c>
      <c r="DT109" s="946">
        <v>5.2330986850843475E-2</v>
      </c>
      <c r="DU109" s="947">
        <v>5.2926606700560486E-2</v>
      </c>
      <c r="DV109" s="966">
        <v>5.2926606700560486E-2</v>
      </c>
      <c r="DW109" s="946">
        <v>5.4221533694810198E-2</v>
      </c>
      <c r="DX109" s="946">
        <v>5.5434921445906227E-2</v>
      </c>
      <c r="DY109" s="946">
        <v>5.6544238293575688E-2</v>
      </c>
      <c r="DZ109" s="947">
        <v>5.7199455243283293E-2</v>
      </c>
      <c r="EA109" s="966">
        <v>5.7199455243283293E-2</v>
      </c>
      <c r="EB109" s="1008"/>
      <c r="EC109" s="965" t="s">
        <v>243</v>
      </c>
      <c r="ED109" s="948">
        <f t="shared" si="409"/>
        <v>3.5843920145190555E-2</v>
      </c>
      <c r="EE109" s="948">
        <v>4.1137326073805269E-2</v>
      </c>
      <c r="EF109" s="963">
        <f t="shared" si="413"/>
        <v>-52.934059286147139</v>
      </c>
      <c r="EG109" s="948">
        <f t="shared" si="411"/>
        <v>3.1030718852331107E-2</v>
      </c>
      <c r="EH109" s="964">
        <f t="shared" si="414"/>
        <v>48.132012928594477</v>
      </c>
      <c r="EI109" s="1008"/>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row>
    <row r="110" spans="1:259" s="936" customFormat="1" hidden="1" outlineLevel="1" x14ac:dyDescent="0.2">
      <c r="A110" s="940" t="s">
        <v>203</v>
      </c>
      <c r="B110" s="1848"/>
      <c r="C110" s="1573"/>
      <c r="D110" s="1573"/>
      <c r="E110" s="1574"/>
      <c r="F110" s="1575"/>
      <c r="G110" s="1849"/>
      <c r="H110" s="1576"/>
      <c r="I110" s="1576"/>
      <c r="J110" s="1577"/>
      <c r="K110" s="1575"/>
      <c r="L110" s="1849"/>
      <c r="M110" s="1576"/>
      <c r="N110" s="1576"/>
      <c r="O110" s="1578"/>
      <c r="P110" s="1575"/>
      <c r="Q110" s="1848"/>
      <c r="R110" s="1573"/>
      <c r="S110" s="1573"/>
      <c r="T110" s="1574"/>
      <c r="U110" s="1575"/>
      <c r="V110" s="1849"/>
      <c r="W110" s="1576"/>
      <c r="X110" s="1576"/>
      <c r="Y110" s="1578"/>
      <c r="Z110" s="1575"/>
      <c r="AA110" s="1849"/>
      <c r="AB110" s="1576"/>
      <c r="AC110" s="1576"/>
      <c r="AD110" s="1578"/>
      <c r="AE110" s="1575"/>
      <c r="AF110" s="1849"/>
      <c r="AG110" s="1576"/>
      <c r="AH110" s="1576"/>
      <c r="AI110" s="1578"/>
      <c r="AJ110" s="1575"/>
      <c r="AK110" s="1576"/>
      <c r="AL110" s="1576"/>
      <c r="AM110" s="1576"/>
      <c r="AN110" s="1578"/>
      <c r="AO110" s="1575"/>
      <c r="AP110" s="1576"/>
      <c r="AQ110" s="1576"/>
      <c r="AR110" s="1576"/>
      <c r="AS110" s="1578"/>
      <c r="AT110" s="1575"/>
      <c r="AU110" s="1576"/>
      <c r="AV110" s="1576"/>
      <c r="AW110" s="1576"/>
      <c r="AX110" s="1578"/>
      <c r="AY110" s="1575"/>
      <c r="AZ110" s="1579"/>
      <c r="BA110" s="1576"/>
      <c r="BB110" s="1576"/>
      <c r="BC110" s="1578"/>
      <c r="BD110" s="1575"/>
      <c r="BE110" s="1594">
        <v>0</v>
      </c>
      <c r="BF110" s="1594">
        <v>0</v>
      </c>
      <c r="BG110" s="1594">
        <v>0</v>
      </c>
      <c r="BH110" s="1595">
        <v>0</v>
      </c>
      <c r="BI110" s="1596">
        <v>0</v>
      </c>
      <c r="BJ110" s="1594">
        <v>0</v>
      </c>
      <c r="BK110" s="1594">
        <v>0</v>
      </c>
      <c r="BL110" s="1594">
        <v>0</v>
      </c>
      <c r="BM110" s="1595">
        <v>0</v>
      </c>
      <c r="BN110" s="1597">
        <v>0</v>
      </c>
      <c r="BO110" s="1594">
        <v>0</v>
      </c>
      <c r="BP110" s="1594">
        <v>0</v>
      </c>
      <c r="BQ110" s="1594">
        <v>0</v>
      </c>
      <c r="BR110" s="1595">
        <v>0</v>
      </c>
      <c r="BS110" s="1597">
        <v>0</v>
      </c>
      <c r="BT110" s="1594">
        <v>0</v>
      </c>
      <c r="BU110" s="1594">
        <v>0</v>
      </c>
      <c r="BV110" s="1594">
        <v>0</v>
      </c>
      <c r="BW110" s="1595">
        <v>0</v>
      </c>
      <c r="BX110" s="1597">
        <v>0</v>
      </c>
      <c r="BY110" s="1594">
        <v>0</v>
      </c>
      <c r="BZ110" s="1594">
        <v>0</v>
      </c>
      <c r="CA110" s="1594">
        <v>0</v>
      </c>
      <c r="CB110" s="1595">
        <v>0</v>
      </c>
      <c r="CC110" s="1597">
        <v>0</v>
      </c>
      <c r="CD110" s="1582">
        <v>0</v>
      </c>
      <c r="CE110" s="1582">
        <v>0</v>
      </c>
      <c r="CF110" s="1582">
        <v>0</v>
      </c>
      <c r="CG110" s="1583">
        <v>0</v>
      </c>
      <c r="CH110" s="1584">
        <v>0</v>
      </c>
      <c r="CI110" s="1582">
        <v>0</v>
      </c>
      <c r="CJ110" s="1582">
        <v>0</v>
      </c>
      <c r="CK110" s="1582">
        <v>0</v>
      </c>
      <c r="CL110" s="1583">
        <v>0</v>
      </c>
      <c r="CM110" s="1584">
        <v>0</v>
      </c>
      <c r="CN110" s="1582">
        <v>0</v>
      </c>
      <c r="CO110" s="1582">
        <v>0</v>
      </c>
      <c r="CP110" s="1582">
        <v>0</v>
      </c>
      <c r="CQ110" s="1900">
        <v>0</v>
      </c>
      <c r="CR110" s="1960">
        <v>0</v>
      </c>
      <c r="CS110" s="2077">
        <v>0</v>
      </c>
      <c r="CT110" s="2077">
        <v>0</v>
      </c>
      <c r="CU110" s="2077">
        <v>0</v>
      </c>
      <c r="CV110" s="1900">
        <v>0</v>
      </c>
      <c r="CW110" s="961">
        <v>0</v>
      </c>
      <c r="CX110" s="959">
        <v>0</v>
      </c>
      <c r="CY110" s="959">
        <v>0</v>
      </c>
      <c r="CZ110" s="959">
        <v>0</v>
      </c>
      <c r="DA110" s="960">
        <v>0</v>
      </c>
      <c r="DB110" s="961">
        <v>0</v>
      </c>
      <c r="DC110" s="959">
        <v>0</v>
      </c>
      <c r="DD110" s="959">
        <v>0</v>
      </c>
      <c r="DE110" s="959">
        <v>0</v>
      </c>
      <c r="DF110" s="960">
        <v>0</v>
      </c>
      <c r="DG110" s="961">
        <v>0</v>
      </c>
      <c r="DH110" s="959">
        <v>0</v>
      </c>
      <c r="DI110" s="959">
        <v>0</v>
      </c>
      <c r="DJ110" s="959">
        <v>0</v>
      </c>
      <c r="DK110" s="960">
        <v>0</v>
      </c>
      <c r="DL110" s="961">
        <v>0</v>
      </c>
      <c r="DM110" s="959">
        <v>0</v>
      </c>
      <c r="DN110" s="959">
        <v>0</v>
      </c>
      <c r="DO110" s="959">
        <v>0</v>
      </c>
      <c r="DP110" s="960">
        <v>0</v>
      </c>
      <c r="DQ110" s="961">
        <v>0</v>
      </c>
      <c r="DR110" s="959">
        <v>0</v>
      </c>
      <c r="DS110" s="959">
        <v>0</v>
      </c>
      <c r="DT110" s="959">
        <v>0</v>
      </c>
      <c r="DU110" s="960">
        <v>0</v>
      </c>
      <c r="DV110" s="961">
        <v>0</v>
      </c>
      <c r="DW110" s="959">
        <v>0</v>
      </c>
      <c r="DX110" s="959">
        <v>0</v>
      </c>
      <c r="DY110" s="959">
        <v>0</v>
      </c>
      <c r="DZ110" s="960">
        <v>0</v>
      </c>
      <c r="EA110" s="961">
        <v>0</v>
      </c>
      <c r="EB110" s="1008"/>
      <c r="EC110" s="1009" t="s">
        <v>203</v>
      </c>
      <c r="ED110" s="948">
        <f t="shared" si="409"/>
        <v>0</v>
      </c>
      <c r="EE110" s="977">
        <v>0</v>
      </c>
      <c r="EF110" s="978">
        <f>ED110-EE110</f>
        <v>0</v>
      </c>
      <c r="EG110" s="948">
        <f t="shared" si="411"/>
        <v>0</v>
      </c>
      <c r="EH110" s="951">
        <f>ED110-EG110</f>
        <v>0</v>
      </c>
      <c r="EI110" s="1008"/>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row>
    <row r="111" spans="1:259" s="936" customFormat="1" hidden="1" outlineLevel="1" x14ac:dyDescent="0.2">
      <c r="A111" s="940" t="s">
        <v>443</v>
      </c>
      <c r="B111" s="1848"/>
      <c r="C111" s="1573"/>
      <c r="D111" s="1573"/>
      <c r="E111" s="1574"/>
      <c r="F111" s="1575"/>
      <c r="G111" s="1849"/>
      <c r="H111" s="1576"/>
      <c r="I111" s="1576"/>
      <c r="J111" s="1577"/>
      <c r="K111" s="1575"/>
      <c r="L111" s="1849"/>
      <c r="M111" s="1576"/>
      <c r="N111" s="1576"/>
      <c r="O111" s="1578"/>
      <c r="P111" s="1575"/>
      <c r="Q111" s="1848"/>
      <c r="R111" s="1573"/>
      <c r="S111" s="1573"/>
      <c r="T111" s="1574"/>
      <c r="U111" s="1575"/>
      <c r="V111" s="1849"/>
      <c r="W111" s="1576"/>
      <c r="X111" s="1576"/>
      <c r="Y111" s="1578"/>
      <c r="Z111" s="1575"/>
      <c r="AA111" s="1849"/>
      <c r="AB111" s="1576"/>
      <c r="AC111" s="1576"/>
      <c r="AD111" s="1578"/>
      <c r="AE111" s="1575"/>
      <c r="AF111" s="1849"/>
      <c r="AG111" s="1576"/>
      <c r="AH111" s="1576"/>
      <c r="AI111" s="1578"/>
      <c r="AJ111" s="1575"/>
      <c r="AK111" s="1576"/>
      <c r="AL111" s="1576"/>
      <c r="AM111" s="1576"/>
      <c r="AN111" s="1578"/>
      <c r="AO111" s="1575"/>
      <c r="AP111" s="1576"/>
      <c r="AQ111" s="1576"/>
      <c r="AR111" s="1576"/>
      <c r="AS111" s="1578"/>
      <c r="AT111" s="1575"/>
      <c r="AU111" s="1576"/>
      <c r="AV111" s="1576"/>
      <c r="AW111" s="1576"/>
      <c r="AX111" s="1578"/>
      <c r="AY111" s="1575"/>
      <c r="AZ111" s="1579"/>
      <c r="BA111" s="1576"/>
      <c r="BB111" s="1576"/>
      <c r="BC111" s="1578"/>
      <c r="BD111" s="1575"/>
      <c r="BE111" s="1594">
        <v>0</v>
      </c>
      <c r="BF111" s="1594">
        <v>0</v>
      </c>
      <c r="BG111" s="1594">
        <v>0</v>
      </c>
      <c r="BH111" s="1595">
        <v>0</v>
      </c>
      <c r="BI111" s="1596">
        <v>0</v>
      </c>
      <c r="BJ111" s="1594">
        <v>0</v>
      </c>
      <c r="BK111" s="1594">
        <v>0</v>
      </c>
      <c r="BL111" s="1594">
        <v>0</v>
      </c>
      <c r="BM111" s="1595">
        <v>0</v>
      </c>
      <c r="BN111" s="1597">
        <v>0</v>
      </c>
      <c r="BO111" s="1594">
        <v>0</v>
      </c>
      <c r="BP111" s="1594">
        <v>0</v>
      </c>
      <c r="BQ111" s="1594">
        <v>0</v>
      </c>
      <c r="BR111" s="1595">
        <v>0</v>
      </c>
      <c r="BS111" s="1597">
        <v>0</v>
      </c>
      <c r="BT111" s="1594">
        <v>0</v>
      </c>
      <c r="BU111" s="1594">
        <v>0</v>
      </c>
      <c r="BV111" s="1594">
        <v>0</v>
      </c>
      <c r="BW111" s="1595">
        <v>0</v>
      </c>
      <c r="BX111" s="1597">
        <v>0</v>
      </c>
      <c r="BY111" s="1594">
        <v>0</v>
      </c>
      <c r="BZ111" s="1594">
        <v>0</v>
      </c>
      <c r="CA111" s="1594">
        <v>0</v>
      </c>
      <c r="CB111" s="1595">
        <v>0</v>
      </c>
      <c r="CC111" s="1597">
        <v>0</v>
      </c>
      <c r="CD111" s="1582">
        <v>127</v>
      </c>
      <c r="CE111" s="1582">
        <v>127</v>
      </c>
      <c r="CF111" s="1582">
        <v>122</v>
      </c>
      <c r="CG111" s="1583">
        <v>119</v>
      </c>
      <c r="CH111" s="1584">
        <v>119</v>
      </c>
      <c r="CI111" s="1582">
        <v>119</v>
      </c>
      <c r="CJ111" s="1582">
        <v>119</v>
      </c>
      <c r="CK111" s="1582">
        <v>119</v>
      </c>
      <c r="CL111" s="1583">
        <v>119</v>
      </c>
      <c r="CM111" s="1584">
        <v>119</v>
      </c>
      <c r="CN111" s="1582">
        <v>119</v>
      </c>
      <c r="CO111" s="1582">
        <v>119</v>
      </c>
      <c r="CP111" s="1582">
        <v>119</v>
      </c>
      <c r="CQ111" s="1900">
        <v>119</v>
      </c>
      <c r="CR111" s="1960">
        <v>119</v>
      </c>
      <c r="CS111" s="2077">
        <v>119</v>
      </c>
      <c r="CT111" s="2077">
        <v>119</v>
      </c>
      <c r="CU111" s="2077">
        <v>119</v>
      </c>
      <c r="CV111" s="1900">
        <v>119</v>
      </c>
      <c r="CW111" s="961">
        <v>119</v>
      </c>
      <c r="CX111" s="959">
        <v>119</v>
      </c>
      <c r="CY111" s="959">
        <v>119</v>
      </c>
      <c r="CZ111" s="959">
        <v>119</v>
      </c>
      <c r="DA111" s="960">
        <v>119</v>
      </c>
      <c r="DB111" s="961">
        <v>119</v>
      </c>
      <c r="DC111" s="959">
        <v>119</v>
      </c>
      <c r="DD111" s="959">
        <v>119</v>
      </c>
      <c r="DE111" s="959">
        <v>119</v>
      </c>
      <c r="DF111" s="960">
        <v>119</v>
      </c>
      <c r="DG111" s="961">
        <v>119</v>
      </c>
      <c r="DH111" s="959">
        <v>119</v>
      </c>
      <c r="DI111" s="959">
        <v>119</v>
      </c>
      <c r="DJ111" s="959">
        <v>119</v>
      </c>
      <c r="DK111" s="960">
        <v>119</v>
      </c>
      <c r="DL111" s="961">
        <v>119</v>
      </c>
      <c r="DM111" s="959">
        <v>119</v>
      </c>
      <c r="DN111" s="959">
        <v>119</v>
      </c>
      <c r="DO111" s="959">
        <v>119</v>
      </c>
      <c r="DP111" s="960">
        <v>119</v>
      </c>
      <c r="DQ111" s="961">
        <v>119</v>
      </c>
      <c r="DR111" s="959">
        <v>0</v>
      </c>
      <c r="DS111" s="959">
        <v>0</v>
      </c>
      <c r="DT111" s="959">
        <v>0</v>
      </c>
      <c r="DU111" s="960">
        <v>0</v>
      </c>
      <c r="DV111" s="961">
        <v>0</v>
      </c>
      <c r="DW111" s="959">
        <v>0</v>
      </c>
      <c r="DX111" s="959">
        <v>0</v>
      </c>
      <c r="DY111" s="959">
        <v>0</v>
      </c>
      <c r="DZ111" s="960">
        <v>0</v>
      </c>
      <c r="EA111" s="961">
        <v>0</v>
      </c>
      <c r="EB111" s="1008"/>
      <c r="EC111" s="1009" t="s">
        <v>443</v>
      </c>
      <c r="ED111" s="948">
        <f t="shared" si="409"/>
        <v>119</v>
      </c>
      <c r="EE111" s="948">
        <v>119</v>
      </c>
      <c r="EF111" s="950">
        <f>ED111-EE111</f>
        <v>0</v>
      </c>
      <c r="EG111" s="948">
        <f t="shared" si="411"/>
        <v>119</v>
      </c>
      <c r="EH111" s="951">
        <f>ED111-EG111</f>
        <v>0</v>
      </c>
      <c r="EI111" s="1008"/>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row>
    <row r="112" spans="1:259" s="936" customFormat="1" collapsed="1" x14ac:dyDescent="0.2">
      <c r="A112" s="940" t="s">
        <v>0</v>
      </c>
      <c r="B112" s="1848"/>
      <c r="C112" s="1573"/>
      <c r="D112" s="1573"/>
      <c r="E112" s="1574"/>
      <c r="F112" s="1575"/>
      <c r="G112" s="1849"/>
      <c r="H112" s="1576"/>
      <c r="I112" s="1576"/>
      <c r="J112" s="1577"/>
      <c r="K112" s="1575"/>
      <c r="L112" s="1849"/>
      <c r="M112" s="1576"/>
      <c r="N112" s="1576"/>
      <c r="O112" s="1578"/>
      <c r="P112" s="1575"/>
      <c r="Q112" s="1848"/>
      <c r="R112" s="1573"/>
      <c r="S112" s="1573"/>
      <c r="T112" s="1574"/>
      <c r="U112" s="1575"/>
      <c r="V112" s="1849"/>
      <c r="W112" s="1576"/>
      <c r="X112" s="1576"/>
      <c r="Y112" s="1578"/>
      <c r="Z112" s="1575"/>
      <c r="AA112" s="1849"/>
      <c r="AB112" s="1576"/>
      <c r="AC112" s="1576"/>
      <c r="AD112" s="1578"/>
      <c r="AE112" s="1575"/>
      <c r="AF112" s="1849"/>
      <c r="AG112" s="1576"/>
      <c r="AH112" s="1576"/>
      <c r="AI112" s="1578"/>
      <c r="AJ112" s="1575"/>
      <c r="AK112" s="1576"/>
      <c r="AL112" s="1576"/>
      <c r="AM112" s="1576"/>
      <c r="AN112" s="1578"/>
      <c r="AO112" s="1575"/>
      <c r="AP112" s="1576"/>
      <c r="AQ112" s="1576"/>
      <c r="AR112" s="1576"/>
      <c r="AS112" s="1578"/>
      <c r="AT112" s="1575"/>
      <c r="AU112" s="1576"/>
      <c r="AV112" s="1576"/>
      <c r="AW112" s="1576"/>
      <c r="AX112" s="1578"/>
      <c r="AY112" s="1575"/>
      <c r="AZ112" s="1579"/>
      <c r="BA112" s="1576"/>
      <c r="BB112" s="1576"/>
      <c r="BC112" s="1578"/>
      <c r="BD112" s="1575"/>
      <c r="BE112" s="1594">
        <v>0</v>
      </c>
      <c r="BF112" s="1594">
        <v>0</v>
      </c>
      <c r="BG112" s="1594">
        <v>0</v>
      </c>
      <c r="BH112" s="1595">
        <v>0</v>
      </c>
      <c r="BI112" s="1596">
        <v>0</v>
      </c>
      <c r="BJ112" s="1594">
        <v>0</v>
      </c>
      <c r="BK112" s="1594">
        <v>0</v>
      </c>
      <c r="BL112" s="1594">
        <v>0</v>
      </c>
      <c r="BM112" s="1595">
        <v>0</v>
      </c>
      <c r="BN112" s="1597">
        <v>0</v>
      </c>
      <c r="BO112" s="1594">
        <v>0</v>
      </c>
      <c r="BP112" s="1594">
        <v>0</v>
      </c>
      <c r="BQ112" s="1594">
        <v>0</v>
      </c>
      <c r="BR112" s="1595">
        <v>0</v>
      </c>
      <c r="BS112" s="1597">
        <v>0</v>
      </c>
      <c r="BT112" s="1594">
        <v>0</v>
      </c>
      <c r="BU112" s="1594">
        <v>0</v>
      </c>
      <c r="BV112" s="1594">
        <v>0</v>
      </c>
      <c r="BW112" s="1595">
        <v>0</v>
      </c>
      <c r="BX112" s="1598">
        <v>0</v>
      </c>
      <c r="BY112" s="1599">
        <v>0</v>
      </c>
      <c r="BZ112" s="1599">
        <v>0</v>
      </c>
      <c r="CA112" s="1599">
        <v>0</v>
      </c>
      <c r="CB112" s="1600">
        <v>0</v>
      </c>
      <c r="CC112" s="1598">
        <v>0</v>
      </c>
      <c r="CD112" s="1601">
        <v>0.27468272746827282</v>
      </c>
      <c r="CE112" s="1601">
        <v>0.13921157874690526</v>
      </c>
      <c r="CF112" s="1601">
        <v>0.11717882265827462</v>
      </c>
      <c r="CG112" s="1602">
        <v>9.028990569332862E-2</v>
      </c>
      <c r="CH112" s="1603">
        <v>9.028990569332862E-2</v>
      </c>
      <c r="CI112" s="1601">
        <v>6.8511643604455053E-2</v>
      </c>
      <c r="CJ112" s="1601">
        <v>6.7703109327983846E-2</v>
      </c>
      <c r="CK112" s="1601">
        <v>6.3628831814415809E-2</v>
      </c>
      <c r="CL112" s="1602">
        <v>7.5604677238507056E-2</v>
      </c>
      <c r="CM112" s="1603">
        <v>7.5604677238507056E-2</v>
      </c>
      <c r="CN112" s="1601">
        <v>8.1174984207201595E-2</v>
      </c>
      <c r="CO112" s="1601">
        <v>7.296070142476907E-2</v>
      </c>
      <c r="CP112" s="1601">
        <v>6.9792802617230087E-2</v>
      </c>
      <c r="CQ112" s="1901">
        <v>6.8652271034996382E-2</v>
      </c>
      <c r="CR112" s="1962">
        <v>6.8652271034996382E-2</v>
      </c>
      <c r="CS112" s="2078">
        <v>-0.32383191196834138</v>
      </c>
      <c r="CT112" s="2078">
        <v>-0.32320870791803868</v>
      </c>
      <c r="CU112" s="2078">
        <v>-0.31847108675199587</v>
      </c>
      <c r="CV112" s="1901">
        <v>-0.33193400099267556</v>
      </c>
      <c r="CW112" s="1311">
        <v>-0.3237121503795205</v>
      </c>
      <c r="CX112" s="1312">
        <v>3.8238008343891128E-2</v>
      </c>
      <c r="CY112" s="1312">
        <v>4.1828243859231229E-2</v>
      </c>
      <c r="CZ112" s="1312">
        <v>4.0809870391746328E-2</v>
      </c>
      <c r="DA112" s="1313">
        <v>4.0051416688850594E-2</v>
      </c>
      <c r="DB112" s="1311">
        <v>2.7407174473328411E-2</v>
      </c>
      <c r="DC112" s="959">
        <v>5.0560092070448093E-2</v>
      </c>
      <c r="DD112" s="959">
        <v>5.1737111008657743E-2</v>
      </c>
      <c r="DE112" s="959">
        <v>5.2555165759453182E-2</v>
      </c>
      <c r="DF112" s="960">
        <v>5.4352251615171099E-2</v>
      </c>
      <c r="DG112" s="961">
        <v>5.4352251615171099E-2</v>
      </c>
      <c r="DH112" s="959">
        <v>5.407094256548417E-2</v>
      </c>
      <c r="DI112" s="959">
        <v>5.4703534195924108E-2</v>
      </c>
      <c r="DJ112" s="959">
        <v>5.5198733451845339E-2</v>
      </c>
      <c r="DK112" s="960">
        <v>5.5735922903183077E-2</v>
      </c>
      <c r="DL112" s="961">
        <v>5.5735922903183077E-2</v>
      </c>
      <c r="DM112" s="959">
        <v>5.5994737783119142E-2</v>
      </c>
      <c r="DN112" s="959">
        <v>5.6530541505129372E-2</v>
      </c>
      <c r="DO112" s="959">
        <v>5.6931920356277699E-2</v>
      </c>
      <c r="DP112" s="960">
        <v>5.6396214566053482E-2</v>
      </c>
      <c r="DQ112" s="961">
        <v>5.6396214566053482E-2</v>
      </c>
      <c r="DR112" s="959">
        <v>0</v>
      </c>
      <c r="DS112" s="959">
        <v>0</v>
      </c>
      <c r="DT112" s="959">
        <v>0</v>
      </c>
      <c r="DU112" s="960">
        <v>0</v>
      </c>
      <c r="DV112" s="961">
        <v>0</v>
      </c>
      <c r="DW112" s="959">
        <v>0</v>
      </c>
      <c r="DX112" s="959">
        <v>0</v>
      </c>
      <c r="DY112" s="959">
        <v>0</v>
      </c>
      <c r="DZ112" s="960">
        <v>0</v>
      </c>
      <c r="EA112" s="961">
        <v>0</v>
      </c>
      <c r="EB112" s="1008"/>
      <c r="EC112" s="1009" t="s">
        <v>0</v>
      </c>
      <c r="ED112" s="948">
        <f t="shared" si="409"/>
        <v>4.0051416688850594E-2</v>
      </c>
      <c r="EE112" s="948">
        <v>3.3793718162627329E-2</v>
      </c>
      <c r="EF112" s="950">
        <f>ED112-EE112</f>
        <v>6.2576985262232654E-3</v>
      </c>
      <c r="EG112" s="948">
        <f t="shared" si="411"/>
        <v>-0.33193400099267556</v>
      </c>
      <c r="EH112" s="951">
        <f>ED112-EG112</f>
        <v>0.37198541768152615</v>
      </c>
      <c r="EI112" s="1008"/>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row>
    <row r="113" spans="1:259" s="936" customFormat="1" x14ac:dyDescent="0.2">
      <c r="A113" s="940" t="s">
        <v>526</v>
      </c>
      <c r="B113" s="1848"/>
      <c r="C113" s="1573"/>
      <c r="D113" s="1573"/>
      <c r="E113" s="1574"/>
      <c r="F113" s="1575"/>
      <c r="G113" s="1849"/>
      <c r="H113" s="1576"/>
      <c r="I113" s="1576"/>
      <c r="J113" s="1577"/>
      <c r="K113" s="1575"/>
      <c r="L113" s="1849"/>
      <c r="M113" s="1576"/>
      <c r="N113" s="1576"/>
      <c r="O113" s="1578"/>
      <c r="P113" s="1575"/>
      <c r="Q113" s="1848"/>
      <c r="R113" s="1573"/>
      <c r="S113" s="1573"/>
      <c r="T113" s="1574"/>
      <c r="U113" s="1575"/>
      <c r="V113" s="1849"/>
      <c r="W113" s="1576"/>
      <c r="X113" s="1576"/>
      <c r="Y113" s="1578"/>
      <c r="Z113" s="1575"/>
      <c r="AA113" s="1849"/>
      <c r="AB113" s="1576"/>
      <c r="AC113" s="1576"/>
      <c r="AD113" s="1578"/>
      <c r="AE113" s="1575"/>
      <c r="AF113" s="1849"/>
      <c r="AG113" s="1576"/>
      <c r="AH113" s="1576"/>
      <c r="AI113" s="1578"/>
      <c r="AJ113" s="1575"/>
      <c r="AK113" s="1576"/>
      <c r="AL113" s="1576"/>
      <c r="AM113" s="1576"/>
      <c r="AN113" s="1578"/>
      <c r="AO113" s="1575"/>
      <c r="AP113" s="1576"/>
      <c r="AQ113" s="1576"/>
      <c r="AR113" s="1576"/>
      <c r="AS113" s="1578"/>
      <c r="AT113" s="1575"/>
      <c r="AU113" s="1576"/>
      <c r="AV113" s="1576"/>
      <c r="AW113" s="1576"/>
      <c r="AX113" s="1578"/>
      <c r="AY113" s="1575"/>
      <c r="AZ113" s="1579"/>
      <c r="BA113" s="1576"/>
      <c r="BB113" s="1576"/>
      <c r="BC113" s="1578"/>
      <c r="BD113" s="1575"/>
      <c r="BE113" s="1594"/>
      <c r="BF113" s="1594"/>
      <c r="BG113" s="1594"/>
      <c r="BH113" s="1595"/>
      <c r="BI113" s="1596"/>
      <c r="BJ113" s="1594"/>
      <c r="BK113" s="1594"/>
      <c r="BL113" s="1594"/>
      <c r="BM113" s="1595"/>
      <c r="BN113" s="1597"/>
      <c r="BO113" s="1594"/>
      <c r="BP113" s="1594"/>
      <c r="BQ113" s="1594"/>
      <c r="BR113" s="1595"/>
      <c r="BS113" s="1597"/>
      <c r="BT113" s="1594"/>
      <c r="BU113" s="1594"/>
      <c r="BV113" s="1594"/>
      <c r="BW113" s="1595"/>
      <c r="BX113" s="1597"/>
      <c r="BY113" s="1594"/>
      <c r="BZ113" s="1594"/>
      <c r="CA113" s="1594"/>
      <c r="CB113" s="1595"/>
      <c r="CC113" s="1597"/>
      <c r="CD113" s="1582">
        <v>2.8840949509008063E-2</v>
      </c>
      <c r="CE113" s="1582">
        <v>2.7434877454125539E-2</v>
      </c>
      <c r="CF113" s="1582">
        <v>2.8953286312991988E-2</v>
      </c>
      <c r="CG113" s="1583">
        <v>2.7973430254417897E-2</v>
      </c>
      <c r="CH113" s="1584">
        <v>2.7973430254417897E-2</v>
      </c>
      <c r="CI113" s="1582">
        <v>4.5994288290996499E-2</v>
      </c>
      <c r="CJ113" s="1582">
        <v>4.5561272918019702E-2</v>
      </c>
      <c r="CK113" s="1582">
        <v>3.6681981870110514E-2</v>
      </c>
      <c r="CL113" s="1583">
        <v>3.5088147082489973E-2</v>
      </c>
      <c r="CM113" s="1584">
        <v>3.5088147082489973E-2</v>
      </c>
      <c r="CN113" s="1582">
        <v>0</v>
      </c>
      <c r="CO113" s="1582">
        <v>0</v>
      </c>
      <c r="CP113" s="1582">
        <v>0</v>
      </c>
      <c r="CQ113" s="1900">
        <v>0</v>
      </c>
      <c r="CR113" s="1960">
        <v>0</v>
      </c>
      <c r="CS113" s="2077">
        <v>2.6661514683153031E-2</v>
      </c>
      <c r="CT113" s="2077">
        <v>2.9462029125045142E-2</v>
      </c>
      <c r="CU113" s="2077">
        <v>2.872312438715241E-2</v>
      </c>
      <c r="CV113" s="1900">
        <v>2.8203498363820412E-2</v>
      </c>
      <c r="CW113" s="961">
        <v>2.8203498363820412E-2</v>
      </c>
      <c r="CX113" s="959">
        <v>3.0720737674068577E-2</v>
      </c>
      <c r="CY113" s="959">
        <v>2.8595478033154764E-2</v>
      </c>
      <c r="CZ113" s="959">
        <v>3.1106151485562838E-2</v>
      </c>
      <c r="DA113" s="960">
        <v>3.2261018889524928E-2</v>
      </c>
      <c r="DB113" s="961">
        <v>3.2261018889524928E-2</v>
      </c>
      <c r="DC113" s="959">
        <v>3.3890182116938172E-2</v>
      </c>
      <c r="DD113" s="959">
        <v>3.7324968176031925E-2</v>
      </c>
      <c r="DE113" s="959">
        <v>3.8216991341991413E-2</v>
      </c>
      <c r="DF113" s="960">
        <v>4.0258184721852608E-2</v>
      </c>
      <c r="DG113" s="961">
        <v>4.0258184721852608E-2</v>
      </c>
      <c r="DH113" s="959">
        <v>4.0571264596163559E-2</v>
      </c>
      <c r="DI113" s="959">
        <v>4.1175439365385369E-2</v>
      </c>
      <c r="DJ113" s="959">
        <v>4.1544508871370622E-2</v>
      </c>
      <c r="DK113" s="960">
        <v>4.1472099618328651E-2</v>
      </c>
      <c r="DL113" s="961">
        <v>4.1472099618328651E-2</v>
      </c>
      <c r="DM113" s="959">
        <v>4.1768312085021631E-2</v>
      </c>
      <c r="DN113" s="959">
        <v>4.1946414665460008E-2</v>
      </c>
      <c r="DO113" s="959">
        <v>4.3098415346121799E-2</v>
      </c>
      <c r="DP113" s="960">
        <v>4.2809761690279169E-2</v>
      </c>
      <c r="DQ113" s="961">
        <v>4.2809761690279169E-2</v>
      </c>
      <c r="DR113" s="959">
        <v>4.2924048055385855E-2</v>
      </c>
      <c r="DS113" s="959">
        <v>4.292409000929176E-2</v>
      </c>
      <c r="DT113" s="959">
        <v>4.2816878885401977E-2</v>
      </c>
      <c r="DU113" s="960">
        <v>4.238735643467173E-2</v>
      </c>
      <c r="DV113" s="961">
        <v>4.238735643467173E-2</v>
      </c>
      <c r="DW113" s="959">
        <v>4.2582685774532392E-2</v>
      </c>
      <c r="DX113" s="959">
        <v>4.2765005519939558E-2</v>
      </c>
      <c r="DY113" s="959">
        <v>4.274569188598587E-2</v>
      </c>
      <c r="DZ113" s="960">
        <v>4.2415338833013072E-2</v>
      </c>
      <c r="EA113" s="961">
        <v>4.2415338833013072E-2</v>
      </c>
      <c r="EB113" s="1008"/>
      <c r="EC113" s="1009"/>
      <c r="ED113" s="948"/>
      <c r="EE113" s="948"/>
      <c r="EF113" s="950"/>
      <c r="EG113" s="948"/>
      <c r="EH113" s="951"/>
      <c r="EI113" s="1008"/>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row>
    <row r="114" spans="1:259" s="337" customFormat="1" x14ac:dyDescent="0.2">
      <c r="A114" s="689" t="s">
        <v>440</v>
      </c>
      <c r="B114" s="1513"/>
      <c r="C114" s="1513"/>
      <c r="D114" s="1513"/>
      <c r="E114" s="1513"/>
      <c r="F114" s="1604"/>
      <c r="G114" s="1604"/>
      <c r="H114" s="1604"/>
      <c r="I114" s="1604"/>
      <c r="J114" s="1604"/>
      <c r="K114" s="1604"/>
      <c r="L114" s="1604"/>
      <c r="M114" s="1604"/>
      <c r="N114" s="1604"/>
      <c r="O114" s="1604"/>
      <c r="P114" s="1604"/>
      <c r="Q114" s="1604"/>
      <c r="R114" s="1604"/>
      <c r="S114" s="1604"/>
      <c r="T114" s="1604"/>
      <c r="U114" s="1604"/>
      <c r="V114" s="1511"/>
      <c r="W114" s="1511"/>
      <c r="X114" s="1511"/>
      <c r="Y114" s="1511"/>
      <c r="Z114" s="1511"/>
      <c r="AA114" s="1511"/>
      <c r="AB114" s="1511"/>
      <c r="AC114" s="1511"/>
      <c r="AD114" s="1511"/>
      <c r="AE114" s="1511"/>
      <c r="AF114" s="1511"/>
      <c r="AG114" s="1511"/>
      <c r="AH114" s="1511"/>
      <c r="AI114" s="1511"/>
      <c r="AJ114" s="1511"/>
      <c r="AK114" s="1511"/>
      <c r="AL114" s="1511"/>
      <c r="AM114" s="1511"/>
      <c r="AN114" s="1511"/>
      <c r="AO114" s="1511"/>
      <c r="AP114" s="1511"/>
      <c r="AQ114" s="1511"/>
      <c r="AR114" s="1511"/>
      <c r="AS114" s="1511"/>
      <c r="AT114" s="1511"/>
      <c r="AU114" s="1511"/>
      <c r="AV114" s="1511"/>
      <c r="AW114" s="1511"/>
      <c r="AX114" s="1511"/>
      <c r="AY114" s="1511"/>
      <c r="AZ114" s="1511"/>
      <c r="BA114" s="1511"/>
      <c r="BB114" s="1511"/>
      <c r="BC114" s="1511"/>
      <c r="BD114" s="1514"/>
      <c r="BE114" s="1511"/>
      <c r="BF114" s="1511"/>
      <c r="BG114" s="1511"/>
      <c r="BH114" s="1511"/>
      <c r="BI114" s="1514"/>
      <c r="BJ114" s="1511"/>
      <c r="BK114" s="1511"/>
      <c r="BL114" s="1511"/>
      <c r="BM114" s="1511"/>
      <c r="BN114" s="1515"/>
      <c r="BO114" s="1511"/>
      <c r="BP114" s="1511"/>
      <c r="BQ114" s="1511"/>
      <c r="BR114" s="1511"/>
      <c r="BS114" s="1515"/>
      <c r="BT114" s="1511"/>
      <c r="BU114" s="1511"/>
      <c r="BV114" s="1511"/>
      <c r="BW114" s="1511"/>
      <c r="BX114" s="1515"/>
      <c r="BY114" s="1511"/>
      <c r="BZ114" s="1511"/>
      <c r="CA114" s="1511"/>
      <c r="CB114" s="1511"/>
      <c r="CC114" s="1515"/>
      <c r="CD114" s="1605"/>
      <c r="CE114" s="1605"/>
      <c r="CF114" s="1605"/>
      <c r="CG114" s="1605"/>
      <c r="CH114" s="2009"/>
      <c r="CI114" s="1999"/>
      <c r="CJ114" s="1999"/>
      <c r="CK114" s="1999"/>
      <c r="CL114" s="1999"/>
      <c r="CM114" s="2001"/>
      <c r="CN114" s="2003"/>
      <c r="CO114" s="1999"/>
      <c r="CP114" s="1999"/>
      <c r="CQ114" s="1999"/>
      <c r="CR114" s="2001"/>
      <c r="CS114" s="3"/>
      <c r="CT114" s="3"/>
      <c r="CU114" s="3"/>
      <c r="CV114" s="1160"/>
      <c r="CW114" s="1169"/>
      <c r="CX114" s="3"/>
      <c r="CY114" s="3"/>
      <c r="CZ114" s="3"/>
      <c r="DA114" s="1160"/>
      <c r="DB114" s="1169"/>
      <c r="DC114" s="3"/>
      <c r="DD114" s="3"/>
      <c r="DE114" s="3"/>
      <c r="DF114" s="1160"/>
      <c r="DG114" s="1169"/>
      <c r="DH114" s="3"/>
      <c r="DI114" s="3"/>
      <c r="DJ114" s="3"/>
      <c r="DK114" s="3"/>
      <c r="DL114" s="1169"/>
      <c r="DM114" s="3"/>
      <c r="DN114" s="3"/>
      <c r="DO114" s="3"/>
      <c r="DP114" s="3"/>
      <c r="DQ114" s="1169"/>
      <c r="DR114" s="3"/>
      <c r="DS114" s="3"/>
      <c r="DT114" s="3"/>
      <c r="DU114" s="3"/>
      <c r="DV114" s="1169"/>
      <c r="DW114" s="3"/>
      <c r="DX114" s="3"/>
      <c r="DY114" s="3"/>
      <c r="DZ114" s="3"/>
      <c r="EA114" s="1169"/>
      <c r="EB114" s="11"/>
      <c r="EC114"/>
      <c r="ED114"/>
      <c r="EE114"/>
      <c r="EF114"/>
      <c r="EG114"/>
      <c r="EH114"/>
      <c r="EI114" s="11"/>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row>
    <row r="115" spans="1:259" s="337" customFormat="1" ht="12.75" customHeight="1" x14ac:dyDescent="0.35">
      <c r="A115" s="431" t="s">
        <v>437</v>
      </c>
      <c r="B115" s="1396"/>
      <c r="C115" s="1396"/>
      <c r="D115" s="1396"/>
      <c r="E115" s="1396"/>
      <c r="F115" s="1397"/>
      <c r="G115" s="1850"/>
      <c r="H115" s="1396"/>
      <c r="I115" s="1396"/>
      <c r="J115" s="1398"/>
      <c r="K115" s="1399"/>
      <c r="L115" s="1396"/>
      <c r="M115" s="1396"/>
      <c r="N115" s="1396"/>
      <c r="O115" s="1399"/>
      <c r="P115" s="1397"/>
      <c r="Q115" s="1850"/>
      <c r="R115" s="1396"/>
      <c r="S115" s="1396"/>
      <c r="T115" s="1396"/>
      <c r="U115" s="1397"/>
      <c r="V115" s="1803"/>
      <c r="W115" s="1357"/>
      <c r="X115" s="1357"/>
      <c r="Y115" s="1357"/>
      <c r="Z115" s="1375"/>
      <c r="AA115" s="1357"/>
      <c r="AB115" s="1357"/>
      <c r="AC115" s="1357"/>
      <c r="AD115" s="1357"/>
      <c r="AE115" s="1375"/>
      <c r="AF115" s="1357">
        <f>BS!AH12</f>
        <v>175</v>
      </c>
      <c r="AG115" s="1357">
        <f>BS!AI12</f>
        <v>164</v>
      </c>
      <c r="AH115" s="1357">
        <f>BS!AJ12</f>
        <v>298</v>
      </c>
      <c r="AI115" s="1357">
        <f>BS!AK12</f>
        <v>192</v>
      </c>
      <c r="AJ115" s="1375">
        <f>BS!AL12</f>
        <v>192</v>
      </c>
      <c r="AK115" s="1357">
        <f>BS!AM12</f>
        <v>129</v>
      </c>
      <c r="AL115" s="1357">
        <f>BS!AN12</f>
        <v>183</v>
      </c>
      <c r="AM115" s="1357">
        <f>BS!AO12</f>
        <v>387</v>
      </c>
      <c r="AN115" s="1357">
        <f>BS!AP12</f>
        <v>62</v>
      </c>
      <c r="AO115" s="1375">
        <f>BS!AQ12</f>
        <v>62</v>
      </c>
      <c r="AP115" s="1357">
        <f>BS!AR12</f>
        <v>118</v>
      </c>
      <c r="AQ115" s="1357">
        <f>BS!AS12</f>
        <v>113</v>
      </c>
      <c r="AR115" s="1357">
        <f>BS!AT12</f>
        <v>263</v>
      </c>
      <c r="AS115" s="1357">
        <f>BS!AU12</f>
        <v>158</v>
      </c>
      <c r="AT115" s="1375">
        <f>BS!AV12</f>
        <v>158</v>
      </c>
      <c r="AU115" s="1357">
        <f>BS!AW12</f>
        <v>134</v>
      </c>
      <c r="AV115" s="1357">
        <f>BS!AX12</f>
        <v>267</v>
      </c>
      <c r="AW115" s="1357">
        <f>BS!AY12</f>
        <v>271</v>
      </c>
      <c r="AX115" s="1357">
        <f>BS!AZ12</f>
        <v>319</v>
      </c>
      <c r="AY115" s="1375">
        <f>BS!BA12</f>
        <v>319</v>
      </c>
      <c r="AZ115" s="1357">
        <f>BS!BB12</f>
        <v>341</v>
      </c>
      <c r="BA115" s="1357">
        <f>BS!BC12</f>
        <v>436</v>
      </c>
      <c r="BB115" s="1357">
        <f>BS!BD12</f>
        <v>507</v>
      </c>
      <c r="BC115" s="1357">
        <f>BS!BE12</f>
        <v>789</v>
      </c>
      <c r="BD115" s="1375">
        <f>BS!BF12</f>
        <v>789</v>
      </c>
      <c r="BE115" s="1357">
        <f>BS!BG12</f>
        <v>481</v>
      </c>
      <c r="BF115" s="1357">
        <f>BS!BH12</f>
        <v>325</v>
      </c>
      <c r="BG115" s="1357">
        <f>BS!BI12</f>
        <v>294</v>
      </c>
      <c r="BH115" s="1357">
        <f>BS!BJ12</f>
        <v>164</v>
      </c>
      <c r="BI115" s="1375">
        <f>BS!BK12</f>
        <v>164</v>
      </c>
      <c r="BJ115" s="1357">
        <f>BS!BL12</f>
        <v>289</v>
      </c>
      <c r="BK115" s="1357">
        <f>BS!BM12</f>
        <v>284</v>
      </c>
      <c r="BL115" s="1357">
        <f>BS!BN12</f>
        <v>424</v>
      </c>
      <c r="BM115" s="1357">
        <f>BS!BO12</f>
        <v>353</v>
      </c>
      <c r="BN115" s="1377">
        <f>BS!BP12</f>
        <v>353</v>
      </c>
      <c r="BO115" s="1357">
        <f>BS!BQ12</f>
        <v>444</v>
      </c>
      <c r="BP115" s="1357">
        <f>BS!BR12</f>
        <v>530</v>
      </c>
      <c r="BQ115" s="1357">
        <f>BS!BS12</f>
        <v>1274</v>
      </c>
      <c r="BR115" s="1357">
        <f>BS!BT12</f>
        <v>1426</v>
      </c>
      <c r="BS115" s="1377">
        <f>BS!BU12</f>
        <v>1426</v>
      </c>
      <c r="BT115" s="1357">
        <f>BS!BV12</f>
        <v>1529</v>
      </c>
      <c r="BU115" s="1357">
        <f>BS!BW12</f>
        <v>955</v>
      </c>
      <c r="BV115" s="1357">
        <f>BS!BX12</f>
        <v>1236</v>
      </c>
      <c r="BW115" s="1357">
        <f>BS!BY12</f>
        <v>1198</v>
      </c>
      <c r="BX115" s="1377">
        <f>BS!BZ12</f>
        <v>1198</v>
      </c>
      <c r="BY115" s="1357">
        <f>BS!CA12</f>
        <v>1099</v>
      </c>
      <c r="BZ115" s="1357">
        <f>BS!CB12</f>
        <v>984</v>
      </c>
      <c r="CA115" s="1357">
        <f>BS!CC12</f>
        <v>942</v>
      </c>
      <c r="CB115" s="1357">
        <f>BS!CD12</f>
        <v>776</v>
      </c>
      <c r="CC115" s="1377">
        <f>BS!CE12</f>
        <v>776</v>
      </c>
      <c r="CD115" s="1400">
        <f>BS!CF12</f>
        <v>762</v>
      </c>
      <c r="CE115" s="1400">
        <f>BS!CG12</f>
        <v>500</v>
      </c>
      <c r="CF115" s="1400">
        <f>BS!CH12</f>
        <v>753</v>
      </c>
      <c r="CG115" s="1400">
        <f>BS!CI12</f>
        <v>573</v>
      </c>
      <c r="CH115" s="1802">
        <f>BS!CJ12</f>
        <v>573</v>
      </c>
      <c r="CI115" s="1400">
        <f>BS!CK12</f>
        <v>340</v>
      </c>
      <c r="CJ115" s="1400">
        <f>BS!CL12</f>
        <v>340</v>
      </c>
      <c r="CK115" s="1400">
        <f>BS!CM12</f>
        <v>340</v>
      </c>
      <c r="CL115" s="1400">
        <f>BS!CN12</f>
        <v>340</v>
      </c>
      <c r="CM115" s="1606">
        <f>BS!CO12</f>
        <v>340</v>
      </c>
      <c r="CN115" s="1607">
        <f>BS!CP12</f>
        <v>312</v>
      </c>
      <c r="CO115" s="1400">
        <f>BS!CQ12</f>
        <v>312</v>
      </c>
      <c r="CP115" s="1400">
        <f>BS!CR12</f>
        <v>312</v>
      </c>
      <c r="CQ115" s="1072">
        <f>BS!CS12</f>
        <v>312</v>
      </c>
      <c r="CR115" s="1107">
        <f>BS!CT12</f>
        <v>312</v>
      </c>
      <c r="CS115" s="975">
        <f>BS!CU12</f>
        <v>295.69730062237659</v>
      </c>
      <c r="CT115" s="975">
        <f>BS!CV12</f>
        <v>280.32499999999993</v>
      </c>
      <c r="CU115" s="975">
        <f>BS!CW12</f>
        <v>2173.4441995947313</v>
      </c>
      <c r="CV115" s="1007">
        <f>BS!CW12</f>
        <v>2173.4441995947313</v>
      </c>
      <c r="CW115" s="433">
        <f>BS!CY12</f>
        <v>831</v>
      </c>
      <c r="CX115" s="71">
        <f>BS!CZ12</f>
        <v>611</v>
      </c>
      <c r="CY115" s="71">
        <f>BS!DA12</f>
        <v>1056</v>
      </c>
      <c r="CZ115" s="71">
        <f>BS!DB12</f>
        <v>1051</v>
      </c>
      <c r="DA115" s="71">
        <f>BS!DB12</f>
        <v>1051</v>
      </c>
      <c r="DB115" s="433">
        <f>BS!DD12</f>
        <v>1599</v>
      </c>
      <c r="DC115" s="71">
        <f>BS!DE12</f>
        <v>1517.0381933765661</v>
      </c>
      <c r="DD115" s="71">
        <f>BS!DF12</f>
        <v>1307.4083828881789</v>
      </c>
      <c r="DE115" s="71">
        <f>BS!DG12</f>
        <v>1028.0449072416193</v>
      </c>
      <c r="DF115" s="71">
        <f>BS!DG12</f>
        <v>1028.0449072416193</v>
      </c>
      <c r="DG115" s="433">
        <f>BS!DI12</f>
        <v>935.6286842028037</v>
      </c>
      <c r="DH115" s="71">
        <f>BS!DJ12</f>
        <v>573.01958665989582</v>
      </c>
      <c r="DI115" s="71">
        <f>BS!DK12</f>
        <v>478.41831383053739</v>
      </c>
      <c r="DJ115" s="71">
        <f>BS!DL12</f>
        <v>411.99226635760635</v>
      </c>
      <c r="DK115" s="71">
        <f>BS!DM12</f>
        <v>735.11193974292382</v>
      </c>
      <c r="DL115" s="433">
        <f>BS!DN12</f>
        <v>735.11193974292382</v>
      </c>
      <c r="DM115" s="71">
        <f>BS!DO12</f>
        <v>404.38570624591796</v>
      </c>
      <c r="DN115" s="71">
        <f>BS!DP12</f>
        <v>432.50785890671801</v>
      </c>
      <c r="DO115" s="71">
        <f>BS!DQ12</f>
        <v>481.49898391809819</v>
      </c>
      <c r="DP115" s="71">
        <f>BS!DR12</f>
        <v>983.37057347530299</v>
      </c>
      <c r="DQ115" s="433">
        <f>BS!DS12</f>
        <v>983.37057347530299</v>
      </c>
      <c r="DR115" s="71">
        <f>BS!DT12</f>
        <v>646.06481636990839</v>
      </c>
      <c r="DS115" s="71">
        <f>BS!DU12</f>
        <v>699.56087660773574</v>
      </c>
      <c r="DT115" s="71">
        <f>BS!DV12</f>
        <v>772.56800635363982</v>
      </c>
      <c r="DU115" s="71">
        <f>BS!DW12</f>
        <v>1366.295352224482</v>
      </c>
      <c r="DV115" s="433">
        <f>BS!DX12</f>
        <v>1366.295352224482</v>
      </c>
      <c r="DW115" s="71">
        <f>BS!DY12</f>
        <v>993.12355500533465</v>
      </c>
      <c r="DX115" s="71">
        <f>BS!DZ12</f>
        <v>1074.5840166725957</v>
      </c>
      <c r="DY115" s="71">
        <f>BS!EA12</f>
        <v>1175.5289185401768</v>
      </c>
      <c r="DZ115" s="71">
        <f>BS!EB12</f>
        <v>1889.7216872264412</v>
      </c>
      <c r="EA115" s="433">
        <f>BS!EC12</f>
        <v>1889.7216872264412</v>
      </c>
      <c r="EB115" s="11"/>
      <c r="EC115" s="681"/>
      <c r="ED115" s="681"/>
      <c r="EE115" s="681"/>
      <c r="EF115" s="681"/>
      <c r="EG115" s="681"/>
      <c r="EH115" s="681"/>
      <c r="EI115" s="336"/>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row>
    <row r="116" spans="1:259" s="337" customFormat="1" ht="12.75" customHeight="1" x14ac:dyDescent="0.35">
      <c r="A116" s="431" t="s">
        <v>544</v>
      </c>
      <c r="B116" s="1396"/>
      <c r="C116" s="1396"/>
      <c r="D116" s="1396"/>
      <c r="E116" s="1396"/>
      <c r="F116" s="1397"/>
      <c r="G116" s="1850"/>
      <c r="H116" s="1396"/>
      <c r="I116" s="1396"/>
      <c r="J116" s="1398"/>
      <c r="K116" s="1399"/>
      <c r="L116" s="1396"/>
      <c r="M116" s="1396"/>
      <c r="N116" s="1396"/>
      <c r="O116" s="1399"/>
      <c r="P116" s="1397"/>
      <c r="Q116" s="1850"/>
      <c r="R116" s="1396"/>
      <c r="S116" s="1396"/>
      <c r="T116" s="1396"/>
      <c r="U116" s="1397"/>
      <c r="V116" s="1803"/>
      <c r="W116" s="1357"/>
      <c r="X116" s="1357"/>
      <c r="Y116" s="1357"/>
      <c r="Z116" s="1375"/>
      <c r="AA116" s="1357"/>
      <c r="AB116" s="1357"/>
      <c r="AC116" s="1357"/>
      <c r="AD116" s="1357"/>
      <c r="AE116" s="1375"/>
      <c r="AF116" s="1357">
        <f>BS!AH38</f>
        <v>2391</v>
      </c>
      <c r="AG116" s="1357">
        <f>BS!AI38</f>
        <v>2272</v>
      </c>
      <c r="AH116" s="1357">
        <f>BS!AJ38</f>
        <v>2046</v>
      </c>
      <c r="AI116" s="1357">
        <f>BS!AK38</f>
        <v>2056</v>
      </c>
      <c r="AJ116" s="1375">
        <f>BS!AL38</f>
        <v>2056</v>
      </c>
      <c r="AK116" s="1357">
        <f>BS!AM38</f>
        <v>2054</v>
      </c>
      <c r="AL116" s="1357">
        <f>BS!AN38</f>
        <v>1669</v>
      </c>
      <c r="AM116" s="1357">
        <f>BS!AO38</f>
        <v>1699</v>
      </c>
      <c r="AN116" s="1357">
        <f>BS!AP38</f>
        <v>1731</v>
      </c>
      <c r="AO116" s="1375">
        <f>BS!AQ38</f>
        <v>1731</v>
      </c>
      <c r="AP116" s="1357">
        <f>BS!AR38</f>
        <v>1708</v>
      </c>
      <c r="AQ116" s="1357">
        <f>BS!AS38</f>
        <v>1562</v>
      </c>
      <c r="AR116" s="1357">
        <f>BS!AT38</f>
        <v>1590</v>
      </c>
      <c r="AS116" s="1357">
        <f>BS!AU38</f>
        <v>1649</v>
      </c>
      <c r="AT116" s="1375">
        <f>BS!AV38</f>
        <v>1649</v>
      </c>
      <c r="AU116" s="1357">
        <f>BS!AW38</f>
        <v>1710</v>
      </c>
      <c r="AV116" s="1357">
        <f>BS!AX38</f>
        <v>2027</v>
      </c>
      <c r="AW116" s="1357">
        <f>BS!AY38</f>
        <v>1932</v>
      </c>
      <c r="AX116" s="1357">
        <f>BS!AZ38</f>
        <v>2045</v>
      </c>
      <c r="AY116" s="1375">
        <f>BS!BA38</f>
        <v>2045</v>
      </c>
      <c r="AZ116" s="1357">
        <f>BS!BB38</f>
        <v>2208</v>
      </c>
      <c r="BA116" s="1357">
        <f>BS!BC38</f>
        <v>2088</v>
      </c>
      <c r="BB116" s="1357">
        <f>BS!BD38</f>
        <v>2124</v>
      </c>
      <c r="BC116" s="1357">
        <f>BS!BE38</f>
        <v>2924</v>
      </c>
      <c r="BD116" s="1375">
        <f>BS!BF38</f>
        <v>2924</v>
      </c>
      <c r="BE116" s="1357">
        <f>BS!BG38</f>
        <v>3372</v>
      </c>
      <c r="BF116" s="1357">
        <f>BS!BH38</f>
        <v>3374</v>
      </c>
      <c r="BG116" s="1357">
        <f>BS!BI38</f>
        <v>3596</v>
      </c>
      <c r="BH116" s="1357">
        <f>BS!BJ38</f>
        <v>3564</v>
      </c>
      <c r="BI116" s="1375">
        <f>BS!BK38</f>
        <v>3564</v>
      </c>
      <c r="BJ116" s="1357">
        <f>BS!BL38</f>
        <v>3512</v>
      </c>
      <c r="BK116" s="1357">
        <f>BS!BM38</f>
        <v>3516</v>
      </c>
      <c r="BL116" s="1357">
        <f>BS!BN38</f>
        <v>3258</v>
      </c>
      <c r="BM116" s="1357">
        <f>BS!BO38</f>
        <v>3207</v>
      </c>
      <c r="BN116" s="1377">
        <f>BS!BP38</f>
        <v>3207</v>
      </c>
      <c r="BO116" s="1357">
        <f>BS!BQ38</f>
        <v>3219</v>
      </c>
      <c r="BP116" s="1357">
        <f>BS!BR38</f>
        <v>2518</v>
      </c>
      <c r="BQ116" s="1357">
        <f>BS!BS38</f>
        <v>2905</v>
      </c>
      <c r="BR116" s="1357">
        <f>BS!BT38</f>
        <v>2915</v>
      </c>
      <c r="BS116" s="1377">
        <f>BS!BU38</f>
        <v>2915</v>
      </c>
      <c r="BT116" s="1357">
        <f>BS!BV38</f>
        <v>2918</v>
      </c>
      <c r="BU116" s="1357">
        <f>BS!BW38</f>
        <v>3269</v>
      </c>
      <c r="BV116" s="1357">
        <f>BS!BX38</f>
        <v>2940</v>
      </c>
      <c r="BW116" s="1357">
        <f>BS!BY38</f>
        <v>2997</v>
      </c>
      <c r="BX116" s="1377">
        <f>BS!BZ38</f>
        <v>2997</v>
      </c>
      <c r="BY116" s="1357">
        <f>BS!CA38</f>
        <v>3006</v>
      </c>
      <c r="BZ116" s="1357">
        <f>BS!CB38</f>
        <v>2995</v>
      </c>
      <c r="CA116" s="1357">
        <f>BS!CC38</f>
        <v>3003</v>
      </c>
      <c r="CB116" s="1357">
        <f>BS!CD38</f>
        <v>2932</v>
      </c>
      <c r="CC116" s="1377">
        <f>BS!CE38</f>
        <v>2932</v>
      </c>
      <c r="CD116" s="1400">
        <f>BS!CF38</f>
        <v>2924</v>
      </c>
      <c r="CE116" s="1400">
        <f>BS!CG38</f>
        <v>2918</v>
      </c>
      <c r="CF116" s="1400">
        <f>BS!CH38</f>
        <v>2917</v>
      </c>
      <c r="CG116" s="1400">
        <f>BS!CI38</f>
        <v>2918</v>
      </c>
      <c r="CH116" s="1802">
        <f>BS!CJ38</f>
        <v>2918</v>
      </c>
      <c r="CI116" s="1400">
        <f>BS!CK38</f>
        <v>3077</v>
      </c>
      <c r="CJ116" s="1400">
        <f>BS!CL38</f>
        <v>3077</v>
      </c>
      <c r="CK116" s="1400">
        <f>BS!CM38</f>
        <v>3077</v>
      </c>
      <c r="CL116" s="1400">
        <f>BS!CN38</f>
        <v>3077</v>
      </c>
      <c r="CM116" s="1606">
        <f>BS!CO38</f>
        <v>3077</v>
      </c>
      <c r="CN116" s="1607">
        <f>BS!CP38</f>
        <v>3054</v>
      </c>
      <c r="CO116" s="1400">
        <f>BS!CQ38</f>
        <v>3054</v>
      </c>
      <c r="CP116" s="1400">
        <f>BS!CR38</f>
        <v>3054</v>
      </c>
      <c r="CQ116" s="1072">
        <f>BS!CS38</f>
        <v>3054</v>
      </c>
      <c r="CR116" s="1107">
        <f>BS!CT38</f>
        <v>3054</v>
      </c>
      <c r="CS116" s="975">
        <f>BS!CU38</f>
        <v>2510</v>
      </c>
      <c r="CT116" s="975">
        <f>BS!CV38</f>
        <v>5324</v>
      </c>
      <c r="CU116" s="975">
        <f>BS!CW38</f>
        <v>9119</v>
      </c>
      <c r="CV116" s="1007">
        <f>BS!CW38</f>
        <v>9119</v>
      </c>
      <c r="CW116" s="433">
        <f>BS!CY38</f>
        <v>9061</v>
      </c>
      <c r="CX116" s="71">
        <f>BS!CZ38</f>
        <v>8715</v>
      </c>
      <c r="CY116" s="71">
        <f>BS!DA38</f>
        <v>9474</v>
      </c>
      <c r="CZ116" s="71">
        <f>BS!DB38</f>
        <v>9479</v>
      </c>
      <c r="DA116" s="71">
        <f>BS!DB38</f>
        <v>9479</v>
      </c>
      <c r="DB116" s="433">
        <f>BS!DD38</f>
        <v>9429</v>
      </c>
      <c r="DC116" s="71">
        <f>BS!DE38</f>
        <v>9429</v>
      </c>
      <c r="DD116" s="71">
        <f>BS!DF38</f>
        <v>9429</v>
      </c>
      <c r="DE116" s="71">
        <f>BS!DG38</f>
        <v>9429</v>
      </c>
      <c r="DF116" s="71">
        <f>BS!DG38</f>
        <v>9429</v>
      </c>
      <c r="DG116" s="433">
        <f>BS!DI38</f>
        <v>9429</v>
      </c>
      <c r="DH116" s="71">
        <f>BS!DJ38</f>
        <v>9429</v>
      </c>
      <c r="DI116" s="71">
        <f>BS!DK38</f>
        <v>9429</v>
      </c>
      <c r="DJ116" s="71">
        <f>BS!DL38</f>
        <v>9429</v>
      </c>
      <c r="DK116" s="71">
        <f>BS!DM38</f>
        <v>9429</v>
      </c>
      <c r="DL116" s="433">
        <f>BS!DN38</f>
        <v>9429</v>
      </c>
      <c r="DM116" s="71">
        <f>BS!DO38</f>
        <v>9429</v>
      </c>
      <c r="DN116" s="71">
        <f>BS!DP38</f>
        <v>9429</v>
      </c>
      <c r="DO116" s="71">
        <f>BS!DQ38</f>
        <v>9429</v>
      </c>
      <c r="DP116" s="71">
        <f>BS!DR38</f>
        <v>9429</v>
      </c>
      <c r="DQ116" s="433">
        <f>BS!DS38</f>
        <v>9429</v>
      </c>
      <c r="DR116" s="71">
        <f>BS!DT38</f>
        <v>9429</v>
      </c>
      <c r="DS116" s="71">
        <f>BS!DU38</f>
        <v>9429</v>
      </c>
      <c r="DT116" s="71">
        <f>BS!DV38</f>
        <v>9429</v>
      </c>
      <c r="DU116" s="71">
        <f>BS!DW38</f>
        <v>9429</v>
      </c>
      <c r="DV116" s="433">
        <f>BS!DX38</f>
        <v>9429</v>
      </c>
      <c r="DW116" s="71">
        <f>BS!DY38</f>
        <v>9429</v>
      </c>
      <c r="DX116" s="71">
        <f>BS!DZ38</f>
        <v>9429</v>
      </c>
      <c r="DY116" s="71">
        <f>BS!EA38</f>
        <v>9429</v>
      </c>
      <c r="DZ116" s="71">
        <f>BS!EB38</f>
        <v>9429</v>
      </c>
      <c r="EA116" s="433">
        <f>BS!EC38</f>
        <v>9429</v>
      </c>
      <c r="EB116" s="11"/>
      <c r="EC116" s="681"/>
      <c r="ED116" s="681"/>
      <c r="EE116" s="681"/>
      <c r="EF116" s="681"/>
      <c r="EG116" s="681"/>
      <c r="EH116" s="681"/>
      <c r="EI116" s="33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row>
    <row r="117" spans="1:259" s="337" customFormat="1" ht="12.75" customHeight="1" x14ac:dyDescent="0.35">
      <c r="A117" s="461" t="s">
        <v>473</v>
      </c>
      <c r="B117" s="1396"/>
      <c r="C117" s="1396"/>
      <c r="D117" s="1396"/>
      <c r="E117" s="1396"/>
      <c r="F117" s="1608"/>
      <c r="G117" s="1396"/>
      <c r="H117" s="1396"/>
      <c r="I117" s="1396"/>
      <c r="J117" s="1609"/>
      <c r="K117" s="1396"/>
      <c r="L117" s="1396"/>
      <c r="M117" s="1396"/>
      <c r="N117" s="1396"/>
      <c r="O117" s="1396"/>
      <c r="P117" s="1608"/>
      <c r="Q117" s="1396"/>
      <c r="R117" s="1396"/>
      <c r="S117" s="1396"/>
      <c r="T117" s="1396"/>
      <c r="U117" s="1608"/>
      <c r="V117" s="1357"/>
      <c r="W117" s="1357"/>
      <c r="X117" s="1357"/>
      <c r="Y117" s="1357"/>
      <c r="Z117" s="1359"/>
      <c r="AA117" s="1357"/>
      <c r="AB117" s="1357"/>
      <c r="AC117" s="1357"/>
      <c r="AD117" s="1357"/>
      <c r="AE117" s="1359"/>
      <c r="AF117" s="1357"/>
      <c r="AG117" s="1357"/>
      <c r="AH117" s="1357"/>
      <c r="AI117" s="1357"/>
      <c r="AJ117" s="1359"/>
      <c r="AK117" s="1357"/>
      <c r="AL117" s="1357"/>
      <c r="AM117" s="1357"/>
      <c r="AN117" s="1357"/>
      <c r="AO117" s="1359"/>
      <c r="AP117" s="1357"/>
      <c r="AQ117" s="1357"/>
      <c r="AR117" s="1357"/>
      <c r="AS117" s="1357"/>
      <c r="AT117" s="1359"/>
      <c r="AU117" s="1357"/>
      <c r="AV117" s="1357"/>
      <c r="AW117" s="1357"/>
      <c r="AX117" s="1357"/>
      <c r="AY117" s="1359"/>
      <c r="AZ117" s="1357"/>
      <c r="BA117" s="1357"/>
      <c r="BB117" s="1357"/>
      <c r="BC117" s="1357"/>
      <c r="BD117" s="1391"/>
      <c r="BE117" s="1357"/>
      <c r="BF117" s="1357"/>
      <c r="BG117" s="1357"/>
      <c r="BH117" s="1357"/>
      <c r="BI117" s="1610">
        <f t="shared" ref="BI117:CN117" si="415">(BI116-BI115)/BI222</f>
        <v>1.6732283464566928</v>
      </c>
      <c r="BJ117" s="1611">
        <f t="shared" si="415"/>
        <v>1.5806768023540951</v>
      </c>
      <c r="BK117" s="1611">
        <f t="shared" si="415"/>
        <v>1.5735150925024344</v>
      </c>
      <c r="BL117" s="1611">
        <f t="shared" si="415"/>
        <v>1.3393194706994329</v>
      </c>
      <c r="BM117" s="1611">
        <f t="shared" si="415"/>
        <v>1.3262081784386617</v>
      </c>
      <c r="BN117" s="1612">
        <f t="shared" si="415"/>
        <v>1.3262081784386617</v>
      </c>
      <c r="BO117" s="1611">
        <f t="shared" si="415"/>
        <v>1.2562245359891353</v>
      </c>
      <c r="BP117" s="1611">
        <f t="shared" si="415"/>
        <v>0.86510008703220187</v>
      </c>
      <c r="BQ117" s="1611">
        <f t="shared" si="415"/>
        <v>0.69256900212314221</v>
      </c>
      <c r="BR117" s="1611">
        <f t="shared" si="415"/>
        <v>0.62668350168350173</v>
      </c>
      <c r="BS117" s="1613">
        <f t="shared" si="415"/>
        <v>0.62668350168350173</v>
      </c>
      <c r="BT117" s="1611">
        <f t="shared" si="415"/>
        <v>0.5732562938505984</v>
      </c>
      <c r="BU117" s="1611">
        <f t="shared" si="415"/>
        <v>0.94758394758394759</v>
      </c>
      <c r="BV117" s="1611">
        <f t="shared" si="415"/>
        <v>0.70123456790123462</v>
      </c>
      <c r="BW117" s="1611">
        <f t="shared" si="415"/>
        <v>0.70438527799530148</v>
      </c>
      <c r="BX117" s="1614">
        <f t="shared" si="415"/>
        <v>0.70438527799530148</v>
      </c>
      <c r="BY117" s="1615">
        <f t="shared" si="415"/>
        <v>0.72619954303122625</v>
      </c>
      <c r="BZ117" s="1615">
        <f t="shared" si="415"/>
        <v>0.75800980022615905</v>
      </c>
      <c r="CA117" s="1615">
        <f t="shared" si="415"/>
        <v>0.73266974760042658</v>
      </c>
      <c r="CB117" s="1615">
        <f t="shared" si="415"/>
        <v>0.7669868374244041</v>
      </c>
      <c r="CC117" s="1614">
        <f t="shared" si="415"/>
        <v>0.7669868374244041</v>
      </c>
      <c r="CD117" s="1616">
        <f t="shared" si="415"/>
        <v>0.81852811456667696</v>
      </c>
      <c r="CE117" s="1616">
        <f t="shared" si="415"/>
        <v>0.94673759237347654</v>
      </c>
      <c r="CF117" s="1616">
        <f t="shared" si="415"/>
        <v>0.94680914598383814</v>
      </c>
      <c r="CG117" s="1616">
        <f t="shared" si="415"/>
        <v>1.0620471014492754</v>
      </c>
      <c r="CH117" s="1617">
        <f t="shared" si="415"/>
        <v>1.0620471014492754</v>
      </c>
      <c r="CI117" s="1616">
        <f t="shared" si="415"/>
        <v>1.2538581793402013</v>
      </c>
      <c r="CJ117" s="1616">
        <f t="shared" si="415"/>
        <v>1.262507449578119</v>
      </c>
      <c r="CK117" s="1616">
        <f t="shared" si="415"/>
        <v>1.2465128268538124</v>
      </c>
      <c r="CL117" s="1616">
        <f t="shared" si="415"/>
        <v>1.2170394415047359</v>
      </c>
      <c r="CM117" s="1618">
        <f t="shared" si="415"/>
        <v>1.2170394415047359</v>
      </c>
      <c r="CN117" s="1619">
        <f t="shared" si="415"/>
        <v>1.2172057485540317</v>
      </c>
      <c r="CO117" s="1616">
        <f t="shared" ref="CO117:DQ117" si="416">(CO116-CO115)/CO222</f>
        <v>1.2483091456125608</v>
      </c>
      <c r="CP117" s="1616">
        <f t="shared" si="416"/>
        <v>1.3513592969429675</v>
      </c>
      <c r="CQ117" s="1902">
        <f t="shared" si="416"/>
        <v>1.4969038329363604</v>
      </c>
      <c r="CR117" s="1963">
        <f t="shared" si="416"/>
        <v>1.4969038329363604</v>
      </c>
      <c r="CS117" s="2079">
        <f t="shared" si="416"/>
        <v>1.2470456830921335</v>
      </c>
      <c r="CT117" s="2079">
        <f t="shared" si="416"/>
        <v>2.8033378455651734</v>
      </c>
      <c r="CU117" s="2079">
        <f t="shared" si="416"/>
        <v>3.7412396621076374</v>
      </c>
      <c r="CV117" s="2080">
        <f t="shared" si="416"/>
        <v>3.5400386342534502</v>
      </c>
      <c r="CW117" s="1315">
        <f t="shared" si="416"/>
        <v>4.1946992864424058</v>
      </c>
      <c r="CX117" s="1314">
        <f t="shared" si="416"/>
        <v>4.0456226839411205</v>
      </c>
      <c r="CY117" s="1314">
        <f t="shared" si="416"/>
        <v>4.1183953033268104</v>
      </c>
      <c r="CZ117" s="1314">
        <f t="shared" si="416"/>
        <v>4.030933540086739</v>
      </c>
      <c r="DA117" s="1314">
        <f t="shared" si="416"/>
        <v>4.1867858917039245</v>
      </c>
      <c r="DB117" s="1315">
        <f t="shared" si="416"/>
        <v>3.8897168405365128</v>
      </c>
      <c r="DC117" s="629">
        <f t="shared" si="416"/>
        <v>3.9570846644210476</v>
      </c>
      <c r="DD117" s="629">
        <f t="shared" si="416"/>
        <v>4.1404005370417591</v>
      </c>
      <c r="DE117" s="629">
        <f t="shared" si="416"/>
        <v>4.3475151694671323</v>
      </c>
      <c r="DF117" s="629">
        <f t="shared" si="416"/>
        <v>4.2901403802075038</v>
      </c>
      <c r="DG117" s="630">
        <f t="shared" si="416"/>
        <v>4.3373348439163797</v>
      </c>
      <c r="DH117" s="629">
        <f t="shared" si="416"/>
        <v>4.4833009809044437</v>
      </c>
      <c r="DI117" s="629">
        <f t="shared" si="416"/>
        <v>4.4991486179956928</v>
      </c>
      <c r="DJ117" s="629">
        <f t="shared" si="416"/>
        <v>4.4529423844198543</v>
      </c>
      <c r="DK117" s="629">
        <f t="shared" si="416"/>
        <v>4.2113800857492958</v>
      </c>
      <c r="DL117" s="1170">
        <f t="shared" si="416"/>
        <v>4.2113800857492958</v>
      </c>
      <c r="DM117" s="629">
        <f t="shared" si="416"/>
        <v>4.347121904196519</v>
      </c>
      <c r="DN117" s="629">
        <f t="shared" si="416"/>
        <v>4.291761816204497</v>
      </c>
      <c r="DO117" s="629">
        <f t="shared" si="416"/>
        <v>4.2303635311234551</v>
      </c>
      <c r="DP117" s="629">
        <f t="shared" si="416"/>
        <v>3.9144648575761112</v>
      </c>
      <c r="DQ117" s="1170">
        <f t="shared" si="416"/>
        <v>3.9144648575761112</v>
      </c>
      <c r="DR117" s="629">
        <f t="shared" ref="DR117:EA117" si="417">(DR116-DR115)/DR222</f>
        <v>3.9988409334480899</v>
      </c>
      <c r="DS117" s="629">
        <f t="shared" si="417"/>
        <v>3.9028171540981917</v>
      </c>
      <c r="DT117" s="629">
        <f t="shared" si="417"/>
        <v>3.7955032790466952</v>
      </c>
      <c r="DU117" s="629">
        <f t="shared" si="417"/>
        <v>3.4536600918851721</v>
      </c>
      <c r="DV117" s="1170">
        <f t="shared" si="417"/>
        <v>3.4536600918851721</v>
      </c>
      <c r="DW117" s="629">
        <f t="shared" si="417"/>
        <v>3.5536846875936057</v>
      </c>
      <c r="DX117" s="629">
        <f t="shared" si="417"/>
        <v>3.4585840649341741</v>
      </c>
      <c r="DY117" s="629">
        <f t="shared" si="417"/>
        <v>3.3517528420092439</v>
      </c>
      <c r="DZ117" s="629">
        <f t="shared" si="417"/>
        <v>2.9912394814777135</v>
      </c>
      <c r="EA117" s="1170">
        <f t="shared" si="417"/>
        <v>2.9912394814777135</v>
      </c>
      <c r="EB117" s="11"/>
      <c r="EC117" s="681"/>
      <c r="ED117" s="681"/>
      <c r="EE117" s="681"/>
      <c r="EF117" s="681"/>
      <c r="EG117" s="681"/>
      <c r="EH117" s="681"/>
      <c r="EI117" s="336"/>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row>
    <row r="118" spans="1:259" s="337" customFormat="1" x14ac:dyDescent="0.2">
      <c r="A118" s="459" t="s">
        <v>441</v>
      </c>
      <c r="B118" s="1552"/>
      <c r="C118" s="1552"/>
      <c r="D118" s="1552"/>
      <c r="E118" s="1552"/>
      <c r="F118" s="1553"/>
      <c r="G118" s="1553"/>
      <c r="H118" s="1553"/>
      <c r="I118" s="1553"/>
      <c r="J118" s="1553"/>
      <c r="K118" s="1553"/>
      <c r="L118" s="1553"/>
      <c r="M118" s="1553"/>
      <c r="N118" s="1553"/>
      <c r="O118" s="1553"/>
      <c r="P118" s="1553"/>
      <c r="Q118" s="1553"/>
      <c r="R118" s="1553"/>
      <c r="S118" s="1553"/>
      <c r="T118" s="1553"/>
      <c r="U118" s="1553"/>
      <c r="V118" s="1516"/>
      <c r="W118" s="1516"/>
      <c r="X118" s="1516"/>
      <c r="Y118" s="1516"/>
      <c r="Z118" s="1516"/>
      <c r="AA118" s="1516"/>
      <c r="AB118" s="1516"/>
      <c r="AC118" s="1516"/>
      <c r="AD118" s="1516"/>
      <c r="AE118" s="1516"/>
      <c r="AF118" s="1516"/>
      <c r="AG118" s="1516"/>
      <c r="AH118" s="1516"/>
      <c r="AI118" s="1516"/>
      <c r="AJ118" s="1516"/>
      <c r="AK118" s="1516"/>
      <c r="AL118" s="1516"/>
      <c r="AM118" s="1516"/>
      <c r="AN118" s="1516"/>
      <c r="AO118" s="1516"/>
      <c r="AP118" s="1516"/>
      <c r="AQ118" s="1516"/>
      <c r="AR118" s="1516"/>
      <c r="AS118" s="1516"/>
      <c r="AT118" s="1516"/>
      <c r="AU118" s="1516"/>
      <c r="AV118" s="1516"/>
      <c r="AW118" s="1516"/>
      <c r="AX118" s="1516"/>
      <c r="AY118" s="1516"/>
      <c r="AZ118" s="1516"/>
      <c r="BA118" s="1516"/>
      <c r="BB118" s="1516"/>
      <c r="BC118" s="1516"/>
      <c r="BD118" s="1538"/>
      <c r="BE118" s="1516"/>
      <c r="BF118" s="1516"/>
      <c r="BG118" s="1516"/>
      <c r="BH118" s="1516"/>
      <c r="BI118" s="1538"/>
      <c r="BJ118" s="1516"/>
      <c r="BK118" s="1516"/>
      <c r="BL118" s="1516"/>
      <c r="BM118" s="1516"/>
      <c r="BN118" s="1517"/>
      <c r="BO118" s="1516"/>
      <c r="BP118" s="1516"/>
      <c r="BQ118" s="1516"/>
      <c r="BR118" s="1516"/>
      <c r="BS118" s="1517"/>
      <c r="BT118" s="1516"/>
      <c r="BU118" s="1516"/>
      <c r="BV118" s="1516"/>
      <c r="BW118" s="1516"/>
      <c r="BX118" s="1517"/>
      <c r="BY118" s="1516"/>
      <c r="BZ118" s="1516"/>
      <c r="CA118" s="1516"/>
      <c r="CB118" s="1516"/>
      <c r="CC118" s="1517"/>
      <c r="CD118" s="1554"/>
      <c r="CE118" s="1554"/>
      <c r="CF118" s="1554"/>
      <c r="CG118" s="1554"/>
      <c r="CH118" s="2009"/>
      <c r="CI118" s="1999"/>
      <c r="CJ118" s="1999"/>
      <c r="CK118" s="1999"/>
      <c r="CL118" s="1999"/>
      <c r="CM118" s="2001"/>
      <c r="CN118" s="2003"/>
      <c r="CO118" s="1999"/>
      <c r="CP118" s="1999"/>
      <c r="CQ118" s="1999"/>
      <c r="CR118" s="2001"/>
      <c r="CS118" s="3"/>
      <c r="CT118" s="3"/>
      <c r="CU118" s="3"/>
      <c r="CV118" s="1160"/>
      <c r="CW118" s="1169"/>
      <c r="CX118" s="3"/>
      <c r="CY118" s="3"/>
      <c r="CZ118" s="3"/>
      <c r="DA118" s="1160"/>
      <c r="DB118" s="1169"/>
      <c r="DC118" s="3"/>
      <c r="DD118" s="3"/>
      <c r="DE118" s="3"/>
      <c r="DF118" s="3"/>
      <c r="DG118" s="1169"/>
      <c r="DH118" s="3"/>
      <c r="DI118" s="3"/>
      <c r="DJ118" s="3"/>
      <c r="DK118" s="3"/>
      <c r="DL118" s="1169"/>
      <c r="DM118" s="3"/>
      <c r="DN118" s="3"/>
      <c r="DO118" s="3"/>
      <c r="DP118" s="3"/>
      <c r="DQ118" s="1169"/>
      <c r="DR118" s="3"/>
      <c r="DS118" s="3"/>
      <c r="DT118" s="3"/>
      <c r="DU118" s="3"/>
      <c r="DV118" s="1169"/>
      <c r="DW118" s="3"/>
      <c r="DX118" s="3"/>
      <c r="DY118" s="3"/>
      <c r="DZ118" s="3"/>
      <c r="EA118" s="1169"/>
      <c r="EB118" s="11"/>
      <c r="EC118" s="681"/>
      <c r="ED118" s="681"/>
      <c r="EE118" s="681"/>
      <c r="EF118" s="681"/>
      <c r="EG118" s="681"/>
      <c r="EH118" s="681"/>
      <c r="EI118" s="336"/>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row>
    <row r="119" spans="1:259" s="337" customFormat="1" ht="12.75" customHeight="1" x14ac:dyDescent="0.35">
      <c r="A119" s="431" t="s">
        <v>438</v>
      </c>
      <c r="B119" s="1396"/>
      <c r="C119" s="1396"/>
      <c r="D119" s="1396"/>
      <c r="E119" s="1396"/>
      <c r="F119" s="1397"/>
      <c r="G119" s="1850"/>
      <c r="H119" s="1396"/>
      <c r="I119" s="1396"/>
      <c r="J119" s="1398"/>
      <c r="K119" s="1399"/>
      <c r="L119" s="1396"/>
      <c r="M119" s="1396"/>
      <c r="N119" s="1396"/>
      <c r="O119" s="1399"/>
      <c r="P119" s="1397"/>
      <c r="Q119" s="1850"/>
      <c r="R119" s="1396"/>
      <c r="S119" s="1396"/>
      <c r="T119" s="1396"/>
      <c r="U119" s="1397"/>
      <c r="V119" s="1803"/>
      <c r="W119" s="1357"/>
      <c r="X119" s="1357"/>
      <c r="Y119" s="1357"/>
      <c r="Z119" s="1375"/>
      <c r="AA119" s="1357"/>
      <c r="AB119" s="1357"/>
      <c r="AC119" s="1357"/>
      <c r="AD119" s="1357"/>
      <c r="AE119" s="1375"/>
      <c r="AF119" s="1357">
        <f>CF!AF37</f>
        <v>129</v>
      </c>
      <c r="AG119" s="1357">
        <f>CF!AG37</f>
        <v>270</v>
      </c>
      <c r="AH119" s="1357">
        <f>CF!AH37</f>
        <v>370</v>
      </c>
      <c r="AI119" s="1357">
        <f>CF!AI37</f>
        <v>284</v>
      </c>
      <c r="AJ119" s="1375">
        <f>CF!AJ37</f>
        <v>1053</v>
      </c>
      <c r="AK119" s="1357">
        <f>CF!AK37</f>
        <v>189</v>
      </c>
      <c r="AL119" s="1357">
        <f>CF!AL37</f>
        <v>210</v>
      </c>
      <c r="AM119" s="1357">
        <f>CF!AM37</f>
        <v>392</v>
      </c>
      <c r="AN119" s="1357">
        <f>CF!AN37</f>
        <v>340</v>
      </c>
      <c r="AO119" s="1375">
        <f>CF!AO37</f>
        <v>1131</v>
      </c>
      <c r="AP119" s="1357">
        <f>CF!AP37</f>
        <v>255</v>
      </c>
      <c r="AQ119" s="1357">
        <f>CF!AQ37</f>
        <v>350</v>
      </c>
      <c r="AR119" s="1357">
        <f>CF!AR37</f>
        <v>436</v>
      </c>
      <c r="AS119" s="1357">
        <f>CF!AS37</f>
        <v>197</v>
      </c>
      <c r="AT119" s="1375">
        <f>CF!AT37</f>
        <v>1238</v>
      </c>
      <c r="AU119" s="1357">
        <f>CF!AU37</f>
        <v>287</v>
      </c>
      <c r="AV119" s="1357">
        <f>CF!AV37</f>
        <v>258</v>
      </c>
      <c r="AW119" s="1357">
        <f>CF!AW37</f>
        <v>444</v>
      </c>
      <c r="AX119" s="1357">
        <f>CF!AX37</f>
        <v>295</v>
      </c>
      <c r="AY119" s="1375">
        <f>CF!AY37</f>
        <v>1302</v>
      </c>
      <c r="AZ119" s="1357">
        <f>CF!AZ37</f>
        <v>341</v>
      </c>
      <c r="BA119" s="1357">
        <f>CF!BA37</f>
        <v>252</v>
      </c>
      <c r="BB119" s="1357">
        <f>CF!BB37</f>
        <v>576</v>
      </c>
      <c r="BC119" s="1357">
        <f>CF!BC37</f>
        <v>396</v>
      </c>
      <c r="BD119" s="1375">
        <f>CF!BD37</f>
        <v>1565</v>
      </c>
      <c r="BE119" s="1357">
        <f>CF!BE37</f>
        <v>348</v>
      </c>
      <c r="BF119" s="1357">
        <f>CF!BF37</f>
        <v>265</v>
      </c>
      <c r="BG119" s="1357">
        <f>CF!BG37</f>
        <v>527</v>
      </c>
      <c r="BH119" s="1357">
        <f>CF!BH37</f>
        <v>329</v>
      </c>
      <c r="BI119" s="1375">
        <f>CF!BI37</f>
        <v>1469</v>
      </c>
      <c r="BJ119" s="1357">
        <f>CF!BJ37</f>
        <v>297</v>
      </c>
      <c r="BK119" s="1357">
        <f>CF!BK37</f>
        <v>198</v>
      </c>
      <c r="BL119" s="1357">
        <f>CF!BL37</f>
        <v>640</v>
      </c>
      <c r="BM119" s="1357">
        <f>CF!BM37</f>
        <v>269</v>
      </c>
      <c r="BN119" s="1377">
        <f>CF!BN37</f>
        <v>1404</v>
      </c>
      <c r="BO119" s="1357">
        <f>CF!BO37</f>
        <v>392</v>
      </c>
      <c r="BP119" s="1357">
        <f>CF!BP37</f>
        <v>441</v>
      </c>
      <c r="BQ119" s="1357">
        <f>CF!BQ37</f>
        <v>664</v>
      </c>
      <c r="BR119" s="1357">
        <f>CF!BR37</f>
        <v>471</v>
      </c>
      <c r="BS119" s="1377">
        <f>CF!BS37</f>
        <v>1968</v>
      </c>
      <c r="BT119" s="1357">
        <f>CF!BT37</f>
        <v>508</v>
      </c>
      <c r="BU119" s="1357">
        <f>CF!BU37</f>
        <v>415</v>
      </c>
      <c r="BV119" s="1357">
        <f>CF!BV37</f>
        <v>780</v>
      </c>
      <c r="BW119" s="1357">
        <f>CF!BW37</f>
        <v>467</v>
      </c>
      <c r="BX119" s="1377">
        <f>CF!BX37</f>
        <v>2170</v>
      </c>
      <c r="BY119" s="1357">
        <f>CF!BY37</f>
        <v>484</v>
      </c>
      <c r="BZ119" s="1357">
        <f>CF!BZ37</f>
        <v>440</v>
      </c>
      <c r="CA119" s="1357">
        <f>CF!CA37</f>
        <v>894</v>
      </c>
      <c r="CB119" s="1357">
        <f>CF!CB37</f>
        <v>476</v>
      </c>
      <c r="CC119" s="1377">
        <f>CF!CC37</f>
        <v>2294</v>
      </c>
      <c r="CD119" s="1400">
        <f>CF!CD37</f>
        <v>401</v>
      </c>
      <c r="CE119" s="1400">
        <f>CF!CE37</f>
        <v>328</v>
      </c>
      <c r="CF119" s="1400">
        <f>CF!CF37</f>
        <v>824</v>
      </c>
      <c r="CG119" s="1400">
        <f>CF!CG37</f>
        <v>586</v>
      </c>
      <c r="CH119" s="1802">
        <f>CF!CH37</f>
        <v>2139</v>
      </c>
      <c r="CI119" s="1400">
        <f>CF!CI37</f>
        <v>570</v>
      </c>
      <c r="CJ119" s="1400">
        <f>CF!CJ37</f>
        <v>514</v>
      </c>
      <c r="CK119" s="1400">
        <f>CF!CK37</f>
        <v>528</v>
      </c>
      <c r="CL119" s="1400">
        <f>CF!CL37</f>
        <v>437</v>
      </c>
      <c r="CM119" s="1606">
        <f>CF!CM37</f>
        <v>2049</v>
      </c>
      <c r="CN119" s="1607">
        <f>CF!CN37</f>
        <v>59.917001338688095</v>
      </c>
      <c r="CO119" s="1400">
        <f>CF!CO37</f>
        <v>80.607764390896932</v>
      </c>
      <c r="CP119" s="1400">
        <f>CF!CP37</f>
        <v>77.159303882195459</v>
      </c>
      <c r="CQ119" s="1072">
        <f>CF!CQ37</f>
        <v>104.31593038821956</v>
      </c>
      <c r="CR119" s="1107">
        <f>CF!CR37</f>
        <v>1294</v>
      </c>
      <c r="CS119" s="975">
        <f>CF!CS37</f>
        <v>248.34730062237662</v>
      </c>
      <c r="CT119" s="975">
        <f>CF!CT37</f>
        <v>166.65269937762338</v>
      </c>
      <c r="CU119" s="975">
        <f>CF!CU37</f>
        <v>144.16919959473148</v>
      </c>
      <c r="CV119" s="71">
        <f>CF!CV37</f>
        <v>644.83080040526852</v>
      </c>
      <c r="CW119" s="433">
        <f>CF!CW37</f>
        <v>1204</v>
      </c>
      <c r="CX119" s="71">
        <f>CF!CX37</f>
        <v>288</v>
      </c>
      <c r="CY119" s="71">
        <f>CF!CY37</f>
        <v>151</v>
      </c>
      <c r="CZ119" s="71">
        <f>CF!CZ37</f>
        <v>279</v>
      </c>
      <c r="DA119" s="71">
        <f>CF!DA37</f>
        <v>312</v>
      </c>
      <c r="DB119" s="433">
        <f>CF!DB37</f>
        <v>1030</v>
      </c>
      <c r="DC119" s="71">
        <f>CF!DC37</f>
        <v>424.6984534910473</v>
      </c>
      <c r="DD119" s="71">
        <f>CF!DD37</f>
        <v>290.11507722363359</v>
      </c>
      <c r="DE119" s="71">
        <f>CF!DE37</f>
        <v>303.23103241941033</v>
      </c>
      <c r="DF119" s="71">
        <f>CF!DF37</f>
        <v>549.83562302281064</v>
      </c>
      <c r="DG119" s="433">
        <f>CF!DG37</f>
        <v>1567.8801861569018</v>
      </c>
      <c r="DH119" s="71">
        <f>CF!DH37</f>
        <v>45.754319534193144</v>
      </c>
      <c r="DI119" s="71">
        <f>CF!DI37</f>
        <v>311.27102683027334</v>
      </c>
      <c r="DJ119" s="71">
        <f>CF!DJ37</f>
        <v>336.4087824556774</v>
      </c>
      <c r="DK119" s="71">
        <f>CF!DK37</f>
        <v>729.26549042737304</v>
      </c>
      <c r="DL119" s="433">
        <f>CF!DL37</f>
        <v>1422.6996192475169</v>
      </c>
      <c r="DM119" s="71">
        <f>CF!DM37</f>
        <v>-10.785885851406249</v>
      </c>
      <c r="DN119" s="71">
        <f>CF!DN37</f>
        <v>348.61491583715451</v>
      </c>
      <c r="DO119" s="71">
        <f>CF!DO37</f>
        <v>369.56010559285573</v>
      </c>
      <c r="DP119" s="71">
        <f>CF!DP37</f>
        <v>829.51975987369678</v>
      </c>
      <c r="DQ119" s="433">
        <f>CF!DQ37</f>
        <v>1536.9088954523008</v>
      </c>
      <c r="DR119" s="71">
        <f>CF!DR37</f>
        <v>-5.6234315064754696</v>
      </c>
      <c r="DS119" s="71">
        <f>CF!DS37</f>
        <v>385.70500060904402</v>
      </c>
      <c r="DT119" s="71">
        <f>CF!DT37</f>
        <v>405.75790779495156</v>
      </c>
      <c r="DU119" s="71">
        <f>CF!DU37</f>
        <v>935.52612559745671</v>
      </c>
      <c r="DV119" s="433">
        <f>CF!DV37</f>
        <v>1721.3656024949769</v>
      </c>
      <c r="DW119" s="71">
        <f>CF!DW37</f>
        <v>-26.504401791993473</v>
      </c>
      <c r="DX119" s="71">
        <f>CF!DX37</f>
        <v>428.9792884017341</v>
      </c>
      <c r="DY119" s="71">
        <f>CF!DY37</f>
        <v>448.43541704684156</v>
      </c>
      <c r="DZ119" s="71">
        <f>CF!DZ37</f>
        <v>1069.9495805075985</v>
      </c>
      <c r="EA119" s="433">
        <f>CF!EA37</f>
        <v>1920.8598841641806</v>
      </c>
      <c r="EB119" s="11"/>
      <c r="EC119" s="681"/>
      <c r="ED119" s="681"/>
      <c r="EE119" s="681"/>
      <c r="EF119" s="681"/>
      <c r="EG119" s="681"/>
      <c r="EH119" s="681"/>
      <c r="EI119" s="336"/>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row>
    <row r="120" spans="1:259" s="337" customFormat="1" ht="12.75" customHeight="1" x14ac:dyDescent="0.35">
      <c r="A120" s="431" t="s">
        <v>162</v>
      </c>
      <c r="B120" s="1396"/>
      <c r="C120" s="1396"/>
      <c r="D120" s="1396"/>
      <c r="E120" s="1396"/>
      <c r="F120" s="1397"/>
      <c r="G120" s="1850"/>
      <c r="H120" s="1396"/>
      <c r="I120" s="1396"/>
      <c r="J120" s="1398"/>
      <c r="K120" s="1399"/>
      <c r="L120" s="1396"/>
      <c r="M120" s="1396"/>
      <c r="N120" s="1396"/>
      <c r="O120" s="1399"/>
      <c r="P120" s="1397"/>
      <c r="Q120" s="1850"/>
      <c r="R120" s="1396"/>
      <c r="S120" s="1396"/>
      <c r="T120" s="1396"/>
      <c r="U120" s="1397"/>
      <c r="V120" s="1803"/>
      <c r="W120" s="1357"/>
      <c r="X120" s="1357"/>
      <c r="Y120" s="1357"/>
      <c r="Z120" s="1375"/>
      <c r="AA120" s="1357"/>
      <c r="AB120" s="1357"/>
      <c r="AC120" s="1357"/>
      <c r="AD120" s="1357"/>
      <c r="AE120" s="1375"/>
      <c r="AF120" s="1357">
        <f>-CF!AF40</f>
        <v>112</v>
      </c>
      <c r="AG120" s="1357">
        <f>-CF!AG40</f>
        <v>109</v>
      </c>
      <c r="AH120" s="1357">
        <f>-CF!AH40</f>
        <v>137</v>
      </c>
      <c r="AI120" s="1357">
        <f>-CF!AI40</f>
        <v>305</v>
      </c>
      <c r="AJ120" s="1375">
        <f>-CF!AJ40</f>
        <v>663</v>
      </c>
      <c r="AK120" s="1357">
        <f>-CF!AK40</f>
        <v>103</v>
      </c>
      <c r="AL120" s="1357">
        <f>-CF!AL40</f>
        <v>118</v>
      </c>
      <c r="AM120" s="1357">
        <f>-CF!AM40</f>
        <v>162</v>
      </c>
      <c r="AN120" s="1357">
        <f>-CF!AN40</f>
        <v>262</v>
      </c>
      <c r="AO120" s="1375">
        <f>-CF!AO40</f>
        <v>645</v>
      </c>
      <c r="AP120" s="1357">
        <f>-CF!AP40</f>
        <v>94</v>
      </c>
      <c r="AQ120" s="1357">
        <f>-CF!AQ40</f>
        <v>116</v>
      </c>
      <c r="AR120" s="1357">
        <f>-CF!AR40</f>
        <v>152</v>
      </c>
      <c r="AS120" s="1357">
        <f>-CF!AS40</f>
        <v>247</v>
      </c>
      <c r="AT120" s="1375">
        <f>-CF!AT40</f>
        <v>609</v>
      </c>
      <c r="AU120" s="1357">
        <f>-CF!AU40</f>
        <v>72</v>
      </c>
      <c r="AV120" s="1357">
        <f>-CF!AV40</f>
        <v>114</v>
      </c>
      <c r="AW120" s="1357">
        <f>-CF!AW40</f>
        <v>137</v>
      </c>
      <c r="AX120" s="1357">
        <f>-CF!AX40</f>
        <v>291</v>
      </c>
      <c r="AY120" s="1375">
        <f>-CF!AY40</f>
        <v>614</v>
      </c>
      <c r="AZ120" s="1357">
        <f>-CF!AZ40</f>
        <v>93</v>
      </c>
      <c r="BA120" s="1357">
        <f>-CF!BA40</f>
        <v>124</v>
      </c>
      <c r="BB120" s="1357">
        <f>-CF!BB40</f>
        <v>174</v>
      </c>
      <c r="BC120" s="1357">
        <f>-CF!BC40</f>
        <v>351</v>
      </c>
      <c r="BD120" s="1375">
        <f>-CF!BD40</f>
        <v>742</v>
      </c>
      <c r="BE120" s="1357">
        <f>-CF!BE40</f>
        <v>113</v>
      </c>
      <c r="BF120" s="1357">
        <f>-CF!BF40</f>
        <v>222</v>
      </c>
      <c r="BG120" s="1357">
        <f>-CF!BG40</f>
        <v>236</v>
      </c>
      <c r="BH120" s="1357">
        <f>-CF!BH40</f>
        <v>364</v>
      </c>
      <c r="BI120" s="1375">
        <f>-CF!BI40</f>
        <v>935</v>
      </c>
      <c r="BJ120" s="1357">
        <f>-CF!BJ40</f>
        <v>143</v>
      </c>
      <c r="BK120" s="1357">
        <f>-CF!BK40</f>
        <v>199</v>
      </c>
      <c r="BL120" s="1357">
        <f>-CF!BL40</f>
        <v>163</v>
      </c>
      <c r="BM120" s="1357">
        <f>-CF!BM40</f>
        <v>292</v>
      </c>
      <c r="BN120" s="1377">
        <f>-CF!BN40</f>
        <v>797</v>
      </c>
      <c r="BO120" s="1357">
        <f>-CF!BO40</f>
        <v>163</v>
      </c>
      <c r="BP120" s="1357">
        <f>-CF!BP40</f>
        <v>164</v>
      </c>
      <c r="BQ120" s="1357">
        <f>-CF!BQ40</f>
        <v>163</v>
      </c>
      <c r="BR120" s="1357">
        <f>-CF!BR40</f>
        <v>306</v>
      </c>
      <c r="BS120" s="1377">
        <f>-CF!BS40</f>
        <v>796</v>
      </c>
      <c r="BT120" s="1357">
        <f>-CF!BT40</f>
        <v>173</v>
      </c>
      <c r="BU120" s="1357">
        <f>-CF!BU40</f>
        <v>157</v>
      </c>
      <c r="BV120" s="1357">
        <f>-CF!BV40</f>
        <v>223</v>
      </c>
      <c r="BW120" s="1357">
        <f>-CF!BW40</f>
        <v>387</v>
      </c>
      <c r="BX120" s="1377">
        <f>-CF!BX40</f>
        <v>940</v>
      </c>
      <c r="BY120" s="1357">
        <f>-CF!BY40</f>
        <v>184</v>
      </c>
      <c r="BZ120" s="1357">
        <f>-CF!BZ40</f>
        <v>222</v>
      </c>
      <c r="CA120" s="1357">
        <f>-CF!CA40</f>
        <v>272</v>
      </c>
      <c r="CB120" s="1357">
        <f>-CF!CB40</f>
        <v>421</v>
      </c>
      <c r="CC120" s="1377">
        <f>-CF!CC40</f>
        <v>1099</v>
      </c>
      <c r="CD120" s="1400">
        <f>-CF!CD40</f>
        <v>237</v>
      </c>
      <c r="CE120" s="1400">
        <f>-CF!CE40</f>
        <v>235</v>
      </c>
      <c r="CF120" s="1400">
        <f>-CF!CF40</f>
        <v>227</v>
      </c>
      <c r="CG120" s="1400">
        <f>-CF!CG40</f>
        <v>350</v>
      </c>
      <c r="CH120" s="1802">
        <f>-CF!CH40</f>
        <v>1049</v>
      </c>
      <c r="CI120" s="1400">
        <f>-CF!CI40</f>
        <v>172</v>
      </c>
      <c r="CJ120" s="1400">
        <f>-CF!CJ40</f>
        <v>236</v>
      </c>
      <c r="CK120" s="1400">
        <f>-CF!CK40</f>
        <v>247</v>
      </c>
      <c r="CL120" s="1400">
        <f>-CF!CL40</f>
        <v>378</v>
      </c>
      <c r="CM120" s="1606">
        <f>-CF!CM40</f>
        <v>1033</v>
      </c>
      <c r="CN120" s="1607">
        <f>-CF!CN40</f>
        <v>0</v>
      </c>
      <c r="CO120" s="1400">
        <f>-CF!CO40</f>
        <v>0</v>
      </c>
      <c r="CP120" s="1400">
        <f>-CF!CP40</f>
        <v>0</v>
      </c>
      <c r="CQ120" s="1072">
        <f>-CF!CQ40</f>
        <v>0</v>
      </c>
      <c r="CR120" s="1107">
        <f>-CF!CR40</f>
        <v>461</v>
      </c>
      <c r="CS120" s="975">
        <f>-CF!CS40</f>
        <v>74</v>
      </c>
      <c r="CT120" s="975">
        <f>-CF!CT40</f>
        <v>97</v>
      </c>
      <c r="CU120" s="975">
        <f>-CF!CU40</f>
        <v>18.199999999999989</v>
      </c>
      <c r="CV120" s="71">
        <f>-CF!CV40</f>
        <v>232.8</v>
      </c>
      <c r="CW120" s="433">
        <f>-CF!CW40</f>
        <v>422</v>
      </c>
      <c r="CX120" s="71">
        <f>-CF!CX40</f>
        <v>76</v>
      </c>
      <c r="CY120" s="71">
        <f>-CF!CY40</f>
        <v>74</v>
      </c>
      <c r="CZ120" s="71">
        <f>-CF!CZ40</f>
        <v>78</v>
      </c>
      <c r="DA120" s="71">
        <f>-CF!DA40</f>
        <v>90</v>
      </c>
      <c r="DB120" s="433">
        <f>-CF!DB40</f>
        <v>318</v>
      </c>
      <c r="DC120" s="71">
        <f>-CF!DC40</f>
        <v>63.837593873612349</v>
      </c>
      <c r="DD120" s="71">
        <f>-CF!DD40</f>
        <v>59.258617426330453</v>
      </c>
      <c r="DE120" s="71">
        <f>-CF!DE40</f>
        <v>54.365697248746137</v>
      </c>
      <c r="DF120" s="71">
        <f>-CF!DF40</f>
        <v>65.785586499352902</v>
      </c>
      <c r="DG120" s="433">
        <f>-CF!DG40</f>
        <v>243.24749504804186</v>
      </c>
      <c r="DH120" s="71">
        <f>-CF!DH40</f>
        <v>26.759253210644687</v>
      </c>
      <c r="DI120" s="71">
        <f>-CF!DI40</f>
        <v>25.821129914408026</v>
      </c>
      <c r="DJ120" s="71">
        <f>-CF!DJ40</f>
        <v>24.282909321848159</v>
      </c>
      <c r="DK120" s="71">
        <f>-CF!DK40</f>
        <v>28.57175356769077</v>
      </c>
      <c r="DL120" s="433">
        <f>-CF!DL40</f>
        <v>105.43504601459165</v>
      </c>
      <c r="DM120" s="71">
        <f>-CF!DM40</f>
        <v>20.759806816027691</v>
      </c>
      <c r="DN120" s="71">
        <f>-CF!DN40</f>
        <v>22.062336139361278</v>
      </c>
      <c r="DO120" s="71">
        <f>-CF!DO40</f>
        <v>22.848335694069309</v>
      </c>
      <c r="DP120" s="71">
        <f>-CF!DP40</f>
        <v>30.078738541951815</v>
      </c>
      <c r="DQ120" s="433">
        <f>-CF!DQ40</f>
        <v>95.749217191410082</v>
      </c>
      <c r="DR120" s="71">
        <f>-CF!DR40</f>
        <v>21.031070580496252</v>
      </c>
      <c r="DS120" s="71">
        <f>-CF!DS40</f>
        <v>22.312349562177566</v>
      </c>
      <c r="DT120" s="71">
        <f>-CF!DT40</f>
        <v>23.565868229600081</v>
      </c>
      <c r="DU120" s="71">
        <f>-CF!DU40</f>
        <v>32.71250851866224</v>
      </c>
      <c r="DV120" s="433">
        <f>-CF!DV40</f>
        <v>99.621796890936139</v>
      </c>
      <c r="DW120" s="71">
        <f>-CF!DW40</f>
        <v>23.292155708397782</v>
      </c>
      <c r="DX120" s="71">
        <f>-CF!DX40</f>
        <v>24.902175178453412</v>
      </c>
      <c r="DY120" s="71">
        <f>-CF!DY40</f>
        <v>25.586573037688606</v>
      </c>
      <c r="DZ120" s="71">
        <f>-CF!DZ40</f>
        <v>33.89259010333943</v>
      </c>
      <c r="EA120" s="433">
        <f>-CF!EA40</f>
        <v>107.67349402787923</v>
      </c>
      <c r="EB120" s="11"/>
      <c r="EC120" s="681"/>
      <c r="ED120" s="681"/>
      <c r="EE120" s="681"/>
      <c r="EF120" s="681"/>
      <c r="EG120" s="681"/>
      <c r="EH120" s="681"/>
      <c r="EI120" s="336"/>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row>
    <row r="121" spans="1:259" s="337" customFormat="1" ht="12.75" customHeight="1" x14ac:dyDescent="0.35">
      <c r="A121" s="431" t="s">
        <v>439</v>
      </c>
      <c r="B121" s="1396"/>
      <c r="C121" s="1396"/>
      <c r="D121" s="1396"/>
      <c r="E121" s="1396"/>
      <c r="F121" s="1397"/>
      <c r="G121" s="1850"/>
      <c r="H121" s="1396"/>
      <c r="I121" s="1396"/>
      <c r="J121" s="1398"/>
      <c r="K121" s="1399"/>
      <c r="L121" s="1396"/>
      <c r="M121" s="1396"/>
      <c r="N121" s="1396"/>
      <c r="O121" s="1399"/>
      <c r="P121" s="1397"/>
      <c r="Q121" s="1850"/>
      <c r="R121" s="1396"/>
      <c r="S121" s="1396"/>
      <c r="T121" s="1396"/>
      <c r="U121" s="1397"/>
      <c r="V121" s="1803"/>
      <c r="W121" s="1357"/>
      <c r="X121" s="1357"/>
      <c r="Y121" s="1357"/>
      <c r="Z121" s="1375"/>
      <c r="AA121" s="1357"/>
      <c r="AB121" s="1357"/>
      <c r="AC121" s="1357"/>
      <c r="AD121" s="1357"/>
      <c r="AE121" s="1375"/>
      <c r="AF121" s="1357">
        <f>CF!AF75</f>
        <v>17</v>
      </c>
      <c r="AG121" s="1357">
        <f>CF!AG75</f>
        <v>161</v>
      </c>
      <c r="AH121" s="1357">
        <f>CF!AH75</f>
        <v>233</v>
      </c>
      <c r="AI121" s="1357">
        <f>CF!AI75</f>
        <v>-21</v>
      </c>
      <c r="AJ121" s="1375">
        <f>CF!AJ75</f>
        <v>390</v>
      </c>
      <c r="AK121" s="1357">
        <f>CF!AK75</f>
        <v>86</v>
      </c>
      <c r="AL121" s="1357">
        <f>CF!AL75</f>
        <v>92</v>
      </c>
      <c r="AM121" s="1357">
        <f>CF!AM75</f>
        <v>230</v>
      </c>
      <c r="AN121" s="1357">
        <f>CF!AN75</f>
        <v>78</v>
      </c>
      <c r="AO121" s="1375">
        <f>CF!AO75</f>
        <v>486</v>
      </c>
      <c r="AP121" s="1357">
        <f>CF!AP75</f>
        <v>161</v>
      </c>
      <c r="AQ121" s="1357">
        <f>CF!AQ75</f>
        <v>234</v>
      </c>
      <c r="AR121" s="1357">
        <f>CF!AR75</f>
        <v>284</v>
      </c>
      <c r="AS121" s="1357">
        <f>CF!AS75</f>
        <v>-50</v>
      </c>
      <c r="AT121" s="1375">
        <f>CF!AT75</f>
        <v>629</v>
      </c>
      <c r="AU121" s="1357">
        <f>CF!AU75</f>
        <v>215</v>
      </c>
      <c r="AV121" s="1357">
        <f>CF!AV75</f>
        <v>144</v>
      </c>
      <c r="AW121" s="1357">
        <f>CF!AW75</f>
        <v>307</v>
      </c>
      <c r="AX121" s="1357">
        <f>CF!AX75</f>
        <v>4</v>
      </c>
      <c r="AY121" s="1375">
        <f>CF!AY75</f>
        <v>688</v>
      </c>
      <c r="AZ121" s="1357">
        <f>CF!AZ75</f>
        <v>248</v>
      </c>
      <c r="BA121" s="1357">
        <f>CF!BA75</f>
        <v>128</v>
      </c>
      <c r="BB121" s="1357">
        <f>CF!BB75</f>
        <v>402</v>
      </c>
      <c r="BC121" s="1357">
        <f>CF!BC75</f>
        <v>45</v>
      </c>
      <c r="BD121" s="1375">
        <f>CF!BD75</f>
        <v>823</v>
      </c>
      <c r="BE121" s="1357">
        <f>CF!BE75</f>
        <v>235</v>
      </c>
      <c r="BF121" s="1357">
        <f>CF!BF75</f>
        <v>43</v>
      </c>
      <c r="BG121" s="1357">
        <f>CF!BG75</f>
        <v>291</v>
      </c>
      <c r="BH121" s="1357">
        <f>CF!BH75</f>
        <v>-35</v>
      </c>
      <c r="BI121" s="1375">
        <f>CF!BI75</f>
        <v>534</v>
      </c>
      <c r="BJ121" s="1357">
        <f>CF!BJ75</f>
        <v>154</v>
      </c>
      <c r="BK121" s="1357">
        <f>CF!BK75</f>
        <v>-1</v>
      </c>
      <c r="BL121" s="1357">
        <f>CF!BL75</f>
        <v>477</v>
      </c>
      <c r="BM121" s="1357">
        <f>CF!BM75</f>
        <v>-23</v>
      </c>
      <c r="BN121" s="1377">
        <f>CF!BN75</f>
        <v>607</v>
      </c>
      <c r="BO121" s="1357">
        <f>CF!BO75</f>
        <v>229</v>
      </c>
      <c r="BP121" s="1357">
        <f>CF!BP75</f>
        <v>277</v>
      </c>
      <c r="BQ121" s="1357">
        <f>CF!BQ75</f>
        <v>501</v>
      </c>
      <c r="BR121" s="1357">
        <f>CF!BR75</f>
        <v>165</v>
      </c>
      <c r="BS121" s="1377">
        <f>CF!BS75</f>
        <v>1172</v>
      </c>
      <c r="BT121" s="1357">
        <f>CF!BT75</f>
        <v>335</v>
      </c>
      <c r="BU121" s="1357">
        <f>CF!BU75</f>
        <v>258</v>
      </c>
      <c r="BV121" s="1357">
        <f>CF!BV75</f>
        <v>557</v>
      </c>
      <c r="BW121" s="1357">
        <f>CF!BW75</f>
        <v>80</v>
      </c>
      <c r="BX121" s="1377">
        <f>CF!BX75</f>
        <v>1230</v>
      </c>
      <c r="BY121" s="1357">
        <f>CF!BY75</f>
        <v>300</v>
      </c>
      <c r="BZ121" s="1357">
        <f>CF!BZ75</f>
        <v>218</v>
      </c>
      <c r="CA121" s="1357">
        <f>CF!CA75</f>
        <v>622</v>
      </c>
      <c r="CB121" s="1357">
        <f>CF!CB75</f>
        <v>55</v>
      </c>
      <c r="CC121" s="1377">
        <f>CF!CC75</f>
        <v>929</v>
      </c>
      <c r="CD121" s="1400">
        <f>CF!CD75</f>
        <v>164</v>
      </c>
      <c r="CE121" s="1400">
        <f>CF!CE75</f>
        <v>93</v>
      </c>
      <c r="CF121" s="1400">
        <f>CF!CF75</f>
        <v>597</v>
      </c>
      <c r="CG121" s="1400">
        <f>CF!CG75</f>
        <v>236</v>
      </c>
      <c r="CH121" s="1802">
        <f>CF!CH75</f>
        <v>808</v>
      </c>
      <c r="CI121" s="1400">
        <f>CF!CI75</f>
        <v>0</v>
      </c>
      <c r="CJ121" s="1400">
        <f>CF!CJ75</f>
        <v>0</v>
      </c>
      <c r="CK121" s="1400">
        <f>CF!CK75</f>
        <v>0</v>
      </c>
      <c r="CL121" s="1400">
        <f>CF!CL75</f>
        <v>0</v>
      </c>
      <c r="CM121" s="1606">
        <f>CF!CM75</f>
        <v>709</v>
      </c>
      <c r="CN121" s="1607">
        <f>CF!CN75</f>
        <v>0</v>
      </c>
      <c r="CO121" s="1400">
        <f>CF!CO75</f>
        <v>0</v>
      </c>
      <c r="CP121" s="1400">
        <f>CF!CP75</f>
        <v>0</v>
      </c>
      <c r="CQ121" s="1072">
        <f>CF!CQ75</f>
        <v>0</v>
      </c>
      <c r="CR121" s="1107">
        <f>CF!CR75</f>
        <v>833</v>
      </c>
      <c r="CS121" s="975">
        <f>CF!CS75</f>
        <v>174.34730062237662</v>
      </c>
      <c r="CT121" s="975">
        <f>CF!CT75</f>
        <v>69.652699377623378</v>
      </c>
      <c r="CU121" s="975">
        <f>CF!CU75</f>
        <v>125.96919959473149</v>
      </c>
      <c r="CV121" s="71">
        <f>CF!CV75</f>
        <v>412.03080040526851</v>
      </c>
      <c r="CW121" s="433">
        <f>CF!CW75</f>
        <v>782</v>
      </c>
      <c r="CX121" s="71">
        <f>CF!CX75</f>
        <v>212</v>
      </c>
      <c r="CY121" s="71">
        <f>CF!CY75</f>
        <v>77</v>
      </c>
      <c r="CZ121" s="71">
        <f>CF!CZ75</f>
        <v>201</v>
      </c>
      <c r="DA121" s="71">
        <f>CF!DA75</f>
        <v>222</v>
      </c>
      <c r="DB121" s="433">
        <f>CF!DB75</f>
        <v>712</v>
      </c>
      <c r="DC121" s="71">
        <f>CF!DC75</f>
        <v>360.86085961743493</v>
      </c>
      <c r="DD121" s="71">
        <f>CF!DD75</f>
        <v>230.85645979730313</v>
      </c>
      <c r="DE121" s="71">
        <f>CF!DE75</f>
        <v>248.8653351706642</v>
      </c>
      <c r="DF121" s="71">
        <f>CF!DF75</f>
        <v>484.05003652345772</v>
      </c>
      <c r="DG121" s="433">
        <f>CF!DG75</f>
        <v>1324.6326911088599</v>
      </c>
      <c r="DH121" s="71">
        <f>CF!DH75</f>
        <v>18.995066323548457</v>
      </c>
      <c r="DI121" s="71">
        <f>CF!DI75</f>
        <v>285.44989691586534</v>
      </c>
      <c r="DJ121" s="71">
        <f>CF!DJ75</f>
        <v>312.12587313382926</v>
      </c>
      <c r="DK121" s="71">
        <f>CF!DK75</f>
        <v>700.6937368596823</v>
      </c>
      <c r="DL121" s="433">
        <f>CF!DL75</f>
        <v>1317.2645732329252</v>
      </c>
      <c r="DM121" s="71">
        <f>CF!DM75</f>
        <v>-31.54569266743394</v>
      </c>
      <c r="DN121" s="71">
        <f>CF!DN75</f>
        <v>326.55257969779325</v>
      </c>
      <c r="DO121" s="71">
        <f>CF!DO75</f>
        <v>346.71176989878643</v>
      </c>
      <c r="DP121" s="71">
        <f>CF!DP75</f>
        <v>799.44102133174499</v>
      </c>
      <c r="DQ121" s="433">
        <f>CF!DQ75</f>
        <v>1441.1596782608908</v>
      </c>
      <c r="DR121" s="71">
        <f>CF!DR75</f>
        <v>-26.654502086971721</v>
      </c>
      <c r="DS121" s="71">
        <f>CF!DS75</f>
        <v>363.39265104686643</v>
      </c>
      <c r="DT121" s="71">
        <f>CF!DT75</f>
        <v>382.19203956535148</v>
      </c>
      <c r="DU121" s="71">
        <f>CF!DU75</f>
        <v>902.81361707879444</v>
      </c>
      <c r="DV121" s="433">
        <f>CF!DV75</f>
        <v>1621.7438056040407</v>
      </c>
      <c r="DW121" s="71">
        <f>CF!DW75</f>
        <v>-49.796557500391259</v>
      </c>
      <c r="DX121" s="71">
        <f>CF!DX75</f>
        <v>404.07711322328066</v>
      </c>
      <c r="DY121" s="71">
        <f>CF!DY75</f>
        <v>422.84884400915297</v>
      </c>
      <c r="DZ121" s="71">
        <f>CF!DZ75</f>
        <v>1036.0569904042591</v>
      </c>
      <c r="EA121" s="433">
        <f>CF!EA75</f>
        <v>1813.1863901363013</v>
      </c>
      <c r="EB121" s="11"/>
      <c r="EC121" s="681"/>
      <c r="ED121" s="681"/>
      <c r="EE121" s="681"/>
      <c r="EF121" s="681"/>
      <c r="EG121" s="681"/>
      <c r="EH121" s="681"/>
      <c r="EI121" s="336"/>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row>
    <row r="122" spans="1:259" s="337" customFormat="1" ht="12.75" customHeight="1" x14ac:dyDescent="0.35">
      <c r="A122" s="431" t="s">
        <v>471</v>
      </c>
      <c r="B122" s="1396"/>
      <c r="C122" s="1396"/>
      <c r="D122" s="1396"/>
      <c r="E122" s="1396"/>
      <c r="F122" s="1397"/>
      <c r="G122" s="1850"/>
      <c r="H122" s="1396"/>
      <c r="I122" s="1396"/>
      <c r="J122" s="1398"/>
      <c r="K122" s="1399"/>
      <c r="L122" s="1396"/>
      <c r="M122" s="1396"/>
      <c r="N122" s="1396"/>
      <c r="O122" s="1399"/>
      <c r="P122" s="1397"/>
      <c r="Q122" s="1850"/>
      <c r="R122" s="1396"/>
      <c r="S122" s="1396"/>
      <c r="T122" s="1396"/>
      <c r="U122" s="1397"/>
      <c r="V122" s="1803"/>
      <c r="W122" s="1357"/>
      <c r="X122" s="1357"/>
      <c r="Y122" s="1357"/>
      <c r="Z122" s="1375"/>
      <c r="AA122" s="1357"/>
      <c r="AB122" s="1357"/>
      <c r="AC122" s="1357"/>
      <c r="AD122" s="1357"/>
      <c r="AE122" s="1375"/>
      <c r="AF122" s="1620">
        <f t="shared" ref="AF122:BK122" si="418">AF121/AF65</f>
        <v>2.8052805280528052E-2</v>
      </c>
      <c r="AG122" s="1620">
        <f t="shared" si="418"/>
        <v>0.26480263157894735</v>
      </c>
      <c r="AH122" s="1620">
        <f t="shared" si="418"/>
        <v>0.37947882736156352</v>
      </c>
      <c r="AI122" s="1620">
        <f t="shared" si="418"/>
        <v>-3.4146341463414637E-2</v>
      </c>
      <c r="AJ122" s="1621">
        <f t="shared" si="418"/>
        <v>0.64039408866995073</v>
      </c>
      <c r="AK122" s="1620">
        <f t="shared" si="418"/>
        <v>0.14098360655737704</v>
      </c>
      <c r="AL122" s="1620">
        <f t="shared" si="418"/>
        <v>0.15107228480409865</v>
      </c>
      <c r="AM122" s="1620">
        <f t="shared" si="418"/>
        <v>0.37704918032786883</v>
      </c>
      <c r="AN122" s="1620">
        <f t="shared" si="418"/>
        <v>0.12703583061889251</v>
      </c>
      <c r="AO122" s="1621">
        <f t="shared" si="418"/>
        <v>0.79574945353625492</v>
      </c>
      <c r="AP122" s="1620">
        <f t="shared" si="418"/>
        <v>0.26480263157894735</v>
      </c>
      <c r="AQ122" s="1620">
        <f t="shared" si="418"/>
        <v>0.38741721854304634</v>
      </c>
      <c r="AR122" s="1620">
        <f t="shared" si="418"/>
        <v>0.47651006711409394</v>
      </c>
      <c r="AS122" s="1620">
        <f t="shared" si="418"/>
        <v>-8.5616438356164379E-2</v>
      </c>
      <c r="AT122" s="1621">
        <f t="shared" si="418"/>
        <v>1.0553691275167785</v>
      </c>
      <c r="AU122" s="1620">
        <f t="shared" si="418"/>
        <v>0.37587412587412589</v>
      </c>
      <c r="AV122" s="1620">
        <f t="shared" si="418"/>
        <v>0.25622775800711745</v>
      </c>
      <c r="AW122" s="1620">
        <f t="shared" si="418"/>
        <v>0.55415162454873645</v>
      </c>
      <c r="AX122" s="1620">
        <f t="shared" si="418"/>
        <v>7.1942446043165471E-3</v>
      </c>
      <c r="AY122" s="1621">
        <f t="shared" si="418"/>
        <v>1.2198581560283688</v>
      </c>
      <c r="AZ122" s="1620">
        <f t="shared" si="418"/>
        <v>0.45090909090909093</v>
      </c>
      <c r="BA122" s="1620">
        <f t="shared" si="418"/>
        <v>0.2340036563071298</v>
      </c>
      <c r="BB122" s="1620">
        <f t="shared" si="418"/>
        <v>0.74306839186691309</v>
      </c>
      <c r="BC122" s="1620">
        <f t="shared" si="418"/>
        <v>8.5227272727272721E-2</v>
      </c>
      <c r="BD122" s="1621">
        <f t="shared" si="418"/>
        <v>1.521256931608133</v>
      </c>
      <c r="BE122" s="1620">
        <f t="shared" si="418"/>
        <v>0.46626984126984128</v>
      </c>
      <c r="BF122" s="1620">
        <f t="shared" si="418"/>
        <v>8.6345381526104423E-2</v>
      </c>
      <c r="BG122" s="1620">
        <f t="shared" si="418"/>
        <v>0.59753593429158114</v>
      </c>
      <c r="BH122" s="1620">
        <f t="shared" si="418"/>
        <v>-7.3068893528183715E-2</v>
      </c>
      <c r="BI122" s="1621">
        <f t="shared" si="418"/>
        <v>1.0875763747454175</v>
      </c>
      <c r="BJ122" s="1620">
        <f t="shared" si="418"/>
        <v>0.32150313152400833</v>
      </c>
      <c r="BK122" s="1620">
        <f t="shared" si="418"/>
        <v>-2.070393374741201E-3</v>
      </c>
      <c r="BL122" s="1620">
        <f t="shared" ref="BL122:CQ122" si="419">BL121/BL65</f>
        <v>0.98350515463917521</v>
      </c>
      <c r="BM122" s="1620">
        <f t="shared" si="419"/>
        <v>-4.7422680412371132E-2</v>
      </c>
      <c r="BN122" s="1622">
        <f t="shared" si="419"/>
        <v>1.2567287784679089</v>
      </c>
      <c r="BO122" s="1620">
        <f t="shared" si="419"/>
        <v>0.47216494845360824</v>
      </c>
      <c r="BP122" s="1620">
        <f t="shared" si="419"/>
        <v>0.57113402061855667</v>
      </c>
      <c r="BQ122" s="1620">
        <f t="shared" si="419"/>
        <v>1.0351239669421488</v>
      </c>
      <c r="BR122" s="1620">
        <f t="shared" si="419"/>
        <v>0.33811475409836067</v>
      </c>
      <c r="BS122" s="1622">
        <f t="shared" si="419"/>
        <v>2.4140061791967042</v>
      </c>
      <c r="BT122" s="1620">
        <f t="shared" si="419"/>
        <v>0.68930041152263377</v>
      </c>
      <c r="BU122" s="1620">
        <f t="shared" si="419"/>
        <v>0.53305785123966942</v>
      </c>
      <c r="BV122" s="1620">
        <f t="shared" si="419"/>
        <v>1.158004158004158</v>
      </c>
      <c r="BW122" s="1620">
        <f t="shared" si="419"/>
        <v>0.16771488469601678</v>
      </c>
      <c r="BX122" s="1622">
        <f t="shared" si="419"/>
        <v>2.5518672199170123</v>
      </c>
      <c r="BY122" s="1620">
        <f t="shared" si="419"/>
        <v>0.62761506276150625</v>
      </c>
      <c r="BZ122" s="1620">
        <f t="shared" si="419"/>
        <v>0.45702306079664567</v>
      </c>
      <c r="CA122" s="1620">
        <f t="shared" si="419"/>
        <v>1.3177966101694916</v>
      </c>
      <c r="CB122" s="1620">
        <f t="shared" si="419"/>
        <v>0.11752136752136752</v>
      </c>
      <c r="CC122" s="1622">
        <f t="shared" si="419"/>
        <v>1.9640591966173362</v>
      </c>
      <c r="CD122" s="1623">
        <f t="shared" si="419"/>
        <v>0.35268817204301073</v>
      </c>
      <c r="CE122" s="1623">
        <f t="shared" si="419"/>
        <v>0.20043103448275862</v>
      </c>
      <c r="CF122" s="1623">
        <f t="shared" si="419"/>
        <v>1.2950108459869849</v>
      </c>
      <c r="CG122" s="1623">
        <f t="shared" si="419"/>
        <v>0.51528384279475981</v>
      </c>
      <c r="CH122" s="1851">
        <f t="shared" si="419"/>
        <v>1.7527114967462039</v>
      </c>
      <c r="CI122" s="1623">
        <f t="shared" si="419"/>
        <v>0</v>
      </c>
      <c r="CJ122" s="1623">
        <f t="shared" si="419"/>
        <v>0</v>
      </c>
      <c r="CK122" s="1623">
        <f t="shared" si="419"/>
        <v>0</v>
      </c>
      <c r="CL122" s="1623">
        <f t="shared" si="419"/>
        <v>0</v>
      </c>
      <c r="CM122" s="1624">
        <f t="shared" si="419"/>
        <v>1.565121412803532</v>
      </c>
      <c r="CN122" s="1625">
        <f t="shared" si="419"/>
        <v>0</v>
      </c>
      <c r="CO122" s="1623">
        <f t="shared" si="419"/>
        <v>0</v>
      </c>
      <c r="CP122" s="1623">
        <f t="shared" si="419"/>
        <v>0</v>
      </c>
      <c r="CQ122" s="1903">
        <f t="shared" si="419"/>
        <v>0</v>
      </c>
      <c r="CR122" s="1964">
        <f t="shared" ref="CR122:DQ122" si="420">CR121/CR65</f>
        <v>1.8803611738148984</v>
      </c>
      <c r="CS122" s="2081">
        <f t="shared" si="420"/>
        <v>0.41412660480374497</v>
      </c>
      <c r="CT122" s="2081">
        <f t="shared" si="420"/>
        <v>0.1678378298255985</v>
      </c>
      <c r="CU122" s="2081">
        <f t="shared" si="420"/>
        <v>0.31890936606261139</v>
      </c>
      <c r="CV122" s="723">
        <f t="shared" si="420"/>
        <v>1.1076096785087863</v>
      </c>
      <c r="CW122" s="724">
        <f t="shared" si="420"/>
        <v>1.9550000000000001</v>
      </c>
      <c r="CX122" s="723">
        <f t="shared" si="420"/>
        <v>0.58241758241758246</v>
      </c>
      <c r="CY122" s="723">
        <f t="shared" si="420"/>
        <v>0.21508379888268156</v>
      </c>
      <c r="CZ122" s="723">
        <f t="shared" si="420"/>
        <v>0.56940509915014159</v>
      </c>
      <c r="DA122" s="723">
        <f t="shared" si="420"/>
        <v>0.64347826086956517</v>
      </c>
      <c r="DB122" s="724">
        <f t="shared" si="420"/>
        <v>2.0056338028169014</v>
      </c>
      <c r="DC122" s="723">
        <f t="shared" si="420"/>
        <v>1.0577030562706486</v>
      </c>
      <c r="DD122" s="723">
        <f t="shared" si="420"/>
        <v>0.68977424008534138</v>
      </c>
      <c r="DE122" s="723">
        <f t="shared" si="420"/>
        <v>0.75778078153846462</v>
      </c>
      <c r="DF122" s="723">
        <f t="shared" si="420"/>
        <v>1.4962102655599658</v>
      </c>
      <c r="DG122" s="724">
        <f t="shared" si="420"/>
        <v>3.9904918110271002</v>
      </c>
      <c r="DH122" s="723">
        <f t="shared" si="420"/>
        <v>5.9413893148565988E-2</v>
      </c>
      <c r="DI122" s="723">
        <f t="shared" si="420"/>
        <v>0.90393524034188466</v>
      </c>
      <c r="DJ122" s="723">
        <f t="shared" si="420"/>
        <v>1.0004040823808398</v>
      </c>
      <c r="DK122" s="723">
        <f t="shared" si="420"/>
        <v>2.2637311020896802</v>
      </c>
      <c r="DL122" s="724">
        <f t="shared" si="420"/>
        <v>4.1916942437132994</v>
      </c>
      <c r="DM122" s="723">
        <f t="shared" si="420"/>
        <v>-0.10240906498795234</v>
      </c>
      <c r="DN122" s="723">
        <f t="shared" si="420"/>
        <v>1.0660709620371773</v>
      </c>
      <c r="DO122" s="723">
        <f t="shared" si="420"/>
        <v>1.1379363556893198</v>
      </c>
      <c r="DP122" s="723">
        <f t="shared" si="420"/>
        <v>2.626823576375823</v>
      </c>
      <c r="DQ122" s="724">
        <f t="shared" si="420"/>
        <v>4.7120880118061539</v>
      </c>
      <c r="DR122" s="723">
        <f t="shared" ref="DR122:EA122" si="421">DR121/DR65</f>
        <v>-8.7687340684966447E-2</v>
      </c>
      <c r="DS122" s="723">
        <f t="shared" si="421"/>
        <v>1.2017068290108737</v>
      </c>
      <c r="DT122" s="723">
        <f t="shared" si="421"/>
        <v>1.2701130645880774</v>
      </c>
      <c r="DU122" s="723">
        <f t="shared" si="421"/>
        <v>3.0023136079018755</v>
      </c>
      <c r="DV122" s="724">
        <f t="shared" si="421"/>
        <v>5.3700706150980295</v>
      </c>
      <c r="DW122" s="723">
        <f t="shared" si="421"/>
        <v>-0.16572395020639008</v>
      </c>
      <c r="DX122" s="723">
        <f t="shared" si="421"/>
        <v>1.351249036359446</v>
      </c>
      <c r="DY122" s="723">
        <f t="shared" si="421"/>
        <v>1.4204453646159716</v>
      </c>
      <c r="DZ122" s="723">
        <f t="shared" si="421"/>
        <v>3.4812321655861131</v>
      </c>
      <c r="EA122" s="724">
        <f t="shared" si="421"/>
        <v>6.0701660702415392</v>
      </c>
      <c r="EB122" s="11"/>
      <c r="EC122" s="681"/>
      <c r="ED122" s="681"/>
      <c r="EE122" s="681"/>
      <c r="EF122" s="681"/>
      <c r="EG122" s="681"/>
      <c r="EH122" s="681"/>
      <c r="EI122" s="336"/>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row>
    <row r="123" spans="1:259" s="337" customFormat="1" ht="12.75" customHeight="1" x14ac:dyDescent="0.35">
      <c r="A123" s="431" t="s">
        <v>433</v>
      </c>
      <c r="B123" s="1396"/>
      <c r="C123" s="1396"/>
      <c r="D123" s="1396"/>
      <c r="E123" s="1396"/>
      <c r="F123" s="1397"/>
      <c r="G123" s="1850"/>
      <c r="H123" s="1396"/>
      <c r="I123" s="1396"/>
      <c r="J123" s="1398"/>
      <c r="K123" s="1399"/>
      <c r="L123" s="1396"/>
      <c r="M123" s="1396"/>
      <c r="N123" s="1396"/>
      <c r="O123" s="1399"/>
      <c r="P123" s="1397"/>
      <c r="Q123" s="1850"/>
      <c r="R123" s="1396"/>
      <c r="S123" s="1396"/>
      <c r="T123" s="1396"/>
      <c r="U123" s="1397"/>
      <c r="V123" s="1803"/>
      <c r="W123" s="1357"/>
      <c r="X123" s="1357"/>
      <c r="Y123" s="1357"/>
      <c r="Z123" s="1375"/>
      <c r="AA123" s="1357"/>
      <c r="AB123" s="1357"/>
      <c r="AC123" s="1357"/>
      <c r="AD123" s="1357"/>
      <c r="AE123" s="1375"/>
      <c r="AF123" s="1620"/>
      <c r="AG123" s="1620"/>
      <c r="AH123" s="1620"/>
      <c r="AI123" s="1620"/>
      <c r="AJ123" s="1621"/>
      <c r="AK123" s="1620"/>
      <c r="AL123" s="1620"/>
      <c r="AM123" s="1620"/>
      <c r="AN123" s="1620"/>
      <c r="AO123" s="1621">
        <f t="shared" ref="AO123:CR123" si="422">AO194</f>
        <v>0.14897260273972604</v>
      </c>
      <c r="AP123" s="1620">
        <f t="shared" si="422"/>
        <v>0</v>
      </c>
      <c r="AQ123" s="1620">
        <f t="shared" si="422"/>
        <v>0</v>
      </c>
      <c r="AR123" s="1620">
        <f t="shared" si="422"/>
        <v>0</v>
      </c>
      <c r="AS123" s="1620">
        <f t="shared" si="422"/>
        <v>0</v>
      </c>
      <c r="AT123" s="1621">
        <f t="shared" si="422"/>
        <v>0.23035714285714284</v>
      </c>
      <c r="AU123" s="1620">
        <f t="shared" si="422"/>
        <v>0</v>
      </c>
      <c r="AV123" s="1620">
        <f t="shared" si="422"/>
        <v>0</v>
      </c>
      <c r="AW123" s="1620">
        <f t="shared" si="422"/>
        <v>0</v>
      </c>
      <c r="AX123" s="1620">
        <f t="shared" si="422"/>
        <v>0</v>
      </c>
      <c r="AY123" s="1621">
        <f t="shared" si="422"/>
        <v>0.43014705882352944</v>
      </c>
      <c r="AZ123" s="1620">
        <f t="shared" si="422"/>
        <v>7.4999999999999997E-2</v>
      </c>
      <c r="BA123" s="1620">
        <f t="shared" si="422"/>
        <v>0.15</v>
      </c>
      <c r="BB123" s="1620">
        <f t="shared" si="422"/>
        <v>0.15</v>
      </c>
      <c r="BC123" s="1620">
        <f t="shared" si="422"/>
        <v>0.15</v>
      </c>
      <c r="BD123" s="1621">
        <f t="shared" si="422"/>
        <v>0.52298850574712641</v>
      </c>
      <c r="BE123" s="1620">
        <f t="shared" si="422"/>
        <v>0.15</v>
      </c>
      <c r="BF123" s="1620">
        <f t="shared" si="422"/>
        <v>0.15</v>
      </c>
      <c r="BG123" s="1620">
        <f t="shared" si="422"/>
        <v>0.19</v>
      </c>
      <c r="BH123" s="1620">
        <f t="shared" si="422"/>
        <v>0.19</v>
      </c>
      <c r="BI123" s="1621">
        <f t="shared" si="422"/>
        <v>0.67789473684210522</v>
      </c>
      <c r="BJ123" s="1620">
        <f t="shared" si="422"/>
        <v>0.18162839248434237</v>
      </c>
      <c r="BK123" s="1620">
        <f t="shared" si="422"/>
        <v>0.18219461697722567</v>
      </c>
      <c r="BL123" s="1620">
        <f t="shared" si="422"/>
        <v>0.18144329896907216</v>
      </c>
      <c r="BM123" s="1620">
        <f t="shared" si="422"/>
        <v>0.20412371134020618</v>
      </c>
      <c r="BN123" s="1622">
        <f t="shared" si="422"/>
        <v>0.76857749469214443</v>
      </c>
      <c r="BO123" s="1620">
        <f t="shared" si="422"/>
        <v>0.20412371134020618</v>
      </c>
      <c r="BP123" s="1620">
        <f t="shared" si="422"/>
        <v>0.2020618556701031</v>
      </c>
      <c r="BQ123" s="1620">
        <f t="shared" si="422"/>
        <v>0.2024793388429752</v>
      </c>
      <c r="BR123" s="1620">
        <f t="shared" si="422"/>
        <v>0.23975409836065573</v>
      </c>
      <c r="BS123" s="1622">
        <f t="shared" si="422"/>
        <v>0.86919831223628696</v>
      </c>
      <c r="BT123" s="1620">
        <f t="shared" si="422"/>
        <v>0.24279835390946503</v>
      </c>
      <c r="BU123" s="1620">
        <f t="shared" si="422"/>
        <v>0.23966942148760331</v>
      </c>
      <c r="BV123" s="1620">
        <f t="shared" si="422"/>
        <v>0.24116424116424118</v>
      </c>
      <c r="BW123" s="1620">
        <f t="shared" si="422"/>
        <v>0.27463312368972748</v>
      </c>
      <c r="BX123" s="1622">
        <f t="shared" si="422"/>
        <v>1.0255863539445629</v>
      </c>
      <c r="BY123" s="1620">
        <f t="shared" si="422"/>
        <v>0.27405857740585776</v>
      </c>
      <c r="BZ123" s="1620">
        <f t="shared" si="422"/>
        <v>0.27463312368972748</v>
      </c>
      <c r="CA123" s="1620">
        <f t="shared" si="422"/>
        <v>0.27754237288135591</v>
      </c>
      <c r="CB123" s="1620">
        <f t="shared" si="422"/>
        <v>0.33500000000000002</v>
      </c>
      <c r="CC123" s="1622">
        <f t="shared" si="422"/>
        <v>1.1925813449023861</v>
      </c>
      <c r="CD123" s="1623">
        <f t="shared" si="422"/>
        <v>0.33500000000000002</v>
      </c>
      <c r="CE123" s="1623">
        <f t="shared" si="422"/>
        <v>0.33500000000000002</v>
      </c>
      <c r="CF123" s="1623">
        <f t="shared" si="422"/>
        <v>0.33500000000000002</v>
      </c>
      <c r="CG123" s="1623">
        <f t="shared" si="422"/>
        <v>0.37</v>
      </c>
      <c r="CH123" s="1851">
        <f t="shared" si="422"/>
        <v>1.4051106194690266</v>
      </c>
      <c r="CI123" s="1623">
        <f t="shared" si="422"/>
        <v>0.37</v>
      </c>
      <c r="CJ123" s="1623">
        <f t="shared" si="422"/>
        <v>0.37</v>
      </c>
      <c r="CK123" s="1623">
        <f t="shared" si="422"/>
        <v>0.37</v>
      </c>
      <c r="CL123" s="1623">
        <f t="shared" si="422"/>
        <v>0.41</v>
      </c>
      <c r="CM123" s="1624">
        <f t="shared" si="422"/>
        <v>1.5432297297297297</v>
      </c>
      <c r="CN123" s="1625">
        <f t="shared" si="422"/>
        <v>0.41</v>
      </c>
      <c r="CO123" s="1623">
        <f t="shared" si="422"/>
        <v>0.41</v>
      </c>
      <c r="CP123" s="1623">
        <f t="shared" si="422"/>
        <v>0.41</v>
      </c>
      <c r="CQ123" s="1903">
        <f t="shared" si="422"/>
        <v>0.46</v>
      </c>
      <c r="CR123" s="1964">
        <f t="shared" si="422"/>
        <v>1.7189311926605504</v>
      </c>
      <c r="CS123" s="2081">
        <f t="shared" ref="CS123:DQ123" si="423">CS194</f>
        <v>0.46</v>
      </c>
      <c r="CT123" s="2081">
        <f t="shared" si="423"/>
        <v>0.46</v>
      </c>
      <c r="CU123" s="2081">
        <f t="shared" si="423"/>
        <v>0</v>
      </c>
      <c r="CV123" s="723">
        <f t="shared" si="423"/>
        <v>0.81</v>
      </c>
      <c r="CW123" s="724">
        <f t="shared" si="423"/>
        <v>1.7265701699181875</v>
      </c>
      <c r="CX123" s="723">
        <f t="shared" ref="CX123:DG123" si="424">CX194</f>
        <v>0.3</v>
      </c>
      <c r="CY123" s="723">
        <f t="shared" si="424"/>
        <v>0.3</v>
      </c>
      <c r="CZ123" s="723">
        <f t="shared" si="424"/>
        <v>0.3</v>
      </c>
      <c r="DA123" s="723">
        <f t="shared" si="424"/>
        <v>0.3</v>
      </c>
      <c r="DB123" s="724">
        <f t="shared" si="424"/>
        <v>1.2232649018527375</v>
      </c>
      <c r="DC123" s="723">
        <f t="shared" si="424"/>
        <v>0.36</v>
      </c>
      <c r="DD123" s="723">
        <f t="shared" si="424"/>
        <v>0.36</v>
      </c>
      <c r="DE123" s="723">
        <f t="shared" si="424"/>
        <v>0.36</v>
      </c>
      <c r="DF123" s="723">
        <f t="shared" si="424"/>
        <v>0.36</v>
      </c>
      <c r="DG123" s="724">
        <f t="shared" si="424"/>
        <v>1.466507358504143</v>
      </c>
      <c r="DH123" s="723">
        <f t="shared" si="423"/>
        <v>0.39600000000000002</v>
      </c>
      <c r="DI123" s="723">
        <f t="shared" si="423"/>
        <v>0.39600000000000002</v>
      </c>
      <c r="DJ123" s="723">
        <f t="shared" si="423"/>
        <v>0.39600000000000002</v>
      </c>
      <c r="DK123" s="723">
        <f t="shared" si="423"/>
        <v>0.39600000000000002</v>
      </c>
      <c r="DL123" s="724">
        <f t="shared" si="423"/>
        <v>1.6148315284255561</v>
      </c>
      <c r="DM123" s="723">
        <f t="shared" si="423"/>
        <v>0.43560000000000004</v>
      </c>
      <c r="DN123" s="723">
        <f t="shared" si="423"/>
        <v>0.43560000000000004</v>
      </c>
      <c r="DO123" s="723">
        <f t="shared" si="423"/>
        <v>0.43560000000000004</v>
      </c>
      <c r="DP123" s="723">
        <f t="shared" si="423"/>
        <v>0.43560000000000004</v>
      </c>
      <c r="DQ123" s="724">
        <f t="shared" si="423"/>
        <v>1.7772662332331355</v>
      </c>
      <c r="DR123" s="723">
        <f t="shared" ref="DR123:EA123" si="425">DR194</f>
        <v>0.47916000000000009</v>
      </c>
      <c r="DS123" s="723">
        <f t="shared" si="425"/>
        <v>0.47916000000000009</v>
      </c>
      <c r="DT123" s="723">
        <f t="shared" si="425"/>
        <v>0.47916000000000009</v>
      </c>
      <c r="DU123" s="723">
        <f t="shared" si="425"/>
        <v>0.47916000000000009</v>
      </c>
      <c r="DV123" s="724">
        <f t="shared" si="425"/>
        <v>1.9554912390349297</v>
      </c>
      <c r="DW123" s="723">
        <f t="shared" si="425"/>
        <v>0.5270760000000001</v>
      </c>
      <c r="DX123" s="723">
        <f t="shared" si="425"/>
        <v>0.5270760000000001</v>
      </c>
      <c r="DY123" s="723">
        <f t="shared" si="425"/>
        <v>0.5270760000000001</v>
      </c>
      <c r="DZ123" s="723">
        <f t="shared" si="425"/>
        <v>0.5270760000000001</v>
      </c>
      <c r="EA123" s="724">
        <f t="shared" si="425"/>
        <v>2.1515210351307794</v>
      </c>
      <c r="EB123" s="15"/>
      <c r="EC123" s="681"/>
      <c r="ED123" s="681"/>
      <c r="EE123" s="681"/>
      <c r="EF123" s="681"/>
      <c r="EG123" s="681"/>
      <c r="EH123" s="681"/>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row>
    <row r="124" spans="1:259" s="337" customFormat="1" ht="12.75" customHeight="1" x14ac:dyDescent="0.35">
      <c r="A124" s="692" t="s">
        <v>320</v>
      </c>
      <c r="B124" s="1626"/>
      <c r="C124" s="1626"/>
      <c r="D124" s="1626"/>
      <c r="E124" s="1626"/>
      <c r="F124" s="1627"/>
      <c r="G124" s="1628"/>
      <c r="H124" s="1626"/>
      <c r="I124" s="1626"/>
      <c r="J124" s="1629"/>
      <c r="K124" s="1630"/>
      <c r="L124" s="1626"/>
      <c r="M124" s="1626"/>
      <c r="N124" s="1626"/>
      <c r="O124" s="1630"/>
      <c r="P124" s="1627"/>
      <c r="Q124" s="1628"/>
      <c r="R124" s="1626"/>
      <c r="S124" s="1626"/>
      <c r="T124" s="1626"/>
      <c r="U124" s="1627"/>
      <c r="V124" s="1631"/>
      <c r="W124" s="1632"/>
      <c r="X124" s="1632"/>
      <c r="Y124" s="1632"/>
      <c r="Z124" s="1633"/>
      <c r="AA124" s="1632"/>
      <c r="AB124" s="1632"/>
      <c r="AC124" s="1632"/>
      <c r="AD124" s="1632"/>
      <c r="AE124" s="1633"/>
      <c r="AF124" s="1513"/>
      <c r="AG124" s="1513"/>
      <c r="AH124" s="1513"/>
      <c r="AI124" s="1513"/>
      <c r="AJ124" s="1634"/>
      <c r="AK124" s="1513"/>
      <c r="AL124" s="1513"/>
      <c r="AM124" s="1513"/>
      <c r="AN124" s="1513"/>
      <c r="AO124" s="1634">
        <f>AO196</f>
        <v>0</v>
      </c>
      <c r="AP124" s="1513"/>
      <c r="AQ124" s="1513"/>
      <c r="AR124" s="1513"/>
      <c r="AS124" s="1513"/>
      <c r="AT124" s="1634">
        <f>AT196</f>
        <v>9.1690803542831059E-3</v>
      </c>
      <c r="AU124" s="1513"/>
      <c r="AV124" s="1513"/>
      <c r="AW124" s="1513"/>
      <c r="AX124" s="1513"/>
      <c r="AY124" s="1634">
        <f>AY196</f>
        <v>1.715923670589125E-2</v>
      </c>
      <c r="AZ124" s="1513"/>
      <c r="BA124" s="1513"/>
      <c r="BB124" s="1513"/>
      <c r="BC124" s="1513"/>
      <c r="BD124" s="1634">
        <f>BD196</f>
        <v>1.5881239024384087E-2</v>
      </c>
      <c r="BE124" s="1513"/>
      <c r="BF124" s="1513"/>
      <c r="BG124" s="1513"/>
      <c r="BH124" s="1513"/>
      <c r="BI124" s="1634">
        <f>BI196</f>
        <v>2.0489586904153818E-2</v>
      </c>
      <c r="BJ124" s="1513"/>
      <c r="BK124" s="1513"/>
      <c r="BL124" s="1513"/>
      <c r="BM124" s="1513"/>
      <c r="BN124" s="1635">
        <f>BN196</f>
        <v>2.5407520485690723E-2</v>
      </c>
      <c r="BO124" s="1513"/>
      <c r="BP124" s="1513"/>
      <c r="BQ124" s="1513"/>
      <c r="BR124" s="1513"/>
      <c r="BS124" s="1635">
        <f>BS123/BS59</f>
        <v>0.36098869169436898</v>
      </c>
      <c r="BT124" s="1513"/>
      <c r="BU124" s="1513"/>
      <c r="BV124" s="1513"/>
      <c r="BW124" s="1513"/>
      <c r="BX124" s="1635">
        <f>BX123/BX59</f>
        <v>0.37821929808820143</v>
      </c>
      <c r="BY124" s="1513"/>
      <c r="BZ124" s="1513"/>
      <c r="CA124" s="1513"/>
      <c r="CB124" s="1513"/>
      <c r="CC124" s="1635">
        <f>CC123/CC59</f>
        <v>0.38425815813271702</v>
      </c>
      <c r="CD124" s="1636"/>
      <c r="CE124" s="1636"/>
      <c r="CF124" s="1636"/>
      <c r="CG124" s="1636"/>
      <c r="CH124" s="1637">
        <f>CH123/CH59</f>
        <v>0.67334303074347335</v>
      </c>
      <c r="CI124" s="1636"/>
      <c r="CJ124" s="1636"/>
      <c r="CK124" s="1636"/>
      <c r="CL124" s="1636"/>
      <c r="CM124" s="1637">
        <f>CM123/CM59</f>
        <v>0.6973397182718879</v>
      </c>
      <c r="CN124" s="1638"/>
      <c r="CO124" s="1636"/>
      <c r="CP124" s="1636"/>
      <c r="CQ124" s="1904"/>
      <c r="CR124" s="1965">
        <f>CR123/CR59</f>
        <v>0.7514172417703493</v>
      </c>
      <c r="CS124" s="2082"/>
      <c r="CT124" s="2082"/>
      <c r="CU124" s="2082"/>
      <c r="CV124" s="317"/>
      <c r="CW124" s="725">
        <f>CW123/CW59</f>
        <v>0.70043414601143517</v>
      </c>
      <c r="CX124" s="317"/>
      <c r="CY124" s="317"/>
      <c r="CZ124" s="317"/>
      <c r="DA124" s="317"/>
      <c r="DB124" s="725">
        <f>DB123/DB59</f>
        <v>0.41279376440848081</v>
      </c>
      <c r="DC124" s="317"/>
      <c r="DD124" s="317"/>
      <c r="DE124" s="317"/>
      <c r="DF124" s="317"/>
      <c r="DG124" s="725">
        <f>DG123/DG59</f>
        <v>0.4489556504973764</v>
      </c>
      <c r="DH124" s="317"/>
      <c r="DI124" s="317"/>
      <c r="DJ124" s="317"/>
      <c r="DK124" s="317"/>
      <c r="DL124" s="725">
        <f>DL123/DL59</f>
        <v>0.42954842202843319</v>
      </c>
      <c r="DM124" s="317"/>
      <c r="DN124" s="317"/>
      <c r="DO124" s="317"/>
      <c r="DP124" s="317"/>
      <c r="DQ124" s="725">
        <f>DQ123/DQ59</f>
        <v>0.43029493278343667</v>
      </c>
      <c r="DR124" s="317"/>
      <c r="DS124" s="317"/>
      <c r="DT124" s="317"/>
      <c r="DU124" s="317"/>
      <c r="DV124" s="725">
        <f>DV123/DV59</f>
        <v>0.42350320730274243</v>
      </c>
      <c r="DW124" s="317"/>
      <c r="DX124" s="317"/>
      <c r="DY124" s="317"/>
      <c r="DZ124" s="317"/>
      <c r="EA124" s="725">
        <f>EA123/EA59</f>
        <v>0.41951342672625364</v>
      </c>
      <c r="EB124" s="15"/>
      <c r="EC124" s="681"/>
      <c r="ED124" s="681"/>
      <c r="EE124" s="681"/>
      <c r="EF124" s="681"/>
      <c r="EG124" s="681"/>
      <c r="EH124" s="681"/>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row>
    <row r="125" spans="1:259" s="337" customFormat="1" ht="8.25" customHeight="1" x14ac:dyDescent="0.2">
      <c r="A125" s="15"/>
      <c r="B125" s="1555"/>
      <c r="C125" s="1555"/>
      <c r="D125" s="1555"/>
      <c r="E125" s="1555"/>
      <c r="F125" s="1555"/>
      <c r="G125" s="1555"/>
      <c r="H125" s="1555"/>
      <c r="I125" s="1555"/>
      <c r="J125" s="1555"/>
      <c r="K125" s="1555"/>
      <c r="L125" s="1555"/>
      <c r="M125" s="1555"/>
      <c r="N125" s="1555"/>
      <c r="O125" s="1555"/>
      <c r="P125" s="1555"/>
      <c r="Q125" s="1555"/>
      <c r="R125" s="1555"/>
      <c r="S125" s="1555"/>
      <c r="T125" s="1555"/>
      <c r="U125" s="1555"/>
      <c r="V125" s="1555"/>
      <c r="W125" s="1555"/>
      <c r="X125" s="1555"/>
      <c r="Y125" s="1555"/>
      <c r="Z125" s="1555"/>
      <c r="AA125" s="1555"/>
      <c r="AB125" s="1555"/>
      <c r="AC125" s="1555"/>
      <c r="AD125" s="1555"/>
      <c r="AE125" s="1555"/>
      <c r="AF125" s="1555"/>
      <c r="AG125" s="1555"/>
      <c r="AH125" s="1555"/>
      <c r="AI125" s="1555"/>
      <c r="AJ125" s="1555"/>
      <c r="AK125" s="1555"/>
      <c r="AL125" s="1555"/>
      <c r="AM125" s="1555"/>
      <c r="AN125" s="1555"/>
      <c r="AO125" s="1555"/>
      <c r="AP125" s="1555"/>
      <c r="AQ125" s="1555"/>
      <c r="AR125" s="1555"/>
      <c r="AS125" s="1555"/>
      <c r="AT125" s="1555"/>
      <c r="AU125" s="1555"/>
      <c r="AV125" s="1555"/>
      <c r="AW125" s="1555"/>
      <c r="AX125" s="1555"/>
      <c r="AY125" s="1555"/>
      <c r="AZ125" s="1555"/>
      <c r="BA125" s="1555"/>
      <c r="BB125" s="1555"/>
      <c r="BC125" s="1555"/>
      <c r="BD125" s="1555"/>
      <c r="BE125" s="1555"/>
      <c r="BF125" s="1555"/>
      <c r="BG125" s="1555"/>
      <c r="BH125" s="1555"/>
      <c r="BI125" s="1555"/>
      <c r="BJ125" s="1555"/>
      <c r="BK125" s="1555"/>
      <c r="BL125" s="1555"/>
      <c r="BM125" s="1555"/>
      <c r="BN125" s="1555"/>
      <c r="BO125" s="1555"/>
      <c r="BP125" s="1555"/>
      <c r="BQ125" s="1555"/>
      <c r="BR125" s="1555"/>
      <c r="BS125" s="1555"/>
      <c r="BT125" s="1555"/>
      <c r="BU125" s="1555"/>
      <c r="BV125" s="1555"/>
      <c r="BW125" s="1555"/>
      <c r="BX125" s="1555"/>
      <c r="BY125" s="1555"/>
      <c r="BZ125" s="1555"/>
      <c r="CA125" s="1555"/>
      <c r="CB125" s="1555"/>
      <c r="CC125" s="1555"/>
      <c r="CD125" s="1570"/>
      <c r="CE125" s="1570"/>
      <c r="CF125" s="1570"/>
      <c r="CG125" s="1570"/>
      <c r="CH125" s="1570"/>
      <c r="CI125" s="1570"/>
      <c r="CJ125" s="1570"/>
      <c r="CK125" s="1570"/>
      <c r="CL125" s="1570"/>
      <c r="CM125" s="1570"/>
      <c r="CN125" s="1639"/>
      <c r="CO125" s="1570"/>
      <c r="CP125" s="1570"/>
      <c r="CQ125" s="1905"/>
      <c r="CR125" s="1905"/>
      <c r="CS125" s="2083"/>
      <c r="CT125" s="2083"/>
      <c r="CU125" s="2083"/>
      <c r="CV125" s="108"/>
      <c r="CW125" s="108"/>
      <c r="CX125" s="108"/>
      <c r="CY125" s="108"/>
      <c r="CZ125" s="108"/>
      <c r="DA125" s="108"/>
      <c r="DB125" s="108"/>
      <c r="DC125" s="108"/>
      <c r="DD125" s="108"/>
      <c r="DE125" s="108"/>
      <c r="DF125" s="108"/>
      <c r="DG125" s="108"/>
      <c r="DH125" s="108"/>
      <c r="DI125" s="108"/>
      <c r="DJ125" s="108"/>
      <c r="DK125" s="108"/>
      <c r="DL125" s="108"/>
      <c r="DM125" s="108"/>
      <c r="DN125" s="108"/>
      <c r="DO125" s="108"/>
      <c r="DP125" s="108"/>
      <c r="DQ125" s="108"/>
      <c r="DR125" s="108"/>
      <c r="DS125" s="108"/>
      <c r="DT125" s="108"/>
      <c r="DU125" s="108"/>
      <c r="DV125" s="108"/>
      <c r="DW125" s="108"/>
      <c r="DX125" s="108"/>
      <c r="DY125" s="108"/>
      <c r="DZ125" s="108"/>
      <c r="EA125" s="108"/>
      <c r="EB125" s="11"/>
      <c r="ED125" s="773"/>
      <c r="EE125" s="773"/>
      <c r="EF125" s="703"/>
      <c r="EG125" s="773"/>
      <c r="EH125" s="703"/>
      <c r="EI125" s="336"/>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row>
    <row r="126" spans="1:259" s="337" customFormat="1" hidden="1" outlineLevel="1" x14ac:dyDescent="0.2">
      <c r="A126" s="56" t="s">
        <v>244</v>
      </c>
      <c r="B126" s="1358"/>
      <c r="C126" s="1358"/>
      <c r="D126" s="1358"/>
      <c r="E126" s="1362"/>
      <c r="F126" s="1362"/>
      <c r="G126" s="1358"/>
      <c r="H126" s="1358"/>
      <c r="I126" s="1358"/>
      <c r="J126" s="1360"/>
      <c r="K126" s="1362"/>
      <c r="L126" s="1358"/>
      <c r="M126" s="1358"/>
      <c r="N126" s="1358"/>
      <c r="O126" s="1362"/>
      <c r="P126" s="1362"/>
      <c r="Q126" s="1358"/>
      <c r="R126" s="1358"/>
      <c r="S126" s="1358"/>
      <c r="T126" s="1358"/>
      <c r="U126" s="1333"/>
      <c r="V126" s="1358"/>
      <c r="W126" s="1358"/>
      <c r="X126" s="1358"/>
      <c r="Y126" s="1362"/>
      <c r="Z126" s="1333"/>
      <c r="AA126" s="1358"/>
      <c r="AB126" s="1358"/>
      <c r="AC126" s="1358"/>
      <c r="AD126" s="1362"/>
      <c r="AE126" s="1333"/>
      <c r="AF126" s="1358"/>
      <c r="AG126" s="1358"/>
      <c r="AH126" s="1358"/>
      <c r="AI126" s="1362"/>
      <c r="AJ126" s="1333"/>
      <c r="AK126" s="1358"/>
      <c r="AL126" s="1358"/>
      <c r="AM126" s="1358"/>
      <c r="AN126" s="1362"/>
      <c r="AO126" s="1333"/>
      <c r="AP126" s="1358"/>
      <c r="AQ126" s="1358"/>
      <c r="AR126" s="1358"/>
      <c r="AS126" s="1362"/>
      <c r="AT126" s="1333"/>
      <c r="AU126" s="1358"/>
      <c r="AV126" s="1358"/>
      <c r="AW126" s="1358"/>
      <c r="AX126" s="1362"/>
      <c r="AY126" s="1333"/>
      <c r="AZ126" s="1358"/>
      <c r="BA126" s="1358"/>
      <c r="BB126" s="1358"/>
      <c r="BC126" s="1362"/>
      <c r="BD126" s="1333"/>
      <c r="BE126" s="1358"/>
      <c r="BF126" s="1358"/>
      <c r="BG126" s="1358"/>
      <c r="BH126" s="1362"/>
      <c r="BI126" s="1333"/>
      <c r="BJ126" s="1358"/>
      <c r="BK126" s="1358"/>
      <c r="BL126" s="1358"/>
      <c r="BM126" s="1362"/>
      <c r="BN126" s="1333"/>
      <c r="BO126" s="1358"/>
      <c r="BP126" s="1358"/>
      <c r="BQ126" s="1358"/>
      <c r="BR126" s="1362"/>
      <c r="BS126" s="1333"/>
      <c r="BT126" s="1358"/>
      <c r="BU126" s="1358"/>
      <c r="BV126" s="1358"/>
      <c r="BW126" s="1362"/>
      <c r="BX126" s="1333"/>
      <c r="BY126" s="1358"/>
      <c r="BZ126" s="1358"/>
      <c r="CA126" s="1358"/>
      <c r="CB126" s="1362"/>
      <c r="CC126" s="1333"/>
      <c r="CD126" s="1328"/>
      <c r="CE126" s="1328"/>
      <c r="CF126" s="1328"/>
      <c r="CG126" s="1640"/>
      <c r="CH126" s="1641"/>
      <c r="CI126" s="1328"/>
      <c r="CJ126" s="1328"/>
      <c r="CK126" s="1328"/>
      <c r="CL126" s="1640"/>
      <c r="CM126" s="1641"/>
      <c r="CN126" s="1327"/>
      <c r="CO126" s="1328"/>
      <c r="CP126" s="1328"/>
      <c r="CQ126" s="1068"/>
      <c r="CR126" s="1059"/>
      <c r="CS126" s="1119"/>
      <c r="CT126" s="1119"/>
      <c r="CU126" s="1119"/>
      <c r="CV126" s="17"/>
      <c r="CW126" s="59"/>
      <c r="CX126" s="15"/>
      <c r="CY126" s="15"/>
      <c r="CZ126" s="15"/>
      <c r="DA126" s="17"/>
      <c r="DB126" s="59"/>
      <c r="DC126" s="15"/>
      <c r="DD126" s="15"/>
      <c r="DE126" s="15"/>
      <c r="DF126" s="17"/>
      <c r="DG126" s="59"/>
      <c r="DH126" s="15"/>
      <c r="DI126" s="15"/>
      <c r="DJ126" s="15"/>
      <c r="DK126" s="17"/>
      <c r="DL126" s="59"/>
      <c r="DM126" s="15"/>
      <c r="DN126" s="15"/>
      <c r="DO126" s="15"/>
      <c r="DP126" s="17"/>
      <c r="DQ126" s="59"/>
      <c r="DR126" s="15"/>
      <c r="DS126" s="15"/>
      <c r="DT126" s="15"/>
      <c r="DU126" s="17"/>
      <c r="DV126" s="59"/>
      <c r="DW126" s="15"/>
      <c r="DX126" s="15"/>
      <c r="DY126" s="15"/>
      <c r="DZ126" s="17"/>
      <c r="EA126" s="59"/>
      <c r="EB126" s="11"/>
      <c r="EC126" s="681"/>
      <c r="ED126" s="774"/>
      <c r="EE126" s="774"/>
      <c r="EF126" s="774"/>
      <c r="EG126" s="774"/>
      <c r="EH126" s="774"/>
      <c r="EI126" s="681"/>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row>
    <row r="127" spans="1:259" s="337" customFormat="1" hidden="1" outlineLevel="1" x14ac:dyDescent="0.2">
      <c r="A127" s="59"/>
      <c r="B127" s="1358"/>
      <c r="C127" s="1358"/>
      <c r="D127" s="1358"/>
      <c r="E127" s="1362"/>
      <c r="F127" s="1362"/>
      <c r="G127" s="1358"/>
      <c r="H127" s="1358"/>
      <c r="I127" s="1358"/>
      <c r="J127" s="1360"/>
      <c r="K127" s="1362"/>
      <c r="L127" s="1358"/>
      <c r="M127" s="1358"/>
      <c r="N127" s="1358"/>
      <c r="O127" s="1362"/>
      <c r="P127" s="1362"/>
      <c r="Q127" s="1358"/>
      <c r="R127" s="1358"/>
      <c r="S127" s="1358"/>
      <c r="T127" s="1358"/>
      <c r="U127" s="1333"/>
      <c r="V127" s="1358"/>
      <c r="W127" s="1358"/>
      <c r="X127" s="1358"/>
      <c r="Y127" s="1362"/>
      <c r="Z127" s="1333"/>
      <c r="AA127" s="1358"/>
      <c r="AB127" s="1358"/>
      <c r="AC127" s="1358"/>
      <c r="AD127" s="1362"/>
      <c r="AE127" s="1333"/>
      <c r="AF127" s="1358"/>
      <c r="AG127" s="1358"/>
      <c r="AH127" s="1358"/>
      <c r="AI127" s="1362"/>
      <c r="AJ127" s="1333"/>
      <c r="AK127" s="1358"/>
      <c r="AL127" s="1358"/>
      <c r="AM127" s="1358"/>
      <c r="AN127" s="1362"/>
      <c r="AO127" s="1333"/>
      <c r="AP127" s="1358"/>
      <c r="AQ127" s="1358"/>
      <c r="AR127" s="1358"/>
      <c r="AS127" s="1362"/>
      <c r="AT127" s="1333"/>
      <c r="AU127" s="1358"/>
      <c r="AV127" s="1358"/>
      <c r="AW127" s="1358"/>
      <c r="AX127" s="1362"/>
      <c r="AY127" s="1333"/>
      <c r="AZ127" s="1358"/>
      <c r="BA127" s="1358"/>
      <c r="BB127" s="1358"/>
      <c r="BC127" s="1362"/>
      <c r="BD127" s="1333"/>
      <c r="BE127" s="1358"/>
      <c r="BF127" s="1358"/>
      <c r="BG127" s="1358"/>
      <c r="BH127" s="1362"/>
      <c r="BI127" s="1333"/>
      <c r="BJ127" s="1358"/>
      <c r="BK127" s="1358"/>
      <c r="BL127" s="1358"/>
      <c r="BM127" s="1362"/>
      <c r="BN127" s="1333"/>
      <c r="BO127" s="1358"/>
      <c r="BP127" s="1358"/>
      <c r="BQ127" s="1358"/>
      <c r="BR127" s="1362"/>
      <c r="BS127" s="1333"/>
      <c r="BT127" s="1358"/>
      <c r="BU127" s="1358"/>
      <c r="BV127" s="1358"/>
      <c r="BW127" s="1362"/>
      <c r="BX127" s="1333"/>
      <c r="BY127" s="1358"/>
      <c r="BZ127" s="1358"/>
      <c r="CA127" s="1358"/>
      <c r="CB127" s="1362"/>
      <c r="CC127" s="1333"/>
      <c r="CD127" s="1328"/>
      <c r="CE127" s="1328"/>
      <c r="CF127" s="1328"/>
      <c r="CG127" s="1640"/>
      <c r="CH127" s="1641"/>
      <c r="CI127" s="1328"/>
      <c r="CJ127" s="1328"/>
      <c r="CK127" s="1328"/>
      <c r="CL127" s="1640"/>
      <c r="CM127" s="1641"/>
      <c r="CN127" s="1327"/>
      <c r="CO127" s="1328"/>
      <c r="CP127" s="1328"/>
      <c r="CQ127" s="1068"/>
      <c r="CR127" s="1059"/>
      <c r="CS127" s="1119"/>
      <c r="CT127" s="1119"/>
      <c r="CU127" s="1119"/>
      <c r="CV127" s="17"/>
      <c r="CW127" s="59"/>
      <c r="CX127" s="15"/>
      <c r="CY127" s="15"/>
      <c r="CZ127" s="15"/>
      <c r="DA127" s="17"/>
      <c r="DB127" s="59"/>
      <c r="DC127" s="15"/>
      <c r="DD127" s="15"/>
      <c r="DE127" s="15"/>
      <c r="DF127" s="17"/>
      <c r="DG127" s="59"/>
      <c r="DH127" s="15"/>
      <c r="DI127" s="15"/>
      <c r="DJ127" s="15"/>
      <c r="DK127" s="17"/>
      <c r="DL127" s="59"/>
      <c r="DM127" s="15"/>
      <c r="DN127" s="15"/>
      <c r="DO127" s="15"/>
      <c r="DP127" s="17"/>
      <c r="DQ127" s="59"/>
      <c r="DR127" s="15"/>
      <c r="DS127" s="15"/>
      <c r="DT127" s="15"/>
      <c r="DU127" s="17"/>
      <c r="DV127" s="59"/>
      <c r="DW127" s="15"/>
      <c r="DX127" s="15"/>
      <c r="DY127" s="15"/>
      <c r="DZ127" s="17"/>
      <c r="EA127" s="59"/>
      <c r="EB127" s="11"/>
      <c r="EC127" s="681"/>
      <c r="ED127" s="774"/>
      <c r="EE127" s="774"/>
      <c r="EF127" s="774"/>
      <c r="EG127" s="774"/>
      <c r="EH127" s="774"/>
      <c r="EI127" s="681"/>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row>
    <row r="128" spans="1:259" s="337" customFormat="1" hidden="1" outlineLevel="1" x14ac:dyDescent="0.2">
      <c r="A128" s="59" t="s">
        <v>245</v>
      </c>
      <c r="B128" s="1358"/>
      <c r="C128" s="1358"/>
      <c r="D128" s="1358"/>
      <c r="E128" s="1362"/>
      <c r="F128" s="1361">
        <v>371</v>
      </c>
      <c r="G128" s="1358"/>
      <c r="H128" s="1358"/>
      <c r="I128" s="1358"/>
      <c r="J128" s="1360"/>
      <c r="K128" s="1361">
        <v>333</v>
      </c>
      <c r="L128" s="1358"/>
      <c r="M128" s="1358"/>
      <c r="N128" s="1358"/>
      <c r="O128" s="1362"/>
      <c r="P128" s="1361">
        <v>300</v>
      </c>
      <c r="Q128" s="1358"/>
      <c r="R128" s="1358"/>
      <c r="S128" s="1358"/>
      <c r="T128" s="1358"/>
      <c r="U128" s="1418">
        <v>300</v>
      </c>
      <c r="V128" s="1358"/>
      <c r="W128" s="1358"/>
      <c r="X128" s="1358"/>
      <c r="Y128" s="1362"/>
      <c r="Z128" s="1361">
        <v>300</v>
      </c>
      <c r="AA128" s="1358"/>
      <c r="AB128" s="1358"/>
      <c r="AC128" s="1358"/>
      <c r="AD128" s="1362"/>
      <c r="AE128" s="1361">
        <v>300</v>
      </c>
      <c r="AF128" s="1358"/>
      <c r="AG128" s="1358"/>
      <c r="AH128" s="1358"/>
      <c r="AI128" s="1362"/>
      <c r="AJ128" s="1361">
        <v>300</v>
      </c>
      <c r="AK128" s="1358"/>
      <c r="AL128" s="1358"/>
      <c r="AM128" s="1358"/>
      <c r="AN128" s="1362"/>
      <c r="AO128" s="1361">
        <v>300</v>
      </c>
      <c r="AP128" s="1358"/>
      <c r="AQ128" s="1358"/>
      <c r="AR128" s="1358"/>
      <c r="AS128" s="1362"/>
      <c r="AT128" s="1361">
        <v>300</v>
      </c>
      <c r="AU128" s="1358"/>
      <c r="AV128" s="1358"/>
      <c r="AW128" s="1358"/>
      <c r="AX128" s="1362"/>
      <c r="AY128" s="1361">
        <v>300</v>
      </c>
      <c r="AZ128" s="1358"/>
      <c r="BA128" s="1358"/>
      <c r="BB128" s="1358"/>
      <c r="BC128" s="1362"/>
      <c r="BD128" s="1361">
        <v>300</v>
      </c>
      <c r="BE128" s="1358"/>
      <c r="BF128" s="1358"/>
      <c r="BG128" s="1358"/>
      <c r="BH128" s="1362"/>
      <c r="BI128" s="1361">
        <v>300</v>
      </c>
      <c r="BJ128" s="1358"/>
      <c r="BK128" s="1358"/>
      <c r="BL128" s="1358"/>
      <c r="BM128" s="1362"/>
      <c r="BN128" s="1361">
        <v>300</v>
      </c>
      <c r="BO128" s="1358"/>
      <c r="BP128" s="1358"/>
      <c r="BQ128" s="1358"/>
      <c r="BR128" s="1362"/>
      <c r="BS128" s="1361">
        <v>300</v>
      </c>
      <c r="BT128" s="1358"/>
      <c r="BU128" s="1358"/>
      <c r="BV128" s="1358"/>
      <c r="BW128" s="1362"/>
      <c r="BX128" s="1361">
        <v>300</v>
      </c>
      <c r="BY128" s="1358"/>
      <c r="BZ128" s="1358"/>
      <c r="CA128" s="1358"/>
      <c r="CB128" s="1362"/>
      <c r="CC128" s="1361">
        <v>300</v>
      </c>
      <c r="CD128" s="1328"/>
      <c r="CE128" s="1328"/>
      <c r="CF128" s="1328"/>
      <c r="CG128" s="1640"/>
      <c r="CH128" s="1642">
        <v>300</v>
      </c>
      <c r="CI128" s="1328"/>
      <c r="CJ128" s="1328"/>
      <c r="CK128" s="1328"/>
      <c r="CL128" s="1640"/>
      <c r="CM128" s="1642">
        <v>300</v>
      </c>
      <c r="CN128" s="1327"/>
      <c r="CO128" s="1328"/>
      <c r="CP128" s="1328"/>
      <c r="CQ128" s="1068"/>
      <c r="CR128" s="1966">
        <v>300</v>
      </c>
      <c r="CS128" s="1119"/>
      <c r="CT128" s="1119"/>
      <c r="CU128" s="1119"/>
      <c r="CV128" s="17"/>
      <c r="CW128" s="72">
        <v>300</v>
      </c>
      <c r="CX128" s="15"/>
      <c r="CY128" s="15"/>
      <c r="CZ128" s="15"/>
      <c r="DA128" s="17"/>
      <c r="DB128" s="72">
        <v>300</v>
      </c>
      <c r="DC128" s="15"/>
      <c r="DD128" s="15"/>
      <c r="DE128" s="15"/>
      <c r="DF128" s="17"/>
      <c r="DG128" s="72">
        <v>300</v>
      </c>
      <c r="DH128" s="15"/>
      <c r="DI128" s="15"/>
      <c r="DJ128" s="15"/>
      <c r="DK128" s="17"/>
      <c r="DL128" s="72">
        <v>300</v>
      </c>
      <c r="DM128" s="15"/>
      <c r="DN128" s="15"/>
      <c r="DO128" s="15"/>
      <c r="DP128" s="17"/>
      <c r="DQ128" s="72">
        <v>300</v>
      </c>
      <c r="DR128" s="15"/>
      <c r="DS128" s="15"/>
      <c r="DT128" s="15"/>
      <c r="DU128" s="17"/>
      <c r="DV128" s="72">
        <v>300</v>
      </c>
      <c r="DW128" s="15"/>
      <c r="DX128" s="15"/>
      <c r="DY128" s="15"/>
      <c r="DZ128" s="17"/>
      <c r="EA128" s="72">
        <v>300</v>
      </c>
      <c r="EB128" s="11"/>
      <c r="EC128" s="681"/>
      <c r="ED128" s="774"/>
      <c r="EE128" s="774"/>
      <c r="EF128" s="774"/>
      <c r="EG128" s="774"/>
      <c r="EH128" s="774"/>
      <c r="EI128" s="681"/>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row>
    <row r="129" spans="1:259" s="337" customFormat="1" hidden="1" outlineLevel="1" x14ac:dyDescent="0.2">
      <c r="A129" s="14" t="s">
        <v>246</v>
      </c>
      <c r="B129" s="1358"/>
      <c r="C129" s="1358"/>
      <c r="D129" s="1358"/>
      <c r="E129" s="1362"/>
      <c r="F129" s="1361">
        <f>+F128*8</f>
        <v>2968</v>
      </c>
      <c r="G129" s="1358"/>
      <c r="H129" s="1358"/>
      <c r="I129" s="1358"/>
      <c r="J129" s="1360"/>
      <c r="K129" s="1361">
        <f>+K128*8</f>
        <v>2664</v>
      </c>
      <c r="L129" s="1358"/>
      <c r="M129" s="1358"/>
      <c r="N129" s="1358"/>
      <c r="O129" s="1362"/>
      <c r="P129" s="1361">
        <f>+P128*8</f>
        <v>2400</v>
      </c>
      <c r="Q129" s="1358"/>
      <c r="R129" s="1358"/>
      <c r="S129" s="1358"/>
      <c r="T129" s="1358"/>
      <c r="U129" s="1418">
        <f>+U128*8</f>
        <v>2400</v>
      </c>
      <c r="V129" s="1358"/>
      <c r="W129" s="1358"/>
      <c r="X129" s="1358"/>
      <c r="Y129" s="1362"/>
      <c r="Z129" s="1361">
        <f>+Z128*8</f>
        <v>2400</v>
      </c>
      <c r="AA129" s="1358"/>
      <c r="AB129" s="1358"/>
      <c r="AC129" s="1358"/>
      <c r="AD129" s="1362"/>
      <c r="AE129" s="1361">
        <f>+AE128*8</f>
        <v>2400</v>
      </c>
      <c r="AF129" s="1358"/>
      <c r="AG129" s="1358"/>
      <c r="AH129" s="1358"/>
      <c r="AI129" s="1362"/>
      <c r="AJ129" s="1361">
        <f>+AJ128*8</f>
        <v>2400</v>
      </c>
      <c r="AK129" s="1358"/>
      <c r="AL129" s="1358"/>
      <c r="AM129" s="1358"/>
      <c r="AN129" s="1362"/>
      <c r="AO129" s="1361">
        <f>+AO128*8</f>
        <v>2400</v>
      </c>
      <c r="AP129" s="1358"/>
      <c r="AQ129" s="1358"/>
      <c r="AR129" s="1358"/>
      <c r="AS129" s="1362"/>
      <c r="AT129" s="1361">
        <f>+AT128*8</f>
        <v>2400</v>
      </c>
      <c r="AU129" s="1358"/>
      <c r="AV129" s="1358"/>
      <c r="AW129" s="1358"/>
      <c r="AX129" s="1362"/>
      <c r="AY129" s="1361">
        <f>+AY128*8</f>
        <v>2400</v>
      </c>
      <c r="AZ129" s="1358"/>
      <c r="BA129" s="1358"/>
      <c r="BB129" s="1358"/>
      <c r="BC129" s="1362"/>
      <c r="BD129" s="1361">
        <f>+BD128*8</f>
        <v>2400</v>
      </c>
      <c r="BE129" s="1358"/>
      <c r="BF129" s="1358"/>
      <c r="BG129" s="1358"/>
      <c r="BH129" s="1362"/>
      <c r="BI129" s="1361">
        <f>+BI128*8</f>
        <v>2400</v>
      </c>
      <c r="BJ129" s="1358"/>
      <c r="BK129" s="1358"/>
      <c r="BL129" s="1358"/>
      <c r="BM129" s="1362"/>
      <c r="BN129" s="1361">
        <f>+BN128*8</f>
        <v>2400</v>
      </c>
      <c r="BO129" s="1358"/>
      <c r="BP129" s="1358"/>
      <c r="BQ129" s="1358"/>
      <c r="BR129" s="1362"/>
      <c r="BS129" s="1361">
        <f>+BS128*8</f>
        <v>2400</v>
      </c>
      <c r="BT129" s="1358"/>
      <c r="BU129" s="1358"/>
      <c r="BV129" s="1358"/>
      <c r="BW129" s="1362"/>
      <c r="BX129" s="1361">
        <f>+BX128*8</f>
        <v>2400</v>
      </c>
      <c r="BY129" s="1358"/>
      <c r="BZ129" s="1358"/>
      <c r="CA129" s="1358"/>
      <c r="CB129" s="1362"/>
      <c r="CC129" s="1361">
        <f>+CC128*8</f>
        <v>2400</v>
      </c>
      <c r="CD129" s="1328"/>
      <c r="CE129" s="1328"/>
      <c r="CF129" s="1328"/>
      <c r="CG129" s="1640"/>
      <c r="CH129" s="1642">
        <f>+CH128*8</f>
        <v>2400</v>
      </c>
      <c r="CI129" s="1328"/>
      <c r="CJ129" s="1328"/>
      <c r="CK129" s="1328"/>
      <c r="CL129" s="1640"/>
      <c r="CM129" s="1642">
        <f>+CM128*8</f>
        <v>2400</v>
      </c>
      <c r="CN129" s="1327"/>
      <c r="CO129" s="1328"/>
      <c r="CP129" s="1328"/>
      <c r="CQ129" s="1068"/>
      <c r="CR129" s="1966">
        <f>+CR128*8</f>
        <v>2400</v>
      </c>
      <c r="CS129" s="1119"/>
      <c r="CT129" s="1119"/>
      <c r="CU129" s="1119"/>
      <c r="CV129" s="17"/>
      <c r="CW129" s="72">
        <f>+CW128*8</f>
        <v>2400</v>
      </c>
      <c r="CX129" s="15"/>
      <c r="CY129" s="15"/>
      <c r="CZ129" s="15"/>
      <c r="DA129" s="17"/>
      <c r="DB129" s="72">
        <f>+DB128*8</f>
        <v>2400</v>
      </c>
      <c r="DC129" s="15"/>
      <c r="DD129" s="15"/>
      <c r="DE129" s="15"/>
      <c r="DF129" s="17"/>
      <c r="DG129" s="72">
        <f>+DG128*8</f>
        <v>2400</v>
      </c>
      <c r="DH129" s="15"/>
      <c r="DI129" s="15"/>
      <c r="DJ129" s="15"/>
      <c r="DK129" s="17"/>
      <c r="DL129" s="72">
        <f>+DL128*8</f>
        <v>2400</v>
      </c>
      <c r="DM129" s="15"/>
      <c r="DN129" s="15"/>
      <c r="DO129" s="15"/>
      <c r="DP129" s="17"/>
      <c r="DQ129" s="72">
        <f>+DQ128*8</f>
        <v>2400</v>
      </c>
      <c r="DR129" s="15"/>
      <c r="DS129" s="15"/>
      <c r="DT129" s="15"/>
      <c r="DU129" s="17"/>
      <c r="DV129" s="72">
        <f>+DV128*8</f>
        <v>2400</v>
      </c>
      <c r="DW129" s="15"/>
      <c r="DX129" s="15"/>
      <c r="DY129" s="15"/>
      <c r="DZ129" s="17"/>
      <c r="EA129" s="72">
        <f>+EA128*8</f>
        <v>2400</v>
      </c>
      <c r="EB129" s="11"/>
      <c r="EC129" s="681"/>
      <c r="ED129" s="774"/>
      <c r="EE129" s="774"/>
      <c r="EF129" s="774"/>
      <c r="EG129" s="774"/>
      <c r="EH129" s="774"/>
      <c r="EI129" s="681"/>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row>
    <row r="130" spans="1:259" s="337" customFormat="1" collapsed="1" x14ac:dyDescent="0.2">
      <c r="A130" s="110" t="s">
        <v>543</v>
      </c>
      <c r="B130" s="1643"/>
      <c r="C130" s="1643"/>
      <c r="D130" s="1643"/>
      <c r="E130" s="1643"/>
      <c r="F130" s="1643"/>
      <c r="G130" s="1643"/>
      <c r="H130" s="1643"/>
      <c r="I130" s="1643"/>
      <c r="J130" s="1644"/>
      <c r="K130" s="1643"/>
      <c r="L130" s="1643"/>
      <c r="M130" s="1643"/>
      <c r="N130" s="1643"/>
      <c r="O130" s="1643"/>
      <c r="P130" s="1643"/>
      <c r="Q130" s="1643"/>
      <c r="R130" s="1643"/>
      <c r="S130" s="1643"/>
      <c r="T130" s="1643"/>
      <c r="U130" s="1358"/>
      <c r="V130" s="1643"/>
      <c r="W130" s="1643"/>
      <c r="X130" s="1643"/>
      <c r="Y130" s="1643"/>
      <c r="Z130" s="1643"/>
      <c r="AA130" s="1643"/>
      <c r="AB130" s="1643"/>
      <c r="AC130" s="1643"/>
      <c r="AD130" s="1643"/>
      <c r="AE130" s="1643"/>
      <c r="AF130" s="1643"/>
      <c r="AG130" s="1643"/>
      <c r="AH130" s="1643"/>
      <c r="AI130" s="1643"/>
      <c r="AJ130" s="1643"/>
      <c r="AK130" s="1643"/>
      <c r="AL130" s="1643"/>
      <c r="AM130" s="1643"/>
      <c r="AN130" s="1643"/>
      <c r="AO130" s="1643"/>
      <c r="AP130" s="1643"/>
      <c r="AQ130" s="1643"/>
      <c r="AR130" s="1643"/>
      <c r="AS130" s="1643"/>
      <c r="AT130" s="1643"/>
      <c r="AU130" s="1643"/>
      <c r="AV130" s="1643"/>
      <c r="AW130" s="1643"/>
      <c r="AX130" s="1643"/>
      <c r="AY130" s="1643"/>
      <c r="AZ130" s="1643"/>
      <c r="BA130" s="1643"/>
      <c r="BB130" s="1643"/>
      <c r="BC130" s="1643"/>
      <c r="BD130" s="1643"/>
      <c r="BE130" s="1643"/>
      <c r="BF130" s="1643"/>
      <c r="BG130" s="1643"/>
      <c r="BH130" s="1643"/>
      <c r="BI130" s="1643"/>
      <c r="BJ130" s="1643"/>
      <c r="BK130" s="1643"/>
      <c r="BL130" s="1643"/>
      <c r="BM130" s="1643"/>
      <c r="BN130" s="1645">
        <f>BN73</f>
        <v>0.14673311184939092</v>
      </c>
      <c r="BO130" s="1643"/>
      <c r="BP130" s="1643"/>
      <c r="BQ130" s="1643"/>
      <c r="BR130" s="1643"/>
      <c r="BS130" s="1645">
        <f>BS73</f>
        <v>0.15595521466984044</v>
      </c>
      <c r="BT130" s="1643"/>
      <c r="BU130" s="1643"/>
      <c r="BV130" s="1643"/>
      <c r="BW130" s="1643"/>
      <c r="BX130" s="1643"/>
      <c r="BY130" s="1643"/>
      <c r="BZ130" s="1643"/>
      <c r="CA130" s="1643"/>
      <c r="CB130" s="1643"/>
      <c r="CC130" s="1643"/>
      <c r="CD130" s="1646"/>
      <c r="CE130" s="1646"/>
      <c r="CF130" s="1646"/>
      <c r="CG130" s="1646"/>
      <c r="CH130" s="1646"/>
      <c r="CI130" s="1646"/>
      <c r="CJ130" s="1646"/>
      <c r="CK130" s="1646"/>
      <c r="CL130" s="1646"/>
      <c r="CM130" s="1646"/>
      <c r="CN130" s="1647"/>
      <c r="CO130" s="1646"/>
      <c r="CP130" s="1646"/>
      <c r="CQ130" s="1062"/>
      <c r="CR130" s="1062"/>
      <c r="CS130" s="1118"/>
      <c r="CT130" s="1118"/>
      <c r="CU130" s="1118"/>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681"/>
      <c r="ED130" s="774"/>
      <c r="EE130" s="774"/>
      <c r="EF130" s="774"/>
      <c r="EG130" s="774"/>
      <c r="EH130" s="774"/>
      <c r="EI130" s="681"/>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row>
    <row r="131" spans="1:259" s="337" customFormat="1" x14ac:dyDescent="0.2">
      <c r="A131" s="788" t="s">
        <v>368</v>
      </c>
      <c r="B131" s="1648"/>
      <c r="C131" s="1648"/>
      <c r="D131" s="1648"/>
      <c r="E131" s="1648"/>
      <c r="F131" s="1648"/>
      <c r="G131" s="1648"/>
      <c r="H131" s="1648"/>
      <c r="I131" s="1643"/>
      <c r="J131" s="1644"/>
      <c r="K131" s="1643"/>
      <c r="L131" s="1643"/>
      <c r="M131" s="1643"/>
      <c r="N131" s="1643"/>
      <c r="O131" s="1643"/>
      <c r="P131" s="1643"/>
      <c r="Q131" s="1643"/>
      <c r="R131" s="1643"/>
      <c r="S131" s="1643"/>
      <c r="T131" s="1643"/>
      <c r="U131" s="1643"/>
      <c r="V131" s="1643"/>
      <c r="W131" s="1643"/>
      <c r="X131" s="1643"/>
      <c r="Y131" s="1643"/>
      <c r="Z131" s="1643"/>
      <c r="AA131" s="1643"/>
      <c r="AB131" s="1643"/>
      <c r="AC131" s="1643"/>
      <c r="AD131" s="1643"/>
      <c r="AE131" s="1643"/>
      <c r="AF131" s="1643"/>
      <c r="AG131" s="1643"/>
      <c r="AH131" s="1643"/>
      <c r="AI131" s="1643"/>
      <c r="AJ131" s="1643"/>
      <c r="AK131" s="1643"/>
      <c r="AL131" s="1643"/>
      <c r="AM131" s="1643"/>
      <c r="AN131" s="1643"/>
      <c r="AO131" s="1643"/>
      <c r="AP131" s="1643"/>
      <c r="AQ131" s="1643"/>
      <c r="AR131" s="1643"/>
      <c r="AS131" s="1643"/>
      <c r="AT131" s="1643"/>
      <c r="AU131" s="1643"/>
      <c r="AV131" s="1643"/>
      <c r="AW131" s="1643"/>
      <c r="AX131" s="1643"/>
      <c r="AY131" s="1643"/>
      <c r="AZ131" s="1643"/>
      <c r="BA131" s="1643"/>
      <c r="BB131" s="1643"/>
      <c r="BC131" s="1643"/>
      <c r="BD131" s="1643"/>
      <c r="BE131" s="1643"/>
      <c r="BF131" s="1643"/>
      <c r="BG131" s="1643"/>
      <c r="BH131" s="1643"/>
      <c r="BI131" s="1643"/>
      <c r="BJ131" s="1643"/>
      <c r="BK131" s="1643"/>
      <c r="BL131" s="1643"/>
      <c r="BM131" s="1643"/>
      <c r="BN131" s="1643"/>
      <c r="BO131" s="1643"/>
      <c r="BP131" s="1643"/>
      <c r="BQ131" s="1643"/>
      <c r="BR131" s="1643"/>
      <c r="BS131" s="1643"/>
      <c r="BT131" s="1643"/>
      <c r="BU131" s="1643"/>
      <c r="BV131" s="1643"/>
      <c r="BW131" s="1643"/>
      <c r="BX131" s="1643"/>
      <c r="BY131" s="1643"/>
      <c r="BZ131" s="1643"/>
      <c r="CA131" s="1643"/>
      <c r="CB131" s="1643"/>
      <c r="CC131" s="1643"/>
      <c r="CD131" s="1646"/>
      <c r="CE131" s="1646"/>
      <c r="CF131" s="1646"/>
      <c r="CG131" s="1646"/>
      <c r="CH131" s="1646"/>
      <c r="CI131" s="1646"/>
      <c r="CJ131" s="1646"/>
      <c r="CK131" s="1646"/>
      <c r="CL131" s="1646"/>
      <c r="CM131" s="1646"/>
      <c r="CN131" s="1647"/>
      <c r="CO131" s="1646"/>
      <c r="CP131" s="1646"/>
      <c r="CQ131" s="1062"/>
      <c r="CR131" s="1062"/>
      <c r="CS131" s="1118"/>
      <c r="CT131" s="1118"/>
      <c r="CU131" s="1118"/>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681"/>
      <c r="ED131" s="774"/>
      <c r="EE131" s="774"/>
      <c r="EF131" s="774"/>
      <c r="EG131" s="774"/>
      <c r="EH131" s="775"/>
      <c r="EI131" s="336"/>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row>
    <row r="132" spans="1:259" s="337" customFormat="1" ht="11.25" customHeight="1" x14ac:dyDescent="0.2">
      <c r="A132" s="788" t="s">
        <v>273</v>
      </c>
      <c r="B132" s="1648"/>
      <c r="C132" s="1648"/>
      <c r="D132" s="1648"/>
      <c r="E132" s="1648"/>
      <c r="F132" s="1648"/>
      <c r="G132" s="1648"/>
      <c r="H132" s="1648"/>
      <c r="I132" s="1643"/>
      <c r="J132" s="1644"/>
      <c r="K132" s="1643"/>
      <c r="L132" s="1643"/>
      <c r="M132" s="1643"/>
      <c r="N132" s="1643"/>
      <c r="O132" s="1643"/>
      <c r="P132" s="1643"/>
      <c r="Q132" s="1643"/>
      <c r="R132" s="1643"/>
      <c r="S132" s="1643"/>
      <c r="T132" s="1643"/>
      <c r="U132" s="1643"/>
      <c r="V132" s="1643"/>
      <c r="W132" s="1643"/>
      <c r="X132" s="1643"/>
      <c r="Y132" s="1643"/>
      <c r="Z132" s="1643"/>
      <c r="AA132" s="1643"/>
      <c r="AB132" s="1643"/>
      <c r="AC132" s="1643"/>
      <c r="AD132" s="1643"/>
      <c r="AE132" s="1643"/>
      <c r="AF132" s="1643"/>
      <c r="AG132" s="1643"/>
      <c r="AH132" s="1643"/>
      <c r="AI132" s="1643"/>
      <c r="AJ132" s="1643"/>
      <c r="AK132" s="1643"/>
      <c r="AL132" s="1643"/>
      <c r="AM132" s="1643"/>
      <c r="AN132" s="1643"/>
      <c r="AO132" s="1643"/>
      <c r="AP132" s="1643"/>
      <c r="AQ132" s="1643"/>
      <c r="AR132" s="1643"/>
      <c r="AS132" s="1643"/>
      <c r="AT132" s="1643"/>
      <c r="AU132" s="1643"/>
      <c r="AV132" s="1643"/>
      <c r="AW132" s="1643"/>
      <c r="AX132" s="1643"/>
      <c r="AY132" s="1643"/>
      <c r="AZ132" s="1643"/>
      <c r="BA132" s="1643"/>
      <c r="BB132" s="1643"/>
      <c r="BC132" s="1643"/>
      <c r="BD132" s="1643"/>
      <c r="BE132" s="1643"/>
      <c r="BF132" s="1643"/>
      <c r="BG132" s="1643"/>
      <c r="BH132" s="1643"/>
      <c r="BI132" s="1643"/>
      <c r="BJ132" s="1643"/>
      <c r="BK132" s="1643"/>
      <c r="BL132" s="1643"/>
      <c r="BM132" s="1643"/>
      <c r="BN132" s="1643"/>
      <c r="BO132" s="1643"/>
      <c r="BP132" s="1643"/>
      <c r="BQ132" s="1643"/>
      <c r="BR132" s="1643"/>
      <c r="BS132" s="1643"/>
      <c r="BT132" s="1643"/>
      <c r="BU132" s="1643"/>
      <c r="BV132" s="1643"/>
      <c r="BW132" s="1643"/>
      <c r="BX132" s="1643"/>
      <c r="BY132" s="1643"/>
      <c r="BZ132" s="1643"/>
      <c r="CA132" s="1643"/>
      <c r="CB132" s="1643"/>
      <c r="CC132" s="1643"/>
      <c r="CD132" s="1646"/>
      <c r="CE132" s="1646"/>
      <c r="CF132" s="1646"/>
      <c r="CG132" s="1646"/>
      <c r="CH132" s="1646"/>
      <c r="CI132" s="1646"/>
      <c r="CJ132" s="1646"/>
      <c r="CK132" s="1646"/>
      <c r="CL132" s="1646"/>
      <c r="CM132" s="1646"/>
      <c r="CN132" s="1647"/>
      <c r="CO132" s="1646"/>
      <c r="CP132" s="1646"/>
      <c r="CQ132" s="1062"/>
      <c r="CR132" s="1062"/>
      <c r="CS132" s="1118"/>
      <c r="CT132" s="1118"/>
      <c r="CU132" s="1118"/>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681"/>
      <c r="ED132" s="774"/>
      <c r="EE132" s="774"/>
      <c r="EF132" s="774"/>
      <c r="EG132" s="774"/>
      <c r="EH132" s="775"/>
      <c r="EI132" s="336"/>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row>
    <row r="133" spans="1:259" s="337" customFormat="1" ht="5.25" customHeight="1" x14ac:dyDescent="0.2">
      <c r="A133" s="111"/>
      <c r="B133" s="1649"/>
      <c r="C133" s="1649"/>
      <c r="D133" s="1649"/>
      <c r="E133" s="1649"/>
      <c r="F133" s="1643"/>
      <c r="G133" s="1643"/>
      <c r="H133" s="1643"/>
      <c r="I133" s="1643"/>
      <c r="J133" s="1644"/>
      <c r="K133" s="1643"/>
      <c r="L133" s="1643"/>
      <c r="M133" s="1643"/>
      <c r="N133" s="1643"/>
      <c r="O133" s="1643"/>
      <c r="P133" s="1643"/>
      <c r="Q133" s="1643"/>
      <c r="R133" s="1643"/>
      <c r="S133" s="1643"/>
      <c r="T133" s="1643"/>
      <c r="U133" s="1643"/>
      <c r="V133" s="1643"/>
      <c r="W133" s="1643"/>
      <c r="X133" s="1643"/>
      <c r="Y133" s="1643"/>
      <c r="Z133" s="1643"/>
      <c r="AA133" s="1643"/>
      <c r="AB133" s="1643"/>
      <c r="AC133" s="1643"/>
      <c r="AD133" s="1643"/>
      <c r="AE133" s="1643"/>
      <c r="AF133" s="1643"/>
      <c r="AG133" s="1643"/>
      <c r="AH133" s="1643"/>
      <c r="AI133" s="1643"/>
      <c r="AJ133" s="1650"/>
      <c r="AK133" s="1643"/>
      <c r="AL133" s="1643"/>
      <c r="AM133" s="1643"/>
      <c r="AN133" s="1643"/>
      <c r="AO133" s="1643"/>
      <c r="AP133" s="1643"/>
      <c r="AQ133" s="1643"/>
      <c r="AR133" s="1643"/>
      <c r="AS133" s="1643"/>
      <c r="AT133" s="1643"/>
      <c r="AU133" s="1643"/>
      <c r="AV133" s="1643"/>
      <c r="AW133" s="1643"/>
      <c r="AX133" s="1643"/>
      <c r="AY133" s="1643"/>
      <c r="AZ133" s="1643"/>
      <c r="BA133" s="1643"/>
      <c r="BB133" s="1643"/>
      <c r="BC133" s="1643"/>
      <c r="BD133" s="1643"/>
      <c r="BE133" s="1643"/>
      <c r="BF133" s="1643"/>
      <c r="BG133" s="1643"/>
      <c r="BH133" s="1643"/>
      <c r="BI133" s="1643"/>
      <c r="BJ133" s="1643"/>
      <c r="BK133" s="1643"/>
      <c r="BL133" s="1643"/>
      <c r="BM133" s="1643"/>
      <c r="BN133" s="1643"/>
      <c r="BO133" s="1643"/>
      <c r="BP133" s="1643"/>
      <c r="BQ133" s="1643"/>
      <c r="BR133" s="1643"/>
      <c r="BS133" s="1643"/>
      <c r="BT133" s="1643"/>
      <c r="BU133" s="1643"/>
      <c r="BV133" s="1643"/>
      <c r="BW133" s="1643"/>
      <c r="BX133" s="1643"/>
      <c r="BY133" s="1643"/>
      <c r="BZ133" s="1643"/>
      <c r="CA133" s="1643"/>
      <c r="CB133" s="1643"/>
      <c r="CC133" s="1643"/>
      <c r="CD133" s="1646"/>
      <c r="CE133" s="1646"/>
      <c r="CF133" s="1646"/>
      <c r="CG133" s="1646"/>
      <c r="CH133" s="1646"/>
      <c r="CI133" s="1646"/>
      <c r="CJ133" s="1646"/>
      <c r="CK133" s="1646"/>
      <c r="CL133" s="1646"/>
      <c r="CM133" s="1646"/>
      <c r="CN133" s="1647"/>
      <c r="CO133" s="1646"/>
      <c r="CP133" s="1646"/>
      <c r="CQ133" s="1062"/>
      <c r="CR133" s="1062"/>
      <c r="CS133" s="1118"/>
      <c r="CT133" s="1118"/>
      <c r="CU133" s="1118"/>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681"/>
      <c r="ED133" s="774"/>
      <c r="EE133" s="774"/>
      <c r="EF133" s="774"/>
      <c r="EG133" s="774"/>
      <c r="EH133" s="775"/>
      <c r="EI133" s="336"/>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row>
    <row r="134" spans="1:259" s="15" customFormat="1" ht="12" customHeight="1" x14ac:dyDescent="0.2">
      <c r="A134" s="11"/>
      <c r="B134" s="1643"/>
      <c r="C134" s="1643"/>
      <c r="D134" s="1643"/>
      <c r="E134" s="1643"/>
      <c r="F134" s="1643"/>
      <c r="G134" s="1643"/>
      <c r="H134" s="1643"/>
      <c r="I134" s="1643"/>
      <c r="J134" s="1644"/>
      <c r="K134" s="1643"/>
      <c r="L134" s="1643"/>
      <c r="M134" s="1643"/>
      <c r="N134" s="1643"/>
      <c r="O134" s="1643"/>
      <c r="P134" s="1643"/>
      <c r="Q134" s="1643"/>
      <c r="R134" s="1643"/>
      <c r="S134" s="1643"/>
      <c r="T134" s="1643"/>
      <c r="U134" s="1643"/>
      <c r="V134" s="1643"/>
      <c r="W134" s="1643"/>
      <c r="X134" s="1643"/>
      <c r="Y134" s="1643"/>
      <c r="Z134" s="1643"/>
      <c r="AA134" s="1643"/>
      <c r="AB134" s="1643"/>
      <c r="AC134" s="1643"/>
      <c r="AD134" s="1643"/>
      <c r="AE134" s="1643"/>
      <c r="AF134" s="1643"/>
      <c r="AG134" s="1643"/>
      <c r="AH134" s="1643"/>
      <c r="AI134" s="1643"/>
      <c r="AJ134" s="1651"/>
      <c r="AK134" s="1643"/>
      <c r="AL134" s="1643"/>
      <c r="AM134" s="1643"/>
      <c r="AN134" s="1643"/>
      <c r="AO134" s="1643"/>
      <c r="AP134" s="1643"/>
      <c r="AQ134" s="1643"/>
      <c r="AR134" s="1643"/>
      <c r="AS134" s="1643"/>
      <c r="AT134" s="1643"/>
      <c r="AU134" s="1643"/>
      <c r="AV134" s="1643"/>
      <c r="AW134" s="1643"/>
      <c r="AX134" s="1643"/>
      <c r="AY134" s="1643"/>
      <c r="AZ134" s="1643"/>
      <c r="BA134" s="1643"/>
      <c r="BB134" s="1643"/>
      <c r="BC134" s="1643"/>
      <c r="BD134" s="1643"/>
      <c r="BE134" s="1643"/>
      <c r="BF134" s="1643"/>
      <c r="BG134" s="1643"/>
      <c r="BH134" s="1643"/>
      <c r="BI134" s="1643"/>
      <c r="BJ134" s="1643"/>
      <c r="BK134" s="1643"/>
      <c r="BL134" s="1643"/>
      <c r="BM134" s="1643"/>
      <c r="BN134" s="1643"/>
      <c r="BO134" s="1643"/>
      <c r="BP134" s="1643"/>
      <c r="BQ134" s="1643"/>
      <c r="BR134" s="1643"/>
      <c r="BS134" s="1643"/>
      <c r="BT134" s="1643"/>
      <c r="BU134" s="1643"/>
      <c r="BV134" s="1643"/>
      <c r="BW134" s="1643"/>
      <c r="BX134" s="1643"/>
      <c r="BY134" s="1643"/>
      <c r="BZ134" s="1643"/>
      <c r="CA134" s="1643"/>
      <c r="CB134" s="1643"/>
      <c r="CC134" s="1643"/>
      <c r="CD134" s="1646"/>
      <c r="CE134" s="1646"/>
      <c r="CF134" s="1646"/>
      <c r="CG134" s="1646"/>
      <c r="CH134" s="1646"/>
      <c r="CI134" s="1646"/>
      <c r="CJ134" s="1646"/>
      <c r="CK134" s="1646"/>
      <c r="CL134" s="1646"/>
      <c r="CM134" s="1646"/>
      <c r="CN134" s="1647"/>
      <c r="CO134" s="1646"/>
      <c r="CP134" s="1646"/>
      <c r="CQ134" s="1062"/>
      <c r="CR134" s="1062"/>
      <c r="CS134" s="1118"/>
      <c r="CT134" s="1118"/>
      <c r="CU134" s="1118"/>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33"/>
      <c r="ED134" s="321"/>
      <c r="EE134" s="321"/>
      <c r="EF134" s="321"/>
      <c r="EG134" s="321"/>
      <c r="EH134" s="148"/>
      <c r="EI134" s="11"/>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row>
    <row r="135" spans="1:259" s="823" customFormat="1" x14ac:dyDescent="0.2">
      <c r="A135" s="2234" t="s">
        <v>75</v>
      </c>
      <c r="B135" s="1685" t="str">
        <f t="shared" ref="B135:AG135" si="426">B8</f>
        <v>1Q97A</v>
      </c>
      <c r="C135" s="1685" t="str">
        <f t="shared" si="426"/>
        <v>2Q97A</v>
      </c>
      <c r="D135" s="1685" t="str">
        <f t="shared" si="426"/>
        <v>3Q97A</v>
      </c>
      <c r="E135" s="1685" t="str">
        <f t="shared" si="426"/>
        <v>4Q97A</v>
      </c>
      <c r="F135" s="1685" t="str">
        <f t="shared" si="426"/>
        <v>1997A</v>
      </c>
      <c r="G135" s="1685" t="str">
        <f t="shared" si="426"/>
        <v>1Q98A</v>
      </c>
      <c r="H135" s="1685" t="str">
        <f t="shared" si="426"/>
        <v>2Q98A</v>
      </c>
      <c r="I135" s="1685" t="str">
        <f t="shared" si="426"/>
        <v>3Q98A</v>
      </c>
      <c r="J135" s="1685" t="str">
        <f t="shared" si="426"/>
        <v>4Q98A</v>
      </c>
      <c r="K135" s="1685" t="str">
        <f t="shared" si="426"/>
        <v>1998A</v>
      </c>
      <c r="L135" s="1685" t="str">
        <f t="shared" si="426"/>
        <v>1Q99A</v>
      </c>
      <c r="M135" s="1685" t="str">
        <f t="shared" si="426"/>
        <v>2Q99A</v>
      </c>
      <c r="N135" s="1685" t="str">
        <f t="shared" si="426"/>
        <v>3Q99A</v>
      </c>
      <c r="O135" s="1685" t="str">
        <f t="shared" si="426"/>
        <v>4Q99A</v>
      </c>
      <c r="P135" s="1685" t="str">
        <f t="shared" si="426"/>
        <v>1999A</v>
      </c>
      <c r="Q135" s="1685" t="str">
        <f t="shared" si="426"/>
        <v>1Q00A</v>
      </c>
      <c r="R135" s="1685" t="str">
        <f t="shared" si="426"/>
        <v>2Q00A</v>
      </c>
      <c r="S135" s="1685" t="str">
        <f t="shared" si="426"/>
        <v>3Q00A</v>
      </c>
      <c r="T135" s="1685" t="str">
        <f t="shared" si="426"/>
        <v>4Q00A</v>
      </c>
      <c r="U135" s="1685" t="str">
        <f t="shared" si="426"/>
        <v>2000A</v>
      </c>
      <c r="V135" s="1685" t="str">
        <f t="shared" si="426"/>
        <v>1Q01A</v>
      </c>
      <c r="W135" s="1685" t="str">
        <f t="shared" si="426"/>
        <v>2Q01A</v>
      </c>
      <c r="X135" s="1685" t="str">
        <f t="shared" si="426"/>
        <v>3Q01A</v>
      </c>
      <c r="Y135" s="1685" t="str">
        <f t="shared" si="426"/>
        <v>4Q01A</v>
      </c>
      <c r="Z135" s="1685" t="str">
        <f t="shared" si="426"/>
        <v>2001A</v>
      </c>
      <c r="AA135" s="1685" t="str">
        <f t="shared" si="426"/>
        <v>1Q02A</v>
      </c>
      <c r="AB135" s="1685" t="str">
        <f t="shared" si="426"/>
        <v>2Q02A</v>
      </c>
      <c r="AC135" s="1685" t="str">
        <f t="shared" si="426"/>
        <v>3Q02A</v>
      </c>
      <c r="AD135" s="1685" t="str">
        <f t="shared" si="426"/>
        <v>4Q02A</v>
      </c>
      <c r="AE135" s="1685" t="str">
        <f t="shared" si="426"/>
        <v>2002A</v>
      </c>
      <c r="AF135" s="1685" t="str">
        <f t="shared" si="426"/>
        <v>1Q03A</v>
      </c>
      <c r="AG135" s="1685" t="str">
        <f t="shared" si="426"/>
        <v>2Q03A</v>
      </c>
      <c r="AH135" s="1685" t="str">
        <f t="shared" ref="AH135:BM135" si="427">AH8</f>
        <v>3Q03A</v>
      </c>
      <c r="AI135" s="1685" t="str">
        <f t="shared" si="427"/>
        <v>4Q03A</v>
      </c>
      <c r="AJ135" s="1685" t="str">
        <f t="shared" si="427"/>
        <v>2003A</v>
      </c>
      <c r="AK135" s="1685" t="str">
        <f t="shared" si="427"/>
        <v>1Q04A</v>
      </c>
      <c r="AL135" s="1685" t="str">
        <f t="shared" si="427"/>
        <v>2Q04A</v>
      </c>
      <c r="AM135" s="1685" t="str">
        <f t="shared" si="427"/>
        <v>3Q04A</v>
      </c>
      <c r="AN135" s="1685" t="str">
        <f t="shared" si="427"/>
        <v>4Q04A</v>
      </c>
      <c r="AO135" s="1685" t="str">
        <f t="shared" si="427"/>
        <v>2004A</v>
      </c>
      <c r="AP135" s="1685" t="str">
        <f t="shared" si="427"/>
        <v>1Q05A</v>
      </c>
      <c r="AQ135" s="1685" t="str">
        <f t="shared" si="427"/>
        <v>2Q05A</v>
      </c>
      <c r="AR135" s="1685" t="str">
        <f t="shared" si="427"/>
        <v>3Q05A</v>
      </c>
      <c r="AS135" s="1685" t="str">
        <f t="shared" si="427"/>
        <v>4Q05A</v>
      </c>
      <c r="AT135" s="1685" t="str">
        <f t="shared" si="427"/>
        <v>2005A</v>
      </c>
      <c r="AU135" s="1685" t="str">
        <f t="shared" si="427"/>
        <v>1Q06A</v>
      </c>
      <c r="AV135" s="1685" t="str">
        <f t="shared" si="427"/>
        <v>2Q06A</v>
      </c>
      <c r="AW135" s="1685" t="str">
        <f t="shared" si="427"/>
        <v>3Q06A</v>
      </c>
      <c r="AX135" s="1685" t="str">
        <f t="shared" si="427"/>
        <v>4Q06A</v>
      </c>
      <c r="AY135" s="1685" t="str">
        <f t="shared" si="427"/>
        <v>2006A</v>
      </c>
      <c r="AZ135" s="1685" t="str">
        <f t="shared" si="427"/>
        <v>1Q07A</v>
      </c>
      <c r="BA135" s="1685" t="str">
        <f t="shared" si="427"/>
        <v>2Q07A</v>
      </c>
      <c r="BB135" s="1685" t="str">
        <f t="shared" si="427"/>
        <v>3Q07A</v>
      </c>
      <c r="BC135" s="1685" t="str">
        <f t="shared" si="427"/>
        <v>4Q07A</v>
      </c>
      <c r="BD135" s="1685" t="str">
        <f t="shared" si="427"/>
        <v>2007A</v>
      </c>
      <c r="BE135" s="1685" t="str">
        <f t="shared" si="427"/>
        <v>1Q08A</v>
      </c>
      <c r="BF135" s="1685" t="str">
        <f t="shared" si="427"/>
        <v>2Q08A</v>
      </c>
      <c r="BG135" s="1685" t="str">
        <f t="shared" si="427"/>
        <v>3Q08A</v>
      </c>
      <c r="BH135" s="1685" t="str">
        <f t="shared" si="427"/>
        <v>4Q08A</v>
      </c>
      <c r="BI135" s="1685" t="str">
        <f t="shared" si="427"/>
        <v>2008A</v>
      </c>
      <c r="BJ135" s="1685" t="str">
        <f t="shared" si="427"/>
        <v>1Q09A</v>
      </c>
      <c r="BK135" s="1685" t="str">
        <f t="shared" si="427"/>
        <v>2Q09A</v>
      </c>
      <c r="BL135" s="1685" t="str">
        <f t="shared" si="427"/>
        <v>3Q09A</v>
      </c>
      <c r="BM135" s="1685" t="str">
        <f t="shared" si="427"/>
        <v>4Q09A</v>
      </c>
      <c r="BN135" s="1685" t="str">
        <f t="shared" ref="BN135:CS135" si="428">BN8</f>
        <v>2009A</v>
      </c>
      <c r="BO135" s="1685" t="str">
        <f t="shared" si="428"/>
        <v>1Q10A</v>
      </c>
      <c r="BP135" s="1685" t="str">
        <f t="shared" si="428"/>
        <v>2Q10A</v>
      </c>
      <c r="BQ135" s="1685" t="str">
        <f t="shared" si="428"/>
        <v>3Q10A</v>
      </c>
      <c r="BR135" s="1685" t="str">
        <f t="shared" si="428"/>
        <v>4Q10A</v>
      </c>
      <c r="BS135" s="1685" t="str">
        <f t="shared" si="428"/>
        <v>2010A</v>
      </c>
      <c r="BT135" s="1685" t="str">
        <f t="shared" si="428"/>
        <v>1Q11A</v>
      </c>
      <c r="BU135" s="1685" t="str">
        <f t="shared" si="428"/>
        <v>2Q11A</v>
      </c>
      <c r="BV135" s="1685" t="str">
        <f t="shared" si="428"/>
        <v>3Q11A</v>
      </c>
      <c r="BW135" s="1685" t="str">
        <f t="shared" si="428"/>
        <v>4Q11A</v>
      </c>
      <c r="BX135" s="1685" t="str">
        <f t="shared" si="428"/>
        <v>2011A</v>
      </c>
      <c r="BY135" s="1685" t="str">
        <f t="shared" si="428"/>
        <v>1Q12A</v>
      </c>
      <c r="BZ135" s="1685" t="str">
        <f t="shared" si="428"/>
        <v>2Q12A</v>
      </c>
      <c r="CA135" s="1685" t="str">
        <f t="shared" si="428"/>
        <v>3Q12A</v>
      </c>
      <c r="CB135" s="1685" t="str">
        <f t="shared" si="428"/>
        <v>4Q12A</v>
      </c>
      <c r="CC135" s="1684" t="str">
        <f t="shared" si="428"/>
        <v>2012A</v>
      </c>
      <c r="CD135" s="1330" t="str">
        <f t="shared" si="428"/>
        <v>1Q13A</v>
      </c>
      <c r="CE135" s="1330" t="str">
        <f t="shared" si="428"/>
        <v>2Q13A</v>
      </c>
      <c r="CF135" s="1330" t="str">
        <f t="shared" si="428"/>
        <v>3Q13A</v>
      </c>
      <c r="CG135" s="1330" t="str">
        <f t="shared" si="428"/>
        <v>4Q13A</v>
      </c>
      <c r="CH135" s="1331" t="str">
        <f t="shared" si="428"/>
        <v>2013A</v>
      </c>
      <c r="CI135" s="1330" t="str">
        <f t="shared" si="428"/>
        <v>1Q14A</v>
      </c>
      <c r="CJ135" s="1330" t="str">
        <f t="shared" si="428"/>
        <v>2Q14A</v>
      </c>
      <c r="CK135" s="1330" t="str">
        <f t="shared" si="428"/>
        <v>3Q14A</v>
      </c>
      <c r="CL135" s="1330" t="str">
        <f t="shared" si="428"/>
        <v>4Q14A</v>
      </c>
      <c r="CM135" s="1331" t="str">
        <f t="shared" si="428"/>
        <v>2014A</v>
      </c>
      <c r="CN135" s="1330" t="str">
        <f t="shared" si="428"/>
        <v>1Q15PF</v>
      </c>
      <c r="CO135" s="1330" t="str">
        <f t="shared" si="428"/>
        <v>2Q15PF</v>
      </c>
      <c r="CP135" s="1330" t="str">
        <f t="shared" si="428"/>
        <v>3Q15PF</v>
      </c>
      <c r="CQ135" s="1906" t="str">
        <f t="shared" si="428"/>
        <v>4Q15A</v>
      </c>
      <c r="CR135" s="1938" t="str">
        <f t="shared" si="428"/>
        <v>2015A</v>
      </c>
      <c r="CS135" s="2088" t="str">
        <f t="shared" si="428"/>
        <v>1Q16A</v>
      </c>
      <c r="CT135" s="2088" t="str">
        <f t="shared" ref="CT135:DQ135" si="429">CT8</f>
        <v>2Q16A</v>
      </c>
      <c r="CU135" s="2088" t="str">
        <f t="shared" si="429"/>
        <v>3Q16A</v>
      </c>
      <c r="CV135" s="2235" t="str">
        <f t="shared" si="429"/>
        <v>4Q16A</v>
      </c>
      <c r="CW135" s="2236" t="str">
        <f t="shared" si="429"/>
        <v>2016A</v>
      </c>
      <c r="CX135" s="2235" t="str">
        <f t="shared" si="429"/>
        <v>1Q17A</v>
      </c>
      <c r="CY135" s="2235" t="str">
        <f t="shared" si="429"/>
        <v>2Q17A</v>
      </c>
      <c r="CZ135" s="2235" t="str">
        <f t="shared" si="429"/>
        <v>3Q17A</v>
      </c>
      <c r="DA135" s="2235" t="str">
        <f t="shared" si="429"/>
        <v>4Q17A</v>
      </c>
      <c r="DB135" s="2236" t="str">
        <f t="shared" si="429"/>
        <v>2017A</v>
      </c>
      <c r="DC135" s="2235" t="str">
        <f t="shared" si="429"/>
        <v>1Q18E</v>
      </c>
      <c r="DD135" s="2235" t="str">
        <f t="shared" si="429"/>
        <v>2Q18E</v>
      </c>
      <c r="DE135" s="2235" t="str">
        <f t="shared" si="429"/>
        <v>3Q18E</v>
      </c>
      <c r="DF135" s="2235" t="str">
        <f t="shared" si="429"/>
        <v>4Q18E</v>
      </c>
      <c r="DG135" s="2236" t="str">
        <f t="shared" si="429"/>
        <v>2018E</v>
      </c>
      <c r="DH135" s="2235" t="str">
        <f t="shared" si="429"/>
        <v>1Q19E</v>
      </c>
      <c r="DI135" s="2235" t="str">
        <f t="shared" si="429"/>
        <v>2Q19E</v>
      </c>
      <c r="DJ135" s="2235" t="str">
        <f t="shared" si="429"/>
        <v>3Q19E</v>
      </c>
      <c r="DK135" s="2235" t="str">
        <f t="shared" si="429"/>
        <v>4Q19E</v>
      </c>
      <c r="DL135" s="2236" t="str">
        <f t="shared" si="429"/>
        <v>2019E</v>
      </c>
      <c r="DM135" s="2235" t="str">
        <f t="shared" si="429"/>
        <v>1Q20E</v>
      </c>
      <c r="DN135" s="2235" t="str">
        <f t="shared" si="429"/>
        <v>2Q20E</v>
      </c>
      <c r="DO135" s="2235" t="str">
        <f t="shared" si="429"/>
        <v>3Q20E</v>
      </c>
      <c r="DP135" s="2235" t="str">
        <f t="shared" si="429"/>
        <v>4Q20E</v>
      </c>
      <c r="DQ135" s="2236" t="str">
        <f t="shared" si="429"/>
        <v>2020E</v>
      </c>
      <c r="DR135" s="2235" t="str">
        <f t="shared" ref="DR135:EA135" si="430">DR8</f>
        <v>1Q21E</v>
      </c>
      <c r="DS135" s="2235" t="str">
        <f t="shared" si="430"/>
        <v>2Q21E</v>
      </c>
      <c r="DT135" s="2235" t="str">
        <f t="shared" si="430"/>
        <v>3Q21E</v>
      </c>
      <c r="DU135" s="2235" t="str">
        <f t="shared" si="430"/>
        <v>4Q21E</v>
      </c>
      <c r="DV135" s="2236" t="str">
        <f t="shared" si="430"/>
        <v>2021E</v>
      </c>
      <c r="DW135" s="2235" t="str">
        <f t="shared" si="430"/>
        <v>1Q22E</v>
      </c>
      <c r="DX135" s="2235" t="str">
        <f t="shared" si="430"/>
        <v>2Q22E</v>
      </c>
      <c r="DY135" s="2235" t="str">
        <f t="shared" si="430"/>
        <v>3Q22E</v>
      </c>
      <c r="DZ135" s="2235" t="str">
        <f t="shared" si="430"/>
        <v>4Q22E</v>
      </c>
      <c r="EA135" s="2236" t="str">
        <f t="shared" si="430"/>
        <v>2022E</v>
      </c>
      <c r="EK135"/>
      <c r="EL135"/>
      <c r="EM135"/>
      <c r="EN135"/>
      <c r="EO135"/>
      <c r="EP135"/>
      <c r="EQ135" s="2237"/>
      <c r="ER135" s="2237"/>
      <c r="ES135" s="2237"/>
      <c r="ET135" s="2237"/>
      <c r="EU135" s="2237"/>
      <c r="EV135" s="2237"/>
      <c r="EW135" s="2237"/>
      <c r="EX135" s="2237"/>
      <c r="EY135" s="2237"/>
      <c r="EZ135" s="2237"/>
      <c r="FA135" s="2237"/>
      <c r="FB135" s="2237"/>
      <c r="FC135" s="2237"/>
      <c r="FD135" s="2237"/>
      <c r="FE135" s="2237"/>
      <c r="FF135" s="2237"/>
      <c r="FG135" s="2237"/>
      <c r="FH135" s="2237"/>
      <c r="FI135" s="2237"/>
      <c r="FJ135" s="2237"/>
      <c r="FK135" s="2237"/>
      <c r="FL135" s="2237"/>
      <c r="FM135" s="2237"/>
      <c r="FN135" s="2237"/>
      <c r="FO135" s="2237"/>
      <c r="FP135" s="2237"/>
      <c r="FQ135" s="2237"/>
      <c r="FR135" s="2237"/>
      <c r="FS135" s="2237"/>
      <c r="FT135" s="2237"/>
      <c r="FU135" s="2237"/>
      <c r="FV135" s="2237"/>
      <c r="FW135" s="2237"/>
      <c r="FX135" s="2237"/>
      <c r="FY135" s="2237"/>
      <c r="FZ135" s="2237"/>
      <c r="GA135" s="2237"/>
      <c r="GB135" s="2237"/>
      <c r="GC135" s="2237"/>
      <c r="GD135" s="2237"/>
      <c r="GE135" s="2237"/>
      <c r="GF135" s="2237"/>
      <c r="GG135" s="2237"/>
      <c r="GH135" s="2237"/>
      <c r="GI135" s="2237"/>
      <c r="GJ135" s="2237"/>
      <c r="GK135" s="2237"/>
      <c r="GL135" s="2237"/>
      <c r="GM135" s="2237"/>
      <c r="GN135" s="2237"/>
      <c r="GO135" s="2237"/>
      <c r="GP135" s="2237"/>
      <c r="GQ135" s="2237"/>
      <c r="GR135" s="2237"/>
      <c r="GS135" s="2237"/>
      <c r="GT135" s="2237"/>
      <c r="GU135" s="2237"/>
      <c r="GV135" s="2237"/>
      <c r="GW135" s="2237"/>
      <c r="GX135" s="2237"/>
      <c r="GY135" s="2237"/>
      <c r="GZ135" s="2237"/>
      <c r="HA135" s="2237"/>
      <c r="HB135" s="2237"/>
      <c r="HC135" s="2237"/>
      <c r="HD135" s="2237"/>
      <c r="HE135" s="2237"/>
      <c r="HF135" s="2237"/>
      <c r="HG135" s="2237"/>
      <c r="HH135" s="2237"/>
      <c r="HI135" s="2237"/>
      <c r="HJ135" s="2237"/>
      <c r="HK135" s="2237"/>
      <c r="HL135" s="2237"/>
      <c r="HM135" s="2237"/>
      <c r="HN135" s="2237"/>
      <c r="HO135" s="2237"/>
      <c r="HP135" s="2237"/>
      <c r="HQ135" s="2237"/>
      <c r="HR135" s="2237"/>
      <c r="HS135" s="2237"/>
      <c r="HT135" s="2237"/>
      <c r="HU135" s="2237"/>
      <c r="HV135" s="2237"/>
      <c r="HW135" s="2237"/>
      <c r="HX135" s="2237"/>
      <c r="HY135" s="2237"/>
      <c r="HZ135" s="2237"/>
      <c r="IA135" s="2237"/>
      <c r="IB135" s="2237"/>
      <c r="IC135" s="2237"/>
      <c r="ID135" s="2237"/>
      <c r="IE135" s="2237"/>
      <c r="IF135" s="2237"/>
      <c r="IG135" s="2237"/>
      <c r="IH135" s="2237"/>
      <c r="II135" s="2237"/>
      <c r="IJ135" s="2237"/>
      <c r="IK135" s="2237"/>
      <c r="IL135" s="2237"/>
      <c r="IM135" s="2237"/>
      <c r="IN135" s="2237"/>
      <c r="IO135" s="2237"/>
      <c r="IP135" s="2237"/>
      <c r="IQ135" s="2237"/>
      <c r="IR135" s="2237"/>
      <c r="IS135" s="2237"/>
      <c r="IT135" s="2237"/>
      <c r="IU135" s="2237"/>
      <c r="IV135" s="2237"/>
      <c r="IW135" s="2237"/>
      <c r="IX135" s="2237"/>
      <c r="IY135" s="2237"/>
    </row>
    <row r="136" spans="1:259" s="824" customFormat="1" ht="3.75" customHeight="1" x14ac:dyDescent="0.2">
      <c r="B136" s="1643"/>
      <c r="C136" s="1643"/>
      <c r="D136" s="1643"/>
      <c r="E136" s="1643"/>
      <c r="F136" s="1643"/>
      <c r="G136" s="1643"/>
      <c r="H136" s="1643"/>
      <c r="I136" s="1643"/>
      <c r="J136" s="1643"/>
      <c r="K136" s="1643"/>
      <c r="L136" s="1643"/>
      <c r="M136" s="1643"/>
      <c r="N136" s="1643"/>
      <c r="O136" s="1643"/>
      <c r="P136" s="1643"/>
      <c r="Q136" s="1643"/>
      <c r="R136" s="1643"/>
      <c r="S136" s="1643"/>
      <c r="T136" s="1643"/>
      <c r="U136" s="1643"/>
      <c r="V136" s="1643"/>
      <c r="W136" s="1643"/>
      <c r="X136" s="1643"/>
      <c r="Y136" s="1643"/>
      <c r="Z136" s="1643"/>
      <c r="AA136" s="1643"/>
      <c r="AB136" s="1643"/>
      <c r="AC136" s="1643"/>
      <c r="AD136" s="1643"/>
      <c r="AE136" s="1643"/>
      <c r="AF136" s="1643"/>
      <c r="AG136" s="1643"/>
      <c r="AH136" s="1643"/>
      <c r="AI136" s="1643"/>
      <c r="AJ136" s="1643"/>
      <c r="AK136" s="1643"/>
      <c r="AL136" s="1643"/>
      <c r="AM136" s="1643"/>
      <c r="AN136" s="1643"/>
      <c r="AO136" s="1643"/>
      <c r="AP136" s="1643"/>
      <c r="AQ136" s="1643"/>
      <c r="AR136" s="1643"/>
      <c r="AS136" s="1643"/>
      <c r="AT136" s="1643"/>
      <c r="AU136" s="1643"/>
      <c r="AV136" s="1643"/>
      <c r="AW136" s="1643"/>
      <c r="AX136" s="1643"/>
      <c r="AY136" s="1643"/>
      <c r="AZ136" s="1643"/>
      <c r="BA136" s="1643"/>
      <c r="BB136" s="1643"/>
      <c r="BC136" s="1643"/>
      <c r="BD136" s="1643"/>
      <c r="BE136" s="1643"/>
      <c r="BF136" s="1653"/>
      <c r="BG136" s="1653"/>
      <c r="BH136" s="1653"/>
      <c r="BI136" s="1653"/>
      <c r="BJ136" s="1653"/>
      <c r="BK136" s="1653"/>
      <c r="BL136" s="1653"/>
      <c r="BM136" s="1653"/>
      <c r="BN136" s="1653"/>
      <c r="BO136" s="1653"/>
      <c r="BP136" s="1653"/>
      <c r="BQ136" s="1653"/>
      <c r="BR136" s="1653"/>
      <c r="BS136" s="1654"/>
      <c r="BT136" s="1653"/>
      <c r="BU136" s="1653"/>
      <c r="BV136" s="1653"/>
      <c r="BW136" s="1653"/>
      <c r="BX136" s="1654"/>
      <c r="BY136" s="1653"/>
      <c r="BZ136" s="1653"/>
      <c r="CA136" s="1653"/>
      <c r="CB136" s="1653"/>
      <c r="CC136" s="1654"/>
      <c r="CD136" s="1655"/>
      <c r="CE136" s="1655"/>
      <c r="CF136" s="1655"/>
      <c r="CG136" s="1655"/>
      <c r="CH136" s="1656"/>
      <c r="CI136" s="1655"/>
      <c r="CJ136" s="1655"/>
      <c r="CK136" s="1655"/>
      <c r="CL136" s="1655"/>
      <c r="CM136" s="1852"/>
      <c r="CN136" s="1655"/>
      <c r="CO136" s="1655"/>
      <c r="CP136" s="1655"/>
      <c r="CQ136" s="1907"/>
      <c r="CR136" s="2230"/>
      <c r="CS136" s="2084"/>
      <c r="CT136" s="2084"/>
      <c r="CU136" s="2084"/>
      <c r="CV136" s="826"/>
      <c r="CW136" s="2232"/>
      <c r="CX136" s="826"/>
      <c r="CY136" s="826"/>
      <c r="CZ136" s="826"/>
      <c r="DA136" s="826"/>
      <c r="DB136" s="2232"/>
      <c r="DC136" s="826"/>
      <c r="DD136" s="826"/>
      <c r="DE136" s="826"/>
      <c r="DF136" s="826"/>
      <c r="DG136" s="972"/>
      <c r="DH136" s="826"/>
      <c r="DI136" s="826"/>
      <c r="DJ136" s="826"/>
      <c r="DK136" s="826"/>
      <c r="DL136" s="2232"/>
      <c r="DM136" s="826"/>
      <c r="DN136" s="826"/>
      <c r="DO136" s="826"/>
      <c r="DP136" s="826"/>
      <c r="DQ136" s="2232"/>
      <c r="DR136" s="826"/>
      <c r="DS136" s="826"/>
      <c r="DT136" s="826"/>
      <c r="DU136" s="826"/>
      <c r="DV136" s="2232"/>
      <c r="DW136" s="826"/>
      <c r="DX136" s="826"/>
      <c r="DY136" s="826"/>
      <c r="DZ136" s="826"/>
      <c r="EA136" s="2232"/>
      <c r="ED136" s="825"/>
      <c r="EE136" s="825"/>
      <c r="EF136" s="825"/>
      <c r="EG136" s="825"/>
      <c r="EH136" s="825"/>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row>
    <row r="137" spans="1:259" s="824" customFormat="1" ht="12" customHeight="1" x14ac:dyDescent="0.2">
      <c r="A137" s="824" t="s">
        <v>594</v>
      </c>
      <c r="B137" s="1643"/>
      <c r="C137" s="1643"/>
      <c r="D137" s="1643"/>
      <c r="E137" s="1643"/>
      <c r="F137" s="1643"/>
      <c r="G137" s="1643"/>
      <c r="H137" s="1643"/>
      <c r="I137" s="1643"/>
      <c r="J137" s="1643"/>
      <c r="K137" s="1643"/>
      <c r="L137" s="1643"/>
      <c r="M137" s="1643"/>
      <c r="N137" s="1643"/>
      <c r="O137" s="1643"/>
      <c r="P137" s="1643"/>
      <c r="Q137" s="1643"/>
      <c r="R137" s="1643"/>
      <c r="S137" s="1643"/>
      <c r="T137" s="1643"/>
      <c r="U137" s="1643"/>
      <c r="V137" s="1643"/>
      <c r="W137" s="1643"/>
      <c r="X137" s="1643"/>
      <c r="Y137" s="1643"/>
      <c r="Z137" s="1643"/>
      <c r="AA137" s="1643"/>
      <c r="AB137" s="1643"/>
      <c r="AC137" s="1643"/>
      <c r="AD137" s="1643"/>
      <c r="AE137" s="1643"/>
      <c r="AF137" s="1643"/>
      <c r="AG137" s="1643"/>
      <c r="AH137" s="1643"/>
      <c r="AI137" s="1643"/>
      <c r="AJ137" s="1643"/>
      <c r="AK137" s="1643"/>
      <c r="AL137" s="1643"/>
      <c r="AM137" s="1643"/>
      <c r="AN137" s="1643"/>
      <c r="AO137" s="1643"/>
      <c r="AP137" s="1643"/>
      <c r="AQ137" s="1643"/>
      <c r="AR137" s="1643"/>
      <c r="AS137" s="1643"/>
      <c r="AT137" s="1643"/>
      <c r="AU137" s="1643"/>
      <c r="AV137" s="1643"/>
      <c r="AW137" s="1643"/>
      <c r="AX137" s="1643"/>
      <c r="AY137" s="1643"/>
      <c r="AZ137" s="1643"/>
      <c r="BA137" s="1643"/>
      <c r="BB137" s="1643"/>
      <c r="BC137" s="1643"/>
      <c r="BD137" s="1643"/>
      <c r="BE137" s="1643"/>
      <c r="BF137" s="1653"/>
      <c r="BG137" s="1653"/>
      <c r="BH137" s="1653"/>
      <c r="BI137" s="1653"/>
      <c r="BJ137" s="1653"/>
      <c r="BK137" s="1653"/>
      <c r="BL137" s="1653"/>
      <c r="BM137" s="1653"/>
      <c r="BN137" s="1653"/>
      <c r="BO137" s="1653"/>
      <c r="BP137" s="1653"/>
      <c r="BQ137" s="1653"/>
      <c r="BR137" s="1653"/>
      <c r="BS137" s="1654"/>
      <c r="BT137" s="1653"/>
      <c r="BU137" s="1653"/>
      <c r="BV137" s="1653"/>
      <c r="BW137" s="1653"/>
      <c r="BX137" s="1654"/>
      <c r="BY137" s="1653"/>
      <c r="BZ137" s="1653"/>
      <c r="CA137" s="1653"/>
      <c r="CB137" s="1653"/>
      <c r="CC137" s="1654"/>
      <c r="CD137" s="1655"/>
      <c r="CE137" s="1655"/>
      <c r="CF137" s="1655"/>
      <c r="CG137" s="1655"/>
      <c r="CH137" s="1656"/>
      <c r="CI137" s="1655">
        <v>0</v>
      </c>
      <c r="CJ137" s="1655">
        <v>0</v>
      </c>
      <c r="CK137" s="1655">
        <v>0</v>
      </c>
      <c r="CL137" s="1655">
        <v>0</v>
      </c>
      <c r="CM137" s="2229"/>
      <c r="CN137" s="1657">
        <v>0</v>
      </c>
      <c r="CO137" s="1657">
        <v>0</v>
      </c>
      <c r="CP137" s="1657">
        <v>0</v>
      </c>
      <c r="CQ137" s="1907">
        <v>0</v>
      </c>
      <c r="CR137" s="2231"/>
      <c r="CS137" s="2085">
        <v>0</v>
      </c>
      <c r="CT137" s="2085">
        <v>0</v>
      </c>
      <c r="CU137" s="2085">
        <v>0</v>
      </c>
      <c r="CV137" s="826"/>
      <c r="CW137" s="2233"/>
      <c r="CX137" s="826"/>
      <c r="CY137" s="826"/>
      <c r="CZ137" s="826"/>
      <c r="DA137" s="826"/>
      <c r="DB137" s="2233"/>
      <c r="DC137" s="826"/>
      <c r="DD137" s="826"/>
      <c r="DE137" s="826"/>
      <c r="DF137" s="826"/>
      <c r="DG137" s="827"/>
      <c r="DH137" s="826"/>
      <c r="DI137" s="826"/>
      <c r="DJ137" s="826"/>
      <c r="DK137" s="826"/>
      <c r="DL137" s="2233"/>
      <c r="DM137" s="826"/>
      <c r="DN137" s="826"/>
      <c r="DO137" s="826"/>
      <c r="DP137" s="826"/>
      <c r="DQ137" s="2233"/>
      <c r="DR137" s="826"/>
      <c r="DS137" s="826"/>
      <c r="DT137" s="826"/>
      <c r="DU137" s="826"/>
      <c r="DV137" s="2233"/>
      <c r="DW137" s="826"/>
      <c r="DX137" s="826"/>
      <c r="DY137" s="826"/>
      <c r="DZ137" s="826"/>
      <c r="EA137" s="2233"/>
      <c r="ED137" s="825"/>
      <c r="EE137" s="825"/>
      <c r="EF137" s="825"/>
      <c r="EG137" s="825"/>
      <c r="EH137" s="825"/>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row>
    <row r="138" spans="1:259" s="824" customFormat="1" ht="12" customHeight="1" x14ac:dyDescent="0.2">
      <c r="A138" s="824" t="s">
        <v>690</v>
      </c>
      <c r="B138" s="1643"/>
      <c r="C138" s="1643"/>
      <c r="D138" s="1643"/>
      <c r="E138" s="1643"/>
      <c r="F138" s="1643"/>
      <c r="G138" s="1643"/>
      <c r="H138" s="1643"/>
      <c r="I138" s="1643"/>
      <c r="J138" s="1643"/>
      <c r="K138" s="1643"/>
      <c r="L138" s="1643"/>
      <c r="M138" s="1643"/>
      <c r="N138" s="1643"/>
      <c r="O138" s="1643"/>
      <c r="P138" s="1643"/>
      <c r="Q138" s="1643"/>
      <c r="R138" s="1643"/>
      <c r="S138" s="1643"/>
      <c r="T138" s="1643"/>
      <c r="U138" s="1643"/>
      <c r="V138" s="1643"/>
      <c r="W138" s="1643"/>
      <c r="X138" s="1643"/>
      <c r="Y138" s="1643"/>
      <c r="Z138" s="1643"/>
      <c r="AA138" s="1643"/>
      <c r="AB138" s="1643"/>
      <c r="AC138" s="1643"/>
      <c r="AD138" s="1643"/>
      <c r="AE138" s="1643"/>
      <c r="AF138" s="1643"/>
      <c r="AG138" s="1643"/>
      <c r="AH138" s="1643"/>
      <c r="AI138" s="1643"/>
      <c r="AJ138" s="1643"/>
      <c r="AK138" s="1643"/>
      <c r="AL138" s="1643"/>
      <c r="AM138" s="1643"/>
      <c r="AN138" s="1643"/>
      <c r="AO138" s="1643"/>
      <c r="AP138" s="1643"/>
      <c r="AQ138" s="1643"/>
      <c r="AR138" s="1643"/>
      <c r="AS138" s="1643"/>
      <c r="AT138" s="1643"/>
      <c r="AU138" s="1643"/>
      <c r="AV138" s="1643"/>
      <c r="AW138" s="1643"/>
      <c r="AX138" s="1643"/>
      <c r="AY138" s="1643"/>
      <c r="AZ138" s="1643"/>
      <c r="BA138" s="1643"/>
      <c r="BB138" s="1643"/>
      <c r="BC138" s="1643"/>
      <c r="BD138" s="1643"/>
      <c r="BE138" s="1643"/>
      <c r="BF138" s="1653"/>
      <c r="BG138" s="1653"/>
      <c r="BH138" s="1653"/>
      <c r="BI138" s="1653"/>
      <c r="BJ138" s="1653"/>
      <c r="BK138" s="1653"/>
      <c r="BL138" s="1653"/>
      <c r="BM138" s="1653"/>
      <c r="BN138" s="1653"/>
      <c r="BO138" s="1653"/>
      <c r="BP138" s="1653"/>
      <c r="BQ138" s="1653"/>
      <c r="BR138" s="1653"/>
      <c r="BS138" s="1654"/>
      <c r="BT138" s="1653"/>
      <c r="BU138" s="1653"/>
      <c r="BV138" s="1653"/>
      <c r="BW138" s="1653"/>
      <c r="BX138" s="1654"/>
      <c r="BY138" s="1653"/>
      <c r="BZ138" s="1653"/>
      <c r="CA138" s="1653"/>
      <c r="CB138" s="1653"/>
      <c r="CC138" s="1654"/>
      <c r="CD138" s="1655"/>
      <c r="CE138" s="1655"/>
      <c r="CF138" s="1655"/>
      <c r="CG138" s="1655"/>
      <c r="CH138" s="2238"/>
      <c r="CI138" s="2239"/>
      <c r="CJ138" s="2239"/>
      <c r="CK138" s="2239"/>
      <c r="CL138" s="2239"/>
      <c r="CM138" s="2238"/>
      <c r="CN138" s="2239"/>
      <c r="CO138" s="2239">
        <f>CR138-CQ138-CP138</f>
        <v>-10</v>
      </c>
      <c r="CP138" s="2239">
        <v>-21</v>
      </c>
      <c r="CQ138" s="2240">
        <v>-41</v>
      </c>
      <c r="CR138" s="2241">
        <v>-72</v>
      </c>
      <c r="CS138" s="2242">
        <v>-9</v>
      </c>
      <c r="CT138" s="2242">
        <v>-8</v>
      </c>
      <c r="CU138" s="2242">
        <v>0</v>
      </c>
      <c r="CV138" s="2243">
        <v>-9</v>
      </c>
      <c r="CW138" s="2244">
        <f>SUM(CS138:CV138)</f>
        <v>-26</v>
      </c>
      <c r="CX138" s="2243">
        <v>-3</v>
      </c>
      <c r="CY138" s="2243">
        <v>-5</v>
      </c>
      <c r="CZ138" s="2243">
        <v>-4</v>
      </c>
      <c r="DA138" s="2243">
        <v>-5</v>
      </c>
      <c r="DB138" s="2244">
        <f>SUM(CX138:DA138)</f>
        <v>-17</v>
      </c>
      <c r="DC138" s="2243">
        <v>-15</v>
      </c>
      <c r="DD138" s="2243">
        <v>-15</v>
      </c>
      <c r="DE138" s="2243">
        <v>-15</v>
      </c>
      <c r="DF138" s="2243">
        <v>-15</v>
      </c>
      <c r="DG138" s="2244">
        <f>SUM(DC138:DF138)</f>
        <v>-60</v>
      </c>
      <c r="DH138" s="2243"/>
      <c r="DI138" s="2243"/>
      <c r="DJ138" s="2243"/>
      <c r="DK138" s="2243"/>
      <c r="DL138" s="2245"/>
      <c r="DM138" s="2243"/>
      <c r="DN138" s="2243"/>
      <c r="DO138" s="2243"/>
      <c r="DP138" s="2243"/>
      <c r="DQ138" s="2245"/>
      <c r="DR138" s="2243"/>
      <c r="DS138" s="2243"/>
      <c r="DT138" s="2243"/>
      <c r="DU138" s="2243"/>
      <c r="DV138" s="2245"/>
      <c r="DW138" s="2243"/>
      <c r="DX138" s="2243"/>
      <c r="DY138" s="2243"/>
      <c r="DZ138" s="2243"/>
      <c r="EA138" s="2245"/>
      <c r="ED138" s="825"/>
      <c r="EE138" s="825"/>
      <c r="EF138" s="825"/>
      <c r="EG138" s="825"/>
      <c r="EH138" s="825"/>
      <c r="EK138"/>
      <c r="EL138"/>
      <c r="EM138"/>
      <c r="EN138"/>
      <c r="EO138"/>
      <c r="EP138"/>
      <c r="EQ138" s="2112"/>
      <c r="ER138" s="2112"/>
      <c r="ES138" s="2112"/>
      <c r="ET138" s="2112"/>
      <c r="EU138" s="2112"/>
      <c r="EV138" s="2112"/>
      <c r="EW138" s="2112"/>
      <c r="EX138" s="2112"/>
      <c r="EY138" s="2112"/>
      <c r="EZ138" s="2112"/>
      <c r="FA138" s="2112"/>
      <c r="FB138" s="2112"/>
      <c r="FC138" s="2112"/>
      <c r="FD138" s="2112"/>
      <c r="FE138" s="2112"/>
      <c r="FF138" s="2112"/>
      <c r="FG138" s="2112"/>
      <c r="FH138" s="2112"/>
      <c r="FI138" s="2112"/>
      <c r="FJ138" s="2112"/>
      <c r="FK138" s="2112"/>
      <c r="FL138" s="2112"/>
      <c r="FM138" s="2112"/>
      <c r="FN138" s="2112"/>
      <c r="FO138" s="2112"/>
      <c r="FP138" s="2112"/>
      <c r="FQ138" s="2112"/>
      <c r="FR138" s="2112"/>
      <c r="FS138" s="2112"/>
      <c r="FT138" s="2112"/>
      <c r="FU138" s="2112"/>
      <c r="FV138" s="2112"/>
      <c r="FW138" s="2112"/>
      <c r="FX138" s="2112"/>
      <c r="FY138" s="2112"/>
      <c r="FZ138" s="2112"/>
      <c r="GA138" s="2112"/>
      <c r="GB138" s="2112"/>
      <c r="GC138" s="2112"/>
      <c r="GD138" s="2112"/>
      <c r="GE138" s="2112"/>
      <c r="GF138" s="2112"/>
      <c r="GG138" s="2112"/>
      <c r="GH138" s="2112"/>
      <c r="GI138" s="2112"/>
      <c r="GJ138" s="2112"/>
      <c r="GK138" s="2112"/>
      <c r="GL138" s="2112"/>
      <c r="GM138" s="2112"/>
      <c r="GN138" s="2112"/>
      <c r="GO138" s="2112"/>
      <c r="GP138" s="2112"/>
      <c r="GQ138" s="2112"/>
      <c r="GR138" s="2112"/>
      <c r="GS138" s="2112"/>
      <c r="GT138" s="2112"/>
      <c r="GU138" s="2112"/>
      <c r="GV138" s="2112"/>
      <c r="GW138" s="2112"/>
      <c r="GX138" s="2112"/>
      <c r="GY138" s="2112"/>
      <c r="GZ138" s="2112"/>
      <c r="HA138" s="2112"/>
      <c r="HB138" s="2112"/>
      <c r="HC138" s="2112"/>
      <c r="HD138" s="2112"/>
      <c r="HE138" s="2112"/>
      <c r="HF138" s="2112"/>
      <c r="HG138" s="2112"/>
      <c r="HH138" s="2112"/>
      <c r="HI138" s="2112"/>
      <c r="HJ138" s="2112"/>
      <c r="HK138" s="2112"/>
      <c r="HL138" s="2112"/>
      <c r="HM138" s="2112"/>
      <c r="HN138" s="2112"/>
      <c r="HO138" s="2112"/>
      <c r="HP138" s="2112"/>
      <c r="HQ138" s="2112"/>
      <c r="HR138" s="2112"/>
      <c r="HS138" s="2112"/>
      <c r="HT138" s="2112"/>
      <c r="HU138" s="2112"/>
      <c r="HV138" s="2112"/>
      <c r="HW138" s="2112"/>
      <c r="HX138" s="2112"/>
      <c r="HY138" s="2112"/>
      <c r="HZ138" s="2112"/>
      <c r="IA138" s="2112"/>
      <c r="IB138" s="2112"/>
      <c r="IC138" s="2112"/>
      <c r="ID138" s="2112"/>
      <c r="IE138" s="2112"/>
      <c r="IF138" s="2112"/>
      <c r="IG138" s="2112"/>
      <c r="IH138" s="2112"/>
      <c r="II138" s="2112"/>
      <c r="IJ138" s="2112"/>
      <c r="IK138" s="2112"/>
      <c r="IL138" s="2112"/>
      <c r="IM138" s="2112"/>
      <c r="IN138" s="2112"/>
      <c r="IO138" s="2112"/>
      <c r="IP138" s="2112"/>
      <c r="IQ138" s="2112"/>
      <c r="IR138" s="2112"/>
      <c r="IS138" s="2112"/>
      <c r="IT138" s="2112"/>
      <c r="IU138" s="2112"/>
      <c r="IV138" s="2112"/>
      <c r="IW138" s="2112"/>
      <c r="IX138" s="2112"/>
      <c r="IY138" s="2112"/>
    </row>
    <row r="139" spans="1:259" s="824" customFormat="1" ht="12" customHeight="1" x14ac:dyDescent="0.2">
      <c r="A139" s="824" t="s">
        <v>716</v>
      </c>
      <c r="B139" s="1643"/>
      <c r="C139" s="1643"/>
      <c r="D139" s="1643"/>
      <c r="E139" s="1643"/>
      <c r="F139" s="1643"/>
      <c r="G139" s="1643"/>
      <c r="H139" s="1643"/>
      <c r="I139" s="1643"/>
      <c r="J139" s="1643"/>
      <c r="K139" s="1643"/>
      <c r="L139" s="1643"/>
      <c r="M139" s="1643"/>
      <c r="N139" s="1643"/>
      <c r="O139" s="1643"/>
      <c r="P139" s="1643"/>
      <c r="Q139" s="1643"/>
      <c r="R139" s="1643"/>
      <c r="S139" s="1643"/>
      <c r="T139" s="1643"/>
      <c r="U139" s="1643"/>
      <c r="V139" s="1643"/>
      <c r="W139" s="1643"/>
      <c r="X139" s="1643"/>
      <c r="Y139" s="1643"/>
      <c r="Z139" s="1643"/>
      <c r="AA139" s="1643"/>
      <c r="AB139" s="1643"/>
      <c r="AC139" s="1643"/>
      <c r="AD139" s="1643"/>
      <c r="AE139" s="1643"/>
      <c r="AF139" s="1643"/>
      <c r="AG139" s="1643"/>
      <c r="AH139" s="1643"/>
      <c r="AI139" s="1643"/>
      <c r="AJ139" s="1643"/>
      <c r="AK139" s="1643"/>
      <c r="AL139" s="1643"/>
      <c r="AM139" s="1643"/>
      <c r="AN139" s="1643"/>
      <c r="AO139" s="1643"/>
      <c r="AP139" s="1643"/>
      <c r="AQ139" s="1643"/>
      <c r="AR139" s="1643"/>
      <c r="AS139" s="1643"/>
      <c r="AT139" s="1643"/>
      <c r="AU139" s="1643"/>
      <c r="AV139" s="1643"/>
      <c r="AW139" s="1643"/>
      <c r="AX139" s="1643"/>
      <c r="AY139" s="1643"/>
      <c r="AZ139" s="1643"/>
      <c r="BA139" s="1643"/>
      <c r="BB139" s="1643"/>
      <c r="BC139" s="1643"/>
      <c r="BD139" s="1643"/>
      <c r="BE139" s="1643"/>
      <c r="BF139" s="1653"/>
      <c r="BG139" s="1653"/>
      <c r="BH139" s="1653"/>
      <c r="BI139" s="1653"/>
      <c r="BJ139" s="1653"/>
      <c r="BK139" s="1653"/>
      <c r="BL139" s="1653"/>
      <c r="BM139" s="1653"/>
      <c r="BN139" s="1653"/>
      <c r="BO139" s="1653"/>
      <c r="BP139" s="1653"/>
      <c r="BQ139" s="1653"/>
      <c r="BR139" s="1653"/>
      <c r="BS139" s="1654"/>
      <c r="BT139" s="1653"/>
      <c r="BU139" s="1653"/>
      <c r="BV139" s="1653"/>
      <c r="BW139" s="1653"/>
      <c r="BX139" s="1654"/>
      <c r="BY139" s="1653"/>
      <c r="BZ139" s="1653"/>
      <c r="CA139" s="1653"/>
      <c r="CB139" s="1653"/>
      <c r="CC139" s="1654"/>
      <c r="CD139" s="1655"/>
      <c r="CE139" s="1655"/>
      <c r="CF139" s="1655"/>
      <c r="CG139" s="1655"/>
      <c r="CH139" s="2238"/>
      <c r="CI139" s="2239"/>
      <c r="CJ139" s="2239"/>
      <c r="CK139" s="2239"/>
      <c r="CL139" s="2239"/>
      <c r="CM139" s="2238"/>
      <c r="CN139" s="2239"/>
      <c r="CO139" s="2239"/>
      <c r="CP139" s="2239"/>
      <c r="CQ139" s="2240"/>
      <c r="CR139" s="2241"/>
      <c r="CS139" s="2242"/>
      <c r="CT139" s="2242"/>
      <c r="CU139" s="2242"/>
      <c r="CV139" s="2243"/>
      <c r="CW139" s="2244"/>
      <c r="CX139" s="2243"/>
      <c r="CY139" s="2243">
        <v>-12</v>
      </c>
      <c r="CZ139" s="2243">
        <v>-8</v>
      </c>
      <c r="DA139" s="2243">
        <v>-11</v>
      </c>
      <c r="DB139" s="2244">
        <f t="shared" ref="DB139:DB146" si="431">SUM(CX139:DA139)</f>
        <v>-31</v>
      </c>
      <c r="DC139" s="2243"/>
      <c r="DD139" s="2243"/>
      <c r="DE139" s="2243"/>
      <c r="DF139" s="2243"/>
      <c r="DG139" s="2244"/>
      <c r="DH139" s="2243"/>
      <c r="DI139" s="2243"/>
      <c r="DJ139" s="2243"/>
      <c r="DK139" s="2243"/>
      <c r="DL139" s="2245"/>
      <c r="DM139" s="2243"/>
      <c r="DN139" s="2243"/>
      <c r="DO139" s="2243"/>
      <c r="DP139" s="2243"/>
      <c r="DQ139" s="2245"/>
      <c r="DR139" s="2243"/>
      <c r="DS139" s="2243"/>
      <c r="DT139" s="2243"/>
      <c r="DU139" s="2243"/>
      <c r="DV139" s="2245"/>
      <c r="DW139" s="2243"/>
      <c r="DX139" s="2243"/>
      <c r="DY139" s="2243"/>
      <c r="DZ139" s="2243"/>
      <c r="EA139" s="2245"/>
      <c r="ED139" s="825"/>
      <c r="EE139" s="825"/>
      <c r="EF139" s="825"/>
      <c r="EG139" s="825"/>
      <c r="EH139" s="825"/>
      <c r="EK139"/>
      <c r="EL139"/>
      <c r="EM139"/>
      <c r="EN139"/>
      <c r="EO139"/>
      <c r="EP139"/>
      <c r="EQ139" s="2207"/>
      <c r="ER139" s="2207"/>
      <c r="ES139" s="2207"/>
      <c r="ET139" s="2207"/>
      <c r="EU139" s="2207"/>
      <c r="EV139" s="2207"/>
      <c r="EW139" s="2207"/>
      <c r="EX139" s="2207"/>
      <c r="EY139" s="2207"/>
      <c r="EZ139" s="2207"/>
      <c r="FA139" s="2207"/>
      <c r="FB139" s="2207"/>
      <c r="FC139" s="2207"/>
      <c r="FD139" s="2207"/>
      <c r="FE139" s="2207"/>
      <c r="FF139" s="2207"/>
      <c r="FG139" s="2207"/>
      <c r="FH139" s="2207"/>
      <c r="FI139" s="2207"/>
      <c r="FJ139" s="2207"/>
      <c r="FK139" s="2207"/>
      <c r="FL139" s="2207"/>
      <c r="FM139" s="2207"/>
      <c r="FN139" s="2207"/>
      <c r="FO139" s="2207"/>
      <c r="FP139" s="2207"/>
      <c r="FQ139" s="2207"/>
      <c r="FR139" s="2207"/>
      <c r="FS139" s="2207"/>
      <c r="FT139" s="2207"/>
      <c r="FU139" s="2207"/>
      <c r="FV139" s="2207"/>
      <c r="FW139" s="2207"/>
      <c r="FX139" s="2207"/>
      <c r="FY139" s="2207"/>
      <c r="FZ139" s="2207"/>
      <c r="GA139" s="2207"/>
      <c r="GB139" s="2207"/>
      <c r="GC139" s="2207"/>
      <c r="GD139" s="2207"/>
      <c r="GE139" s="2207"/>
      <c r="GF139" s="2207"/>
      <c r="GG139" s="2207"/>
      <c r="GH139" s="2207"/>
      <c r="GI139" s="2207"/>
      <c r="GJ139" s="2207"/>
      <c r="GK139" s="2207"/>
      <c r="GL139" s="2207"/>
      <c r="GM139" s="2207"/>
      <c r="GN139" s="2207"/>
      <c r="GO139" s="2207"/>
      <c r="GP139" s="2207"/>
      <c r="GQ139" s="2207"/>
      <c r="GR139" s="2207"/>
      <c r="GS139" s="2207"/>
      <c r="GT139" s="2207"/>
      <c r="GU139" s="2207"/>
      <c r="GV139" s="2207"/>
      <c r="GW139" s="2207"/>
      <c r="GX139" s="2207"/>
      <c r="GY139" s="2207"/>
      <c r="GZ139" s="2207"/>
      <c r="HA139" s="2207"/>
      <c r="HB139" s="2207"/>
      <c r="HC139" s="2207"/>
      <c r="HD139" s="2207"/>
      <c r="HE139" s="2207"/>
      <c r="HF139" s="2207"/>
      <c r="HG139" s="2207"/>
      <c r="HH139" s="2207"/>
      <c r="HI139" s="2207"/>
      <c r="HJ139" s="2207"/>
      <c r="HK139" s="2207"/>
      <c r="HL139" s="2207"/>
      <c r="HM139" s="2207"/>
      <c r="HN139" s="2207"/>
      <c r="HO139" s="2207"/>
      <c r="HP139" s="2207"/>
      <c r="HQ139" s="2207"/>
      <c r="HR139" s="2207"/>
      <c r="HS139" s="2207"/>
      <c r="HT139" s="2207"/>
      <c r="HU139" s="2207"/>
      <c r="HV139" s="2207"/>
      <c r="HW139" s="2207"/>
      <c r="HX139" s="2207"/>
      <c r="HY139" s="2207"/>
      <c r="HZ139" s="2207"/>
      <c r="IA139" s="2207"/>
      <c r="IB139" s="2207"/>
      <c r="IC139" s="2207"/>
      <c r="ID139" s="2207"/>
      <c r="IE139" s="2207"/>
      <c r="IF139" s="2207"/>
      <c r="IG139" s="2207"/>
      <c r="IH139" s="2207"/>
      <c r="II139" s="2207"/>
      <c r="IJ139" s="2207"/>
      <c r="IK139" s="2207"/>
      <c r="IL139" s="2207"/>
      <c r="IM139" s="2207"/>
      <c r="IN139" s="2207"/>
      <c r="IO139" s="2207"/>
      <c r="IP139" s="2207"/>
      <c r="IQ139" s="2207"/>
      <c r="IR139" s="2207"/>
      <c r="IS139" s="2207"/>
      <c r="IT139" s="2207"/>
      <c r="IU139" s="2207"/>
      <c r="IV139" s="2207"/>
      <c r="IW139" s="2207"/>
      <c r="IX139" s="2207"/>
      <c r="IY139" s="2207"/>
    </row>
    <row r="140" spans="1:259" s="824" customFormat="1" x14ac:dyDescent="0.2">
      <c r="A140" s="824" t="s">
        <v>684</v>
      </c>
      <c r="B140" s="1643"/>
      <c r="C140" s="1643"/>
      <c r="D140" s="1643"/>
      <c r="E140" s="1643"/>
      <c r="F140" s="1643"/>
      <c r="G140" s="1643"/>
      <c r="H140" s="1643"/>
      <c r="I140" s="1643"/>
      <c r="J140" s="1643"/>
      <c r="K140" s="1643"/>
      <c r="L140" s="1643"/>
      <c r="M140" s="1643"/>
      <c r="N140" s="1643"/>
      <c r="O140" s="1643"/>
      <c r="P140" s="1643"/>
      <c r="Q140" s="1643"/>
      <c r="R140" s="1643"/>
      <c r="S140" s="1643"/>
      <c r="T140" s="1643"/>
      <c r="U140" s="1643"/>
      <c r="V140" s="1643"/>
      <c r="W140" s="1643"/>
      <c r="X140" s="1643"/>
      <c r="Y140" s="1643"/>
      <c r="Z140" s="1643"/>
      <c r="AA140" s="1643"/>
      <c r="AB140" s="1643"/>
      <c r="AC140" s="1643"/>
      <c r="AD140" s="1643"/>
      <c r="AE140" s="1643"/>
      <c r="AF140" s="1643"/>
      <c r="AG140" s="1643"/>
      <c r="AH140" s="1643"/>
      <c r="AI140" s="1643"/>
      <c r="AJ140" s="1643"/>
      <c r="AK140" s="1643"/>
      <c r="AL140" s="1643"/>
      <c r="AM140" s="1643"/>
      <c r="AN140" s="1643"/>
      <c r="AO140" s="1643"/>
      <c r="AP140" s="1643"/>
      <c r="AQ140" s="1643"/>
      <c r="AR140" s="1643"/>
      <c r="AS140" s="1643"/>
      <c r="AT140" s="1643"/>
      <c r="AU140" s="1643"/>
      <c r="AV140" s="1643"/>
      <c r="AW140" s="1643"/>
      <c r="AX140" s="1643"/>
      <c r="AY140" s="1643"/>
      <c r="AZ140" s="1643"/>
      <c r="BA140" s="1643"/>
      <c r="BB140" s="1643"/>
      <c r="BC140" s="1643"/>
      <c r="BD140" s="1643"/>
      <c r="BE140" s="1643"/>
      <c r="BF140" s="1653"/>
      <c r="BG140" s="1653"/>
      <c r="BH140" s="1653"/>
      <c r="BI140" s="1653"/>
      <c r="BJ140" s="1653"/>
      <c r="BK140" s="1653"/>
      <c r="BL140" s="1653"/>
      <c r="BM140" s="1653"/>
      <c r="BN140" s="1653"/>
      <c r="BO140" s="1658">
        <v>-7</v>
      </c>
      <c r="BP140" s="1658">
        <v>0</v>
      </c>
      <c r="BQ140" s="1658">
        <v>0</v>
      </c>
      <c r="BR140" s="1658">
        <v>-52</v>
      </c>
      <c r="BS140" s="1418">
        <f>SUM(BO140:BR140)</f>
        <v>-59</v>
      </c>
      <c r="BT140" s="1658">
        <v>0</v>
      </c>
      <c r="BU140" s="1658">
        <v>0</v>
      </c>
      <c r="BV140" s="1658">
        <v>-76</v>
      </c>
      <c r="BW140" s="1658">
        <v>0</v>
      </c>
      <c r="BX140" s="1418">
        <f>SUM(BT140:BW140)</f>
        <v>-76</v>
      </c>
      <c r="BY140" s="1658">
        <v>-21</v>
      </c>
      <c r="BZ140" s="1658">
        <v>-2</v>
      </c>
      <c r="CA140" s="1658">
        <v>-1</v>
      </c>
      <c r="CB140" s="1658">
        <v>-46</v>
      </c>
      <c r="CC140" s="1418">
        <f>SUM(BY140:CB140)</f>
        <v>-70</v>
      </c>
      <c r="CD140" s="1657">
        <v>0</v>
      </c>
      <c r="CE140" s="1657">
        <v>0</v>
      </c>
      <c r="CF140" s="1657">
        <v>-1</v>
      </c>
      <c r="CG140" s="1657">
        <v>0</v>
      </c>
      <c r="CH140" s="2238">
        <f>SUM(CD140:CG140)</f>
        <v>-1</v>
      </c>
      <c r="CI140" s="2239">
        <v>0</v>
      </c>
      <c r="CJ140" s="2239">
        <v>0</v>
      </c>
      <c r="CK140" s="2239">
        <v>0</v>
      </c>
      <c r="CL140" s="2239">
        <v>0</v>
      </c>
      <c r="CM140" s="2238">
        <v>0</v>
      </c>
      <c r="CN140" s="2239">
        <v>0</v>
      </c>
      <c r="CO140" s="2239">
        <f>CR140-CQ140-CP140</f>
        <v>-49</v>
      </c>
      <c r="CP140" s="2239">
        <v>-20</v>
      </c>
      <c r="CQ140" s="2240">
        <v>49</v>
      </c>
      <c r="CR140" s="2241">
        <v>-20</v>
      </c>
      <c r="CS140" s="2242">
        <v>0</v>
      </c>
      <c r="CT140" s="2240">
        <v>54</v>
      </c>
      <c r="CU140" s="2242">
        <v>21</v>
      </c>
      <c r="CV140" s="2243">
        <v>88</v>
      </c>
      <c r="CW140" s="2244">
        <f t="shared" ref="CW140:CW148" si="432">SUM(CS140:CV140)</f>
        <v>163</v>
      </c>
      <c r="CX140" s="2243"/>
      <c r="CY140" s="2243">
        <v>19</v>
      </c>
      <c r="CZ140" s="2243">
        <v>201</v>
      </c>
      <c r="DA140" s="2243">
        <v>752</v>
      </c>
      <c r="DB140" s="2244">
        <f t="shared" si="431"/>
        <v>972</v>
      </c>
      <c r="DC140" s="2243"/>
      <c r="DD140" s="2243"/>
      <c r="DE140" s="2243"/>
      <c r="DF140" s="2243"/>
      <c r="DG140" s="2244"/>
      <c r="DH140" s="2243"/>
      <c r="DI140" s="2243"/>
      <c r="DJ140" s="2243"/>
      <c r="DK140" s="2243"/>
      <c r="DL140" s="2245"/>
      <c r="DM140" s="2243"/>
      <c r="DN140" s="2243"/>
      <c r="DO140" s="2243"/>
      <c r="DP140" s="2243"/>
      <c r="DQ140" s="2245"/>
      <c r="DR140" s="2243"/>
      <c r="DS140" s="2243"/>
      <c r="DT140" s="2243"/>
      <c r="DU140" s="2243"/>
      <c r="DV140" s="2245"/>
      <c r="DW140" s="2243"/>
      <c r="DX140" s="2243"/>
      <c r="DY140" s="2243"/>
      <c r="DZ140" s="2243"/>
      <c r="EA140" s="2245"/>
      <c r="ED140" s="825"/>
      <c r="EE140" s="825"/>
      <c r="EF140" s="825"/>
      <c r="EG140" s="825"/>
      <c r="EH140" s="825"/>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row>
    <row r="141" spans="1:259" s="824" customFormat="1" x14ac:dyDescent="0.2">
      <c r="A141" s="824" t="s">
        <v>681</v>
      </c>
      <c r="B141" s="1643"/>
      <c r="C141" s="1643"/>
      <c r="D141" s="1643"/>
      <c r="E141" s="1643"/>
      <c r="F141" s="1643"/>
      <c r="G141" s="1643"/>
      <c r="H141" s="1643"/>
      <c r="I141" s="1643"/>
      <c r="J141" s="1643"/>
      <c r="K141" s="1643"/>
      <c r="L141" s="1643"/>
      <c r="M141" s="1643"/>
      <c r="N141" s="1643"/>
      <c r="O141" s="1643"/>
      <c r="P141" s="1643"/>
      <c r="Q141" s="1643"/>
      <c r="R141" s="1643"/>
      <c r="S141" s="1643"/>
      <c r="T141" s="1643"/>
      <c r="U141" s="1643"/>
      <c r="V141" s="1643"/>
      <c r="W141" s="1643"/>
      <c r="X141" s="1643"/>
      <c r="Y141" s="1643"/>
      <c r="Z141" s="1643"/>
      <c r="AA141" s="1643"/>
      <c r="AB141" s="1643"/>
      <c r="AC141" s="1643"/>
      <c r="AD141" s="1643"/>
      <c r="AE141" s="1643"/>
      <c r="AF141" s="1643"/>
      <c r="AG141" s="1643"/>
      <c r="AH141" s="1643"/>
      <c r="AI141" s="1643"/>
      <c r="AJ141" s="1643"/>
      <c r="AK141" s="1643"/>
      <c r="AL141" s="1643"/>
      <c r="AM141" s="1643"/>
      <c r="AN141" s="1643"/>
      <c r="AO141" s="1643"/>
      <c r="AP141" s="1643"/>
      <c r="AQ141" s="1643"/>
      <c r="AR141" s="1643"/>
      <c r="AS141" s="1643"/>
      <c r="AT141" s="1643"/>
      <c r="AU141" s="1643"/>
      <c r="AV141" s="1643"/>
      <c r="AW141" s="1643"/>
      <c r="AX141" s="1643"/>
      <c r="AY141" s="1643"/>
      <c r="AZ141" s="1643"/>
      <c r="BA141" s="1643"/>
      <c r="BB141" s="1643"/>
      <c r="BC141" s="1643"/>
      <c r="BD141" s="1643"/>
      <c r="BE141" s="1643"/>
      <c r="BF141" s="1653"/>
      <c r="BG141" s="1653"/>
      <c r="BH141" s="1653"/>
      <c r="BI141" s="1653"/>
      <c r="BJ141" s="1653"/>
      <c r="BK141" s="1653"/>
      <c r="BL141" s="1653"/>
      <c r="BM141" s="1653"/>
      <c r="BN141" s="1653"/>
      <c r="BO141" s="1658"/>
      <c r="BP141" s="1658"/>
      <c r="BQ141" s="1658"/>
      <c r="BR141" s="1658"/>
      <c r="BS141" s="1357"/>
      <c r="BT141" s="1658"/>
      <c r="BU141" s="1658"/>
      <c r="BV141" s="1658"/>
      <c r="BW141" s="1658"/>
      <c r="BX141" s="1357"/>
      <c r="BY141" s="1658"/>
      <c r="BZ141" s="1658"/>
      <c r="CA141" s="1658"/>
      <c r="CB141" s="1658"/>
      <c r="CC141" s="1357"/>
      <c r="CD141" s="1657"/>
      <c r="CE141" s="1657"/>
      <c r="CF141" s="1657"/>
      <c r="CG141" s="1657"/>
      <c r="CH141" s="2246"/>
      <c r="CI141" s="2239"/>
      <c r="CJ141" s="2239"/>
      <c r="CK141" s="2239"/>
      <c r="CL141" s="2239"/>
      <c r="CM141" s="2238"/>
      <c r="CN141" s="2239"/>
      <c r="CO141" s="2239">
        <f t="shared" ref="CO141:CO148" si="433">CR141-CQ141-CP141</f>
        <v>0</v>
      </c>
      <c r="CP141" s="2239"/>
      <c r="CQ141" s="2240"/>
      <c r="CR141" s="2241"/>
      <c r="CS141" s="2242"/>
      <c r="CT141" s="2240">
        <v>0</v>
      </c>
      <c r="CU141" s="2242"/>
      <c r="CV141" s="2243">
        <v>-30</v>
      </c>
      <c r="CW141" s="2244">
        <f t="shared" si="432"/>
        <v>-30</v>
      </c>
      <c r="CX141" s="2243"/>
      <c r="CY141" s="2243">
        <v>-16</v>
      </c>
      <c r="CZ141" s="2243"/>
      <c r="DA141" s="2243"/>
      <c r="DB141" s="2244">
        <f t="shared" si="431"/>
        <v>-16</v>
      </c>
      <c r="DC141" s="2243"/>
      <c r="DD141" s="2243"/>
      <c r="DE141" s="2243"/>
      <c r="DF141" s="2243"/>
      <c r="DG141" s="2244"/>
      <c r="DH141" s="2243"/>
      <c r="DI141" s="2243"/>
      <c r="DJ141" s="2243"/>
      <c r="DK141" s="2243"/>
      <c r="DL141" s="2245"/>
      <c r="DM141" s="2243"/>
      <c r="DN141" s="2243"/>
      <c r="DO141" s="2243"/>
      <c r="DP141" s="2243"/>
      <c r="DQ141" s="2245"/>
      <c r="DR141" s="2243"/>
      <c r="DS141" s="2243"/>
      <c r="DT141" s="2243"/>
      <c r="DU141" s="2243"/>
      <c r="DV141" s="2245"/>
      <c r="DW141" s="2243"/>
      <c r="DX141" s="2243"/>
      <c r="DY141" s="2243"/>
      <c r="DZ141" s="2243"/>
      <c r="EA141" s="2245"/>
      <c r="ED141" s="825"/>
      <c r="EE141" s="825"/>
      <c r="EF141" s="825"/>
      <c r="EG141" s="825"/>
      <c r="EH141" s="825"/>
      <c r="EK141"/>
      <c r="EL141"/>
      <c r="EM141"/>
      <c r="EN141"/>
      <c r="EO141"/>
      <c r="EP141"/>
      <c r="EQ141" s="1869"/>
      <c r="ER141" s="1869"/>
      <c r="ES141" s="1869"/>
      <c r="ET141" s="1869"/>
      <c r="EU141" s="1869"/>
      <c r="EV141" s="1869"/>
      <c r="EW141" s="1869"/>
      <c r="EX141" s="1869"/>
      <c r="EY141" s="1869"/>
      <c r="EZ141" s="1869"/>
      <c r="FA141" s="1869"/>
      <c r="FB141" s="1869"/>
      <c r="FC141" s="1869"/>
      <c r="FD141" s="1869"/>
      <c r="FE141" s="1869"/>
      <c r="FF141" s="1869"/>
      <c r="FG141" s="1869"/>
      <c r="FH141" s="1869"/>
      <c r="FI141" s="1869"/>
      <c r="FJ141" s="1869"/>
      <c r="FK141" s="1869"/>
      <c r="FL141" s="1869"/>
      <c r="FM141" s="1869"/>
      <c r="FN141" s="1869"/>
      <c r="FO141" s="1869"/>
      <c r="FP141" s="1869"/>
      <c r="FQ141" s="1869"/>
      <c r="FR141" s="1869"/>
      <c r="FS141" s="1869"/>
      <c r="FT141" s="1869"/>
      <c r="FU141" s="1869"/>
      <c r="FV141" s="1869"/>
      <c r="FW141" s="1869"/>
      <c r="FX141" s="1869"/>
      <c r="FY141" s="1869"/>
      <c r="FZ141" s="1869"/>
      <c r="GA141" s="1869"/>
      <c r="GB141" s="1869"/>
      <c r="GC141" s="1869"/>
      <c r="GD141" s="1869"/>
      <c r="GE141" s="1869"/>
      <c r="GF141" s="1869"/>
      <c r="GG141" s="1869"/>
      <c r="GH141" s="1869"/>
      <c r="GI141" s="1869"/>
      <c r="GJ141" s="1869"/>
      <c r="GK141" s="1869"/>
      <c r="GL141" s="1869"/>
      <c r="GM141" s="1869"/>
      <c r="GN141" s="1869"/>
      <c r="GO141" s="1869"/>
      <c r="GP141" s="1869"/>
      <c r="GQ141" s="1869"/>
      <c r="GR141" s="1869"/>
      <c r="GS141" s="1869"/>
      <c r="GT141" s="1869"/>
      <c r="GU141" s="1869"/>
      <c r="GV141" s="1869"/>
      <c r="GW141" s="1869"/>
      <c r="GX141" s="1869"/>
      <c r="GY141" s="1869"/>
      <c r="GZ141" s="1869"/>
      <c r="HA141" s="1869"/>
      <c r="HB141" s="1869"/>
      <c r="HC141" s="1869"/>
      <c r="HD141" s="1869"/>
      <c r="HE141" s="1869"/>
      <c r="HF141" s="1869"/>
      <c r="HG141" s="1869"/>
      <c r="HH141" s="1869"/>
      <c r="HI141" s="1869"/>
      <c r="HJ141" s="1869"/>
      <c r="HK141" s="1869"/>
      <c r="HL141" s="1869"/>
      <c r="HM141" s="1869"/>
      <c r="HN141" s="1869"/>
      <c r="HO141" s="1869"/>
      <c r="HP141" s="1869"/>
      <c r="HQ141" s="1869"/>
      <c r="HR141" s="1869"/>
      <c r="HS141" s="1869"/>
      <c r="HT141" s="1869"/>
      <c r="HU141" s="1869"/>
      <c r="HV141" s="1869"/>
      <c r="HW141" s="1869"/>
      <c r="HX141" s="1869"/>
      <c r="HY141" s="1869"/>
      <c r="HZ141" s="1869"/>
      <c r="IA141" s="1869"/>
      <c r="IB141" s="1869"/>
      <c r="IC141" s="1869"/>
      <c r="ID141" s="1869"/>
      <c r="IE141" s="1869"/>
      <c r="IF141" s="1869"/>
      <c r="IG141" s="1869"/>
      <c r="IH141" s="1869"/>
      <c r="II141" s="1869"/>
      <c r="IJ141" s="1869"/>
      <c r="IK141" s="1869"/>
      <c r="IL141" s="1869"/>
      <c r="IM141" s="1869"/>
      <c r="IN141" s="1869"/>
      <c r="IO141" s="1869"/>
      <c r="IP141" s="1869"/>
      <c r="IQ141" s="1869"/>
      <c r="IR141" s="1869"/>
      <c r="IS141" s="1869"/>
      <c r="IT141" s="1869"/>
      <c r="IU141" s="1869"/>
      <c r="IV141" s="1869"/>
      <c r="IW141" s="1869"/>
      <c r="IX141" s="1869"/>
      <c r="IY141" s="1869"/>
    </row>
    <row r="142" spans="1:259" s="824" customFormat="1" x14ac:dyDescent="0.2">
      <c r="A142" s="824" t="s">
        <v>76</v>
      </c>
      <c r="B142" s="1643"/>
      <c r="C142" s="1643"/>
      <c r="D142" s="1643"/>
      <c r="E142" s="1643"/>
      <c r="F142" s="1643"/>
      <c r="G142" s="1643"/>
      <c r="H142" s="1643"/>
      <c r="I142" s="1643"/>
      <c r="J142" s="1643"/>
      <c r="K142" s="1643"/>
      <c r="L142" s="1643"/>
      <c r="M142" s="1643"/>
      <c r="N142" s="1643"/>
      <c r="O142" s="1643"/>
      <c r="P142" s="1643"/>
      <c r="Q142" s="1643"/>
      <c r="R142" s="1643"/>
      <c r="S142" s="1643"/>
      <c r="T142" s="1643"/>
      <c r="U142" s="1643"/>
      <c r="V142" s="1643"/>
      <c r="W142" s="1643"/>
      <c r="X142" s="1643"/>
      <c r="Y142" s="1643"/>
      <c r="Z142" s="1643"/>
      <c r="AA142" s="1643"/>
      <c r="AB142" s="1643"/>
      <c r="AC142" s="1643"/>
      <c r="AD142" s="1643"/>
      <c r="AE142" s="1643"/>
      <c r="AF142" s="1643"/>
      <c r="AG142" s="1643"/>
      <c r="AH142" s="1643"/>
      <c r="AI142" s="1643"/>
      <c r="AJ142" s="1643"/>
      <c r="AK142" s="1643"/>
      <c r="AL142" s="1643"/>
      <c r="AM142" s="1643"/>
      <c r="AN142" s="1643"/>
      <c r="AO142" s="1643"/>
      <c r="AP142" s="1643"/>
      <c r="AQ142" s="1643"/>
      <c r="AR142" s="1643"/>
      <c r="AS142" s="1643"/>
      <c r="AT142" s="1643"/>
      <c r="AU142" s="1643"/>
      <c r="AV142" s="1643"/>
      <c r="AW142" s="1643"/>
      <c r="AX142" s="1643"/>
      <c r="AY142" s="1643"/>
      <c r="AZ142" s="1643"/>
      <c r="BA142" s="1643"/>
      <c r="BB142" s="1643"/>
      <c r="BC142" s="1643"/>
      <c r="BD142" s="1643"/>
      <c r="BE142" s="1643"/>
      <c r="BF142" s="1653"/>
      <c r="BG142" s="1653"/>
      <c r="BH142" s="1653"/>
      <c r="BI142" s="1653"/>
      <c r="BJ142" s="1653"/>
      <c r="BK142" s="1653"/>
      <c r="BL142" s="1653"/>
      <c r="BM142" s="1653"/>
      <c r="BN142" s="1653"/>
      <c r="BO142" s="1658">
        <v>-56</v>
      </c>
      <c r="BP142" s="1658">
        <v>5</v>
      </c>
      <c r="BQ142" s="1658">
        <v>0</v>
      </c>
      <c r="BR142" s="1658">
        <v>33</v>
      </c>
      <c r="BS142" s="1418">
        <f t="shared" ref="BS142:BS148" si="434">SUM(BO142:BR142)</f>
        <v>-18</v>
      </c>
      <c r="BT142" s="1658">
        <v>1</v>
      </c>
      <c r="BU142" s="1658">
        <v>-8</v>
      </c>
      <c r="BV142" s="1658">
        <v>4</v>
      </c>
      <c r="BW142" s="1658">
        <v>-14</v>
      </c>
      <c r="BX142" s="1418">
        <f t="shared" ref="BX142:BX148" si="435">SUM(BT142:BW142)</f>
        <v>-17</v>
      </c>
      <c r="BY142" s="1658">
        <v>45</v>
      </c>
      <c r="BZ142" s="1658">
        <v>9</v>
      </c>
      <c r="CA142" s="1658">
        <v>-1</v>
      </c>
      <c r="CB142" s="1658">
        <v>69</v>
      </c>
      <c r="CC142" s="1418">
        <f>SUM(BY142:CB142)</f>
        <v>122</v>
      </c>
      <c r="CD142" s="1657">
        <v>17</v>
      </c>
      <c r="CE142" s="1657">
        <f>28-15</f>
        <v>13</v>
      </c>
      <c r="CF142" s="1657">
        <f>37-15</f>
        <v>22</v>
      </c>
      <c r="CG142" s="1657">
        <v>9</v>
      </c>
      <c r="CH142" s="2238">
        <f>SUM(CD142:CG142)</f>
        <v>61</v>
      </c>
      <c r="CI142" s="2239">
        <v>2</v>
      </c>
      <c r="CJ142" s="2239">
        <v>1</v>
      </c>
      <c r="CK142" s="2239">
        <v>8</v>
      </c>
      <c r="CL142" s="2239">
        <v>-4.9000000000000004</v>
      </c>
      <c r="CM142" s="2238">
        <v>6.1</v>
      </c>
      <c r="CN142" s="2239">
        <v>0</v>
      </c>
      <c r="CO142" s="2239">
        <f t="shared" si="433"/>
        <v>-16</v>
      </c>
      <c r="CP142" s="2239">
        <v>16</v>
      </c>
      <c r="CQ142" s="2240">
        <v>0</v>
      </c>
      <c r="CR142" s="2241">
        <v>0</v>
      </c>
      <c r="CS142" s="2242">
        <v>0</v>
      </c>
      <c r="CT142" s="2240">
        <v>0</v>
      </c>
      <c r="CU142" s="2242">
        <v>0</v>
      </c>
      <c r="CV142" s="2243"/>
      <c r="CW142" s="2244">
        <f t="shared" si="432"/>
        <v>0</v>
      </c>
      <c r="CX142" s="2243">
        <v>111</v>
      </c>
      <c r="CY142" s="2243"/>
      <c r="CZ142" s="2243"/>
      <c r="DA142" s="2243"/>
      <c r="DB142" s="2244">
        <f t="shared" si="431"/>
        <v>111</v>
      </c>
      <c r="DC142" s="2243"/>
      <c r="DD142" s="2243"/>
      <c r="DE142" s="2243"/>
      <c r="DF142" s="2243"/>
      <c r="DG142" s="2244"/>
      <c r="DH142" s="2243"/>
      <c r="DI142" s="2243"/>
      <c r="DJ142" s="2243"/>
      <c r="DK142" s="2243"/>
      <c r="DL142" s="2245"/>
      <c r="DM142" s="2243"/>
      <c r="DN142" s="2243"/>
      <c r="DO142" s="2243"/>
      <c r="DP142" s="2243"/>
      <c r="DQ142" s="2245"/>
      <c r="DR142" s="2243"/>
      <c r="DS142" s="2243"/>
      <c r="DT142" s="2243"/>
      <c r="DU142" s="2243"/>
      <c r="DV142" s="2245"/>
      <c r="DW142" s="2243"/>
      <c r="DX142" s="2243"/>
      <c r="DY142" s="2243"/>
      <c r="DZ142" s="2243"/>
      <c r="EA142" s="2245"/>
      <c r="ED142" s="825"/>
      <c r="EE142" s="825"/>
      <c r="EF142" s="825"/>
      <c r="EG142" s="825"/>
      <c r="EH142" s="825"/>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row>
    <row r="143" spans="1:259" s="824" customFormat="1" x14ac:dyDescent="0.2">
      <c r="A143" s="824" t="s">
        <v>77</v>
      </c>
      <c r="B143" s="1643"/>
      <c r="C143" s="1643"/>
      <c r="D143" s="1643"/>
      <c r="E143" s="1643"/>
      <c r="F143" s="1643"/>
      <c r="G143" s="1643"/>
      <c r="H143" s="1643"/>
      <c r="I143" s="1643"/>
      <c r="J143" s="1643"/>
      <c r="K143" s="1643"/>
      <c r="L143" s="1643"/>
      <c r="M143" s="1643"/>
      <c r="N143" s="1643"/>
      <c r="O143" s="1643"/>
      <c r="P143" s="1643"/>
      <c r="Q143" s="1643"/>
      <c r="R143" s="1643"/>
      <c r="S143" s="1643"/>
      <c r="T143" s="1643"/>
      <c r="U143" s="1643"/>
      <c r="V143" s="1643"/>
      <c r="W143" s="1643"/>
      <c r="X143" s="1643"/>
      <c r="Y143" s="1643"/>
      <c r="Z143" s="1643"/>
      <c r="AA143" s="1643"/>
      <c r="AB143" s="1643"/>
      <c r="AC143" s="1643"/>
      <c r="AD143" s="1643"/>
      <c r="AE143" s="1643"/>
      <c r="AF143" s="1643"/>
      <c r="AG143" s="1643"/>
      <c r="AH143" s="1643"/>
      <c r="AI143" s="1643"/>
      <c r="AJ143" s="1643"/>
      <c r="AK143" s="1643"/>
      <c r="AL143" s="1643"/>
      <c r="AM143" s="1643"/>
      <c r="AN143" s="1643"/>
      <c r="AO143" s="1643"/>
      <c r="AP143" s="1643"/>
      <c r="AQ143" s="1643"/>
      <c r="AR143" s="1643"/>
      <c r="AS143" s="1643"/>
      <c r="AT143" s="1643"/>
      <c r="AU143" s="1643"/>
      <c r="AV143" s="1643"/>
      <c r="AW143" s="1643"/>
      <c r="AX143" s="1643"/>
      <c r="AY143" s="1643"/>
      <c r="AZ143" s="1643"/>
      <c r="BA143" s="1643"/>
      <c r="BB143" s="1643"/>
      <c r="BC143" s="1643"/>
      <c r="BD143" s="1643"/>
      <c r="BE143" s="1643"/>
      <c r="BF143" s="1653"/>
      <c r="BG143" s="1653"/>
      <c r="BH143" s="1653"/>
      <c r="BI143" s="1653"/>
      <c r="BJ143" s="1653"/>
      <c r="BK143" s="1653"/>
      <c r="BL143" s="1653"/>
      <c r="BM143" s="1653"/>
      <c r="BN143" s="1653"/>
      <c r="BO143" s="1658">
        <v>0</v>
      </c>
      <c r="BP143" s="1658">
        <v>0</v>
      </c>
      <c r="BQ143" s="1658">
        <v>0</v>
      </c>
      <c r="BR143" s="1658">
        <v>0</v>
      </c>
      <c r="BS143" s="1418">
        <f t="shared" si="434"/>
        <v>0</v>
      </c>
      <c r="BT143" s="1658">
        <v>0</v>
      </c>
      <c r="BU143" s="1658">
        <v>0</v>
      </c>
      <c r="BV143" s="1658">
        <v>0</v>
      </c>
      <c r="BW143" s="1658">
        <v>0</v>
      </c>
      <c r="BX143" s="1418">
        <f t="shared" si="435"/>
        <v>0</v>
      </c>
      <c r="BY143" s="1658">
        <v>0</v>
      </c>
      <c r="BZ143" s="1658">
        <v>0</v>
      </c>
      <c r="CA143" s="1658">
        <v>0</v>
      </c>
      <c r="CB143" s="1658">
        <v>-84</v>
      </c>
      <c r="CC143" s="1418">
        <f t="shared" ref="CC143:CC155" si="436">SUM(BY143:CB143)</f>
        <v>-84</v>
      </c>
      <c r="CD143" s="1657">
        <v>0</v>
      </c>
      <c r="CE143" s="1657">
        <v>0</v>
      </c>
      <c r="CF143" s="1657">
        <v>0</v>
      </c>
      <c r="CG143" s="1657">
        <v>-6</v>
      </c>
      <c r="CH143" s="2238">
        <f t="shared" ref="CH143:CH155" si="437">SUM(CD143:CG143)</f>
        <v>-6</v>
      </c>
      <c r="CI143" s="2239">
        <v>0</v>
      </c>
      <c r="CJ143" s="2239">
        <v>0</v>
      </c>
      <c r="CK143" s="2239">
        <v>0</v>
      </c>
      <c r="CL143" s="2239">
        <v>0</v>
      </c>
      <c r="CM143" s="2238">
        <v>0</v>
      </c>
      <c r="CN143" s="2239">
        <v>0</v>
      </c>
      <c r="CO143" s="2239">
        <f t="shared" si="433"/>
        <v>0</v>
      </c>
      <c r="CP143" s="2239">
        <v>0</v>
      </c>
      <c r="CQ143" s="2240">
        <v>0</v>
      </c>
      <c r="CR143" s="2241">
        <v>0</v>
      </c>
      <c r="CS143" s="2242">
        <v>0</v>
      </c>
      <c r="CT143" s="2240">
        <v>0</v>
      </c>
      <c r="CU143" s="2242">
        <v>0</v>
      </c>
      <c r="CV143" s="2243">
        <v>-26</v>
      </c>
      <c r="CW143" s="2244">
        <f t="shared" si="432"/>
        <v>-26</v>
      </c>
      <c r="CX143" s="2243"/>
      <c r="CY143" s="2243"/>
      <c r="CZ143" s="2243"/>
      <c r="DA143" s="2243"/>
      <c r="DB143" s="2244">
        <f t="shared" si="431"/>
        <v>0</v>
      </c>
      <c r="DC143" s="2243"/>
      <c r="DD143" s="2243"/>
      <c r="DE143" s="2243"/>
      <c r="DF143" s="2243"/>
      <c r="DG143" s="2244"/>
      <c r="DH143" s="2243"/>
      <c r="DI143" s="2243"/>
      <c r="DJ143" s="2243"/>
      <c r="DK143" s="2243"/>
      <c r="DL143" s="2245"/>
      <c r="DM143" s="2243"/>
      <c r="DN143" s="2243"/>
      <c r="DO143" s="2243"/>
      <c r="DP143" s="2243"/>
      <c r="DQ143" s="2245"/>
      <c r="DR143" s="2243"/>
      <c r="DS143" s="2243"/>
      <c r="DT143" s="2243"/>
      <c r="DU143" s="2243"/>
      <c r="DV143" s="2245"/>
      <c r="DW143" s="2243"/>
      <c r="DX143" s="2243"/>
      <c r="DY143" s="2243"/>
      <c r="DZ143" s="2243"/>
      <c r="EA143" s="2245"/>
      <c r="ED143" s="825"/>
      <c r="EE143" s="825"/>
      <c r="EF143" s="825"/>
      <c r="EG143" s="825"/>
      <c r="EH143" s="825"/>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row>
    <row r="144" spans="1:259" s="824" customFormat="1" x14ac:dyDescent="0.2">
      <c r="A144" s="824" t="s">
        <v>604</v>
      </c>
      <c r="B144" s="1643"/>
      <c r="C144" s="1643"/>
      <c r="D144" s="1643"/>
      <c r="E144" s="1643"/>
      <c r="F144" s="1643"/>
      <c r="G144" s="1643"/>
      <c r="H144" s="1643"/>
      <c r="I144" s="1643"/>
      <c r="J144" s="1643"/>
      <c r="K144" s="1643"/>
      <c r="L144" s="1643"/>
      <c r="M144" s="1643"/>
      <c r="N144" s="1643"/>
      <c r="O144" s="1643"/>
      <c r="P144" s="1643"/>
      <c r="Q144" s="1643"/>
      <c r="R144" s="1643"/>
      <c r="S144" s="1643"/>
      <c r="T144" s="1643"/>
      <c r="U144" s="1643"/>
      <c r="V144" s="1643"/>
      <c r="W144" s="1643"/>
      <c r="X144" s="1643"/>
      <c r="Y144" s="1643"/>
      <c r="Z144" s="1643"/>
      <c r="AA144" s="1643"/>
      <c r="AB144" s="1643"/>
      <c r="AC144" s="1643"/>
      <c r="AD144" s="1643"/>
      <c r="AE144" s="1643"/>
      <c r="AF144" s="1643"/>
      <c r="AG144" s="1643"/>
      <c r="AH144" s="1643"/>
      <c r="AI144" s="1643"/>
      <c r="AJ144" s="1643"/>
      <c r="AK144" s="1643"/>
      <c r="AL144" s="1643"/>
      <c r="AM144" s="1643"/>
      <c r="AN144" s="1643"/>
      <c r="AO144" s="1643"/>
      <c r="AP144" s="1643"/>
      <c r="AQ144" s="1643"/>
      <c r="AR144" s="1643"/>
      <c r="AS144" s="1643"/>
      <c r="AT144" s="1643"/>
      <c r="AU144" s="1643"/>
      <c r="AV144" s="1643"/>
      <c r="AW144" s="1643"/>
      <c r="AX144" s="1643"/>
      <c r="AY144" s="1643"/>
      <c r="AZ144" s="1643"/>
      <c r="BA144" s="1643"/>
      <c r="BB144" s="1643"/>
      <c r="BC144" s="1643"/>
      <c r="BD144" s="1643"/>
      <c r="BE144" s="1643"/>
      <c r="BF144" s="1653"/>
      <c r="BG144" s="1653"/>
      <c r="BH144" s="1653"/>
      <c r="BI144" s="1653"/>
      <c r="BJ144" s="1653"/>
      <c r="BK144" s="1653"/>
      <c r="BL144" s="1653"/>
      <c r="BM144" s="1653"/>
      <c r="BN144" s="1653"/>
      <c r="BO144" s="1658"/>
      <c r="BP144" s="1658"/>
      <c r="BQ144" s="1658"/>
      <c r="BR144" s="1658"/>
      <c r="BS144" s="1418"/>
      <c r="BT144" s="1658"/>
      <c r="BU144" s="1658"/>
      <c r="BV144" s="1658"/>
      <c r="BW144" s="1658"/>
      <c r="BX144" s="1418"/>
      <c r="BY144" s="1658"/>
      <c r="BZ144" s="1658"/>
      <c r="CA144" s="1658"/>
      <c r="CB144" s="1658"/>
      <c r="CC144" s="1418"/>
      <c r="CD144" s="1657"/>
      <c r="CE144" s="1657"/>
      <c r="CF144" s="1657"/>
      <c r="CG144" s="1657"/>
      <c r="CH144" s="2238"/>
      <c r="CI144" s="2239">
        <v>0</v>
      </c>
      <c r="CJ144" s="2239">
        <v>0</v>
      </c>
      <c r="CK144" s="2239">
        <v>0</v>
      </c>
      <c r="CL144" s="2239">
        <v>0</v>
      </c>
      <c r="CM144" s="2238">
        <v>0</v>
      </c>
      <c r="CN144" s="2239">
        <v>0</v>
      </c>
      <c r="CO144" s="2247"/>
      <c r="CP144" s="2247"/>
      <c r="CQ144" s="2247"/>
      <c r="CR144" s="2248"/>
      <c r="CS144" s="2242">
        <v>0</v>
      </c>
      <c r="CT144" s="2240">
        <v>0</v>
      </c>
      <c r="CU144" s="2242">
        <v>0</v>
      </c>
      <c r="CV144" s="2243">
        <v>0</v>
      </c>
      <c r="CW144" s="2244">
        <f t="shared" si="432"/>
        <v>0</v>
      </c>
      <c r="CX144" s="2243"/>
      <c r="CY144" s="2243"/>
      <c r="CZ144" s="2243"/>
      <c r="DA144" s="2243"/>
      <c r="DB144" s="2244">
        <f t="shared" si="431"/>
        <v>0</v>
      </c>
      <c r="DC144" s="2243"/>
      <c r="DD144" s="2243"/>
      <c r="DE144" s="2243"/>
      <c r="DF144" s="2243"/>
      <c r="DG144" s="2244"/>
      <c r="DH144" s="2243"/>
      <c r="DI144" s="2243"/>
      <c r="DJ144" s="2243"/>
      <c r="DK144" s="2243"/>
      <c r="DL144" s="2245"/>
      <c r="DM144" s="2243"/>
      <c r="DN144" s="2243"/>
      <c r="DO144" s="2243"/>
      <c r="DP144" s="2243"/>
      <c r="DQ144" s="2245"/>
      <c r="DR144" s="2243"/>
      <c r="DS144" s="2243"/>
      <c r="DT144" s="2243"/>
      <c r="DU144" s="2243"/>
      <c r="DV144" s="2245"/>
      <c r="DW144" s="2243"/>
      <c r="DX144" s="2243"/>
      <c r="DY144" s="2243"/>
      <c r="DZ144" s="2243"/>
      <c r="EA144" s="2245"/>
      <c r="ED144" s="825"/>
      <c r="EE144" s="825"/>
      <c r="EF144" s="825"/>
      <c r="EG144" s="825"/>
      <c r="EH144" s="825"/>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row>
    <row r="145" spans="1:259" s="824" customFormat="1" x14ac:dyDescent="0.2">
      <c r="A145" s="824" t="s">
        <v>161</v>
      </c>
      <c r="B145" s="1643"/>
      <c r="C145" s="1643"/>
      <c r="D145" s="1643"/>
      <c r="E145" s="1643"/>
      <c r="F145" s="1643"/>
      <c r="G145" s="1643"/>
      <c r="H145" s="1643"/>
      <c r="I145" s="1643"/>
      <c r="J145" s="1643"/>
      <c r="K145" s="1643"/>
      <c r="L145" s="1643"/>
      <c r="M145" s="1643"/>
      <c r="N145" s="1643"/>
      <c r="O145" s="1643"/>
      <c r="P145" s="1643"/>
      <c r="Q145" s="1643"/>
      <c r="R145" s="1643"/>
      <c r="S145" s="1643"/>
      <c r="T145" s="1643"/>
      <c r="U145" s="1643"/>
      <c r="V145" s="1643"/>
      <c r="W145" s="1643"/>
      <c r="X145" s="1643"/>
      <c r="Y145" s="1643"/>
      <c r="Z145" s="1643"/>
      <c r="AA145" s="1643"/>
      <c r="AB145" s="1643"/>
      <c r="AC145" s="1643"/>
      <c r="AD145" s="1643"/>
      <c r="AE145" s="1643"/>
      <c r="AF145" s="1643"/>
      <c r="AG145" s="1643"/>
      <c r="AH145" s="1643"/>
      <c r="AI145" s="1643"/>
      <c r="AJ145" s="1643"/>
      <c r="AK145" s="1643"/>
      <c r="AL145" s="1643"/>
      <c r="AM145" s="1643"/>
      <c r="AN145" s="1643"/>
      <c r="AO145" s="1643"/>
      <c r="AP145" s="1643"/>
      <c r="AQ145" s="1643"/>
      <c r="AR145" s="1643"/>
      <c r="AS145" s="1643"/>
      <c r="AT145" s="1643"/>
      <c r="AU145" s="1643"/>
      <c r="AV145" s="1643"/>
      <c r="AW145" s="1643"/>
      <c r="AX145" s="1643"/>
      <c r="AY145" s="1643"/>
      <c r="AZ145" s="1643"/>
      <c r="BA145" s="1643"/>
      <c r="BB145" s="1643"/>
      <c r="BC145" s="1643"/>
      <c r="BD145" s="1643"/>
      <c r="BE145" s="1643"/>
      <c r="BF145" s="1653"/>
      <c r="BG145" s="1653"/>
      <c r="BH145" s="1653"/>
      <c r="BI145" s="1653"/>
      <c r="BJ145" s="1653"/>
      <c r="BK145" s="1653"/>
      <c r="BL145" s="1653"/>
      <c r="BM145" s="1653"/>
      <c r="BN145" s="1653"/>
      <c r="BO145" s="1658">
        <v>0</v>
      </c>
      <c r="BP145" s="1658">
        <v>3</v>
      </c>
      <c r="BQ145" s="1658">
        <v>2</v>
      </c>
      <c r="BR145" s="1658">
        <v>4</v>
      </c>
      <c r="BS145" s="1418">
        <f t="shared" si="434"/>
        <v>9</v>
      </c>
      <c r="BT145" s="1658">
        <v>3</v>
      </c>
      <c r="BU145" s="1658">
        <v>3</v>
      </c>
      <c r="BV145" s="1658">
        <v>2</v>
      </c>
      <c r="BW145" s="1658">
        <f>2+3</f>
        <v>5</v>
      </c>
      <c r="BX145" s="1418">
        <f t="shared" si="435"/>
        <v>13</v>
      </c>
      <c r="BY145" s="1658">
        <v>0</v>
      </c>
      <c r="BZ145" s="1658">
        <v>0</v>
      </c>
      <c r="CA145" s="1658">
        <v>0</v>
      </c>
      <c r="CB145" s="1658">
        <v>0</v>
      </c>
      <c r="CC145" s="1418">
        <f t="shared" si="436"/>
        <v>0</v>
      </c>
      <c r="CD145" s="1657">
        <v>0</v>
      </c>
      <c r="CE145" s="1657">
        <v>0</v>
      </c>
      <c r="CF145" s="1657">
        <v>0</v>
      </c>
      <c r="CG145" s="1657">
        <v>0</v>
      </c>
      <c r="CH145" s="2238">
        <f t="shared" si="437"/>
        <v>0</v>
      </c>
      <c r="CI145" s="2239">
        <v>0</v>
      </c>
      <c r="CJ145" s="2239">
        <v>0</v>
      </c>
      <c r="CK145" s="2239">
        <v>0</v>
      </c>
      <c r="CL145" s="2239">
        <v>0</v>
      </c>
      <c r="CM145" s="2238">
        <v>0</v>
      </c>
      <c r="CN145" s="2239">
        <v>0</v>
      </c>
      <c r="CO145" s="2239">
        <f t="shared" si="433"/>
        <v>0</v>
      </c>
      <c r="CP145" s="2239">
        <v>0</v>
      </c>
      <c r="CQ145" s="2240">
        <v>0</v>
      </c>
      <c r="CR145" s="2241">
        <v>0</v>
      </c>
      <c r="CS145" s="2242">
        <v>0</v>
      </c>
      <c r="CT145" s="2240">
        <v>0</v>
      </c>
      <c r="CU145" s="2242">
        <v>0</v>
      </c>
      <c r="CV145" s="2243"/>
      <c r="CW145" s="2244">
        <f t="shared" si="432"/>
        <v>0</v>
      </c>
      <c r="CX145" s="2243"/>
      <c r="CY145" s="2243"/>
      <c r="CZ145" s="2243"/>
      <c r="DA145" s="2243"/>
      <c r="DB145" s="2244">
        <f t="shared" si="431"/>
        <v>0</v>
      </c>
      <c r="DC145" s="2243"/>
      <c r="DD145" s="2243"/>
      <c r="DE145" s="2243"/>
      <c r="DF145" s="2243"/>
      <c r="DG145" s="2244"/>
      <c r="DH145" s="2243"/>
      <c r="DI145" s="2243"/>
      <c r="DJ145" s="2243"/>
      <c r="DK145" s="2243"/>
      <c r="DL145" s="2245"/>
      <c r="DM145" s="2243"/>
      <c r="DN145" s="2243"/>
      <c r="DO145" s="2243"/>
      <c r="DP145" s="2243"/>
      <c r="DQ145" s="2245"/>
      <c r="DR145" s="2243"/>
      <c r="DS145" s="2243"/>
      <c r="DT145" s="2243"/>
      <c r="DU145" s="2243"/>
      <c r="DV145" s="2245"/>
      <c r="DW145" s="2243"/>
      <c r="DX145" s="2243"/>
      <c r="DY145" s="2243"/>
      <c r="DZ145" s="2243"/>
      <c r="EA145" s="2245"/>
      <c r="ED145" s="825"/>
      <c r="EE145" s="825"/>
      <c r="EF145" s="825"/>
      <c r="EG145" s="825"/>
      <c r="EH145" s="82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row>
    <row r="146" spans="1:259" s="824" customFormat="1" x14ac:dyDescent="0.2">
      <c r="A146" s="824" t="s">
        <v>78</v>
      </c>
      <c r="B146" s="1643"/>
      <c r="C146" s="1643"/>
      <c r="D146" s="1643"/>
      <c r="E146" s="1643"/>
      <c r="F146" s="1643"/>
      <c r="G146" s="1643"/>
      <c r="H146" s="1643"/>
      <c r="I146" s="1643"/>
      <c r="J146" s="1643"/>
      <c r="K146" s="1643"/>
      <c r="L146" s="1643"/>
      <c r="M146" s="1643"/>
      <c r="N146" s="1643"/>
      <c r="O146" s="1643"/>
      <c r="P146" s="1643"/>
      <c r="Q146" s="1643"/>
      <c r="R146" s="1643"/>
      <c r="S146" s="1643"/>
      <c r="T146" s="1643"/>
      <c r="U146" s="1643"/>
      <c r="V146" s="1643"/>
      <c r="W146" s="1643"/>
      <c r="X146" s="1643"/>
      <c r="Y146" s="1643"/>
      <c r="Z146" s="1643"/>
      <c r="AA146" s="1643"/>
      <c r="AB146" s="1643"/>
      <c r="AC146" s="1643"/>
      <c r="AD146" s="1643"/>
      <c r="AE146" s="1643"/>
      <c r="AF146" s="1643"/>
      <c r="AG146" s="1643"/>
      <c r="AH146" s="1643"/>
      <c r="AI146" s="1643"/>
      <c r="AJ146" s="1643"/>
      <c r="AK146" s="1643"/>
      <c r="AL146" s="1643"/>
      <c r="AM146" s="1643"/>
      <c r="AN146" s="1643"/>
      <c r="AO146" s="1643"/>
      <c r="AP146" s="1643"/>
      <c r="AQ146" s="1643"/>
      <c r="AR146" s="1643"/>
      <c r="AS146" s="1643"/>
      <c r="AT146" s="1643"/>
      <c r="AU146" s="1643"/>
      <c r="AV146" s="1643"/>
      <c r="AW146" s="1643"/>
      <c r="AX146" s="1643"/>
      <c r="AY146" s="1643"/>
      <c r="AZ146" s="1643"/>
      <c r="BA146" s="1643"/>
      <c r="BB146" s="1643"/>
      <c r="BC146" s="1643"/>
      <c r="BD146" s="1643"/>
      <c r="BE146" s="1643"/>
      <c r="BF146" s="1653"/>
      <c r="BG146" s="1653"/>
      <c r="BH146" s="1653"/>
      <c r="BI146" s="1653"/>
      <c r="BJ146" s="1653"/>
      <c r="BK146" s="1653"/>
      <c r="BL146" s="1653"/>
      <c r="BM146" s="1653"/>
      <c r="BN146" s="1653"/>
      <c r="BO146" s="1658">
        <v>0</v>
      </c>
      <c r="BP146" s="1658">
        <v>0</v>
      </c>
      <c r="BQ146" s="1658">
        <v>0</v>
      </c>
      <c r="BR146" s="1658"/>
      <c r="BS146" s="1418">
        <f t="shared" si="434"/>
        <v>0</v>
      </c>
      <c r="BT146" s="1658">
        <v>-68</v>
      </c>
      <c r="BU146" s="1658">
        <v>-1</v>
      </c>
      <c r="BV146" s="1658">
        <v>-17</v>
      </c>
      <c r="BW146" s="1658">
        <v>0</v>
      </c>
      <c r="BX146" s="1418">
        <f t="shared" si="435"/>
        <v>-86</v>
      </c>
      <c r="BY146" s="1658">
        <v>0</v>
      </c>
      <c r="BZ146" s="1658">
        <v>0</v>
      </c>
      <c r="CA146" s="1658">
        <v>0</v>
      </c>
      <c r="CB146" s="1658">
        <v>0</v>
      </c>
      <c r="CC146" s="1418">
        <f t="shared" si="436"/>
        <v>0</v>
      </c>
      <c r="CD146" s="1657">
        <v>0</v>
      </c>
      <c r="CE146" s="1657">
        <v>0</v>
      </c>
      <c r="CF146" s="1657">
        <v>0</v>
      </c>
      <c r="CG146" s="1657">
        <v>0</v>
      </c>
      <c r="CH146" s="2238">
        <f t="shared" si="437"/>
        <v>0</v>
      </c>
      <c r="CI146" s="2239">
        <v>0</v>
      </c>
      <c r="CJ146" s="2239">
        <v>0</v>
      </c>
      <c r="CK146" s="2239">
        <v>0</v>
      </c>
      <c r="CL146" s="2239">
        <v>0</v>
      </c>
      <c r="CM146" s="2238">
        <v>0</v>
      </c>
      <c r="CN146" s="2239">
        <v>0</v>
      </c>
      <c r="CO146" s="2239">
        <f t="shared" si="433"/>
        <v>0</v>
      </c>
      <c r="CP146" s="2239">
        <v>0</v>
      </c>
      <c r="CQ146" s="2240">
        <v>0</v>
      </c>
      <c r="CR146" s="2241">
        <v>0</v>
      </c>
      <c r="CS146" s="2242">
        <v>0</v>
      </c>
      <c r="CT146" s="2240">
        <v>0</v>
      </c>
      <c r="CU146" s="2242">
        <v>0</v>
      </c>
      <c r="CV146" s="2243"/>
      <c r="CW146" s="2244">
        <f t="shared" si="432"/>
        <v>0</v>
      </c>
      <c r="CX146" s="2243"/>
      <c r="CY146" s="2243"/>
      <c r="CZ146" s="2243"/>
      <c r="DA146" s="2243"/>
      <c r="DB146" s="2244">
        <f t="shared" si="431"/>
        <v>0</v>
      </c>
      <c r="DC146" s="2243"/>
      <c r="DD146" s="2243"/>
      <c r="DE146" s="2243"/>
      <c r="DF146" s="2243"/>
      <c r="DG146" s="2244"/>
      <c r="DH146" s="2243"/>
      <c r="DI146" s="2243"/>
      <c r="DJ146" s="2243"/>
      <c r="DK146" s="2243"/>
      <c r="DL146" s="2245"/>
      <c r="DM146" s="2243"/>
      <c r="DN146" s="2243"/>
      <c r="DO146" s="2243"/>
      <c r="DP146" s="2243"/>
      <c r="DQ146" s="2245"/>
      <c r="DR146" s="2243"/>
      <c r="DS146" s="2243"/>
      <c r="DT146" s="2243"/>
      <c r="DU146" s="2243"/>
      <c r="DV146" s="2245"/>
      <c r="DW146" s="2243"/>
      <c r="DX146" s="2243"/>
      <c r="DY146" s="2243"/>
      <c r="DZ146" s="2243"/>
      <c r="EA146" s="2245"/>
      <c r="ED146" s="825"/>
      <c r="EE146" s="825"/>
      <c r="EF146" s="825"/>
      <c r="EG146" s="825"/>
      <c r="EH146" s="825"/>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row>
    <row r="147" spans="1:259" ht="14.25" customHeight="1" x14ac:dyDescent="0.2">
      <c r="A147" s="848" t="s">
        <v>721</v>
      </c>
      <c r="B147" s="1660"/>
      <c r="C147" s="1660"/>
      <c r="D147" s="1660"/>
      <c r="E147" s="1660"/>
      <c r="F147" s="1660"/>
      <c r="G147" s="1660"/>
      <c r="H147" s="1660"/>
      <c r="I147" s="1660"/>
      <c r="J147" s="1660"/>
      <c r="K147" s="1660"/>
      <c r="L147" s="1660"/>
      <c r="M147" s="1660"/>
      <c r="N147" s="1660"/>
      <c r="O147" s="1660"/>
      <c r="P147" s="1660"/>
      <c r="Q147" s="1660"/>
      <c r="R147" s="1660"/>
      <c r="S147" s="1660"/>
      <c r="T147" s="1660"/>
      <c r="U147" s="1660"/>
      <c r="V147" s="1660"/>
      <c r="W147" s="1660"/>
      <c r="X147" s="1660"/>
      <c r="Y147" s="1660"/>
      <c r="Z147" s="1660"/>
      <c r="AA147" s="1660"/>
      <c r="AB147" s="1660"/>
      <c r="AC147" s="1660"/>
      <c r="AD147" s="1660"/>
      <c r="AE147" s="1660"/>
      <c r="AF147" s="1660"/>
      <c r="AG147" s="1660"/>
      <c r="AH147" s="1660"/>
      <c r="AI147" s="1660"/>
      <c r="AJ147" s="1660"/>
      <c r="AK147" s="1660"/>
      <c r="AL147" s="1660"/>
      <c r="AM147" s="1660"/>
      <c r="AN147" s="1660"/>
      <c r="AO147" s="1660"/>
      <c r="AP147" s="1660"/>
      <c r="AQ147" s="1660"/>
      <c r="AR147" s="1660"/>
      <c r="AS147" s="1660"/>
      <c r="AT147" s="1660"/>
      <c r="AU147" s="1660"/>
      <c r="AV147" s="1660"/>
      <c r="AW147" s="1660"/>
      <c r="AX147" s="1660"/>
      <c r="AY147" s="1660"/>
      <c r="AZ147" s="1660"/>
      <c r="BA147" s="1660"/>
      <c r="BB147" s="1660"/>
      <c r="BC147" s="1660"/>
      <c r="BD147" s="1660"/>
      <c r="BE147" s="1660"/>
      <c r="BF147" s="1660"/>
      <c r="BG147" s="1660"/>
      <c r="BH147" s="1660"/>
      <c r="BI147" s="1660"/>
      <c r="BJ147" s="1660"/>
      <c r="BK147" s="1660"/>
      <c r="BL147" s="1660"/>
      <c r="BM147" s="1660"/>
      <c r="BN147" s="1660"/>
      <c r="BO147" s="1660"/>
      <c r="BP147" s="1660"/>
      <c r="BQ147" s="1660"/>
      <c r="BR147" s="1660"/>
      <c r="BS147" s="1660"/>
      <c r="BT147" s="1660"/>
      <c r="BU147" s="1660"/>
      <c r="BV147" s="1660"/>
      <c r="BW147" s="1660"/>
      <c r="BX147" s="1660"/>
      <c r="BY147" s="1660"/>
      <c r="BZ147" s="1660"/>
      <c r="CA147" s="1660"/>
      <c r="CB147" s="1660"/>
      <c r="CC147" s="1660"/>
      <c r="CD147" s="1661"/>
      <c r="CE147" s="1661"/>
      <c r="CF147" s="1661"/>
      <c r="CG147" s="1661"/>
      <c r="CH147" s="2249"/>
      <c r="CI147" s="2249"/>
      <c r="CJ147" s="2249"/>
      <c r="CK147" s="2249"/>
      <c r="CL147" s="2249"/>
      <c r="CM147" s="2238">
        <v>0</v>
      </c>
      <c r="CN147" s="2239">
        <v>0</v>
      </c>
      <c r="CO147" s="2239">
        <f t="shared" si="433"/>
        <v>0</v>
      </c>
      <c r="CP147" s="2239">
        <v>0</v>
      </c>
      <c r="CQ147" s="2250">
        <v>0</v>
      </c>
      <c r="CR147" s="2241">
        <v>0</v>
      </c>
      <c r="CS147" s="2242">
        <v>0</v>
      </c>
      <c r="CT147" s="2240">
        <v>-4</v>
      </c>
      <c r="CU147" s="2242">
        <v>-30</v>
      </c>
      <c r="CV147" s="2273">
        <v>-33</v>
      </c>
      <c r="CW147" s="2244">
        <f t="shared" si="432"/>
        <v>-67</v>
      </c>
      <c r="CX147" s="2243">
        <v>-7</v>
      </c>
      <c r="CY147" s="2243">
        <v>-4</v>
      </c>
      <c r="CZ147" s="2243">
        <v>-4</v>
      </c>
      <c r="DA147" s="2243">
        <v>-8</v>
      </c>
      <c r="DB147" s="2244">
        <f>SUM(CX147:DA147)</f>
        <v>-23</v>
      </c>
      <c r="DC147" s="2251"/>
      <c r="DD147" s="2251"/>
      <c r="DE147" s="2251"/>
      <c r="DF147" s="2251"/>
      <c r="DG147" s="2252"/>
      <c r="DH147" s="2251"/>
      <c r="DI147" s="2251"/>
      <c r="DJ147" s="2251"/>
      <c r="DK147" s="2251"/>
      <c r="DL147" s="2253"/>
      <c r="DM147" s="2251"/>
      <c r="DN147" s="2251"/>
      <c r="DO147" s="2251"/>
      <c r="DP147" s="2251"/>
      <c r="DQ147" s="2253"/>
      <c r="DR147" s="2251"/>
      <c r="DS147" s="2251"/>
      <c r="DT147" s="2251"/>
      <c r="DU147" s="2251"/>
      <c r="DV147" s="2253"/>
      <c r="DW147" s="2251"/>
      <c r="DX147" s="2251"/>
      <c r="DY147" s="2251"/>
      <c r="DZ147" s="2251"/>
      <c r="EA147" s="2253"/>
      <c r="ED147"/>
      <c r="EE147"/>
      <c r="EF147"/>
      <c r="EG147"/>
      <c r="EH147"/>
    </row>
    <row r="148" spans="1:259" s="824" customFormat="1" ht="15" x14ac:dyDescent="0.35">
      <c r="A148" s="824" t="s">
        <v>79</v>
      </c>
      <c r="B148" s="1643"/>
      <c r="C148" s="1643"/>
      <c r="D148" s="1643"/>
      <c r="E148" s="1643"/>
      <c r="F148" s="1643"/>
      <c r="G148" s="1643"/>
      <c r="H148" s="1643"/>
      <c r="I148" s="1643"/>
      <c r="J148" s="1643"/>
      <c r="K148" s="1643"/>
      <c r="L148" s="1643"/>
      <c r="M148" s="1643"/>
      <c r="N148" s="1643"/>
      <c r="O148" s="1643"/>
      <c r="P148" s="1643"/>
      <c r="Q148" s="1643"/>
      <c r="R148" s="1643"/>
      <c r="S148" s="1643"/>
      <c r="T148" s="1643"/>
      <c r="U148" s="1643"/>
      <c r="V148" s="1643"/>
      <c r="W148" s="1643"/>
      <c r="X148" s="1643"/>
      <c r="Y148" s="1643"/>
      <c r="Z148" s="1643"/>
      <c r="AA148" s="1643"/>
      <c r="AB148" s="1643"/>
      <c r="AC148" s="1643"/>
      <c r="AD148" s="1643"/>
      <c r="AE148" s="1643"/>
      <c r="AF148" s="1643"/>
      <c r="AG148" s="1643"/>
      <c r="AH148" s="1643"/>
      <c r="AI148" s="1643"/>
      <c r="AJ148" s="1643"/>
      <c r="AK148" s="1643"/>
      <c r="AL148" s="1643"/>
      <c r="AM148" s="1643"/>
      <c r="AN148" s="1643"/>
      <c r="AO148" s="1643"/>
      <c r="AP148" s="1643"/>
      <c r="AQ148" s="1643"/>
      <c r="AR148" s="1643"/>
      <c r="AS148" s="1643"/>
      <c r="AT148" s="1643"/>
      <c r="AU148" s="1643"/>
      <c r="AV148" s="1643"/>
      <c r="AW148" s="1643"/>
      <c r="AX148" s="1643"/>
      <c r="AY148" s="1643"/>
      <c r="AZ148" s="1643"/>
      <c r="BA148" s="1643"/>
      <c r="BB148" s="1643"/>
      <c r="BC148" s="1643"/>
      <c r="BD148" s="1643"/>
      <c r="BE148" s="1643"/>
      <c r="BF148" s="1653"/>
      <c r="BG148" s="1653"/>
      <c r="BH148" s="1653"/>
      <c r="BI148" s="1653"/>
      <c r="BJ148" s="1653"/>
      <c r="BK148" s="1653"/>
      <c r="BL148" s="1653"/>
      <c r="BM148" s="1653"/>
      <c r="BN148" s="1653"/>
      <c r="BO148" s="1662">
        <v>-3</v>
      </c>
      <c r="BP148" s="1662">
        <v>-2</v>
      </c>
      <c r="BQ148" s="1662">
        <v>0</v>
      </c>
      <c r="BR148" s="1662">
        <v>-4</v>
      </c>
      <c r="BS148" s="1663">
        <f t="shared" si="434"/>
        <v>-9</v>
      </c>
      <c r="BT148" s="1662">
        <v>-1</v>
      </c>
      <c r="BU148" s="1662">
        <v>0</v>
      </c>
      <c r="BV148" s="1662">
        <v>-1</v>
      </c>
      <c r="BW148" s="1662">
        <v>-19</v>
      </c>
      <c r="BX148" s="1663">
        <f t="shared" si="435"/>
        <v>-21</v>
      </c>
      <c r="BY148" s="1662">
        <f>74+3</f>
        <v>77</v>
      </c>
      <c r="BZ148" s="1662">
        <v>7</v>
      </c>
      <c r="CA148" s="1662">
        <v>5</v>
      </c>
      <c r="CB148" s="1662">
        <v>1</v>
      </c>
      <c r="CC148" s="1663">
        <f t="shared" si="436"/>
        <v>90</v>
      </c>
      <c r="CD148" s="1664">
        <v>0</v>
      </c>
      <c r="CE148" s="1664">
        <v>0</v>
      </c>
      <c r="CF148" s="1664">
        <f>-5-3</f>
        <v>-8</v>
      </c>
      <c r="CG148" s="1664">
        <v>-3</v>
      </c>
      <c r="CH148" s="2254">
        <f t="shared" si="437"/>
        <v>-11</v>
      </c>
      <c r="CI148" s="2255">
        <v>0</v>
      </c>
      <c r="CJ148" s="2255">
        <v>0</v>
      </c>
      <c r="CK148" s="2255">
        <v>0</v>
      </c>
      <c r="CL148" s="2255">
        <v>0</v>
      </c>
      <c r="CM148" s="2254">
        <v>0</v>
      </c>
      <c r="CN148" s="2255">
        <v>0</v>
      </c>
      <c r="CO148" s="2255">
        <f t="shared" si="433"/>
        <v>-1.75</v>
      </c>
      <c r="CP148" s="2255">
        <v>2.75</v>
      </c>
      <c r="CQ148" s="2256">
        <v>-1</v>
      </c>
      <c r="CR148" s="2257">
        <v>0</v>
      </c>
      <c r="CS148" s="2258">
        <v>0</v>
      </c>
      <c r="CT148" s="2256">
        <v>-2</v>
      </c>
      <c r="CU148" s="2258">
        <v>-1</v>
      </c>
      <c r="CV148" s="2259">
        <v>-2</v>
      </c>
      <c r="CW148" s="2260">
        <f t="shared" si="432"/>
        <v>-5</v>
      </c>
      <c r="CX148" s="2259">
        <v>-2</v>
      </c>
      <c r="CY148" s="2259">
        <v>-2</v>
      </c>
      <c r="CZ148" s="2259">
        <v>5</v>
      </c>
      <c r="DA148" s="2259">
        <v>4</v>
      </c>
      <c r="DB148" s="2260">
        <f>SUM(CX148:DA148)</f>
        <v>5</v>
      </c>
      <c r="DC148" s="2259"/>
      <c r="DD148" s="2259"/>
      <c r="DE148" s="2259"/>
      <c r="DF148" s="2259"/>
      <c r="DG148" s="2260"/>
      <c r="DH148" s="2259"/>
      <c r="DI148" s="2259"/>
      <c r="DJ148" s="2259"/>
      <c r="DK148" s="2259"/>
      <c r="DL148" s="2261"/>
      <c r="DM148" s="2259"/>
      <c r="DN148" s="2259"/>
      <c r="DO148" s="2259"/>
      <c r="DP148" s="2259"/>
      <c r="DQ148" s="2261"/>
      <c r="DR148" s="2259"/>
      <c r="DS148" s="2259"/>
      <c r="DT148" s="2259"/>
      <c r="DU148" s="2259"/>
      <c r="DV148" s="2261"/>
      <c r="DW148" s="2259"/>
      <c r="DX148" s="2259"/>
      <c r="DY148" s="2259"/>
      <c r="DZ148" s="2259"/>
      <c r="EA148" s="2261"/>
      <c r="ED148" s="825"/>
      <c r="EE148" s="825"/>
      <c r="EF148" s="825"/>
      <c r="EG148" s="825"/>
      <c r="EH148" s="825"/>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row>
    <row r="149" spans="1:259" s="824" customFormat="1" x14ac:dyDescent="0.2">
      <c r="A149" s="824" t="s">
        <v>80</v>
      </c>
      <c r="B149" s="1643"/>
      <c r="C149" s="1643"/>
      <c r="D149" s="1643"/>
      <c r="E149" s="1643"/>
      <c r="F149" s="1643"/>
      <c r="G149" s="1643"/>
      <c r="H149" s="1643"/>
      <c r="I149" s="1643"/>
      <c r="J149" s="1643"/>
      <c r="K149" s="1643"/>
      <c r="L149" s="1643"/>
      <c r="M149" s="1643"/>
      <c r="N149" s="1643"/>
      <c r="O149" s="1643"/>
      <c r="P149" s="1643"/>
      <c r="Q149" s="1643"/>
      <c r="R149" s="1643"/>
      <c r="S149" s="1643"/>
      <c r="T149" s="1643"/>
      <c r="U149" s="1643"/>
      <c r="V149" s="1643"/>
      <c r="W149" s="1643"/>
      <c r="X149" s="1643"/>
      <c r="Y149" s="1643"/>
      <c r="Z149" s="1643"/>
      <c r="AA149" s="1643"/>
      <c r="AB149" s="1643"/>
      <c r="AC149" s="1643"/>
      <c r="AD149" s="1643"/>
      <c r="AE149" s="1643"/>
      <c r="AF149" s="1643"/>
      <c r="AG149" s="1643"/>
      <c r="AH149" s="1643"/>
      <c r="AI149" s="1643"/>
      <c r="AJ149" s="1643"/>
      <c r="AK149" s="1643"/>
      <c r="AL149" s="1643"/>
      <c r="AM149" s="1643"/>
      <c r="AN149" s="1643"/>
      <c r="AO149" s="1643"/>
      <c r="AP149" s="1643"/>
      <c r="AQ149" s="1643"/>
      <c r="AR149" s="1643"/>
      <c r="AS149" s="1643"/>
      <c r="AT149" s="1643"/>
      <c r="AU149" s="1643"/>
      <c r="AV149" s="1643"/>
      <c r="AW149" s="1643"/>
      <c r="AX149" s="1643"/>
      <c r="AY149" s="1643"/>
      <c r="AZ149" s="1643"/>
      <c r="BA149" s="1643"/>
      <c r="BB149" s="1643"/>
      <c r="BC149" s="1643"/>
      <c r="BD149" s="1643"/>
      <c r="BE149" s="1643"/>
      <c r="BF149" s="1653"/>
      <c r="BG149" s="1653"/>
      <c r="BH149" s="1653"/>
      <c r="BI149" s="1653"/>
      <c r="BJ149" s="1653"/>
      <c r="BK149" s="1653"/>
      <c r="BL149" s="1653"/>
      <c r="BM149" s="1653"/>
      <c r="BN149" s="1653"/>
      <c r="BO149" s="1658">
        <f t="shared" ref="BO149:CH149" si="438">SUM(BO142:BO148)</f>
        <v>-59</v>
      </c>
      <c r="BP149" s="1658">
        <f t="shared" si="438"/>
        <v>6</v>
      </c>
      <c r="BQ149" s="1658">
        <f t="shared" si="438"/>
        <v>2</v>
      </c>
      <c r="BR149" s="1658">
        <f t="shared" si="438"/>
        <v>33</v>
      </c>
      <c r="BS149" s="1418">
        <f t="shared" si="438"/>
        <v>-18</v>
      </c>
      <c r="BT149" s="1658">
        <f t="shared" si="438"/>
        <v>-65</v>
      </c>
      <c r="BU149" s="1658">
        <f t="shared" si="438"/>
        <v>-6</v>
      </c>
      <c r="BV149" s="1658">
        <f t="shared" si="438"/>
        <v>-12</v>
      </c>
      <c r="BW149" s="1658">
        <f t="shared" si="438"/>
        <v>-28</v>
      </c>
      <c r="BX149" s="1418">
        <f t="shared" si="438"/>
        <v>-111</v>
      </c>
      <c r="BY149" s="1658">
        <f t="shared" si="438"/>
        <v>122</v>
      </c>
      <c r="BZ149" s="1658">
        <f t="shared" si="438"/>
        <v>16</v>
      </c>
      <c r="CA149" s="1658">
        <f t="shared" si="438"/>
        <v>4</v>
      </c>
      <c r="CB149" s="1658">
        <f t="shared" si="438"/>
        <v>-14</v>
      </c>
      <c r="CC149" s="1418">
        <f t="shared" si="438"/>
        <v>128</v>
      </c>
      <c r="CD149" s="1657">
        <f t="shared" si="438"/>
        <v>17</v>
      </c>
      <c r="CE149" s="1657">
        <f t="shared" si="438"/>
        <v>13</v>
      </c>
      <c r="CF149" s="1657">
        <f t="shared" si="438"/>
        <v>14</v>
      </c>
      <c r="CG149" s="1657">
        <f t="shared" si="438"/>
        <v>0</v>
      </c>
      <c r="CH149" s="2238">
        <f t="shared" si="438"/>
        <v>44</v>
      </c>
      <c r="CI149" s="2239">
        <f t="shared" ref="CI149:DG149" si="439">SUM(CI137:CI148)</f>
        <v>2</v>
      </c>
      <c r="CJ149" s="2239">
        <f t="shared" si="439"/>
        <v>1</v>
      </c>
      <c r="CK149" s="2239">
        <f t="shared" si="439"/>
        <v>8</v>
      </c>
      <c r="CL149" s="2239">
        <f t="shared" si="439"/>
        <v>-4.9000000000000004</v>
      </c>
      <c r="CM149" s="2238">
        <f t="shared" si="439"/>
        <v>6.1</v>
      </c>
      <c r="CN149" s="2239">
        <f t="shared" si="439"/>
        <v>0</v>
      </c>
      <c r="CO149" s="2239">
        <f t="shared" si="439"/>
        <v>-76.75</v>
      </c>
      <c r="CP149" s="2239">
        <f t="shared" si="439"/>
        <v>-22.25</v>
      </c>
      <c r="CQ149" s="2240">
        <f t="shared" si="439"/>
        <v>7</v>
      </c>
      <c r="CR149" s="2262">
        <f t="shared" si="439"/>
        <v>-92</v>
      </c>
      <c r="CS149" s="2242">
        <f t="shared" si="439"/>
        <v>-9</v>
      </c>
      <c r="CT149" s="2240">
        <f t="shared" si="439"/>
        <v>40</v>
      </c>
      <c r="CU149" s="2242">
        <f t="shared" si="439"/>
        <v>-10</v>
      </c>
      <c r="CV149" s="2243">
        <f t="shared" si="439"/>
        <v>-12</v>
      </c>
      <c r="CW149" s="2244">
        <f t="shared" si="439"/>
        <v>9</v>
      </c>
      <c r="CX149" s="2263">
        <f t="shared" si="439"/>
        <v>99</v>
      </c>
      <c r="CY149" s="2263">
        <f t="shared" si="439"/>
        <v>-20</v>
      </c>
      <c r="CZ149" s="2263">
        <f t="shared" si="439"/>
        <v>190</v>
      </c>
      <c r="DA149" s="2263">
        <f t="shared" si="439"/>
        <v>732</v>
      </c>
      <c r="DB149" s="2374">
        <f t="shared" si="439"/>
        <v>1001</v>
      </c>
      <c r="DC149" s="2242">
        <f t="shared" si="439"/>
        <v>-15</v>
      </c>
      <c r="DD149" s="2242">
        <f t="shared" si="439"/>
        <v>-15</v>
      </c>
      <c r="DE149" s="2242">
        <f t="shared" si="439"/>
        <v>-15</v>
      </c>
      <c r="DF149" s="2242">
        <f t="shared" si="439"/>
        <v>-15</v>
      </c>
      <c r="DG149" s="2264">
        <f t="shared" si="439"/>
        <v>-60</v>
      </c>
      <c r="DH149" s="2243"/>
      <c r="DI149" s="2243"/>
      <c r="DJ149" s="2243"/>
      <c r="DK149" s="2243"/>
      <c r="DL149" s="2245"/>
      <c r="DM149" s="2243"/>
      <c r="DN149" s="2243"/>
      <c r="DO149" s="2243"/>
      <c r="DP149" s="2243"/>
      <c r="DQ149" s="2245"/>
      <c r="DR149" s="2243"/>
      <c r="DS149" s="2243"/>
      <c r="DT149" s="2243"/>
      <c r="DU149" s="2243"/>
      <c r="DV149" s="2245"/>
      <c r="DW149" s="2243"/>
      <c r="DX149" s="2243"/>
      <c r="DY149" s="2243"/>
      <c r="DZ149" s="2243"/>
      <c r="EA149" s="2245"/>
      <c r="ED149" s="825"/>
      <c r="EE149" s="825"/>
      <c r="EF149" s="825"/>
      <c r="EG149" s="825"/>
      <c r="EH149" s="825"/>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row>
    <row r="150" spans="1:259" s="824" customFormat="1" ht="15" x14ac:dyDescent="0.35">
      <c r="A150" s="824" t="s">
        <v>81</v>
      </c>
      <c r="B150" s="1643"/>
      <c r="C150" s="1643"/>
      <c r="D150" s="1643"/>
      <c r="E150" s="1643"/>
      <c r="F150" s="1643"/>
      <c r="G150" s="1643"/>
      <c r="H150" s="1643"/>
      <c r="I150" s="1643"/>
      <c r="J150" s="1643"/>
      <c r="K150" s="1643"/>
      <c r="L150" s="1643"/>
      <c r="M150" s="1643"/>
      <c r="N150" s="1643"/>
      <c r="O150" s="1643"/>
      <c r="P150" s="1643"/>
      <c r="Q150" s="1643"/>
      <c r="R150" s="1643"/>
      <c r="S150" s="1643"/>
      <c r="T150" s="1643"/>
      <c r="U150" s="1643"/>
      <c r="V150" s="1643"/>
      <c r="W150" s="1643"/>
      <c r="X150" s="1643"/>
      <c r="Y150" s="1643"/>
      <c r="Z150" s="1643"/>
      <c r="AA150" s="1643"/>
      <c r="AB150" s="1643"/>
      <c r="AC150" s="1643"/>
      <c r="AD150" s="1643"/>
      <c r="AE150" s="1643"/>
      <c r="AF150" s="1643"/>
      <c r="AG150" s="1643"/>
      <c r="AH150" s="1643"/>
      <c r="AI150" s="1643"/>
      <c r="AJ150" s="1643"/>
      <c r="AK150" s="1643"/>
      <c r="AL150" s="1643"/>
      <c r="AM150" s="1643"/>
      <c r="AN150" s="1643"/>
      <c r="AO150" s="1643"/>
      <c r="AP150" s="1643"/>
      <c r="AQ150" s="1643"/>
      <c r="AR150" s="1643"/>
      <c r="AS150" s="1643"/>
      <c r="AT150" s="1643"/>
      <c r="AU150" s="1643"/>
      <c r="AV150" s="1643"/>
      <c r="AW150" s="1643"/>
      <c r="AX150" s="1643"/>
      <c r="AY150" s="1643"/>
      <c r="AZ150" s="1643"/>
      <c r="BA150" s="1643"/>
      <c r="BB150" s="1643"/>
      <c r="BC150" s="1643"/>
      <c r="BD150" s="1643"/>
      <c r="BE150" s="1643"/>
      <c r="BF150" s="1653"/>
      <c r="BG150" s="1653"/>
      <c r="BH150" s="1653"/>
      <c r="BI150" s="1653"/>
      <c r="BJ150" s="1653"/>
      <c r="BK150" s="1653"/>
      <c r="BL150" s="1653"/>
      <c r="BM150" s="1653"/>
      <c r="BN150" s="1653"/>
      <c r="BO150" s="1662">
        <v>0</v>
      </c>
      <c r="BP150" s="1662">
        <v>0</v>
      </c>
      <c r="BQ150" s="1662">
        <v>0</v>
      </c>
      <c r="BR150" s="1662">
        <v>0</v>
      </c>
      <c r="BS150" s="1663">
        <f>SUM(BO150:BR150)</f>
        <v>0</v>
      </c>
      <c r="BT150" s="1662">
        <v>0</v>
      </c>
      <c r="BU150" s="1662">
        <v>0</v>
      </c>
      <c r="BV150" s="1662">
        <v>0</v>
      </c>
      <c r="BW150" s="1662">
        <v>0</v>
      </c>
      <c r="BX150" s="1663">
        <f>SUM(BT150:BW150)</f>
        <v>0</v>
      </c>
      <c r="BY150" s="1662">
        <v>0</v>
      </c>
      <c r="BZ150" s="1662">
        <v>0</v>
      </c>
      <c r="CA150" s="1662">
        <v>0</v>
      </c>
      <c r="CB150" s="1662">
        <v>0</v>
      </c>
      <c r="CC150" s="1663">
        <f t="shared" si="436"/>
        <v>0</v>
      </c>
      <c r="CD150" s="1664">
        <v>0</v>
      </c>
      <c r="CE150" s="1664">
        <v>0</v>
      </c>
      <c r="CF150" s="1664">
        <v>0</v>
      </c>
      <c r="CG150" s="1664">
        <v>-118</v>
      </c>
      <c r="CH150" s="2254">
        <f t="shared" si="437"/>
        <v>-118</v>
      </c>
      <c r="CI150" s="2255">
        <v>0</v>
      </c>
      <c r="CJ150" s="2255">
        <v>0</v>
      </c>
      <c r="CK150" s="2255">
        <v>0</v>
      </c>
      <c r="CL150" s="2255">
        <v>0</v>
      </c>
      <c r="CM150" s="2254">
        <v>0</v>
      </c>
      <c r="CN150" s="2255">
        <v>0</v>
      </c>
      <c r="CO150" s="2255">
        <v>0</v>
      </c>
      <c r="CP150" s="2255">
        <v>0</v>
      </c>
      <c r="CQ150" s="2256">
        <v>0</v>
      </c>
      <c r="CR150" s="2241">
        <v>0</v>
      </c>
      <c r="CS150" s="2258">
        <v>0</v>
      </c>
      <c r="CT150" s="2256">
        <v>0</v>
      </c>
      <c r="CU150" s="2258">
        <v>0</v>
      </c>
      <c r="CV150" s="2266">
        <v>0</v>
      </c>
      <c r="CW150" s="2244">
        <v>0</v>
      </c>
      <c r="CX150" s="2259"/>
      <c r="CY150" s="2259"/>
      <c r="CZ150" s="2259"/>
      <c r="DA150" s="2259"/>
      <c r="DB150" s="2260"/>
      <c r="DC150" s="2259"/>
      <c r="DD150" s="2259"/>
      <c r="DE150" s="2259"/>
      <c r="DF150" s="2259"/>
      <c r="DG150" s="2260"/>
      <c r="DH150" s="2259"/>
      <c r="DI150" s="2259"/>
      <c r="DJ150" s="2259"/>
      <c r="DK150" s="2259"/>
      <c r="DL150" s="2261"/>
      <c r="DM150" s="2259"/>
      <c r="DN150" s="2259"/>
      <c r="DO150" s="2259"/>
      <c r="DP150" s="2259"/>
      <c r="DQ150" s="2261"/>
      <c r="DR150" s="2259"/>
      <c r="DS150" s="2259"/>
      <c r="DT150" s="2259"/>
      <c r="DU150" s="2259"/>
      <c r="DV150" s="2261"/>
      <c r="DW150" s="2259"/>
      <c r="DX150" s="2259"/>
      <c r="DY150" s="2259"/>
      <c r="DZ150" s="2259"/>
      <c r="EA150" s="2261"/>
      <c r="ED150" s="825"/>
      <c r="EE150" s="825"/>
      <c r="EF150" s="825"/>
      <c r="EG150" s="825"/>
      <c r="EH150" s="825"/>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row>
    <row r="151" spans="1:259" s="824" customFormat="1" ht="15" x14ac:dyDescent="0.35">
      <c r="A151" s="824" t="s">
        <v>692</v>
      </c>
      <c r="B151" s="1643"/>
      <c r="C151" s="1643"/>
      <c r="D151" s="1643"/>
      <c r="E151" s="1643"/>
      <c r="F151" s="1643"/>
      <c r="G151" s="1643"/>
      <c r="H151" s="1643"/>
      <c r="I151" s="1643"/>
      <c r="J151" s="1643"/>
      <c r="K151" s="1643"/>
      <c r="L151" s="1643"/>
      <c r="M151" s="1643"/>
      <c r="N151" s="1643"/>
      <c r="O151" s="1643"/>
      <c r="P151" s="1643"/>
      <c r="Q151" s="1643"/>
      <c r="R151" s="1643"/>
      <c r="S151" s="1643"/>
      <c r="T151" s="1643"/>
      <c r="U151" s="1643"/>
      <c r="V151" s="1643"/>
      <c r="W151" s="1643"/>
      <c r="X151" s="1643"/>
      <c r="Y151" s="1643"/>
      <c r="Z151" s="1643"/>
      <c r="AA151" s="1643"/>
      <c r="AB151" s="1643"/>
      <c r="AC151" s="1643"/>
      <c r="AD151" s="1643"/>
      <c r="AE151" s="1643"/>
      <c r="AF151" s="1643"/>
      <c r="AG151" s="1643"/>
      <c r="AH151" s="1643"/>
      <c r="AI151" s="1643"/>
      <c r="AJ151" s="1643"/>
      <c r="AK151" s="1643"/>
      <c r="AL151" s="1643"/>
      <c r="AM151" s="1643"/>
      <c r="AN151" s="1643"/>
      <c r="AO151" s="1643"/>
      <c r="AP151" s="1643"/>
      <c r="AQ151" s="1643"/>
      <c r="AR151" s="1643"/>
      <c r="AS151" s="1643"/>
      <c r="AT151" s="1643"/>
      <c r="AU151" s="1643"/>
      <c r="AV151" s="1643"/>
      <c r="AW151" s="1643"/>
      <c r="AX151" s="1643"/>
      <c r="AY151" s="1643"/>
      <c r="AZ151" s="1643"/>
      <c r="BA151" s="1643"/>
      <c r="BB151" s="1643"/>
      <c r="BC151" s="1643"/>
      <c r="BD151" s="1643"/>
      <c r="BE151" s="1643"/>
      <c r="BF151" s="1653"/>
      <c r="BG151" s="1653"/>
      <c r="BH151" s="1653"/>
      <c r="BI151" s="1653"/>
      <c r="BJ151" s="1653"/>
      <c r="BK151" s="1653"/>
      <c r="BL151" s="1653"/>
      <c r="BM151" s="1653"/>
      <c r="BN151" s="1653"/>
      <c r="BO151" s="1662"/>
      <c r="BP151" s="1662"/>
      <c r="BQ151" s="1662"/>
      <c r="BR151" s="1662"/>
      <c r="BS151" s="1663"/>
      <c r="BT151" s="1662"/>
      <c r="BU151" s="1662"/>
      <c r="BV151" s="1662"/>
      <c r="BW151" s="1662"/>
      <c r="BX151" s="1663"/>
      <c r="BY151" s="1662"/>
      <c r="BZ151" s="1662"/>
      <c r="CA151" s="1662"/>
      <c r="CB151" s="1662"/>
      <c r="CC151" s="1663"/>
      <c r="CD151" s="1664"/>
      <c r="CE151" s="1664"/>
      <c r="CF151" s="1664"/>
      <c r="CG151" s="1664"/>
      <c r="CH151" s="2254"/>
      <c r="CI151" s="2255"/>
      <c r="CJ151" s="2255"/>
      <c r="CK151" s="2255"/>
      <c r="CL151" s="2255"/>
      <c r="CM151" s="2254"/>
      <c r="CN151" s="2255"/>
      <c r="CO151" s="2255"/>
      <c r="CP151" s="2255"/>
      <c r="CQ151" s="2256"/>
      <c r="CR151" s="2241"/>
      <c r="CS151" s="2258"/>
      <c r="CT151" s="2256"/>
      <c r="CU151" s="2258"/>
      <c r="CV151" s="2266"/>
      <c r="CW151" s="2244"/>
      <c r="CX151" s="2259">
        <v>-22</v>
      </c>
      <c r="CY151" s="2259">
        <v>0</v>
      </c>
      <c r="CZ151" s="2259">
        <v>-1</v>
      </c>
      <c r="DA151" s="2259">
        <v>0</v>
      </c>
      <c r="DB151" s="2260">
        <f>SUM(CX151:DA151)</f>
        <v>-23</v>
      </c>
      <c r="DC151" s="2259"/>
      <c r="DD151" s="2259"/>
      <c r="DE151" s="2259"/>
      <c r="DF151" s="2259"/>
      <c r="DG151" s="2260"/>
      <c r="DH151" s="2259"/>
      <c r="DI151" s="2259"/>
      <c r="DJ151" s="2259"/>
      <c r="DK151" s="2259"/>
      <c r="DL151" s="2261"/>
      <c r="DM151" s="2259"/>
      <c r="DN151" s="2259"/>
      <c r="DO151" s="2259"/>
      <c r="DP151" s="2259"/>
      <c r="DQ151" s="2261"/>
      <c r="DR151" s="2259"/>
      <c r="DS151" s="2259"/>
      <c r="DT151" s="2259"/>
      <c r="DU151" s="2259"/>
      <c r="DV151" s="2261"/>
      <c r="DW151" s="2259"/>
      <c r="DX151" s="2259"/>
      <c r="DY151" s="2259"/>
      <c r="DZ151" s="2259"/>
      <c r="EA151" s="2261"/>
      <c r="ED151" s="825"/>
      <c r="EE151" s="825"/>
      <c r="EF151" s="825"/>
      <c r="EG151" s="825"/>
      <c r="EH151" s="825"/>
      <c r="EK151"/>
      <c r="EL151"/>
      <c r="EM151"/>
      <c r="EN151"/>
      <c r="EO151"/>
      <c r="EP151"/>
      <c r="EQ151" s="2138"/>
      <c r="ER151" s="2138"/>
      <c r="ES151" s="2138"/>
      <c r="ET151" s="2138"/>
      <c r="EU151" s="2138"/>
      <c r="EV151" s="2138"/>
      <c r="EW151" s="2138"/>
      <c r="EX151" s="2138"/>
      <c r="EY151" s="2138"/>
      <c r="EZ151" s="2138"/>
      <c r="FA151" s="2138"/>
      <c r="FB151" s="2138"/>
      <c r="FC151" s="2138"/>
      <c r="FD151" s="2138"/>
      <c r="FE151" s="2138"/>
      <c r="FF151" s="2138"/>
      <c r="FG151" s="2138"/>
      <c r="FH151" s="2138"/>
      <c r="FI151" s="2138"/>
      <c r="FJ151" s="2138"/>
      <c r="FK151" s="2138"/>
      <c r="FL151" s="2138"/>
      <c r="FM151" s="2138"/>
      <c r="FN151" s="2138"/>
      <c r="FO151" s="2138"/>
      <c r="FP151" s="2138"/>
      <c r="FQ151" s="2138"/>
      <c r="FR151" s="2138"/>
      <c r="FS151" s="2138"/>
      <c r="FT151" s="2138"/>
      <c r="FU151" s="2138"/>
      <c r="FV151" s="2138"/>
      <c r="FW151" s="2138"/>
      <c r="FX151" s="2138"/>
      <c r="FY151" s="2138"/>
      <c r="FZ151" s="2138"/>
      <c r="GA151" s="2138"/>
      <c r="GB151" s="2138"/>
      <c r="GC151" s="2138"/>
      <c r="GD151" s="2138"/>
      <c r="GE151" s="2138"/>
      <c r="GF151" s="2138"/>
      <c r="GG151" s="2138"/>
      <c r="GH151" s="2138"/>
      <c r="GI151" s="2138"/>
      <c r="GJ151" s="2138"/>
      <c r="GK151" s="2138"/>
      <c r="GL151" s="2138"/>
      <c r="GM151" s="2138"/>
      <c r="GN151" s="2138"/>
      <c r="GO151" s="2138"/>
      <c r="GP151" s="2138"/>
      <c r="GQ151" s="2138"/>
      <c r="GR151" s="2138"/>
      <c r="GS151" s="2138"/>
      <c r="GT151" s="2138"/>
      <c r="GU151" s="2138"/>
      <c r="GV151" s="2138"/>
      <c r="GW151" s="2138"/>
      <c r="GX151" s="2138"/>
      <c r="GY151" s="2138"/>
      <c r="GZ151" s="2138"/>
      <c r="HA151" s="2138"/>
      <c r="HB151" s="2138"/>
      <c r="HC151" s="2138"/>
      <c r="HD151" s="2138"/>
      <c r="HE151" s="2138"/>
      <c r="HF151" s="2138"/>
      <c r="HG151" s="2138"/>
      <c r="HH151" s="2138"/>
      <c r="HI151" s="2138"/>
      <c r="HJ151" s="2138"/>
      <c r="HK151" s="2138"/>
      <c r="HL151" s="2138"/>
      <c r="HM151" s="2138"/>
      <c r="HN151" s="2138"/>
      <c r="HO151" s="2138"/>
      <c r="HP151" s="2138"/>
      <c r="HQ151" s="2138"/>
      <c r="HR151" s="2138"/>
      <c r="HS151" s="2138"/>
      <c r="HT151" s="2138"/>
      <c r="HU151" s="2138"/>
      <c r="HV151" s="2138"/>
      <c r="HW151" s="2138"/>
      <c r="HX151" s="2138"/>
      <c r="HY151" s="2138"/>
      <c r="HZ151" s="2138"/>
      <c r="IA151" s="2138"/>
      <c r="IB151" s="2138"/>
      <c r="IC151" s="2138"/>
      <c r="ID151" s="2138"/>
      <c r="IE151" s="2138"/>
      <c r="IF151" s="2138"/>
      <c r="IG151" s="2138"/>
      <c r="IH151" s="2138"/>
      <c r="II151" s="2138"/>
      <c r="IJ151" s="2138"/>
      <c r="IK151" s="2138"/>
      <c r="IL151" s="2138"/>
      <c r="IM151" s="2138"/>
      <c r="IN151" s="2138"/>
      <c r="IO151" s="2138"/>
      <c r="IP151" s="2138"/>
      <c r="IQ151" s="2138"/>
      <c r="IR151" s="2138"/>
      <c r="IS151" s="2138"/>
      <c r="IT151" s="2138"/>
      <c r="IU151" s="2138"/>
      <c r="IV151" s="2138"/>
      <c r="IW151" s="2138"/>
      <c r="IX151" s="2138"/>
      <c r="IY151" s="2138"/>
    </row>
    <row r="152" spans="1:259" s="824" customFormat="1" x14ac:dyDescent="0.2">
      <c r="A152" s="824" t="s">
        <v>82</v>
      </c>
      <c r="B152" s="1643"/>
      <c r="C152" s="1643"/>
      <c r="D152" s="1643"/>
      <c r="E152" s="1643"/>
      <c r="F152" s="1643"/>
      <c r="G152" s="1643"/>
      <c r="H152" s="1643"/>
      <c r="I152" s="1643"/>
      <c r="J152" s="1643"/>
      <c r="K152" s="1643"/>
      <c r="L152" s="1643"/>
      <c r="M152" s="1643"/>
      <c r="N152" s="1643"/>
      <c r="O152" s="1643"/>
      <c r="P152" s="1643"/>
      <c r="Q152" s="1643"/>
      <c r="R152" s="1643"/>
      <c r="S152" s="1643"/>
      <c r="T152" s="1643"/>
      <c r="U152" s="1643"/>
      <c r="V152" s="1643"/>
      <c r="W152" s="1643"/>
      <c r="X152" s="1643"/>
      <c r="Y152" s="1643"/>
      <c r="Z152" s="1643"/>
      <c r="AA152" s="1643"/>
      <c r="AB152" s="1643"/>
      <c r="AC152" s="1643"/>
      <c r="AD152" s="1643"/>
      <c r="AE152" s="1643"/>
      <c r="AF152" s="1643"/>
      <c r="AG152" s="1643"/>
      <c r="AH152" s="1643"/>
      <c r="AI152" s="1643"/>
      <c r="AJ152" s="1643"/>
      <c r="AK152" s="1643"/>
      <c r="AL152" s="1643"/>
      <c r="AM152" s="1643"/>
      <c r="AN152" s="1643"/>
      <c r="AO152" s="1643"/>
      <c r="AP152" s="1643"/>
      <c r="AQ152" s="1643"/>
      <c r="AR152" s="1643"/>
      <c r="AS152" s="1643"/>
      <c r="AT152" s="1643"/>
      <c r="AU152" s="1643"/>
      <c r="AV152" s="1643"/>
      <c r="AW152" s="1643"/>
      <c r="AX152" s="1643"/>
      <c r="AY152" s="1643"/>
      <c r="AZ152" s="1643"/>
      <c r="BA152" s="1643"/>
      <c r="BB152" s="1643"/>
      <c r="BC152" s="1643"/>
      <c r="BD152" s="1643"/>
      <c r="BE152" s="1643"/>
      <c r="BF152" s="1653"/>
      <c r="BG152" s="1653"/>
      <c r="BH152" s="1653"/>
      <c r="BI152" s="1653"/>
      <c r="BJ152" s="1653"/>
      <c r="BK152" s="1653"/>
      <c r="BL152" s="1653"/>
      <c r="BM152" s="1653"/>
      <c r="BN152" s="1653"/>
      <c r="BO152" s="1658">
        <f t="shared" ref="BO152:CQ152" si="440">BO149+BO150</f>
        <v>-59</v>
      </c>
      <c r="BP152" s="1658">
        <f t="shared" si="440"/>
        <v>6</v>
      </c>
      <c r="BQ152" s="1658">
        <f t="shared" si="440"/>
        <v>2</v>
      </c>
      <c r="BR152" s="1658">
        <f t="shared" si="440"/>
        <v>33</v>
      </c>
      <c r="BS152" s="1418">
        <f t="shared" si="440"/>
        <v>-18</v>
      </c>
      <c r="BT152" s="1658">
        <f t="shared" si="440"/>
        <v>-65</v>
      </c>
      <c r="BU152" s="1658">
        <f t="shared" si="440"/>
        <v>-6</v>
      </c>
      <c r="BV152" s="1658">
        <f t="shared" si="440"/>
        <v>-12</v>
      </c>
      <c r="BW152" s="1658">
        <f t="shared" si="440"/>
        <v>-28</v>
      </c>
      <c r="BX152" s="1418">
        <f t="shared" si="440"/>
        <v>-111</v>
      </c>
      <c r="BY152" s="1658">
        <f t="shared" si="440"/>
        <v>122</v>
      </c>
      <c r="BZ152" s="1658">
        <f t="shared" si="440"/>
        <v>16</v>
      </c>
      <c r="CA152" s="1658">
        <f t="shared" si="440"/>
        <v>4</v>
      </c>
      <c r="CB152" s="1658">
        <f t="shared" si="440"/>
        <v>-14</v>
      </c>
      <c r="CC152" s="1418">
        <f t="shared" si="440"/>
        <v>128</v>
      </c>
      <c r="CD152" s="1657">
        <f t="shared" si="440"/>
        <v>17</v>
      </c>
      <c r="CE152" s="1657">
        <f t="shared" si="440"/>
        <v>13</v>
      </c>
      <c r="CF152" s="1657">
        <f t="shared" si="440"/>
        <v>14</v>
      </c>
      <c r="CG152" s="1657">
        <f t="shared" si="440"/>
        <v>-118</v>
      </c>
      <c r="CH152" s="2238">
        <f t="shared" si="440"/>
        <v>-74</v>
      </c>
      <c r="CI152" s="2239">
        <f t="shared" si="440"/>
        <v>2</v>
      </c>
      <c r="CJ152" s="2239">
        <f>CJ149+CJ150</f>
        <v>1</v>
      </c>
      <c r="CK152" s="2239">
        <f t="shared" si="440"/>
        <v>8</v>
      </c>
      <c r="CL152" s="2239">
        <f t="shared" si="440"/>
        <v>-4.9000000000000004</v>
      </c>
      <c r="CM152" s="2238">
        <f t="shared" si="440"/>
        <v>6.1</v>
      </c>
      <c r="CN152" s="2239">
        <f t="shared" si="440"/>
        <v>0</v>
      </c>
      <c r="CO152" s="2239">
        <f>CO149+CO150</f>
        <v>-76.75</v>
      </c>
      <c r="CP152" s="2239">
        <f t="shared" si="440"/>
        <v>-22.25</v>
      </c>
      <c r="CQ152" s="2240">
        <f t="shared" si="440"/>
        <v>7</v>
      </c>
      <c r="CR152" s="2265">
        <f t="shared" ref="CR152:CW152" si="441">CR149+CR150</f>
        <v>-92</v>
      </c>
      <c r="CS152" s="2242">
        <f t="shared" ref="CS152" si="442">CS149+CS150</f>
        <v>-9</v>
      </c>
      <c r="CT152" s="2240">
        <f>CT149+CT150</f>
        <v>40</v>
      </c>
      <c r="CU152" s="2242">
        <f t="shared" si="441"/>
        <v>-10</v>
      </c>
      <c r="CV152" s="2263">
        <f t="shared" ref="CV152" si="443">CV149+CV150</f>
        <v>-12</v>
      </c>
      <c r="CW152" s="2244">
        <f t="shared" si="441"/>
        <v>9</v>
      </c>
      <c r="CX152" s="2263">
        <f>CX149+CX150+CX151</f>
        <v>77</v>
      </c>
      <c r="CY152" s="2263">
        <f t="shared" ref="CY152:DG152" si="444">CY149+CY150+CY151</f>
        <v>-20</v>
      </c>
      <c r="CZ152" s="2263">
        <f t="shared" si="444"/>
        <v>189</v>
      </c>
      <c r="DA152" s="2263">
        <f>DA149+DA150+DA151</f>
        <v>732</v>
      </c>
      <c r="DB152" s="2374">
        <f t="shared" si="444"/>
        <v>978</v>
      </c>
      <c r="DC152" s="2242">
        <f t="shared" si="444"/>
        <v>-15</v>
      </c>
      <c r="DD152" s="2242">
        <f t="shared" si="444"/>
        <v>-15</v>
      </c>
      <c r="DE152" s="2242">
        <f t="shared" si="444"/>
        <v>-15</v>
      </c>
      <c r="DF152" s="2242">
        <f t="shared" si="444"/>
        <v>-15</v>
      </c>
      <c r="DG152" s="2264">
        <f t="shared" si="444"/>
        <v>-60</v>
      </c>
      <c r="DH152" s="2243"/>
      <c r="DI152" s="2243"/>
      <c r="DJ152" s="2243"/>
      <c r="DK152" s="2243"/>
      <c r="DL152" s="2245"/>
      <c r="DM152" s="2243"/>
      <c r="DN152" s="2243"/>
      <c r="DO152" s="2243"/>
      <c r="DP152" s="2243"/>
      <c r="DQ152" s="2245"/>
      <c r="DR152" s="2243"/>
      <c r="DS152" s="2243"/>
      <c r="DT152" s="2243"/>
      <c r="DU152" s="2243"/>
      <c r="DV152" s="2245"/>
      <c r="DW152" s="2243"/>
      <c r="DX152" s="2243"/>
      <c r="DY152" s="2243"/>
      <c r="DZ152" s="2243"/>
      <c r="EA152" s="2245"/>
      <c r="ED152" s="825"/>
      <c r="EE152" s="825"/>
      <c r="EF152" s="825"/>
      <c r="EG152" s="825"/>
      <c r="EH152" s="825"/>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row>
    <row r="153" spans="1:259" s="824" customFormat="1" ht="15" x14ac:dyDescent="0.35">
      <c r="A153" s="824" t="s">
        <v>83</v>
      </c>
      <c r="B153" s="1643"/>
      <c r="C153" s="1643"/>
      <c r="D153" s="1643"/>
      <c r="E153" s="1643"/>
      <c r="F153" s="1643"/>
      <c r="G153" s="1643"/>
      <c r="H153" s="1643"/>
      <c r="I153" s="1643"/>
      <c r="J153" s="1643"/>
      <c r="K153" s="1643"/>
      <c r="L153" s="1643"/>
      <c r="M153" s="1643"/>
      <c r="N153" s="1643"/>
      <c r="O153" s="1643"/>
      <c r="P153" s="1643"/>
      <c r="Q153" s="1643"/>
      <c r="R153" s="1643"/>
      <c r="S153" s="1643"/>
      <c r="T153" s="1643"/>
      <c r="U153" s="1643"/>
      <c r="V153" s="1643"/>
      <c r="W153" s="1643"/>
      <c r="X153" s="1643"/>
      <c r="Y153" s="1643"/>
      <c r="Z153" s="1643"/>
      <c r="AA153" s="1643"/>
      <c r="AB153" s="1643"/>
      <c r="AC153" s="1643"/>
      <c r="AD153" s="1643"/>
      <c r="AE153" s="1643"/>
      <c r="AF153" s="1643"/>
      <c r="AG153" s="1643"/>
      <c r="AH153" s="1643"/>
      <c r="AI153" s="1643"/>
      <c r="AJ153" s="1643"/>
      <c r="AK153" s="1643"/>
      <c r="AL153" s="1643"/>
      <c r="AM153" s="1643"/>
      <c r="AN153" s="1643"/>
      <c r="AO153" s="1643"/>
      <c r="AP153" s="1643"/>
      <c r="AQ153" s="1643"/>
      <c r="AR153" s="1643"/>
      <c r="AS153" s="1643"/>
      <c r="AT153" s="1643"/>
      <c r="AU153" s="1643"/>
      <c r="AV153" s="1643"/>
      <c r="AW153" s="1643"/>
      <c r="AX153" s="1643"/>
      <c r="AY153" s="1643"/>
      <c r="AZ153" s="1643"/>
      <c r="BA153" s="1643"/>
      <c r="BB153" s="1643"/>
      <c r="BC153" s="1643"/>
      <c r="BD153" s="1643"/>
      <c r="BE153" s="1643"/>
      <c r="BF153" s="1653"/>
      <c r="BG153" s="1653"/>
      <c r="BH153" s="1653"/>
      <c r="BI153" s="1653"/>
      <c r="BJ153" s="1653"/>
      <c r="BK153" s="1653"/>
      <c r="BL153" s="1653"/>
      <c r="BM153" s="1653"/>
      <c r="BN153" s="1653"/>
      <c r="BO153" s="1662">
        <v>22</v>
      </c>
      <c r="BP153" s="1662">
        <v>-2</v>
      </c>
      <c r="BQ153" s="1662">
        <v>-1</v>
      </c>
      <c r="BR153" s="1662">
        <v>-12</v>
      </c>
      <c r="BS153" s="1663">
        <f>SUM(BO153:BR153)</f>
        <v>7</v>
      </c>
      <c r="BT153" s="1662">
        <v>24</v>
      </c>
      <c r="BU153" s="1662">
        <v>2</v>
      </c>
      <c r="BV153" s="1662">
        <v>70</v>
      </c>
      <c r="BW153" s="1662">
        <v>27</v>
      </c>
      <c r="BX153" s="1663">
        <f>SUM(BT153:BW153)</f>
        <v>123</v>
      </c>
      <c r="BY153" s="1662">
        <v>-7</v>
      </c>
      <c r="BZ153" s="1662">
        <v>-2</v>
      </c>
      <c r="CA153" s="1662">
        <v>0</v>
      </c>
      <c r="CB153" s="1662">
        <v>10</v>
      </c>
      <c r="CC153" s="1663">
        <f t="shared" si="436"/>
        <v>1</v>
      </c>
      <c r="CD153" s="1664">
        <v>-6</v>
      </c>
      <c r="CE153" s="1664">
        <v>-9</v>
      </c>
      <c r="CF153" s="1664">
        <v>12</v>
      </c>
      <c r="CG153" s="1664">
        <v>44</v>
      </c>
      <c r="CH153" s="2254">
        <f t="shared" si="437"/>
        <v>41</v>
      </c>
      <c r="CI153" s="2255">
        <v>-1</v>
      </c>
      <c r="CJ153" s="2255">
        <v>0</v>
      </c>
      <c r="CK153" s="2255">
        <v>-5</v>
      </c>
      <c r="CL153" s="2255">
        <v>2.4000000000000057</v>
      </c>
      <c r="CM153" s="2254">
        <v>-3.5999999999999943</v>
      </c>
      <c r="CN153" s="2255">
        <v>0</v>
      </c>
      <c r="CO153" s="2255">
        <f>CR153-CQ153-CP153</f>
        <v>2</v>
      </c>
      <c r="CP153" s="2255">
        <v>3</v>
      </c>
      <c r="CQ153" s="2256">
        <v>-9</v>
      </c>
      <c r="CR153" s="2257">
        <v>-4</v>
      </c>
      <c r="CS153" s="2258">
        <v>2</v>
      </c>
      <c r="CT153" s="2256">
        <v>-7</v>
      </c>
      <c r="CU153" s="2258">
        <v>5</v>
      </c>
      <c r="CV153" s="2259">
        <v>24</v>
      </c>
      <c r="CW153" s="2260">
        <f>SUM(CS153:CV153)</f>
        <v>24</v>
      </c>
      <c r="CX153" s="2259">
        <v>-34</v>
      </c>
      <c r="CY153" s="2259">
        <v>-17</v>
      </c>
      <c r="CZ153" s="2259">
        <v>-13</v>
      </c>
      <c r="DA153" s="2259">
        <f>-192+-434</f>
        <v>-626</v>
      </c>
      <c r="DB153" s="2260">
        <f t="shared" ref="DB153" si="445">-DB152*DB78</f>
        <v>-401.69393139841691</v>
      </c>
      <c r="DC153" s="2259">
        <f t="shared" ref="DC153" si="446">-DC152*DC78</f>
        <v>2.9250000000000003</v>
      </c>
      <c r="DD153" s="2259">
        <f t="shared" ref="DD153:DE153" si="447">-DD152*DD78</f>
        <v>2.9250000000000003</v>
      </c>
      <c r="DE153" s="2259">
        <f t="shared" si="447"/>
        <v>2.9250000000000003</v>
      </c>
      <c r="DF153" s="2259">
        <f t="shared" ref="DF153" si="448">-DF152*DF78</f>
        <v>2.9250000000000003</v>
      </c>
      <c r="DG153" s="2260">
        <f t="shared" ref="DG153" si="449">-DG152*DG78</f>
        <v>11.700000000000003</v>
      </c>
      <c r="DH153" s="2259"/>
      <c r="DI153" s="2259"/>
      <c r="DJ153" s="2259"/>
      <c r="DK153" s="2259"/>
      <c r="DL153" s="2261"/>
      <c r="DM153" s="2259"/>
      <c r="DN153" s="2259"/>
      <c r="DO153" s="2259"/>
      <c r="DP153" s="2259"/>
      <c r="DQ153" s="2261"/>
      <c r="DR153" s="2259"/>
      <c r="DS153" s="2259"/>
      <c r="DT153" s="2259"/>
      <c r="DU153" s="2259"/>
      <c r="DV153" s="2261"/>
      <c r="DW153" s="2259"/>
      <c r="DX153" s="2259"/>
      <c r="DY153" s="2259"/>
      <c r="DZ153" s="2259"/>
      <c r="EA153" s="2261"/>
      <c r="ED153" s="825"/>
      <c r="EE153" s="825"/>
      <c r="EF153" s="825"/>
      <c r="EG153" s="825"/>
      <c r="EH153" s="825"/>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row>
    <row r="154" spans="1:259" s="824" customFormat="1" x14ac:dyDescent="0.2">
      <c r="A154" s="824" t="s">
        <v>84</v>
      </c>
      <c r="B154" s="1643"/>
      <c r="C154" s="1643"/>
      <c r="D154" s="1643"/>
      <c r="E154" s="1643"/>
      <c r="F154" s="1643"/>
      <c r="G154" s="1643"/>
      <c r="H154" s="1643"/>
      <c r="I154" s="1643"/>
      <c r="J154" s="1643"/>
      <c r="K154" s="1643"/>
      <c r="L154" s="1643"/>
      <c r="M154" s="1643"/>
      <c r="N154" s="1643"/>
      <c r="O154" s="1643"/>
      <c r="P154" s="1643"/>
      <c r="Q154" s="1643"/>
      <c r="R154" s="1643"/>
      <c r="S154" s="1643"/>
      <c r="T154" s="1643"/>
      <c r="U154" s="1643"/>
      <c r="V154" s="1643"/>
      <c r="W154" s="1643"/>
      <c r="X154" s="1643"/>
      <c r="Y154" s="1643"/>
      <c r="Z154" s="1643"/>
      <c r="AA154" s="1643"/>
      <c r="AB154" s="1643"/>
      <c r="AC154" s="1643"/>
      <c r="AD154" s="1643"/>
      <c r="AE154" s="1643"/>
      <c r="AF154" s="1643"/>
      <c r="AG154" s="1643"/>
      <c r="AH154" s="1643"/>
      <c r="AI154" s="1643"/>
      <c r="AJ154" s="1643"/>
      <c r="AK154" s="1643"/>
      <c r="AL154" s="1643"/>
      <c r="AM154" s="1643"/>
      <c r="AN154" s="1643"/>
      <c r="AO154" s="1643"/>
      <c r="AP154" s="1643"/>
      <c r="AQ154" s="1643"/>
      <c r="AR154" s="1643"/>
      <c r="AS154" s="1643"/>
      <c r="AT154" s="1643"/>
      <c r="AU154" s="1643"/>
      <c r="AV154" s="1643"/>
      <c r="AW154" s="1643"/>
      <c r="AX154" s="1643"/>
      <c r="AY154" s="1643"/>
      <c r="AZ154" s="1643"/>
      <c r="BA154" s="1643"/>
      <c r="BB154" s="1643"/>
      <c r="BC154" s="1643"/>
      <c r="BD154" s="1643"/>
      <c r="BE154" s="1643"/>
      <c r="BF154" s="1653"/>
      <c r="BG154" s="1653"/>
      <c r="BH154" s="1653"/>
      <c r="BI154" s="1653"/>
      <c r="BJ154" s="1653"/>
      <c r="BK154" s="1653"/>
      <c r="BL154" s="1653"/>
      <c r="BM154" s="1653"/>
      <c r="BN154" s="1653"/>
      <c r="BO154" s="1658">
        <f t="shared" ref="BO154:CQ154" si="450">BO152+BO153</f>
        <v>-37</v>
      </c>
      <c r="BP154" s="1658">
        <f t="shared" si="450"/>
        <v>4</v>
      </c>
      <c r="BQ154" s="1658">
        <f t="shared" si="450"/>
        <v>1</v>
      </c>
      <c r="BR154" s="1658">
        <f t="shared" si="450"/>
        <v>21</v>
      </c>
      <c r="BS154" s="1418">
        <f t="shared" si="450"/>
        <v>-11</v>
      </c>
      <c r="BT154" s="1658">
        <f t="shared" si="450"/>
        <v>-41</v>
      </c>
      <c r="BU154" s="1658">
        <f t="shared" si="450"/>
        <v>-4</v>
      </c>
      <c r="BV154" s="1658">
        <f t="shared" si="450"/>
        <v>58</v>
      </c>
      <c r="BW154" s="1658">
        <f t="shared" si="450"/>
        <v>-1</v>
      </c>
      <c r="BX154" s="1418">
        <f t="shared" si="450"/>
        <v>12</v>
      </c>
      <c r="BY154" s="1658">
        <f t="shared" si="450"/>
        <v>115</v>
      </c>
      <c r="BZ154" s="1658">
        <f t="shared" si="450"/>
        <v>14</v>
      </c>
      <c r="CA154" s="1658">
        <f t="shared" si="450"/>
        <v>4</v>
      </c>
      <c r="CB154" s="1658">
        <f t="shared" si="450"/>
        <v>-4</v>
      </c>
      <c r="CC154" s="1418">
        <f t="shared" si="450"/>
        <v>129</v>
      </c>
      <c r="CD154" s="1657">
        <f t="shared" si="450"/>
        <v>11</v>
      </c>
      <c r="CE154" s="1657">
        <f t="shared" si="450"/>
        <v>4</v>
      </c>
      <c r="CF154" s="1657">
        <f t="shared" si="450"/>
        <v>26</v>
      </c>
      <c r="CG154" s="1657">
        <f t="shared" si="450"/>
        <v>-74</v>
      </c>
      <c r="CH154" s="2238">
        <f t="shared" si="450"/>
        <v>-33</v>
      </c>
      <c r="CI154" s="2239">
        <f t="shared" si="450"/>
        <v>1</v>
      </c>
      <c r="CJ154" s="2239">
        <f>CJ152+CJ153</f>
        <v>1</v>
      </c>
      <c r="CK154" s="2239">
        <f t="shared" si="450"/>
        <v>3</v>
      </c>
      <c r="CL154" s="2239">
        <f t="shared" si="450"/>
        <v>-2.4999999999999947</v>
      </c>
      <c r="CM154" s="2238">
        <f t="shared" si="450"/>
        <v>2.5000000000000053</v>
      </c>
      <c r="CN154" s="2239">
        <f>CN152+CN153</f>
        <v>0</v>
      </c>
      <c r="CO154" s="2239">
        <f>CO152+CO153</f>
        <v>-74.75</v>
      </c>
      <c r="CP154" s="2239">
        <f t="shared" si="450"/>
        <v>-19.25</v>
      </c>
      <c r="CQ154" s="2240">
        <f t="shared" si="450"/>
        <v>-2</v>
      </c>
      <c r="CR154" s="2265">
        <f t="shared" ref="CR154:CW154" si="451">CR152+CR153</f>
        <v>-96</v>
      </c>
      <c r="CS154" s="2242">
        <f t="shared" si="451"/>
        <v>-7</v>
      </c>
      <c r="CT154" s="2240">
        <f t="shared" si="451"/>
        <v>33</v>
      </c>
      <c r="CU154" s="2242">
        <f t="shared" si="451"/>
        <v>-5</v>
      </c>
      <c r="CV154" s="2243">
        <f t="shared" si="451"/>
        <v>12</v>
      </c>
      <c r="CW154" s="2244">
        <f t="shared" si="451"/>
        <v>33</v>
      </c>
      <c r="CX154" s="2263">
        <f t="shared" ref="CX154:DG154" si="452">CX152+CX153</f>
        <v>43</v>
      </c>
      <c r="CY154" s="2263">
        <f t="shared" si="452"/>
        <v>-37</v>
      </c>
      <c r="CZ154" s="2263">
        <f t="shared" si="452"/>
        <v>176</v>
      </c>
      <c r="DA154" s="2263">
        <f t="shared" si="452"/>
        <v>106</v>
      </c>
      <c r="DB154" s="2374">
        <f t="shared" si="452"/>
        <v>576.30606860158309</v>
      </c>
      <c r="DC154" s="2242">
        <f t="shared" si="452"/>
        <v>-12.074999999999999</v>
      </c>
      <c r="DD154" s="2242">
        <f t="shared" si="452"/>
        <v>-12.074999999999999</v>
      </c>
      <c r="DE154" s="2242">
        <f t="shared" si="452"/>
        <v>-12.074999999999999</v>
      </c>
      <c r="DF154" s="2242">
        <f t="shared" si="452"/>
        <v>-12.074999999999999</v>
      </c>
      <c r="DG154" s="2264">
        <f t="shared" si="452"/>
        <v>-48.3</v>
      </c>
      <c r="DH154" s="2243"/>
      <c r="DI154" s="2243"/>
      <c r="DJ154" s="2243"/>
      <c r="DK154" s="2243"/>
      <c r="DL154" s="2245"/>
      <c r="DM154" s="2243"/>
      <c r="DN154" s="2243"/>
      <c r="DO154" s="2243"/>
      <c r="DP154" s="2243"/>
      <c r="DQ154" s="2245"/>
      <c r="DR154" s="2243"/>
      <c r="DS154" s="2243"/>
      <c r="DT154" s="2243"/>
      <c r="DU154" s="2243"/>
      <c r="DV154" s="2245"/>
      <c r="DW154" s="2243"/>
      <c r="DX154" s="2243"/>
      <c r="DY154" s="2243"/>
      <c r="DZ154" s="2243"/>
      <c r="EA154" s="2245"/>
      <c r="ED154" s="825"/>
      <c r="EE154" s="825"/>
      <c r="EF154" s="825"/>
      <c r="EG154" s="825"/>
      <c r="EH154" s="825"/>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row>
    <row r="155" spans="1:259" s="824" customFormat="1" ht="15" x14ac:dyDescent="0.35">
      <c r="A155" s="824" t="s">
        <v>85</v>
      </c>
      <c r="B155" s="1643"/>
      <c r="C155" s="1643"/>
      <c r="D155" s="1643"/>
      <c r="E155" s="1643"/>
      <c r="F155" s="1643"/>
      <c r="G155" s="1643"/>
      <c r="H155" s="1643"/>
      <c r="I155" s="1643"/>
      <c r="J155" s="1643"/>
      <c r="K155" s="1643"/>
      <c r="L155" s="1643"/>
      <c r="M155" s="1643"/>
      <c r="N155" s="1643"/>
      <c r="O155" s="1643"/>
      <c r="P155" s="1643"/>
      <c r="Q155" s="1643"/>
      <c r="R155" s="1643"/>
      <c r="S155" s="1643"/>
      <c r="T155" s="1643"/>
      <c r="U155" s="1643"/>
      <c r="V155" s="1643"/>
      <c r="W155" s="1643"/>
      <c r="X155" s="1643"/>
      <c r="Y155" s="1643"/>
      <c r="Z155" s="1643"/>
      <c r="AA155" s="1643"/>
      <c r="AB155" s="1643"/>
      <c r="AC155" s="1643"/>
      <c r="AD155" s="1643"/>
      <c r="AE155" s="1643"/>
      <c r="AF155" s="1643"/>
      <c r="AG155" s="1643"/>
      <c r="AH155" s="1643"/>
      <c r="AI155" s="1643"/>
      <c r="AJ155" s="1643"/>
      <c r="AK155" s="1643"/>
      <c r="AL155" s="1643"/>
      <c r="AM155" s="1643"/>
      <c r="AN155" s="1643"/>
      <c r="AO155" s="1643"/>
      <c r="AP155" s="1643"/>
      <c r="AQ155" s="1643"/>
      <c r="AR155" s="1643"/>
      <c r="AS155" s="1643"/>
      <c r="AT155" s="1643"/>
      <c r="AU155" s="1643"/>
      <c r="AV155" s="1643"/>
      <c r="AW155" s="1643"/>
      <c r="AX155" s="1643"/>
      <c r="AY155" s="1643"/>
      <c r="AZ155" s="1643"/>
      <c r="BA155" s="1643"/>
      <c r="BB155" s="1643"/>
      <c r="BC155" s="1643"/>
      <c r="BD155" s="1643"/>
      <c r="BE155" s="1643"/>
      <c r="BF155" s="1653"/>
      <c r="BG155" s="1653"/>
      <c r="BH155" s="1653"/>
      <c r="BI155" s="1653"/>
      <c r="BJ155" s="1653"/>
      <c r="BK155" s="1653"/>
      <c r="BL155" s="1653"/>
      <c r="BM155" s="1653"/>
      <c r="BN155" s="1653"/>
      <c r="BO155" s="1662">
        <v>0</v>
      </c>
      <c r="BP155" s="1662">
        <v>0</v>
      </c>
      <c r="BQ155" s="1662">
        <v>0</v>
      </c>
      <c r="BR155" s="1662">
        <v>0</v>
      </c>
      <c r="BS155" s="1663">
        <f>SUM(BO155:BR155)</f>
        <v>0</v>
      </c>
      <c r="BT155" s="1662">
        <v>0</v>
      </c>
      <c r="BU155" s="1662">
        <v>0</v>
      </c>
      <c r="BV155" s="1662">
        <v>0</v>
      </c>
      <c r="BW155" s="1662">
        <v>0</v>
      </c>
      <c r="BX155" s="1663">
        <f>SUM(BT155:BW155)</f>
        <v>0</v>
      </c>
      <c r="BY155" s="1662">
        <v>0</v>
      </c>
      <c r="BZ155" s="1662">
        <v>0</v>
      </c>
      <c r="CA155" s="1662">
        <v>0</v>
      </c>
      <c r="CB155" s="1662">
        <v>0</v>
      </c>
      <c r="CC155" s="1663">
        <f t="shared" si="436"/>
        <v>0</v>
      </c>
      <c r="CD155" s="1664">
        <v>0</v>
      </c>
      <c r="CE155" s="1664">
        <v>0</v>
      </c>
      <c r="CF155" s="1664">
        <v>19</v>
      </c>
      <c r="CG155" s="1664">
        <v>0</v>
      </c>
      <c r="CH155" s="2254">
        <f t="shared" si="437"/>
        <v>19</v>
      </c>
      <c r="CI155" s="2255">
        <v>0</v>
      </c>
      <c r="CJ155" s="2255">
        <v>0</v>
      </c>
      <c r="CK155" s="2255">
        <v>0</v>
      </c>
      <c r="CL155" s="2255">
        <v>0</v>
      </c>
      <c r="CM155" s="2238">
        <v>0</v>
      </c>
      <c r="CN155" s="2255">
        <v>0</v>
      </c>
      <c r="CO155" s="2255">
        <v>0</v>
      </c>
      <c r="CP155" s="2255">
        <v>0</v>
      </c>
      <c r="CQ155" s="2256">
        <v>0</v>
      </c>
      <c r="CR155" s="2241">
        <v>0</v>
      </c>
      <c r="CS155" s="2258">
        <v>0</v>
      </c>
      <c r="CT155" s="2256">
        <v>0</v>
      </c>
      <c r="CU155" s="2258">
        <v>0</v>
      </c>
      <c r="CV155" s="2259">
        <v>0</v>
      </c>
      <c r="CW155" s="2260">
        <v>0</v>
      </c>
      <c r="CX155" s="2266">
        <v>0</v>
      </c>
      <c r="CY155" s="2259">
        <v>0</v>
      </c>
      <c r="CZ155" s="2259">
        <v>0</v>
      </c>
      <c r="DA155" s="2259">
        <v>0</v>
      </c>
      <c r="DB155" s="2260">
        <v>0</v>
      </c>
      <c r="DC155" s="2259"/>
      <c r="DD155" s="2259"/>
      <c r="DE155" s="2259"/>
      <c r="DF155" s="2259"/>
      <c r="DG155" s="2260"/>
      <c r="DH155" s="2259"/>
      <c r="DI155" s="2259"/>
      <c r="DJ155" s="2259"/>
      <c r="DK155" s="2259"/>
      <c r="DL155" s="2261"/>
      <c r="DM155" s="2259"/>
      <c r="DN155" s="2259"/>
      <c r="DO155" s="2259"/>
      <c r="DP155" s="2259"/>
      <c r="DQ155" s="2261"/>
      <c r="DR155" s="2259"/>
      <c r="DS155" s="2259"/>
      <c r="DT155" s="2259"/>
      <c r="DU155" s="2259"/>
      <c r="DV155" s="2261"/>
      <c r="DW155" s="2259"/>
      <c r="DX155" s="2259"/>
      <c r="DY155" s="2259"/>
      <c r="DZ155" s="2259"/>
      <c r="EA155" s="2261"/>
      <c r="ED155" s="825"/>
      <c r="EE155" s="825"/>
      <c r="EF155" s="825"/>
      <c r="EG155" s="825"/>
      <c r="EH155" s="82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row>
    <row r="156" spans="1:259" s="824" customFormat="1" x14ac:dyDescent="0.2">
      <c r="A156" s="824" t="s">
        <v>86</v>
      </c>
      <c r="B156" s="1643"/>
      <c r="C156" s="1643"/>
      <c r="D156" s="1643"/>
      <c r="E156" s="1643"/>
      <c r="F156" s="1643"/>
      <c r="G156" s="1643"/>
      <c r="H156" s="1643"/>
      <c r="I156" s="1643"/>
      <c r="J156" s="1643"/>
      <c r="K156" s="1643"/>
      <c r="L156" s="1643"/>
      <c r="M156" s="1643"/>
      <c r="N156" s="1643"/>
      <c r="O156" s="1643"/>
      <c r="P156" s="1643"/>
      <c r="Q156" s="1643"/>
      <c r="R156" s="1643"/>
      <c r="S156" s="1643"/>
      <c r="T156" s="1643"/>
      <c r="U156" s="1643"/>
      <c r="V156" s="1643"/>
      <c r="W156" s="1643"/>
      <c r="X156" s="1643"/>
      <c r="Y156" s="1643"/>
      <c r="Z156" s="1643"/>
      <c r="AA156" s="1643"/>
      <c r="AB156" s="1643"/>
      <c r="AC156" s="1643"/>
      <c r="AD156" s="1643"/>
      <c r="AE156" s="1643"/>
      <c r="AF156" s="1643"/>
      <c r="AG156" s="1643"/>
      <c r="AH156" s="1643"/>
      <c r="AI156" s="1643"/>
      <c r="AJ156" s="1643"/>
      <c r="AK156" s="1643"/>
      <c r="AL156" s="1643"/>
      <c r="AM156" s="1643"/>
      <c r="AN156" s="1643"/>
      <c r="AO156" s="1643"/>
      <c r="AP156" s="1643"/>
      <c r="AQ156" s="1643"/>
      <c r="AR156" s="1643"/>
      <c r="AS156" s="1643"/>
      <c r="AT156" s="1643"/>
      <c r="AU156" s="1643"/>
      <c r="AV156" s="1643"/>
      <c r="AW156" s="1643"/>
      <c r="AX156" s="1643"/>
      <c r="AY156" s="1643"/>
      <c r="AZ156" s="1643"/>
      <c r="BA156" s="1643"/>
      <c r="BB156" s="1643"/>
      <c r="BC156" s="1643"/>
      <c r="BD156" s="1643"/>
      <c r="BE156" s="1643"/>
      <c r="BF156" s="1653"/>
      <c r="BG156" s="1653"/>
      <c r="BH156" s="1653"/>
      <c r="BI156" s="1653"/>
      <c r="BJ156" s="1653"/>
      <c r="BK156" s="1653"/>
      <c r="BL156" s="1653"/>
      <c r="BM156" s="1653"/>
      <c r="BN156" s="1653"/>
      <c r="BO156" s="1658">
        <f t="shared" ref="BO156:CQ156" si="453">BO154+BO155</f>
        <v>-37</v>
      </c>
      <c r="BP156" s="1658">
        <f t="shared" si="453"/>
        <v>4</v>
      </c>
      <c r="BQ156" s="1658">
        <f t="shared" si="453"/>
        <v>1</v>
      </c>
      <c r="BR156" s="1658">
        <f t="shared" si="453"/>
        <v>21</v>
      </c>
      <c r="BS156" s="1418">
        <f t="shared" si="453"/>
        <v>-11</v>
      </c>
      <c r="BT156" s="1658">
        <f t="shared" si="453"/>
        <v>-41</v>
      </c>
      <c r="BU156" s="1658">
        <f t="shared" si="453"/>
        <v>-4</v>
      </c>
      <c r="BV156" s="1658">
        <f t="shared" si="453"/>
        <v>58</v>
      </c>
      <c r="BW156" s="1658">
        <f t="shared" si="453"/>
        <v>-1</v>
      </c>
      <c r="BX156" s="1418">
        <f t="shared" si="453"/>
        <v>12</v>
      </c>
      <c r="BY156" s="1658">
        <f t="shared" si="453"/>
        <v>115</v>
      </c>
      <c r="BZ156" s="1658">
        <f t="shared" si="453"/>
        <v>14</v>
      </c>
      <c r="CA156" s="1658">
        <f t="shared" si="453"/>
        <v>4</v>
      </c>
      <c r="CB156" s="1658">
        <f t="shared" si="453"/>
        <v>-4</v>
      </c>
      <c r="CC156" s="1418">
        <f t="shared" si="453"/>
        <v>129</v>
      </c>
      <c r="CD156" s="1657">
        <f t="shared" si="453"/>
        <v>11</v>
      </c>
      <c r="CE156" s="1657">
        <f t="shared" si="453"/>
        <v>4</v>
      </c>
      <c r="CF156" s="1657">
        <f t="shared" si="453"/>
        <v>45</v>
      </c>
      <c r="CG156" s="1657">
        <f t="shared" si="453"/>
        <v>-74</v>
      </c>
      <c r="CH156" s="2238">
        <f t="shared" si="453"/>
        <v>-14</v>
      </c>
      <c r="CI156" s="2239">
        <f t="shared" si="453"/>
        <v>1</v>
      </c>
      <c r="CJ156" s="2239">
        <f>CJ154+CJ155</f>
        <v>1</v>
      </c>
      <c r="CK156" s="2239">
        <f t="shared" si="453"/>
        <v>3</v>
      </c>
      <c r="CL156" s="2239">
        <f t="shared" si="453"/>
        <v>-2.4999999999999947</v>
      </c>
      <c r="CM156" s="2238">
        <f t="shared" si="453"/>
        <v>2.5000000000000053</v>
      </c>
      <c r="CN156" s="2239">
        <f>CN154+CN155</f>
        <v>0</v>
      </c>
      <c r="CO156" s="2239">
        <f>CO154+CO155</f>
        <v>-74.75</v>
      </c>
      <c r="CP156" s="2239">
        <f t="shared" si="453"/>
        <v>-19.25</v>
      </c>
      <c r="CQ156" s="2240">
        <f t="shared" si="453"/>
        <v>-2</v>
      </c>
      <c r="CR156" s="2265">
        <f t="shared" ref="CR156:CW156" si="454">CR154+CR155</f>
        <v>-96</v>
      </c>
      <c r="CS156" s="2242">
        <f t="shared" si="454"/>
        <v>-7</v>
      </c>
      <c r="CT156" s="2240">
        <f t="shared" si="454"/>
        <v>33</v>
      </c>
      <c r="CU156" s="2242">
        <f t="shared" si="454"/>
        <v>-5</v>
      </c>
      <c r="CV156" s="2243">
        <f t="shared" si="454"/>
        <v>12</v>
      </c>
      <c r="CW156" s="2244">
        <f t="shared" si="454"/>
        <v>33</v>
      </c>
      <c r="CX156" s="2263">
        <f t="shared" ref="CX156:DG156" si="455">CX154+CX155</f>
        <v>43</v>
      </c>
      <c r="CY156" s="2263">
        <f t="shared" si="455"/>
        <v>-37</v>
      </c>
      <c r="CZ156" s="2263">
        <f t="shared" si="455"/>
        <v>176</v>
      </c>
      <c r="DA156" s="2263">
        <f t="shared" si="455"/>
        <v>106</v>
      </c>
      <c r="DB156" s="2374">
        <f t="shared" si="455"/>
        <v>576.30606860158309</v>
      </c>
      <c r="DC156" s="2242">
        <f t="shared" si="455"/>
        <v>-12.074999999999999</v>
      </c>
      <c r="DD156" s="2242">
        <f t="shared" si="455"/>
        <v>-12.074999999999999</v>
      </c>
      <c r="DE156" s="2242">
        <f t="shared" si="455"/>
        <v>-12.074999999999999</v>
      </c>
      <c r="DF156" s="2242">
        <f t="shared" si="455"/>
        <v>-12.074999999999999</v>
      </c>
      <c r="DG156" s="2264">
        <f t="shared" si="455"/>
        <v>-48.3</v>
      </c>
      <c r="DH156" s="2243"/>
      <c r="DI156" s="2243"/>
      <c r="DJ156" s="2243"/>
      <c r="DK156" s="2243"/>
      <c r="DL156" s="2245"/>
      <c r="DM156" s="2243"/>
      <c r="DN156" s="2243"/>
      <c r="DO156" s="2243"/>
      <c r="DP156" s="2243"/>
      <c r="DQ156" s="2245"/>
      <c r="DR156" s="2243"/>
      <c r="DS156" s="2243"/>
      <c r="DT156" s="2243"/>
      <c r="DU156" s="2243"/>
      <c r="DV156" s="2245"/>
      <c r="DW156" s="2243"/>
      <c r="DX156" s="2243"/>
      <c r="DY156" s="2243"/>
      <c r="DZ156" s="2243"/>
      <c r="EA156" s="2245"/>
      <c r="ED156" s="825"/>
      <c r="EE156" s="825"/>
      <c r="EF156" s="825"/>
      <c r="EG156" s="825"/>
      <c r="EH156" s="825"/>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row>
    <row r="157" spans="1:259" s="824" customFormat="1" x14ac:dyDescent="0.2">
      <c r="A157" s="824" t="s">
        <v>87</v>
      </c>
      <c r="B157" s="1643"/>
      <c r="C157" s="1643"/>
      <c r="D157" s="1643"/>
      <c r="E157" s="1643"/>
      <c r="F157" s="1643"/>
      <c r="G157" s="1643"/>
      <c r="H157" s="1643"/>
      <c r="I157" s="1643"/>
      <c r="J157" s="1643"/>
      <c r="K157" s="1643"/>
      <c r="L157" s="1643"/>
      <c r="M157" s="1643"/>
      <c r="N157" s="1643"/>
      <c r="O157" s="1643"/>
      <c r="P157" s="1643"/>
      <c r="Q157" s="1643"/>
      <c r="R157" s="1643"/>
      <c r="S157" s="1643"/>
      <c r="T157" s="1643"/>
      <c r="U157" s="1643"/>
      <c r="V157" s="1643"/>
      <c r="W157" s="1643"/>
      <c r="X157" s="1643"/>
      <c r="Y157" s="1643"/>
      <c r="Z157" s="1643"/>
      <c r="AA157" s="1643"/>
      <c r="AB157" s="1643"/>
      <c r="AC157" s="1643"/>
      <c r="AD157" s="1643"/>
      <c r="AE157" s="1643"/>
      <c r="AF157" s="1643"/>
      <c r="AG157" s="1643"/>
      <c r="AH157" s="1643"/>
      <c r="AI157" s="1643"/>
      <c r="AJ157" s="1643"/>
      <c r="AK157" s="1643"/>
      <c r="AL157" s="1643"/>
      <c r="AM157" s="1643"/>
      <c r="AN157" s="1643"/>
      <c r="AO157" s="1643"/>
      <c r="AP157" s="1643"/>
      <c r="AQ157" s="1643"/>
      <c r="AR157" s="1643"/>
      <c r="AS157" s="1643"/>
      <c r="AT157" s="1643"/>
      <c r="AU157" s="1643"/>
      <c r="AV157" s="1643"/>
      <c r="AW157" s="1643"/>
      <c r="AX157" s="1643"/>
      <c r="AY157" s="1643"/>
      <c r="AZ157" s="1643"/>
      <c r="BA157" s="1643"/>
      <c r="BB157" s="1643"/>
      <c r="BC157" s="1643"/>
      <c r="BD157" s="1643"/>
      <c r="BE157" s="1643"/>
      <c r="BF157" s="1653"/>
      <c r="BG157" s="1653"/>
      <c r="BH157" s="1653"/>
      <c r="BI157" s="1653"/>
      <c r="BJ157" s="1653"/>
      <c r="BK157" s="1653"/>
      <c r="BL157" s="1653"/>
      <c r="BM157" s="1653"/>
      <c r="BN157" s="1653"/>
      <c r="BO157" s="1658">
        <f t="shared" ref="BO157:CH157" si="456">BO65</f>
        <v>485</v>
      </c>
      <c r="BP157" s="1658">
        <f t="shared" si="456"/>
        <v>485</v>
      </c>
      <c r="BQ157" s="1658">
        <f t="shared" si="456"/>
        <v>484</v>
      </c>
      <c r="BR157" s="1658">
        <f t="shared" si="456"/>
        <v>488</v>
      </c>
      <c r="BS157" s="1418">
        <f t="shared" si="456"/>
        <v>485.5</v>
      </c>
      <c r="BT157" s="1658">
        <f t="shared" si="456"/>
        <v>486</v>
      </c>
      <c r="BU157" s="1658">
        <f t="shared" si="456"/>
        <v>484</v>
      </c>
      <c r="BV157" s="1658">
        <f t="shared" si="456"/>
        <v>481</v>
      </c>
      <c r="BW157" s="1658">
        <f t="shared" si="456"/>
        <v>477</v>
      </c>
      <c r="BX157" s="1418">
        <f t="shared" si="456"/>
        <v>482</v>
      </c>
      <c r="BY157" s="1658">
        <f t="shared" si="456"/>
        <v>478</v>
      </c>
      <c r="BZ157" s="1658">
        <f t="shared" si="456"/>
        <v>477</v>
      </c>
      <c r="CA157" s="1658">
        <f t="shared" si="456"/>
        <v>472</v>
      </c>
      <c r="CB157" s="1658">
        <f t="shared" si="456"/>
        <v>468</v>
      </c>
      <c r="CC157" s="1418">
        <f t="shared" si="456"/>
        <v>473</v>
      </c>
      <c r="CD157" s="1657">
        <f t="shared" si="456"/>
        <v>465</v>
      </c>
      <c r="CE157" s="1657">
        <f t="shared" si="456"/>
        <v>464</v>
      </c>
      <c r="CF157" s="1657">
        <f t="shared" si="456"/>
        <v>461</v>
      </c>
      <c r="CG157" s="1657">
        <f t="shared" si="456"/>
        <v>458</v>
      </c>
      <c r="CH157" s="2238">
        <f t="shared" si="456"/>
        <v>461</v>
      </c>
      <c r="CI157" s="2239">
        <v>456.2</v>
      </c>
      <c r="CJ157" s="2239">
        <v>455</v>
      </c>
      <c r="CK157" s="2239">
        <v>452</v>
      </c>
      <c r="CL157" s="2239">
        <v>441</v>
      </c>
      <c r="CM157" s="2238">
        <v>453</v>
      </c>
      <c r="CN157" s="2239">
        <v>446</v>
      </c>
      <c r="CO157" s="2239">
        <v>445.4</v>
      </c>
      <c r="CP157" s="2239">
        <v>444</v>
      </c>
      <c r="CQ157" s="2240">
        <f t="shared" ref="CQ157:DQ157" si="457">CQ65</f>
        <v>439</v>
      </c>
      <c r="CR157" s="2267">
        <f t="shared" si="457"/>
        <v>443</v>
      </c>
      <c r="CS157" s="2242">
        <f t="shared" si="457"/>
        <v>421</v>
      </c>
      <c r="CT157" s="2242">
        <f t="shared" si="457"/>
        <v>415</v>
      </c>
      <c r="CU157" s="2242">
        <f t="shared" si="457"/>
        <v>395</v>
      </c>
      <c r="CV157" s="2263">
        <f t="shared" si="457"/>
        <v>372</v>
      </c>
      <c r="CW157" s="2267">
        <f t="shared" si="457"/>
        <v>400</v>
      </c>
      <c r="CX157" s="2263">
        <f t="shared" ref="CX157" si="458">CX65</f>
        <v>364</v>
      </c>
      <c r="CY157" s="2263">
        <f t="shared" si="457"/>
        <v>358</v>
      </c>
      <c r="CZ157" s="2263">
        <f t="shared" si="457"/>
        <v>353</v>
      </c>
      <c r="DA157" s="2263">
        <f t="shared" si="457"/>
        <v>345</v>
      </c>
      <c r="DB157" s="2267">
        <f t="shared" si="457"/>
        <v>355</v>
      </c>
      <c r="DC157" s="2242">
        <f t="shared" si="457"/>
        <v>341.17407289130176</v>
      </c>
      <c r="DD157" s="2242">
        <f t="shared" si="457"/>
        <v>334.6840841269177</v>
      </c>
      <c r="DE157" s="2242">
        <f t="shared" si="457"/>
        <v>328.41336338117713</v>
      </c>
      <c r="DF157" s="2242">
        <f t="shared" si="457"/>
        <v>323.51738767298127</v>
      </c>
      <c r="DG157" s="2268">
        <f t="shared" si="457"/>
        <v>331.94722701809451</v>
      </c>
      <c r="DH157" s="2242">
        <f t="shared" si="457"/>
        <v>319.70748451125394</v>
      </c>
      <c r="DI157" s="2242">
        <f t="shared" si="457"/>
        <v>315.78578218490856</v>
      </c>
      <c r="DJ157" s="2242">
        <f t="shared" si="457"/>
        <v>311.9997995120209</v>
      </c>
      <c r="DK157" s="2242">
        <f t="shared" si="457"/>
        <v>309.53046331910298</v>
      </c>
      <c r="DL157" s="2268">
        <f t="shared" si="457"/>
        <v>314.25588238182161</v>
      </c>
      <c r="DM157" s="2242">
        <f t="shared" si="457"/>
        <v>308.03613597238734</v>
      </c>
      <c r="DN157" s="2242">
        <f t="shared" si="457"/>
        <v>306.31411165517261</v>
      </c>
      <c r="DO157" s="2242">
        <f t="shared" si="457"/>
        <v>304.68467605006015</v>
      </c>
      <c r="DP157" s="2242">
        <f t="shared" si="457"/>
        <v>304.33753850904526</v>
      </c>
      <c r="DQ157" s="2268">
        <f t="shared" si="457"/>
        <v>305.84311554666635</v>
      </c>
      <c r="DR157" s="2242">
        <f t="shared" ref="DR157:EA157" si="459">DR65</f>
        <v>303.97206573675351</v>
      </c>
      <c r="DS157" s="2242">
        <f t="shared" si="459"/>
        <v>302.39709243058508</v>
      </c>
      <c r="DT157" s="2242">
        <f t="shared" si="459"/>
        <v>300.91182448336116</v>
      </c>
      <c r="DU157" s="2242">
        <f t="shared" si="459"/>
        <v>300.70596712570375</v>
      </c>
      <c r="DV157" s="2268">
        <f t="shared" si="459"/>
        <v>301.99673744410086</v>
      </c>
      <c r="DW157" s="2242">
        <f t="shared" si="459"/>
        <v>300.47894367938602</v>
      </c>
      <c r="DX157" s="2242">
        <f t="shared" si="459"/>
        <v>299.03970500652554</v>
      </c>
      <c r="DY157" s="2242">
        <f t="shared" si="459"/>
        <v>297.6875102292114</v>
      </c>
      <c r="DZ157" s="2242">
        <f t="shared" si="459"/>
        <v>297.61215027433389</v>
      </c>
      <c r="EA157" s="2268">
        <f t="shared" si="459"/>
        <v>298.70457729736421</v>
      </c>
      <c r="ED157" s="825"/>
      <c r="EE157" s="825"/>
      <c r="EF157" s="825"/>
      <c r="EG157" s="825"/>
      <c r="EH157" s="825"/>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row>
    <row r="158" spans="1:259" s="822" customFormat="1" x14ac:dyDescent="0.2">
      <c r="A158" s="821" t="s">
        <v>88</v>
      </c>
      <c r="B158" s="1652"/>
      <c r="C158" s="1652"/>
      <c r="D158" s="1652"/>
      <c r="E158" s="1652"/>
      <c r="F158" s="1652"/>
      <c r="G158" s="1652"/>
      <c r="H158" s="1652"/>
      <c r="I158" s="1652"/>
      <c r="J158" s="1652"/>
      <c r="K158" s="1652"/>
      <c r="L158" s="1652"/>
      <c r="M158" s="1652"/>
      <c r="N158" s="1652"/>
      <c r="O158" s="1652"/>
      <c r="P158" s="1652"/>
      <c r="Q158" s="1652"/>
      <c r="R158" s="1652"/>
      <c r="S158" s="1652"/>
      <c r="T158" s="1652"/>
      <c r="U158" s="1652"/>
      <c r="V158" s="1652"/>
      <c r="W158" s="1652"/>
      <c r="X158" s="1652"/>
      <c r="Y158" s="1652"/>
      <c r="Z158" s="1652"/>
      <c r="AA158" s="1652"/>
      <c r="AB158" s="1652"/>
      <c r="AC158" s="1652"/>
      <c r="AD158" s="1652"/>
      <c r="AE158" s="1652"/>
      <c r="AF158" s="1652"/>
      <c r="AG158" s="1652"/>
      <c r="AH158" s="1652"/>
      <c r="AI158" s="1652"/>
      <c r="AJ158" s="1652"/>
      <c r="AK158" s="1652"/>
      <c r="AL158" s="1652"/>
      <c r="AM158" s="1652"/>
      <c r="AN158" s="1652"/>
      <c r="AO158" s="1652"/>
      <c r="AP158" s="1652"/>
      <c r="AQ158" s="1652"/>
      <c r="AR158" s="1652"/>
      <c r="AS158" s="1652"/>
      <c r="AT158" s="1652"/>
      <c r="AU158" s="1652"/>
      <c r="AV158" s="1652"/>
      <c r="AW158" s="1652"/>
      <c r="AX158" s="1652"/>
      <c r="AY158" s="1652"/>
      <c r="AZ158" s="1652"/>
      <c r="BA158" s="1652"/>
      <c r="BB158" s="1652"/>
      <c r="BC158" s="1652"/>
      <c r="BD158" s="1652"/>
      <c r="BE158" s="1652"/>
      <c r="BF158" s="1665"/>
      <c r="BG158" s="1665"/>
      <c r="BH158" s="1665"/>
      <c r="BI158" s="1665"/>
      <c r="BJ158" s="1665"/>
      <c r="BK158" s="1665"/>
      <c r="BL158" s="1665"/>
      <c r="BM158" s="1665"/>
      <c r="BN158" s="1665"/>
      <c r="BO158" s="1666">
        <f t="shared" ref="BO158:CH158" si="460">BO156/BO157</f>
        <v>-7.628865979381444E-2</v>
      </c>
      <c r="BP158" s="1666">
        <f t="shared" si="460"/>
        <v>8.2474226804123713E-3</v>
      </c>
      <c r="BQ158" s="1666">
        <f t="shared" si="460"/>
        <v>2.0661157024793389E-3</v>
      </c>
      <c r="BR158" s="1666">
        <f t="shared" si="460"/>
        <v>4.3032786885245901E-2</v>
      </c>
      <c r="BS158" s="1667">
        <f t="shared" si="460"/>
        <v>-2.2657054582904221E-2</v>
      </c>
      <c r="BT158" s="1666">
        <f t="shared" si="460"/>
        <v>-8.4362139917695478E-2</v>
      </c>
      <c r="BU158" s="1666">
        <f t="shared" si="460"/>
        <v>-8.2644628099173556E-3</v>
      </c>
      <c r="BV158" s="1666">
        <f t="shared" si="460"/>
        <v>0.12058212058212059</v>
      </c>
      <c r="BW158" s="1666">
        <f t="shared" si="460"/>
        <v>-2.0964360587002098E-3</v>
      </c>
      <c r="BX158" s="1667">
        <f t="shared" si="460"/>
        <v>2.4896265560165973E-2</v>
      </c>
      <c r="BY158" s="1666">
        <f t="shared" si="460"/>
        <v>0.2405857740585774</v>
      </c>
      <c r="BZ158" s="1666">
        <f t="shared" si="460"/>
        <v>2.9350104821802937E-2</v>
      </c>
      <c r="CA158" s="1666">
        <f t="shared" si="460"/>
        <v>8.4745762711864406E-3</v>
      </c>
      <c r="CB158" s="1666">
        <f t="shared" si="460"/>
        <v>-8.5470085470085479E-3</v>
      </c>
      <c r="CC158" s="1667">
        <f t="shared" si="460"/>
        <v>0.27272727272727271</v>
      </c>
      <c r="CD158" s="1668">
        <f t="shared" si="460"/>
        <v>2.3655913978494623E-2</v>
      </c>
      <c r="CE158" s="1668">
        <f t="shared" si="460"/>
        <v>8.6206896551724137E-3</v>
      </c>
      <c r="CF158" s="1668">
        <f t="shared" si="460"/>
        <v>9.7613882863340565E-2</v>
      </c>
      <c r="CG158" s="1668">
        <f t="shared" si="460"/>
        <v>-0.16157205240174671</v>
      </c>
      <c r="CH158" s="1669">
        <f t="shared" si="460"/>
        <v>-3.0368763557483729E-2</v>
      </c>
      <c r="CI158" s="1668">
        <v>2.1920210434020165E-3</v>
      </c>
      <c r="CJ158" s="1668">
        <v>2.1978021978021978E-3</v>
      </c>
      <c r="CK158" s="1668">
        <v>2.2123893805309734E-2</v>
      </c>
      <c r="CL158" s="1668">
        <v>-0.80952380952380953</v>
      </c>
      <c r="CM158" s="1669">
        <v>0</v>
      </c>
      <c r="CN158" s="1668">
        <v>6.7264573991031393E-3</v>
      </c>
      <c r="CO158" s="1668">
        <v>-0.16838796587337226</v>
      </c>
      <c r="CP158" s="1668">
        <v>-4.954954954954955E-2</v>
      </c>
      <c r="CQ158" s="1908">
        <f>CQ156/CQ157</f>
        <v>-4.5558086560364463E-3</v>
      </c>
      <c r="CR158" s="1968">
        <f>CR156/CR157</f>
        <v>-0.21670428893905191</v>
      </c>
      <c r="CS158" s="2113">
        <f>CS156/CS157</f>
        <v>-1.66270783847981E-2</v>
      </c>
      <c r="CT158" s="2113">
        <f t="shared" ref="CT158:CU158" si="461">CT156/CT157</f>
        <v>7.9518072289156624E-2</v>
      </c>
      <c r="CU158" s="2113">
        <f t="shared" si="461"/>
        <v>-1.2658227848101266E-2</v>
      </c>
      <c r="CV158" s="2269">
        <f>CV156/CV157</f>
        <v>3.2258064516129031E-2</v>
      </c>
      <c r="CW158" s="828">
        <f>CW156/CW157</f>
        <v>8.2500000000000004E-2</v>
      </c>
      <c r="CX158" s="2113">
        <f>CX156/CX157</f>
        <v>0.11813186813186813</v>
      </c>
      <c r="CY158" s="2113">
        <f t="shared" ref="CY158:CZ158" si="462">CY156/CY157</f>
        <v>-0.10335195530726257</v>
      </c>
      <c r="CZ158" s="2113">
        <f t="shared" si="462"/>
        <v>0.49858356940509913</v>
      </c>
      <c r="DA158" s="2269">
        <f>DA156/DA157</f>
        <v>0.30724637681159422</v>
      </c>
      <c r="DB158" s="828">
        <f>DB156/DB157</f>
        <v>1.6233973763424876</v>
      </c>
      <c r="DC158" s="2113">
        <f t="shared" ref="DC158:DE158" si="463">DC156/DC157</f>
        <v>-3.539249010825949E-2</v>
      </c>
      <c r="DD158" s="2113">
        <f t="shared" si="463"/>
        <v>-3.6078799598432534E-2</v>
      </c>
      <c r="DE158" s="2113">
        <f t="shared" si="463"/>
        <v>-3.6767687756922962E-2</v>
      </c>
      <c r="DF158" s="2269">
        <f>DF156/DF157</f>
        <v>-3.732411443741529E-2</v>
      </c>
      <c r="DG158" s="828">
        <f>DG156/DG157</f>
        <v>-0.1455050564328623</v>
      </c>
      <c r="DH158" s="2113">
        <f t="shared" ref="DH158:DJ158" si="464">DH156/DH157</f>
        <v>0</v>
      </c>
      <c r="DI158" s="2113">
        <f t="shared" si="464"/>
        <v>0</v>
      </c>
      <c r="DJ158" s="2113">
        <f t="shared" si="464"/>
        <v>0</v>
      </c>
      <c r="DK158" s="2269">
        <f>DK156/DK157</f>
        <v>0</v>
      </c>
      <c r="DL158" s="828">
        <f>DL156/DL157</f>
        <v>0</v>
      </c>
      <c r="DM158" s="2113">
        <f t="shared" ref="DM158:DO158" si="465">DM156/DM157</f>
        <v>0</v>
      </c>
      <c r="DN158" s="2113">
        <f t="shared" si="465"/>
        <v>0</v>
      </c>
      <c r="DO158" s="2113">
        <f t="shared" si="465"/>
        <v>0</v>
      </c>
      <c r="DP158" s="2269">
        <f>DP156/DP157</f>
        <v>0</v>
      </c>
      <c r="DQ158" s="828">
        <f>DQ156/DQ157</f>
        <v>0</v>
      </c>
      <c r="DR158" s="2113">
        <f t="shared" ref="DR158:DT158" si="466">DR156/DR157</f>
        <v>0</v>
      </c>
      <c r="DS158" s="2113">
        <f t="shared" si="466"/>
        <v>0</v>
      </c>
      <c r="DT158" s="2113">
        <f t="shared" si="466"/>
        <v>0</v>
      </c>
      <c r="DU158" s="2269">
        <f>DU156/DU157</f>
        <v>0</v>
      </c>
      <c r="DV158" s="828">
        <f>DV156/DV157</f>
        <v>0</v>
      </c>
      <c r="DW158" s="2113">
        <f t="shared" ref="DW158:DY158" si="467">DW156/DW157</f>
        <v>0</v>
      </c>
      <c r="DX158" s="2113">
        <f t="shared" si="467"/>
        <v>0</v>
      </c>
      <c r="DY158" s="2113">
        <f t="shared" si="467"/>
        <v>0</v>
      </c>
      <c r="DZ158" s="2269">
        <f>DZ156/DZ157</f>
        <v>0</v>
      </c>
      <c r="EA158" s="828">
        <f>EA156/EA157</f>
        <v>0</v>
      </c>
      <c r="ED158" s="823"/>
      <c r="EE158" s="823"/>
      <c r="EF158" s="823"/>
      <c r="EG158" s="823"/>
      <c r="EH158" s="823"/>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row>
    <row r="159" spans="1:259" s="55" customFormat="1" x14ac:dyDescent="0.2">
      <c r="A159" s="20" t="s">
        <v>89</v>
      </c>
      <c r="B159" s="1652"/>
      <c r="C159" s="1652"/>
      <c r="D159" s="1652"/>
      <c r="E159" s="1652"/>
      <c r="F159" s="1652"/>
      <c r="G159" s="1652"/>
      <c r="H159" s="1652"/>
      <c r="I159" s="1652"/>
      <c r="J159" s="1670"/>
      <c r="K159" s="1652"/>
      <c r="L159" s="1652"/>
      <c r="M159" s="1652"/>
      <c r="N159" s="1652"/>
      <c r="O159" s="1652"/>
      <c r="P159" s="1652"/>
      <c r="Q159" s="1652"/>
      <c r="R159" s="1652"/>
      <c r="S159" s="1652"/>
      <c r="T159" s="1652"/>
      <c r="U159" s="1652"/>
      <c r="V159" s="1652"/>
      <c r="W159" s="1652"/>
      <c r="X159" s="1652"/>
      <c r="Y159" s="1652"/>
      <c r="Z159" s="1652"/>
      <c r="AA159" s="1652"/>
      <c r="AB159" s="1652"/>
      <c r="AC159" s="1652"/>
      <c r="AD159" s="1652"/>
      <c r="AE159" s="1652"/>
      <c r="AF159" s="1652"/>
      <c r="AG159" s="1652"/>
      <c r="AH159" s="1652"/>
      <c r="AI159" s="1652"/>
      <c r="AJ159" s="1652"/>
      <c r="AK159" s="1652"/>
      <c r="AL159" s="1652"/>
      <c r="AM159" s="1652"/>
      <c r="AN159" s="1652"/>
      <c r="AO159" s="1652"/>
      <c r="AP159" s="1652"/>
      <c r="AQ159" s="1652"/>
      <c r="AR159" s="1652"/>
      <c r="AS159" s="1652"/>
      <c r="AT159" s="1652"/>
      <c r="AU159" s="1652"/>
      <c r="AV159" s="1652"/>
      <c r="AW159" s="1652"/>
      <c r="AX159" s="1652"/>
      <c r="AY159" s="1652"/>
      <c r="AZ159" s="1652"/>
      <c r="BA159" s="1652"/>
      <c r="BB159" s="1652"/>
      <c r="BC159" s="1652"/>
      <c r="BD159" s="1652"/>
      <c r="BE159" s="1652"/>
      <c r="BF159" s="1665"/>
      <c r="BG159" s="1665"/>
      <c r="BH159" s="1665"/>
      <c r="BI159" s="1665"/>
      <c r="BJ159" s="1665"/>
      <c r="BK159" s="1665"/>
      <c r="BL159" s="1665"/>
      <c r="BM159" s="1665"/>
      <c r="BN159" s="1665"/>
      <c r="BO159" s="1671">
        <f t="shared" ref="BO159:CH159" si="468">BO38-BO149</f>
        <v>423</v>
      </c>
      <c r="BP159" s="1671">
        <f t="shared" si="468"/>
        <v>415</v>
      </c>
      <c r="BQ159" s="1671">
        <f t="shared" si="468"/>
        <v>542</v>
      </c>
      <c r="BR159" s="1671">
        <f t="shared" si="468"/>
        <v>407</v>
      </c>
      <c r="BS159" s="1672">
        <f t="shared" si="468"/>
        <v>1787</v>
      </c>
      <c r="BT159" s="1671">
        <f t="shared" si="468"/>
        <v>466</v>
      </c>
      <c r="BU159" s="1671">
        <f t="shared" si="468"/>
        <v>425</v>
      </c>
      <c r="BV159" s="1671">
        <f t="shared" si="468"/>
        <v>500</v>
      </c>
      <c r="BW159" s="1671">
        <f t="shared" si="468"/>
        <v>535</v>
      </c>
      <c r="BX159" s="1672">
        <f t="shared" si="468"/>
        <v>1926</v>
      </c>
      <c r="BY159" s="1671">
        <f t="shared" si="468"/>
        <v>523</v>
      </c>
      <c r="BZ159" s="1671">
        <f t="shared" si="468"/>
        <v>457</v>
      </c>
      <c r="CA159" s="1671">
        <f t="shared" si="468"/>
        <v>667</v>
      </c>
      <c r="CB159" s="1671">
        <f t="shared" si="468"/>
        <v>519</v>
      </c>
      <c r="CC159" s="1672">
        <f t="shared" si="468"/>
        <v>2166</v>
      </c>
      <c r="CD159" s="1673">
        <f t="shared" si="468"/>
        <v>361.32650000000012</v>
      </c>
      <c r="CE159" s="1673">
        <f t="shared" si="468"/>
        <v>340.70749999999998</v>
      </c>
      <c r="CF159" s="1673">
        <f t="shared" si="468"/>
        <v>375.53749999999991</v>
      </c>
      <c r="CG159" s="1673">
        <f t="shared" si="468"/>
        <v>409.42849999999999</v>
      </c>
      <c r="CH159" s="1674">
        <f t="shared" si="468"/>
        <v>1487</v>
      </c>
      <c r="CI159" s="1673">
        <v>569</v>
      </c>
      <c r="CJ159" s="1673">
        <v>478</v>
      </c>
      <c r="CK159" s="1673">
        <v>535</v>
      </c>
      <c r="CL159" s="1673">
        <v>421.5</v>
      </c>
      <c r="CM159" s="1674">
        <v>1557</v>
      </c>
      <c r="CN159" s="1673">
        <v>501</v>
      </c>
      <c r="CO159" s="1673">
        <v>449</v>
      </c>
      <c r="CP159" s="1673">
        <v>629</v>
      </c>
      <c r="CQ159" s="1909">
        <f>CQ38-CQ149</f>
        <v>341</v>
      </c>
      <c r="CR159" s="1969">
        <f>CR38-CR152</f>
        <v>1475.2809999999999</v>
      </c>
      <c r="CS159" s="1256">
        <f>CS38-CS152</f>
        <v>358</v>
      </c>
      <c r="CT159" s="1256">
        <f>CT38-CT152</f>
        <v>376</v>
      </c>
      <c r="CU159" s="1256">
        <f>CU38-CU152</f>
        <v>407</v>
      </c>
      <c r="CV159" s="389">
        <f>CV38-CV152+CV143</f>
        <v>507</v>
      </c>
      <c r="CW159" s="390">
        <f>CW38-CW152+CW143</f>
        <v>1648</v>
      </c>
      <c r="CX159" s="1256">
        <f>CX38-CX149</f>
        <v>385</v>
      </c>
      <c r="CY159" s="1256">
        <f>CY38-CY149</f>
        <v>439</v>
      </c>
      <c r="CZ159" s="1256">
        <f t="shared" ref="CZ159:DA159" si="469">CZ38-CZ149</f>
        <v>453</v>
      </c>
      <c r="DA159" s="1256">
        <f t="shared" si="469"/>
        <v>483</v>
      </c>
      <c r="DB159" s="390">
        <f>SUM(CX159:DA159)</f>
        <v>1760</v>
      </c>
      <c r="DC159" s="1256">
        <f>DC38-DC149</f>
        <v>397.98668293142663</v>
      </c>
      <c r="DD159" s="1256">
        <f>DD38-DD149</f>
        <v>418.03868294087664</v>
      </c>
      <c r="DE159" s="1256">
        <f t="shared" ref="DE159:DF159" si="470">DE38-DE149</f>
        <v>452.10979028617669</v>
      </c>
      <c r="DF159" s="1256">
        <f t="shared" si="470"/>
        <v>521.79193321510422</v>
      </c>
      <c r="DG159" s="390">
        <f>SUM(DC159:DF159)</f>
        <v>1789.9270893735843</v>
      </c>
      <c r="DH159" s="389">
        <f t="shared" ref="DH159:DL159" si="471">DH38-DH149</f>
        <v>423.7701717640665</v>
      </c>
      <c r="DI159" s="389">
        <f t="shared" si="471"/>
        <v>445.26211901428735</v>
      </c>
      <c r="DJ159" s="389">
        <f t="shared" si="471"/>
        <v>484.21032773130889</v>
      </c>
      <c r="DK159" s="389">
        <f t="shared" si="471"/>
        <v>563.5888243330561</v>
      </c>
      <c r="DL159" s="390">
        <f t="shared" si="471"/>
        <v>1916.8314428427188</v>
      </c>
      <c r="DM159" s="1256">
        <f>DM38-DM149</f>
        <v>441.71079082116762</v>
      </c>
      <c r="DN159" s="1256">
        <f>DN38-DN149</f>
        <v>468.81057535815313</v>
      </c>
      <c r="DO159" s="1256">
        <f t="shared" ref="DO159:DP159" si="472">DO38-DO149</f>
        <v>516.5565941528231</v>
      </c>
      <c r="DP159" s="1256">
        <f t="shared" si="472"/>
        <v>609.74454418099788</v>
      </c>
      <c r="DQ159" s="390">
        <f>SUM(DM159:DP159)</f>
        <v>2036.8225045131417</v>
      </c>
      <c r="DR159" s="1256">
        <f>DR38-DR149</f>
        <v>478.11412326315411</v>
      </c>
      <c r="DS159" s="1256">
        <f>DS38-DS149</f>
        <v>506.45053680814465</v>
      </c>
      <c r="DT159" s="1256">
        <f t="shared" ref="DT159:DU159" si="473">DT38-DT149</f>
        <v>558.73701193476688</v>
      </c>
      <c r="DU159" s="1256">
        <f t="shared" si="473"/>
        <v>660.27304148395376</v>
      </c>
      <c r="DV159" s="390">
        <f>SUM(DR159:DU159)</f>
        <v>2203.5747134900193</v>
      </c>
      <c r="DW159" s="1256">
        <f>DW38-DW149</f>
        <v>514.79684077725142</v>
      </c>
      <c r="DX159" s="1256">
        <f>DX38-DX149</f>
        <v>545.12985352469502</v>
      </c>
      <c r="DY159" s="1256">
        <f t="shared" ref="DY159:DZ159" si="474">DY38-DY149</f>
        <v>603.4597854851927</v>
      </c>
      <c r="DZ159" s="1256">
        <f t="shared" si="474"/>
        <v>714.23174828714809</v>
      </c>
      <c r="EA159" s="390">
        <f>SUM(DW159:DZ159)</f>
        <v>2377.6182280742873</v>
      </c>
      <c r="EC159" s="18"/>
      <c r="ED159" s="424"/>
      <c r="EE159" s="424"/>
      <c r="EF159" s="424"/>
      <c r="EG159" s="424"/>
      <c r="EH159" s="57"/>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row>
    <row r="160" spans="1:259" s="55" customFormat="1" x14ac:dyDescent="0.2">
      <c r="A160" s="55" t="s">
        <v>685</v>
      </c>
      <c r="B160" s="1365"/>
      <c r="C160" s="1365"/>
      <c r="D160" s="1365"/>
      <c r="E160" s="1365"/>
      <c r="F160" s="1365"/>
      <c r="G160" s="1365"/>
      <c r="H160" s="1365"/>
      <c r="I160" s="1365"/>
      <c r="J160" s="1877"/>
      <c r="K160" s="1365"/>
      <c r="L160" s="1365"/>
      <c r="M160" s="1365"/>
      <c r="N160" s="1365"/>
      <c r="O160" s="1365"/>
      <c r="P160" s="1365"/>
      <c r="Q160" s="1365"/>
      <c r="R160" s="1365"/>
      <c r="S160" s="1365"/>
      <c r="T160" s="1365"/>
      <c r="U160" s="1365"/>
      <c r="V160" s="1365"/>
      <c r="W160" s="1365"/>
      <c r="X160" s="1365"/>
      <c r="Y160" s="1365"/>
      <c r="Z160" s="1365"/>
      <c r="AA160" s="1365"/>
      <c r="AB160" s="1365"/>
      <c r="AC160" s="1365"/>
      <c r="AD160" s="1365"/>
      <c r="AE160" s="1365"/>
      <c r="AF160" s="1365"/>
      <c r="AG160" s="1365"/>
      <c r="AH160" s="1365"/>
      <c r="AI160" s="1365"/>
      <c r="AJ160" s="1365"/>
      <c r="AK160" s="1365"/>
      <c r="AL160" s="1365"/>
      <c r="AM160" s="1365"/>
      <c r="AN160" s="1365"/>
      <c r="AO160" s="1365"/>
      <c r="AP160" s="1365"/>
      <c r="AQ160" s="1365"/>
      <c r="AR160" s="1365"/>
      <c r="AS160" s="1365"/>
      <c r="AT160" s="1365"/>
      <c r="AU160" s="1365"/>
      <c r="AV160" s="1365"/>
      <c r="AW160" s="1365"/>
      <c r="AX160" s="1365"/>
      <c r="AY160" s="1365"/>
      <c r="AZ160" s="1365"/>
      <c r="BA160" s="1365"/>
      <c r="BB160" s="1365"/>
      <c r="BC160" s="1365"/>
      <c r="BD160" s="1365"/>
      <c r="BE160" s="1365"/>
      <c r="BF160" s="1878"/>
      <c r="BG160" s="1878"/>
      <c r="BH160" s="1878"/>
      <c r="BI160" s="1878"/>
      <c r="BJ160" s="1878"/>
      <c r="BK160" s="1878"/>
      <c r="BL160" s="1878"/>
      <c r="BM160" s="1878"/>
      <c r="BN160" s="1878"/>
      <c r="BO160" s="1364"/>
      <c r="BP160" s="1364"/>
      <c r="BQ160" s="1364"/>
      <c r="BR160" s="1364"/>
      <c r="BS160" s="1404"/>
      <c r="BT160" s="1364"/>
      <c r="BU160" s="1364"/>
      <c r="BV160" s="1364"/>
      <c r="BW160" s="1364"/>
      <c r="BX160" s="1404"/>
      <c r="BY160" s="1364"/>
      <c r="BZ160" s="1364"/>
      <c r="CA160" s="1364"/>
      <c r="CB160" s="1364"/>
      <c r="CC160" s="1404"/>
      <c r="CD160" s="1406"/>
      <c r="CE160" s="1406"/>
      <c r="CF160" s="1406"/>
      <c r="CG160" s="1406"/>
      <c r="CH160" s="1879"/>
      <c r="CI160" s="1406"/>
      <c r="CJ160" s="1406"/>
      <c r="CK160" s="1406"/>
      <c r="CL160" s="1406"/>
      <c r="CM160" s="1879"/>
      <c r="CN160" s="1406"/>
      <c r="CO160" s="1406"/>
      <c r="CP160" s="1406"/>
      <c r="CQ160" s="1056">
        <v>0</v>
      </c>
      <c r="CR160" s="971">
        <v>0</v>
      </c>
      <c r="CS160" s="2064">
        <v>-15</v>
      </c>
      <c r="CT160" s="1128">
        <v>-13</v>
      </c>
      <c r="CU160" s="2064">
        <v>-9</v>
      </c>
      <c r="CV160" s="65">
        <v>-10</v>
      </c>
      <c r="CW160" s="81">
        <f>SUM(CS160:CV160)</f>
        <v>-47</v>
      </c>
      <c r="CX160" s="65">
        <v>-5</v>
      </c>
      <c r="CY160" s="65">
        <v>-6</v>
      </c>
      <c r="CZ160" s="65">
        <v>2</v>
      </c>
      <c r="DA160" s="65">
        <v>9</v>
      </c>
      <c r="DB160" s="81">
        <f>SUM(CX160:DA160)</f>
        <v>0</v>
      </c>
      <c r="DC160" s="65"/>
      <c r="DD160" s="65"/>
      <c r="DE160" s="65"/>
      <c r="DF160" s="65"/>
      <c r="DG160" s="81"/>
      <c r="DH160" s="65"/>
      <c r="DI160" s="65"/>
      <c r="DJ160" s="65"/>
      <c r="DK160" s="65"/>
      <c r="DL160" s="81"/>
      <c r="DM160" s="65"/>
      <c r="DN160" s="65"/>
      <c r="DO160" s="65"/>
      <c r="DP160" s="65"/>
      <c r="DQ160" s="81"/>
      <c r="DR160" s="65"/>
      <c r="DS160" s="65"/>
      <c r="DT160" s="65"/>
      <c r="DU160" s="65"/>
      <c r="DV160" s="81"/>
      <c r="DW160" s="65"/>
      <c r="DX160" s="65"/>
      <c r="DY160" s="65"/>
      <c r="DZ160" s="65"/>
      <c r="EA160" s="81"/>
      <c r="EC160" s="18"/>
      <c r="ED160" s="424"/>
      <c r="EE160" s="424"/>
      <c r="EF160" s="424"/>
      <c r="EG160" s="424"/>
      <c r="EH160" s="57"/>
      <c r="EK160"/>
      <c r="EL160"/>
      <c r="EM160"/>
      <c r="EN160"/>
      <c r="EO160"/>
      <c r="EP160"/>
      <c r="EQ160" s="855"/>
      <c r="ER160" s="855"/>
      <c r="ES160" s="855"/>
      <c r="ET160" s="855"/>
      <c r="EU160" s="855"/>
      <c r="EV160" s="855"/>
      <c r="EW160" s="855"/>
      <c r="EX160" s="855"/>
      <c r="EY160" s="855"/>
      <c r="EZ160" s="855"/>
      <c r="FA160" s="855"/>
      <c r="FB160" s="855"/>
      <c r="FC160" s="855"/>
      <c r="FD160" s="855"/>
      <c r="FE160" s="855"/>
      <c r="FF160" s="855"/>
      <c r="FG160" s="855"/>
      <c r="FH160" s="855"/>
      <c r="FI160" s="855"/>
      <c r="FJ160" s="855"/>
      <c r="FK160" s="855"/>
      <c r="FL160" s="855"/>
      <c r="FM160" s="855"/>
      <c r="FN160" s="855"/>
      <c r="FO160" s="855"/>
      <c r="FP160" s="855"/>
      <c r="FQ160" s="855"/>
      <c r="FR160" s="855"/>
      <c r="FS160" s="855"/>
      <c r="FT160" s="855"/>
      <c r="FU160" s="855"/>
      <c r="FV160" s="855"/>
      <c r="FW160" s="855"/>
      <c r="FX160" s="855"/>
      <c r="FY160" s="855"/>
      <c r="FZ160" s="855"/>
      <c r="GA160" s="855"/>
      <c r="GB160" s="855"/>
      <c r="GC160" s="855"/>
      <c r="GD160" s="855"/>
      <c r="GE160" s="855"/>
      <c r="GF160" s="855"/>
      <c r="GG160" s="855"/>
      <c r="GH160" s="855"/>
      <c r="GI160" s="855"/>
      <c r="GJ160" s="855"/>
      <c r="GK160" s="855"/>
      <c r="GL160" s="855"/>
      <c r="GM160" s="855"/>
      <c r="GN160" s="855"/>
      <c r="GO160" s="855"/>
      <c r="GP160" s="855"/>
      <c r="GQ160" s="855"/>
      <c r="GR160" s="855"/>
      <c r="GS160" s="855"/>
      <c r="GT160" s="855"/>
      <c r="GU160" s="855"/>
      <c r="GV160" s="855"/>
      <c r="GW160" s="855"/>
      <c r="GX160" s="855"/>
      <c r="GY160" s="855"/>
      <c r="GZ160" s="855"/>
      <c r="HA160" s="855"/>
      <c r="HB160" s="855"/>
      <c r="HC160" s="855"/>
      <c r="HD160" s="855"/>
      <c r="HE160" s="855"/>
      <c r="HF160" s="855"/>
      <c r="HG160" s="855"/>
      <c r="HH160" s="855"/>
      <c r="HI160" s="855"/>
      <c r="HJ160" s="855"/>
      <c r="HK160" s="855"/>
      <c r="HL160" s="855"/>
      <c r="HM160" s="855"/>
      <c r="HN160" s="855"/>
      <c r="HO160" s="855"/>
      <c r="HP160" s="855"/>
      <c r="HQ160" s="855"/>
      <c r="HR160" s="855"/>
      <c r="HS160" s="855"/>
      <c r="HT160" s="855"/>
      <c r="HU160" s="855"/>
      <c r="HV160" s="855"/>
      <c r="HW160" s="855"/>
      <c r="HX160" s="855"/>
      <c r="HY160" s="855"/>
      <c r="HZ160" s="855"/>
      <c r="IA160" s="855"/>
      <c r="IB160" s="855"/>
      <c r="IC160" s="855"/>
      <c r="ID160" s="855"/>
      <c r="IE160" s="855"/>
      <c r="IF160" s="855"/>
      <c r="IG160" s="855"/>
      <c r="IH160" s="855"/>
      <c r="II160" s="855"/>
      <c r="IJ160" s="855"/>
      <c r="IK160" s="855"/>
      <c r="IL160" s="855"/>
      <c r="IM160" s="855"/>
      <c r="IN160" s="855"/>
      <c r="IO160" s="855"/>
      <c r="IP160" s="855"/>
      <c r="IQ160" s="855"/>
      <c r="IR160" s="855"/>
      <c r="IS160" s="855"/>
      <c r="IT160" s="855"/>
      <c r="IU160" s="855"/>
      <c r="IV160" s="855"/>
      <c r="IW160" s="855"/>
      <c r="IX160" s="855"/>
      <c r="IY160" s="855"/>
    </row>
    <row r="161" spans="1:259" s="55" customFormat="1" x14ac:dyDescent="0.2">
      <c r="A161" s="55" t="s">
        <v>683</v>
      </c>
      <c r="B161" s="1365"/>
      <c r="C161" s="1365"/>
      <c r="D161" s="1365"/>
      <c r="E161" s="1365"/>
      <c r="F161" s="1365"/>
      <c r="G161" s="1365"/>
      <c r="H161" s="1365"/>
      <c r="I161" s="1365"/>
      <c r="J161" s="1877"/>
      <c r="K161" s="1365"/>
      <c r="L161" s="1365"/>
      <c r="M161" s="1365"/>
      <c r="N161" s="1365"/>
      <c r="O161" s="1365"/>
      <c r="P161" s="1365"/>
      <c r="Q161" s="1365"/>
      <c r="R161" s="1365"/>
      <c r="S161" s="1365"/>
      <c r="T161" s="1365"/>
      <c r="U161" s="1365"/>
      <c r="V161" s="1365"/>
      <c r="W161" s="1365"/>
      <c r="X161" s="1365"/>
      <c r="Y161" s="1365"/>
      <c r="Z161" s="1365"/>
      <c r="AA161" s="1365"/>
      <c r="AB161" s="1365"/>
      <c r="AC161" s="1365"/>
      <c r="AD161" s="1365"/>
      <c r="AE161" s="1365"/>
      <c r="AF161" s="1365"/>
      <c r="AG161" s="1365"/>
      <c r="AH161" s="1365"/>
      <c r="AI161" s="1365"/>
      <c r="AJ161" s="1365"/>
      <c r="AK161" s="1365"/>
      <c r="AL161" s="1365"/>
      <c r="AM161" s="1365"/>
      <c r="AN161" s="1365"/>
      <c r="AO161" s="1365"/>
      <c r="AP161" s="1365"/>
      <c r="AQ161" s="1365"/>
      <c r="AR161" s="1365"/>
      <c r="AS161" s="1365"/>
      <c r="AT161" s="1365"/>
      <c r="AU161" s="1365"/>
      <c r="AV161" s="1365"/>
      <c r="AW161" s="1365"/>
      <c r="AX161" s="1365"/>
      <c r="AY161" s="1365"/>
      <c r="AZ161" s="1365"/>
      <c r="BA161" s="1365"/>
      <c r="BB161" s="1365"/>
      <c r="BC161" s="1365"/>
      <c r="BD161" s="1365"/>
      <c r="BE161" s="1365"/>
      <c r="BF161" s="1878"/>
      <c r="BG161" s="1878"/>
      <c r="BH161" s="1878"/>
      <c r="BI161" s="1878"/>
      <c r="BJ161" s="1878"/>
      <c r="BK161" s="1878"/>
      <c r="BL161" s="1878"/>
      <c r="BM161" s="1878"/>
      <c r="BN161" s="1878"/>
      <c r="BO161" s="1364"/>
      <c r="BP161" s="1364"/>
      <c r="BQ161" s="1364"/>
      <c r="BR161" s="1364"/>
      <c r="BS161" s="1404"/>
      <c r="BT161" s="1364"/>
      <c r="BU161" s="1364"/>
      <c r="BV161" s="1364"/>
      <c r="BW161" s="1364"/>
      <c r="BX161" s="1404"/>
      <c r="BY161" s="1364"/>
      <c r="BZ161" s="1364"/>
      <c r="CA161" s="1364"/>
      <c r="CB161" s="1364"/>
      <c r="CC161" s="1404"/>
      <c r="CD161" s="1406"/>
      <c r="CE161" s="1406"/>
      <c r="CF161" s="1406"/>
      <c r="CG161" s="1406"/>
      <c r="CH161" s="1879"/>
      <c r="CI161" s="1406"/>
      <c r="CJ161" s="1406"/>
      <c r="CK161" s="1406"/>
      <c r="CL161" s="1406"/>
      <c r="CM161" s="1879"/>
      <c r="CN161" s="1406"/>
      <c r="CO161" s="1406"/>
      <c r="CP161" s="1406"/>
      <c r="CQ161" s="1056">
        <f>CQ159-CQ160</f>
        <v>341</v>
      </c>
      <c r="CR161" s="971">
        <f>CR159-CR160</f>
        <v>1475.2809999999999</v>
      </c>
      <c r="CS161" s="1056">
        <f t="shared" ref="CS161:CU161" si="475">CS159-CS160</f>
        <v>373</v>
      </c>
      <c r="CT161" s="1056">
        <f t="shared" si="475"/>
        <v>389</v>
      </c>
      <c r="CU161" s="1056">
        <f t="shared" si="475"/>
        <v>416</v>
      </c>
      <c r="CV161" s="65">
        <f>CV159-CV160</f>
        <v>517</v>
      </c>
      <c r="CW161" s="81">
        <f>CW159-CW160</f>
        <v>1695</v>
      </c>
      <c r="CX161" s="1056">
        <f t="shared" ref="CX161:CZ161" si="476">CX159-CX160</f>
        <v>390</v>
      </c>
      <c r="CY161" s="1056">
        <f t="shared" si="476"/>
        <v>445</v>
      </c>
      <c r="CZ161" s="1056">
        <f t="shared" si="476"/>
        <v>451</v>
      </c>
      <c r="DA161" s="65">
        <f>DA159-DA160</f>
        <v>474</v>
      </c>
      <c r="DB161" s="81">
        <f>DB159-DB160</f>
        <v>1760</v>
      </c>
      <c r="DC161" s="65"/>
      <c r="DD161" s="65"/>
      <c r="DE161" s="65"/>
      <c r="DF161" s="65"/>
      <c r="DG161" s="81"/>
      <c r="DH161" s="65"/>
      <c r="DI161" s="65"/>
      <c r="DJ161" s="65"/>
      <c r="DK161" s="65"/>
      <c r="DL161" s="81"/>
      <c r="DM161" s="65"/>
      <c r="DN161" s="65"/>
      <c r="DO161" s="65"/>
      <c r="DP161" s="65"/>
      <c r="DQ161" s="81"/>
      <c r="DR161" s="65"/>
      <c r="DS161" s="65"/>
      <c r="DT161" s="65"/>
      <c r="DU161" s="65"/>
      <c r="DV161" s="81"/>
      <c r="DW161" s="65"/>
      <c r="DX161" s="65"/>
      <c r="DY161" s="65"/>
      <c r="DZ161" s="65"/>
      <c r="EA161" s="81"/>
      <c r="EC161" s="18"/>
      <c r="ED161" s="424"/>
      <c r="EE161" s="424"/>
      <c r="EF161" s="424"/>
      <c r="EG161" s="424"/>
      <c r="EH161" s="57"/>
      <c r="EK161"/>
      <c r="EL161"/>
      <c r="EM161"/>
      <c r="EN161"/>
      <c r="EO161"/>
      <c r="EP161"/>
      <c r="EQ161" s="1869"/>
      <c r="ER161" s="1869"/>
      <c r="ES161" s="1869"/>
      <c r="ET161" s="1869"/>
      <c r="EU161" s="1869"/>
      <c r="EV161" s="1869"/>
      <c r="EW161" s="1869"/>
      <c r="EX161" s="1869"/>
      <c r="EY161" s="1869"/>
      <c r="EZ161" s="1869"/>
      <c r="FA161" s="1869"/>
      <c r="FB161" s="1869"/>
      <c r="FC161" s="1869"/>
      <c r="FD161" s="1869"/>
      <c r="FE161" s="1869"/>
      <c r="FF161" s="1869"/>
      <c r="FG161" s="1869"/>
      <c r="FH161" s="1869"/>
      <c r="FI161" s="1869"/>
      <c r="FJ161" s="1869"/>
      <c r="FK161" s="1869"/>
      <c r="FL161" s="1869"/>
      <c r="FM161" s="1869"/>
      <c r="FN161" s="1869"/>
      <c r="FO161" s="1869"/>
      <c r="FP161" s="1869"/>
      <c r="FQ161" s="1869"/>
      <c r="FR161" s="1869"/>
      <c r="FS161" s="1869"/>
      <c r="FT161" s="1869"/>
      <c r="FU161" s="1869"/>
      <c r="FV161" s="1869"/>
      <c r="FW161" s="1869"/>
      <c r="FX161" s="1869"/>
      <c r="FY161" s="1869"/>
      <c r="FZ161" s="1869"/>
      <c r="GA161" s="1869"/>
      <c r="GB161" s="1869"/>
      <c r="GC161" s="1869"/>
      <c r="GD161" s="1869"/>
      <c r="GE161" s="1869"/>
      <c r="GF161" s="1869"/>
      <c r="GG161" s="1869"/>
      <c r="GH161" s="1869"/>
      <c r="GI161" s="1869"/>
      <c r="GJ161" s="1869"/>
      <c r="GK161" s="1869"/>
      <c r="GL161" s="1869"/>
      <c r="GM161" s="1869"/>
      <c r="GN161" s="1869"/>
      <c r="GO161" s="1869"/>
      <c r="GP161" s="1869"/>
      <c r="GQ161" s="1869"/>
      <c r="GR161" s="1869"/>
      <c r="GS161" s="1869"/>
      <c r="GT161" s="1869"/>
      <c r="GU161" s="1869"/>
      <c r="GV161" s="1869"/>
      <c r="GW161" s="1869"/>
      <c r="GX161" s="1869"/>
      <c r="GY161" s="1869"/>
      <c r="GZ161" s="1869"/>
      <c r="HA161" s="1869"/>
      <c r="HB161" s="1869"/>
      <c r="HC161" s="1869"/>
      <c r="HD161" s="1869"/>
      <c r="HE161" s="1869"/>
      <c r="HF161" s="1869"/>
      <c r="HG161" s="1869"/>
      <c r="HH161" s="1869"/>
      <c r="HI161" s="1869"/>
      <c r="HJ161" s="1869"/>
      <c r="HK161" s="1869"/>
      <c r="HL161" s="1869"/>
      <c r="HM161" s="1869"/>
      <c r="HN161" s="1869"/>
      <c r="HO161" s="1869"/>
      <c r="HP161" s="1869"/>
      <c r="HQ161" s="1869"/>
      <c r="HR161" s="1869"/>
      <c r="HS161" s="1869"/>
      <c r="HT161" s="1869"/>
      <c r="HU161" s="1869"/>
      <c r="HV161" s="1869"/>
      <c r="HW161" s="1869"/>
      <c r="HX161" s="1869"/>
      <c r="HY161" s="1869"/>
      <c r="HZ161" s="1869"/>
      <c r="IA161" s="1869"/>
      <c r="IB161" s="1869"/>
      <c r="IC161" s="1869"/>
      <c r="ID161" s="1869"/>
      <c r="IE161" s="1869"/>
      <c r="IF161" s="1869"/>
      <c r="IG161" s="1869"/>
      <c r="IH161" s="1869"/>
      <c r="II161" s="1869"/>
      <c r="IJ161" s="1869"/>
      <c r="IK161" s="1869"/>
      <c r="IL161" s="1869"/>
      <c r="IM161" s="1869"/>
      <c r="IN161" s="1869"/>
      <c r="IO161" s="1869"/>
      <c r="IP161" s="1869"/>
      <c r="IQ161" s="1869"/>
      <c r="IR161" s="1869"/>
      <c r="IS161" s="1869"/>
      <c r="IT161" s="1869"/>
      <c r="IU161" s="1869"/>
      <c r="IV161" s="1869"/>
      <c r="IW161" s="1869"/>
      <c r="IX161" s="1869"/>
      <c r="IY161" s="1869"/>
    </row>
    <row r="162" spans="1:259" s="15" customFormat="1" x14ac:dyDescent="0.2">
      <c r="A162" s="15" t="s">
        <v>91</v>
      </c>
      <c r="B162" s="1358"/>
      <c r="C162" s="1358"/>
      <c r="D162" s="1358"/>
      <c r="E162" s="1358"/>
      <c r="F162" s="1358"/>
      <c r="G162" s="1358"/>
      <c r="H162" s="1358"/>
      <c r="I162" s="1358"/>
      <c r="J162" s="1675"/>
      <c r="K162" s="1358"/>
      <c r="L162" s="1358"/>
      <c r="M162" s="1358"/>
      <c r="N162" s="1358"/>
      <c r="O162" s="1358"/>
      <c r="P162" s="1358"/>
      <c r="Q162" s="1358"/>
      <c r="R162" s="1358"/>
      <c r="S162" s="1358"/>
      <c r="T162" s="1358"/>
      <c r="U162" s="1358"/>
      <c r="V162" s="1358"/>
      <c r="W162" s="1358"/>
      <c r="X162" s="1358"/>
      <c r="Y162" s="1358"/>
      <c r="Z162" s="1358"/>
      <c r="AA162" s="1358"/>
      <c r="AB162" s="1358"/>
      <c r="AC162" s="1358"/>
      <c r="AD162" s="1358"/>
      <c r="AE162" s="1358"/>
      <c r="AF162" s="1358"/>
      <c r="AG162" s="1358"/>
      <c r="AH162" s="1358"/>
      <c r="AI162" s="1358"/>
      <c r="AJ162" s="1358"/>
      <c r="AK162" s="1358"/>
      <c r="AL162" s="1358"/>
      <c r="AM162" s="1358"/>
      <c r="AN162" s="1358"/>
      <c r="AO162" s="1358"/>
      <c r="AP162" s="1358"/>
      <c r="AQ162" s="1358"/>
      <c r="AR162" s="1358"/>
      <c r="AS162" s="1358"/>
      <c r="AT162" s="1358"/>
      <c r="AU162" s="1358"/>
      <c r="AV162" s="1358"/>
      <c r="AW162" s="1358"/>
      <c r="AX162" s="1358"/>
      <c r="AY162" s="1358"/>
      <c r="AZ162" s="1358"/>
      <c r="BA162" s="1358"/>
      <c r="BB162" s="1358"/>
      <c r="BC162" s="1358"/>
      <c r="BD162" s="1358"/>
      <c r="BE162" s="1358"/>
      <c r="BF162" s="1358"/>
      <c r="BG162" s="1358"/>
      <c r="BH162" s="1358"/>
      <c r="BI162" s="1358"/>
      <c r="BJ162" s="1358"/>
      <c r="BK162" s="1358"/>
      <c r="BL162" s="1358"/>
      <c r="BM162" s="1358"/>
      <c r="BN162" s="1358"/>
      <c r="BO162" s="1676">
        <f t="shared" ref="BO162:CH162" si="477">BO78</f>
        <v>0.24148606811145512</v>
      </c>
      <c r="BP162" s="1676">
        <f t="shared" si="477"/>
        <v>0.23746701846965698</v>
      </c>
      <c r="BQ162" s="1676">
        <f t="shared" si="477"/>
        <v>0.27470355731225299</v>
      </c>
      <c r="BR162" s="1676">
        <f t="shared" si="477"/>
        <v>0.28238341968911918</v>
      </c>
      <c r="BS162" s="1677">
        <f t="shared" si="477"/>
        <v>0.26097867001254704</v>
      </c>
      <c r="BT162" s="1676">
        <f t="shared" si="477"/>
        <v>0.25418994413407819</v>
      </c>
      <c r="BU162" s="1676">
        <f t="shared" si="477"/>
        <v>0.16145833333333334</v>
      </c>
      <c r="BV162" s="1676">
        <f t="shared" si="477"/>
        <v>0.14692982456140352</v>
      </c>
      <c r="BW162" s="1676">
        <f t="shared" si="477"/>
        <v>0.22559652928416485</v>
      </c>
      <c r="BX162" s="1677">
        <f t="shared" si="477"/>
        <v>0.19529837251356238</v>
      </c>
      <c r="BY162" s="1676">
        <f t="shared" si="477"/>
        <v>0.24177631578947367</v>
      </c>
      <c r="BZ162" s="1676">
        <f t="shared" si="477"/>
        <v>0.23448275862068965</v>
      </c>
      <c r="CA162" s="1676">
        <f t="shared" si="477"/>
        <v>0.2519561815336463</v>
      </c>
      <c r="CB162" s="1676">
        <f t="shared" si="477"/>
        <v>0.27429805615550756</v>
      </c>
      <c r="CC162" s="1677">
        <f t="shared" si="477"/>
        <v>0.25034965034965034</v>
      </c>
      <c r="CD162" s="1678">
        <f t="shared" si="477"/>
        <v>0.27400000000000002</v>
      </c>
      <c r="CE162" s="1678">
        <f t="shared" si="477"/>
        <v>0.27400000000000002</v>
      </c>
      <c r="CF162" s="1678">
        <f t="shared" si="477"/>
        <v>0.27400000000000002</v>
      </c>
      <c r="CG162" s="1678">
        <f t="shared" si="477"/>
        <v>0.27400000000000002</v>
      </c>
      <c r="CH162" s="1679">
        <f t="shared" si="477"/>
        <v>0.27365129007036748</v>
      </c>
      <c r="CI162" s="1678">
        <v>0.25836431226765799</v>
      </c>
      <c r="CJ162" s="1678">
        <v>0.24888888888888888</v>
      </c>
      <c r="CK162" s="1678">
        <v>0.22796934865900384</v>
      </c>
      <c r="CL162" s="1678">
        <v>-0.43373493975903615</v>
      </c>
      <c r="CM162" s="1679">
        <v>0.28451296426068673</v>
      </c>
      <c r="CN162" s="1678">
        <v>0.23516949152542374</v>
      </c>
      <c r="CO162" s="1678">
        <v>0.30399999999999999</v>
      </c>
      <c r="CP162" s="1678">
        <v>0.25394045534150611</v>
      </c>
      <c r="CQ162" s="1910">
        <f>CQ78</f>
        <v>0.32580645161290323</v>
      </c>
      <c r="CR162" s="1970">
        <f>CR78</f>
        <v>0.2615194307890083</v>
      </c>
      <c r="CS162" s="2086">
        <v>0.23516949152542374</v>
      </c>
      <c r="CT162" s="2086">
        <v>0.23516949152542374</v>
      </c>
      <c r="CU162" s="2086">
        <v>0.26500000000000001</v>
      </c>
      <c r="CV162" s="102">
        <f>CV78</f>
        <v>0.17158176943699732</v>
      </c>
      <c r="CW162" s="454">
        <f>CW78</f>
        <v>0.24294205052005943</v>
      </c>
      <c r="CX162" s="102">
        <f>CX46/CX45</f>
        <v>0.1930835734870317</v>
      </c>
      <c r="CY162" s="102">
        <f>CY46/CY45</f>
        <v>0.33762057877813506</v>
      </c>
      <c r="CZ162" s="102">
        <f>CZ46/CZ45</f>
        <v>0.20229007633587787</v>
      </c>
      <c r="DA162" s="102">
        <v>0.26500000000000001</v>
      </c>
      <c r="DB162" s="454">
        <v>0.26500000000000007</v>
      </c>
      <c r="DC162" s="102">
        <v>0.26500000000000001</v>
      </c>
      <c r="DD162" s="102">
        <v>0.26500000000000001</v>
      </c>
      <c r="DE162" s="102">
        <v>0.26500000000000001</v>
      </c>
      <c r="DF162" s="102">
        <v>0.26500000000000001</v>
      </c>
      <c r="DG162" s="454">
        <v>0.26500000000000007</v>
      </c>
      <c r="DH162" s="102">
        <f t="shared" ref="DH162:DQ162" si="478">DH78</f>
        <v>0.2</v>
      </c>
      <c r="DI162" s="102">
        <f t="shared" si="478"/>
        <v>0.2</v>
      </c>
      <c r="DJ162" s="102">
        <f t="shared" si="478"/>
        <v>0.2</v>
      </c>
      <c r="DK162" s="102">
        <f t="shared" si="478"/>
        <v>0.2</v>
      </c>
      <c r="DL162" s="454">
        <f t="shared" si="478"/>
        <v>0.20000000000000004</v>
      </c>
      <c r="DM162" s="102">
        <f t="shared" si="478"/>
        <v>0.21</v>
      </c>
      <c r="DN162" s="102">
        <f t="shared" si="478"/>
        <v>0.21</v>
      </c>
      <c r="DO162" s="102">
        <f t="shared" si="478"/>
        <v>0.21</v>
      </c>
      <c r="DP162" s="102">
        <f t="shared" si="478"/>
        <v>0.21</v>
      </c>
      <c r="DQ162" s="454">
        <f t="shared" si="478"/>
        <v>0.20999999999999991</v>
      </c>
      <c r="DR162" s="102">
        <f t="shared" ref="DR162:EA162" si="479">DR78</f>
        <v>0.21</v>
      </c>
      <c r="DS162" s="102">
        <f t="shared" si="479"/>
        <v>0.21</v>
      </c>
      <c r="DT162" s="102">
        <f t="shared" si="479"/>
        <v>0.21</v>
      </c>
      <c r="DU162" s="102">
        <f t="shared" si="479"/>
        <v>0.21</v>
      </c>
      <c r="DV162" s="454">
        <f t="shared" si="479"/>
        <v>0.21</v>
      </c>
      <c r="DW162" s="102">
        <f t="shared" si="479"/>
        <v>0.21</v>
      </c>
      <c r="DX162" s="102">
        <f t="shared" si="479"/>
        <v>0.21</v>
      </c>
      <c r="DY162" s="102">
        <f t="shared" si="479"/>
        <v>0.21</v>
      </c>
      <c r="DZ162" s="102">
        <f t="shared" si="479"/>
        <v>0.21</v>
      </c>
      <c r="EA162" s="454">
        <f t="shared" si="479"/>
        <v>0.21000000000000005</v>
      </c>
      <c r="EC162" s="11"/>
      <c r="ED162" s="148"/>
      <c r="EE162" s="148"/>
      <c r="EF162" s="148"/>
      <c r="EG162" s="148"/>
      <c r="EH162" s="13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row>
    <row r="163" spans="1:259" s="15" customFormat="1" x14ac:dyDescent="0.2">
      <c r="A163" s="99" t="s">
        <v>90</v>
      </c>
      <c r="B163" s="1516"/>
      <c r="C163" s="1516"/>
      <c r="D163" s="1516"/>
      <c r="E163" s="1516"/>
      <c r="F163" s="1516"/>
      <c r="G163" s="1516"/>
      <c r="H163" s="1516"/>
      <c r="I163" s="1516"/>
      <c r="J163" s="1680"/>
      <c r="K163" s="1516"/>
      <c r="L163" s="1516"/>
      <c r="M163" s="1516"/>
      <c r="N163" s="1516"/>
      <c r="O163" s="1516"/>
      <c r="P163" s="1516"/>
      <c r="Q163" s="1516"/>
      <c r="R163" s="1516"/>
      <c r="S163" s="1516"/>
      <c r="T163" s="1516"/>
      <c r="U163" s="1516"/>
      <c r="V163" s="1516"/>
      <c r="W163" s="1516"/>
      <c r="X163" s="1516"/>
      <c r="Y163" s="1516"/>
      <c r="Z163" s="1516"/>
      <c r="AA163" s="1516"/>
      <c r="AB163" s="1516"/>
      <c r="AC163" s="1516"/>
      <c r="AD163" s="1516"/>
      <c r="AE163" s="1516"/>
      <c r="AF163" s="1516"/>
      <c r="AG163" s="1516"/>
      <c r="AH163" s="1516"/>
      <c r="AI163" s="1516"/>
      <c r="AJ163" s="1516"/>
      <c r="AK163" s="1516"/>
      <c r="AL163" s="1516"/>
      <c r="AM163" s="1516"/>
      <c r="AN163" s="1516"/>
      <c r="AO163" s="1516"/>
      <c r="AP163" s="1516"/>
      <c r="AQ163" s="1516"/>
      <c r="AR163" s="1516"/>
      <c r="AS163" s="1516"/>
      <c r="AT163" s="1516"/>
      <c r="AU163" s="1516"/>
      <c r="AV163" s="1516"/>
      <c r="AW163" s="1516"/>
      <c r="AX163" s="1516"/>
      <c r="AY163" s="1516"/>
      <c r="AZ163" s="1516"/>
      <c r="BA163" s="1516"/>
      <c r="BB163" s="1516"/>
      <c r="BC163" s="1516"/>
      <c r="BD163" s="1516"/>
      <c r="BE163" s="1516"/>
      <c r="BF163" s="1516"/>
      <c r="BG163" s="1516"/>
      <c r="BH163" s="1516"/>
      <c r="BI163" s="1516"/>
      <c r="BJ163" s="1516"/>
      <c r="BK163" s="1516"/>
      <c r="BL163" s="1516"/>
      <c r="BM163" s="1516"/>
      <c r="BN163" s="1516"/>
      <c r="BO163" s="1552">
        <f>(BO46+BO153)/(BO45-BO152)</f>
        <v>0.26178010471204188</v>
      </c>
      <c r="BP163" s="1552">
        <f>(BP46+BP153)/(BP45-BP152)</f>
        <v>0.2359249329758713</v>
      </c>
      <c r="BQ163" s="1552">
        <v>0.27400000000000002</v>
      </c>
      <c r="BR163" s="1552">
        <v>0.23799999999999999</v>
      </c>
      <c r="BS163" s="1681">
        <v>0.253</v>
      </c>
      <c r="BT163" s="1552">
        <v>0.27100000000000002</v>
      </c>
      <c r="BU163" s="1552">
        <v>0.16700000000000001</v>
      </c>
      <c r="BV163" s="1552">
        <v>0.251</v>
      </c>
      <c r="BW163" s="1552">
        <f>(BW46+BW153)/(BW45-BW152)</f>
        <v>0.26789366053169733</v>
      </c>
      <c r="BX163" s="1681">
        <v>0.24199999999999999</v>
      </c>
      <c r="BY163" s="1552">
        <f t="shared" ref="BY163:CG163" si="480">(BY46+BY153)/(BY45-BY152)</f>
        <v>0.2880658436213992</v>
      </c>
      <c r="BZ163" s="1552">
        <f t="shared" si="480"/>
        <v>0.2386634844868735</v>
      </c>
      <c r="CA163" s="1552">
        <f t="shared" si="480"/>
        <v>0.25354330708661416</v>
      </c>
      <c r="CB163" s="1552">
        <f t="shared" si="480"/>
        <v>0.28721174004192873</v>
      </c>
      <c r="CC163" s="1681">
        <f t="shared" si="480"/>
        <v>0.26673277144273672</v>
      </c>
      <c r="CD163" s="1682">
        <f t="shared" si="480"/>
        <v>0.26993735289176018</v>
      </c>
      <c r="CE163" s="1682">
        <f t="shared" si="480"/>
        <v>0.25638461974522814</v>
      </c>
      <c r="CF163" s="1682">
        <f t="shared" si="480"/>
        <v>0.31996306642963396</v>
      </c>
      <c r="CG163" s="1682">
        <f t="shared" si="480"/>
        <v>0.30558391948645003</v>
      </c>
      <c r="CH163" s="1683">
        <v>0.28000000000000003</v>
      </c>
      <c r="CI163" s="1682">
        <v>0.2574626865671642</v>
      </c>
      <c r="CJ163" s="1682">
        <v>0.24944320712694878</v>
      </c>
      <c r="CK163" s="1682">
        <v>0.22485207100591717</v>
      </c>
      <c r="CL163" s="1682">
        <v>0.2998689384010485</v>
      </c>
      <c r="CM163" s="1683">
        <v>0.28451296426068673</v>
      </c>
      <c r="CN163" s="1682">
        <v>0.23340471092077089</v>
      </c>
      <c r="CO163" s="1682">
        <v>0.25600000000000001</v>
      </c>
      <c r="CP163" s="1682">
        <v>0.24958123953098826</v>
      </c>
      <c r="CQ163" s="1911">
        <f>(CQ46+CQ153)/(CQ45-CQ149)</f>
        <v>0.30363036303630364</v>
      </c>
      <c r="CR163" s="1971">
        <f>(CR46+CR153)/(CR45-CR149)</f>
        <v>0.24048953706153353</v>
      </c>
      <c r="CS163" s="2087">
        <v>0.23340471092077089</v>
      </c>
      <c r="CT163" s="2087">
        <v>0.23340471092077089</v>
      </c>
      <c r="CU163" s="2087">
        <v>0.26773493755435468</v>
      </c>
      <c r="CV163" s="417">
        <f>(CV46+CV153)/(CV45-CV149)</f>
        <v>0.22857142857142856</v>
      </c>
      <c r="CW163" s="416">
        <f>(CW46+CW153)/(CW45-CW149)</f>
        <v>0.26252804786836198</v>
      </c>
      <c r="CX163" s="417">
        <f>(CX46+CX153)/(CX45-CX152)</f>
        <v>0.12222222222222222</v>
      </c>
      <c r="CY163" s="417">
        <f>(CY46+CY153)/(CY45-CY152)</f>
        <v>0.26586102719033233</v>
      </c>
      <c r="CZ163" s="417">
        <f>(CZ46+CZ153)/(CZ45-CZ152)</f>
        <v>0.27761194029850744</v>
      </c>
      <c r="DA163" s="417">
        <v>0.26872854923303591</v>
      </c>
      <c r="DB163" s="416">
        <v>0.26838195538643583</v>
      </c>
      <c r="DC163" s="417">
        <v>0.26837447962221667</v>
      </c>
      <c r="DD163" s="417">
        <v>0.26895936372386875</v>
      </c>
      <c r="DE163" s="417">
        <v>0.26773493755435468</v>
      </c>
      <c r="DF163" s="417">
        <v>0.26872854923303591</v>
      </c>
      <c r="DG163" s="416">
        <v>0.26838195538643583</v>
      </c>
      <c r="DH163" s="417">
        <f t="shared" ref="DH163:DQ163" si="481">(DH46+DH153)/(DH45-DH152)</f>
        <v>0.2</v>
      </c>
      <c r="DI163" s="417">
        <f t="shared" si="481"/>
        <v>0.19999999999999998</v>
      </c>
      <c r="DJ163" s="417">
        <f t="shared" si="481"/>
        <v>0.2</v>
      </c>
      <c r="DK163" s="417">
        <f t="shared" si="481"/>
        <v>0.2</v>
      </c>
      <c r="DL163" s="416">
        <f t="shared" si="481"/>
        <v>0.20000000000000004</v>
      </c>
      <c r="DM163" s="417">
        <f t="shared" si="481"/>
        <v>0.21</v>
      </c>
      <c r="DN163" s="417">
        <f t="shared" si="481"/>
        <v>0.21000000000000002</v>
      </c>
      <c r="DO163" s="417">
        <f t="shared" si="481"/>
        <v>0.21</v>
      </c>
      <c r="DP163" s="417">
        <f t="shared" si="481"/>
        <v>0.21</v>
      </c>
      <c r="DQ163" s="416">
        <f t="shared" si="481"/>
        <v>0.20999999999999991</v>
      </c>
      <c r="DR163" s="417">
        <f t="shared" ref="DR163:EA163" si="482">(DR46+DR153)/(DR45-DR152)</f>
        <v>0.21</v>
      </c>
      <c r="DS163" s="417">
        <f t="shared" si="482"/>
        <v>0.21000000000000002</v>
      </c>
      <c r="DT163" s="417">
        <f t="shared" si="482"/>
        <v>0.21</v>
      </c>
      <c r="DU163" s="417">
        <f t="shared" si="482"/>
        <v>0.21</v>
      </c>
      <c r="DV163" s="416">
        <f t="shared" si="482"/>
        <v>0.21</v>
      </c>
      <c r="DW163" s="417">
        <f t="shared" si="482"/>
        <v>0.21</v>
      </c>
      <c r="DX163" s="417">
        <f t="shared" si="482"/>
        <v>0.20999999999999996</v>
      </c>
      <c r="DY163" s="417">
        <f t="shared" si="482"/>
        <v>0.21</v>
      </c>
      <c r="DZ163" s="417">
        <f t="shared" si="482"/>
        <v>0.21</v>
      </c>
      <c r="EA163" s="416">
        <f t="shared" si="482"/>
        <v>0.21000000000000005</v>
      </c>
      <c r="EC163" s="11"/>
      <c r="ED163" s="148"/>
      <c r="EE163" s="148"/>
      <c r="EF163" s="148"/>
      <c r="EG163" s="148"/>
      <c r="EH163" s="132"/>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row>
    <row r="164" spans="1:259" s="15" customFormat="1" x14ac:dyDescent="0.2">
      <c r="B164" s="1358"/>
      <c r="C164" s="1358"/>
      <c r="D164" s="1358"/>
      <c r="E164" s="1358"/>
      <c r="F164" s="1358"/>
      <c r="G164" s="1358"/>
      <c r="H164" s="1358"/>
      <c r="I164" s="1358"/>
      <c r="J164" s="1675"/>
      <c r="K164" s="1358"/>
      <c r="L164" s="1358"/>
      <c r="M164" s="1358"/>
      <c r="N164" s="1358"/>
      <c r="O164" s="1358"/>
      <c r="P164" s="1358"/>
      <c r="Q164" s="1358"/>
      <c r="R164" s="1358"/>
      <c r="S164" s="1358"/>
      <c r="T164" s="1358"/>
      <c r="U164" s="1358"/>
      <c r="V164" s="1358"/>
      <c r="W164" s="1358"/>
      <c r="X164" s="1358"/>
      <c r="Y164" s="1358"/>
      <c r="Z164" s="1358"/>
      <c r="AA164" s="1358"/>
      <c r="AB164" s="1358"/>
      <c r="AC164" s="1358"/>
      <c r="AD164" s="1358"/>
      <c r="AE164" s="1358"/>
      <c r="AF164" s="1358"/>
      <c r="AG164" s="1358"/>
      <c r="AH164" s="1358"/>
      <c r="AI164" s="1358"/>
      <c r="AJ164" s="1358"/>
      <c r="AK164" s="1358"/>
      <c r="AL164" s="1358"/>
      <c r="AM164" s="1358"/>
      <c r="AN164" s="1358"/>
      <c r="AO164" s="1358"/>
      <c r="AP164" s="1358"/>
      <c r="AQ164" s="1358"/>
      <c r="AR164" s="1358"/>
      <c r="AS164" s="1358"/>
      <c r="AT164" s="1358"/>
      <c r="AU164" s="1358"/>
      <c r="AV164" s="1358"/>
      <c r="AW164" s="1358"/>
      <c r="AX164" s="1358"/>
      <c r="AY164" s="1358"/>
      <c r="AZ164" s="1358"/>
      <c r="BA164" s="1358"/>
      <c r="BB164" s="1358"/>
      <c r="BC164" s="1358"/>
      <c r="BD164" s="1358"/>
      <c r="BE164" s="1358"/>
      <c r="BF164" s="1358"/>
      <c r="BG164" s="1358"/>
      <c r="BH164" s="1358"/>
      <c r="BI164" s="1358"/>
      <c r="BJ164" s="1358"/>
      <c r="BK164" s="1358"/>
      <c r="BL164" s="1358"/>
      <c r="BM164" s="1358"/>
      <c r="BN164" s="1358"/>
      <c r="BO164" s="1358"/>
      <c r="BP164" s="1358"/>
      <c r="BQ164" s="1358"/>
      <c r="BR164" s="1358"/>
      <c r="BS164" s="1358"/>
      <c r="BT164" s="1358"/>
      <c r="BU164" s="1358"/>
      <c r="BV164" s="1358"/>
      <c r="BW164" s="1358"/>
      <c r="BX164" s="1358"/>
      <c r="BY164" s="1358"/>
      <c r="BZ164" s="1358"/>
      <c r="CA164" s="1358"/>
      <c r="CB164" s="1358"/>
      <c r="CC164" s="1358"/>
      <c r="CD164" s="1328"/>
      <c r="CE164" s="1328"/>
      <c r="CF164" s="1328"/>
      <c r="CG164" s="1328"/>
      <c r="CH164" s="1328"/>
      <c r="CI164" s="1328"/>
      <c r="CJ164" s="1328"/>
      <c r="CK164" s="1328"/>
      <c r="CL164" s="1328"/>
      <c r="CM164" s="1328"/>
      <c r="CN164" s="1328"/>
      <c r="CO164" s="1328"/>
      <c r="CP164" s="1328"/>
      <c r="CQ164" s="1058"/>
      <c r="CR164" s="1058"/>
      <c r="CS164" s="1119"/>
      <c r="CT164" s="1119"/>
      <c r="CU164" s="1119"/>
      <c r="EC164" s="11"/>
      <c r="ED164" s="148"/>
      <c r="EE164" s="148"/>
      <c r="EF164" s="148"/>
      <c r="EG164" s="148"/>
      <c r="EH164" s="132"/>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row>
    <row r="165" spans="1:259" s="15" customFormat="1" x14ac:dyDescent="0.2">
      <c r="A165" s="20" t="s">
        <v>33</v>
      </c>
      <c r="B165" s="1516"/>
      <c r="C165" s="1516"/>
      <c r="D165" s="1516"/>
      <c r="E165" s="1516"/>
      <c r="F165" s="1516"/>
      <c r="G165" s="1516"/>
      <c r="H165" s="1516"/>
      <c r="I165" s="1516"/>
      <c r="J165" s="1680"/>
      <c r="K165" s="1516"/>
      <c r="L165" s="1516"/>
      <c r="M165" s="1516"/>
      <c r="N165" s="1516"/>
      <c r="O165" s="1516"/>
      <c r="P165" s="1516"/>
      <c r="Q165" s="1516"/>
      <c r="R165" s="1516"/>
      <c r="S165" s="1516"/>
      <c r="T165" s="1516"/>
      <c r="U165" s="1516"/>
      <c r="V165" s="1516"/>
      <c r="W165" s="1516"/>
      <c r="X165" s="1516"/>
      <c r="Y165" s="1516"/>
      <c r="Z165" s="1516"/>
      <c r="AA165" s="1516"/>
      <c r="AB165" s="1516"/>
      <c r="AC165" s="1516"/>
      <c r="AD165" s="1516"/>
      <c r="AE165" s="1516"/>
      <c r="AF165" s="1516"/>
      <c r="AG165" s="1516"/>
      <c r="AH165" s="1516"/>
      <c r="AI165" s="1516"/>
      <c r="AJ165" s="1516"/>
      <c r="AK165" s="1516"/>
      <c r="AL165" s="1516"/>
      <c r="AM165" s="1516"/>
      <c r="AN165" s="1516"/>
      <c r="AO165" s="1516"/>
      <c r="AP165" s="1516"/>
      <c r="AQ165" s="1516"/>
      <c r="AR165" s="1516"/>
      <c r="AS165" s="1516"/>
      <c r="AT165" s="1516"/>
      <c r="AU165" s="1516"/>
      <c r="AV165" s="1516"/>
      <c r="AW165" s="1516"/>
      <c r="AX165" s="1516"/>
      <c r="AY165" s="1684" t="str">
        <f t="shared" ref="AY165:CD165" si="483">AY8</f>
        <v>2006A</v>
      </c>
      <c r="AZ165" s="1685" t="str">
        <f t="shared" si="483"/>
        <v>1Q07A</v>
      </c>
      <c r="BA165" s="1685" t="str">
        <f t="shared" si="483"/>
        <v>2Q07A</v>
      </c>
      <c r="BB165" s="1685" t="str">
        <f t="shared" si="483"/>
        <v>3Q07A</v>
      </c>
      <c r="BC165" s="1686" t="str">
        <f t="shared" si="483"/>
        <v>4Q07A</v>
      </c>
      <c r="BD165" s="1684" t="str">
        <f t="shared" si="483"/>
        <v>2007A</v>
      </c>
      <c r="BE165" s="1685" t="str">
        <f t="shared" si="483"/>
        <v>1Q08A</v>
      </c>
      <c r="BF165" s="1685" t="str">
        <f t="shared" si="483"/>
        <v>2Q08A</v>
      </c>
      <c r="BG165" s="1685" t="str">
        <f t="shared" si="483"/>
        <v>3Q08A</v>
      </c>
      <c r="BH165" s="1685" t="str">
        <f t="shared" si="483"/>
        <v>4Q08A</v>
      </c>
      <c r="BI165" s="1684" t="str">
        <f t="shared" si="483"/>
        <v>2008A</v>
      </c>
      <c r="BJ165" s="1685" t="str">
        <f t="shared" si="483"/>
        <v>1Q09A</v>
      </c>
      <c r="BK165" s="1685" t="str">
        <f t="shared" si="483"/>
        <v>2Q09A</v>
      </c>
      <c r="BL165" s="1685" t="str">
        <f t="shared" si="483"/>
        <v>3Q09A</v>
      </c>
      <c r="BM165" s="1685" t="str">
        <f t="shared" si="483"/>
        <v>4Q09A</v>
      </c>
      <c r="BN165" s="1687" t="str">
        <f t="shared" si="483"/>
        <v>2009A</v>
      </c>
      <c r="BO165" s="1685" t="str">
        <f t="shared" si="483"/>
        <v>1Q10A</v>
      </c>
      <c r="BP165" s="1685" t="str">
        <f t="shared" si="483"/>
        <v>2Q10A</v>
      </c>
      <c r="BQ165" s="1685" t="str">
        <f t="shared" si="483"/>
        <v>3Q10A</v>
      </c>
      <c r="BR165" s="1685" t="str">
        <f t="shared" si="483"/>
        <v>4Q10A</v>
      </c>
      <c r="BS165" s="1687" t="str">
        <f t="shared" si="483"/>
        <v>2010A</v>
      </c>
      <c r="BT165" s="1685" t="str">
        <f t="shared" si="483"/>
        <v>1Q11A</v>
      </c>
      <c r="BU165" s="1685" t="str">
        <f t="shared" si="483"/>
        <v>2Q11A</v>
      </c>
      <c r="BV165" s="1685" t="str">
        <f t="shared" si="483"/>
        <v>3Q11A</v>
      </c>
      <c r="BW165" s="1685" t="str">
        <f t="shared" si="483"/>
        <v>4Q11A</v>
      </c>
      <c r="BX165" s="1687" t="str">
        <f t="shared" si="483"/>
        <v>2011A</v>
      </c>
      <c r="BY165" s="1685" t="str">
        <f t="shared" si="483"/>
        <v>1Q12A</v>
      </c>
      <c r="BZ165" s="1685" t="str">
        <f t="shared" si="483"/>
        <v>2Q12A</v>
      </c>
      <c r="CA165" s="1685" t="str">
        <f t="shared" si="483"/>
        <v>3Q12A</v>
      </c>
      <c r="CB165" s="1685" t="str">
        <f t="shared" si="483"/>
        <v>4Q12A</v>
      </c>
      <c r="CC165" s="1684" t="str">
        <f t="shared" si="483"/>
        <v>2012A</v>
      </c>
      <c r="CD165" s="1330" t="str">
        <f t="shared" si="483"/>
        <v>1Q13A</v>
      </c>
      <c r="CE165" s="1330" t="str">
        <f t="shared" ref="CE165:DJ165" si="484">CE8</f>
        <v>2Q13A</v>
      </c>
      <c r="CF165" s="1330" t="str">
        <f t="shared" si="484"/>
        <v>3Q13A</v>
      </c>
      <c r="CG165" s="1330" t="str">
        <f t="shared" si="484"/>
        <v>4Q13A</v>
      </c>
      <c r="CH165" s="1331" t="str">
        <f t="shared" si="484"/>
        <v>2013A</v>
      </c>
      <c r="CI165" s="1330" t="str">
        <f t="shared" si="484"/>
        <v>1Q14A</v>
      </c>
      <c r="CJ165" s="1330" t="str">
        <f t="shared" si="484"/>
        <v>2Q14A</v>
      </c>
      <c r="CK165" s="1330" t="str">
        <f t="shared" si="484"/>
        <v>3Q14A</v>
      </c>
      <c r="CL165" s="1330" t="str">
        <f t="shared" si="484"/>
        <v>4Q14A</v>
      </c>
      <c r="CM165" s="1331" t="str">
        <f t="shared" si="484"/>
        <v>2014A</v>
      </c>
      <c r="CN165" s="1330" t="str">
        <f t="shared" si="484"/>
        <v>1Q15PF</v>
      </c>
      <c r="CO165" s="1330" t="str">
        <f t="shared" si="484"/>
        <v>2Q15PF</v>
      </c>
      <c r="CP165" s="1330" t="str">
        <f t="shared" si="484"/>
        <v>3Q15PF</v>
      </c>
      <c r="CQ165" s="1906" t="str">
        <f t="shared" si="484"/>
        <v>4Q15A</v>
      </c>
      <c r="CR165" s="1938" t="str">
        <f t="shared" si="484"/>
        <v>2015A</v>
      </c>
      <c r="CS165" s="2088" t="str">
        <f t="shared" si="484"/>
        <v>1Q16A</v>
      </c>
      <c r="CT165" s="2088" t="str">
        <f t="shared" si="484"/>
        <v>2Q16A</v>
      </c>
      <c r="CU165" s="2088" t="str">
        <f t="shared" si="484"/>
        <v>3Q16A</v>
      </c>
      <c r="CV165" s="120" t="str">
        <f t="shared" si="484"/>
        <v>4Q16A</v>
      </c>
      <c r="CW165" s="121" t="str">
        <f t="shared" si="484"/>
        <v>2016A</v>
      </c>
      <c r="CX165" s="120" t="str">
        <f t="shared" si="484"/>
        <v>1Q17A</v>
      </c>
      <c r="CY165" s="120" t="str">
        <f t="shared" si="484"/>
        <v>2Q17A</v>
      </c>
      <c r="CZ165" s="120" t="str">
        <f t="shared" si="484"/>
        <v>3Q17A</v>
      </c>
      <c r="DA165" s="120" t="str">
        <f t="shared" si="484"/>
        <v>4Q17A</v>
      </c>
      <c r="DB165" s="121" t="str">
        <f t="shared" si="484"/>
        <v>2017A</v>
      </c>
      <c r="DC165" s="122" t="str">
        <f t="shared" si="484"/>
        <v>1Q18E</v>
      </c>
      <c r="DD165" s="122" t="str">
        <f t="shared" si="484"/>
        <v>2Q18E</v>
      </c>
      <c r="DE165" s="122" t="str">
        <f t="shared" si="484"/>
        <v>3Q18E</v>
      </c>
      <c r="DF165" s="122" t="str">
        <f t="shared" si="484"/>
        <v>4Q18E</v>
      </c>
      <c r="DG165" s="820" t="str">
        <f t="shared" si="484"/>
        <v>2018E</v>
      </c>
      <c r="DH165" s="122" t="str">
        <f t="shared" si="484"/>
        <v>1Q19E</v>
      </c>
      <c r="DI165" s="122" t="str">
        <f t="shared" si="484"/>
        <v>2Q19E</v>
      </c>
      <c r="DJ165" s="122" t="str">
        <f t="shared" si="484"/>
        <v>3Q19E</v>
      </c>
      <c r="DK165" s="122" t="str">
        <f t="shared" ref="DK165:DQ165" si="485">DK8</f>
        <v>4Q19E</v>
      </c>
      <c r="DL165" s="820" t="str">
        <f t="shared" si="485"/>
        <v>2019E</v>
      </c>
      <c r="DM165" s="122" t="str">
        <f t="shared" si="485"/>
        <v>1Q20E</v>
      </c>
      <c r="DN165" s="122" t="str">
        <f t="shared" si="485"/>
        <v>2Q20E</v>
      </c>
      <c r="DO165" s="122" t="str">
        <f t="shared" si="485"/>
        <v>3Q20E</v>
      </c>
      <c r="DP165" s="122" t="str">
        <f t="shared" si="485"/>
        <v>4Q20E</v>
      </c>
      <c r="DQ165" s="820" t="str">
        <f t="shared" si="485"/>
        <v>2020E</v>
      </c>
      <c r="DR165" s="122" t="str">
        <f t="shared" ref="DR165:EA165" si="486">DR8</f>
        <v>1Q21E</v>
      </c>
      <c r="DS165" s="122" t="str">
        <f t="shared" si="486"/>
        <v>2Q21E</v>
      </c>
      <c r="DT165" s="122" t="str">
        <f t="shared" si="486"/>
        <v>3Q21E</v>
      </c>
      <c r="DU165" s="122" t="str">
        <f t="shared" si="486"/>
        <v>4Q21E</v>
      </c>
      <c r="DV165" s="820" t="str">
        <f t="shared" si="486"/>
        <v>2021E</v>
      </c>
      <c r="DW165" s="122" t="str">
        <f t="shared" si="486"/>
        <v>1Q22E</v>
      </c>
      <c r="DX165" s="122" t="str">
        <f t="shared" si="486"/>
        <v>2Q22E</v>
      </c>
      <c r="DY165" s="122" t="str">
        <f t="shared" si="486"/>
        <v>3Q22E</v>
      </c>
      <c r="DZ165" s="122" t="str">
        <f t="shared" si="486"/>
        <v>4Q22E</v>
      </c>
      <c r="EA165" s="820" t="str">
        <f t="shared" si="486"/>
        <v>2022E</v>
      </c>
      <c r="EC165" s="33"/>
      <c r="ED165" s="321"/>
      <c r="EE165" s="321"/>
      <c r="EF165" s="321"/>
      <c r="EG165" s="321"/>
      <c r="EH165" s="132"/>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row>
    <row r="166" spans="1:259" s="15" customFormat="1" x14ac:dyDescent="0.2">
      <c r="A166" s="13" t="s">
        <v>101</v>
      </c>
      <c r="B166" s="1853"/>
      <c r="C166" s="1853"/>
      <c r="D166" s="1853"/>
      <c r="E166" s="1853"/>
      <c r="F166" s="1853"/>
      <c r="G166" s="1853"/>
      <c r="H166" s="1853"/>
      <c r="I166" s="1853"/>
      <c r="J166" s="1854"/>
      <c r="K166" s="1853"/>
      <c r="L166" s="1853"/>
      <c r="M166" s="1853"/>
      <c r="N166" s="1853"/>
      <c r="O166" s="1853"/>
      <c r="P166" s="1853"/>
      <c r="Q166" s="1853"/>
      <c r="R166" s="1853"/>
      <c r="S166" s="1853"/>
      <c r="T166" s="1853"/>
      <c r="U166" s="1853"/>
      <c r="V166" s="1853"/>
      <c r="W166" s="1853"/>
      <c r="X166" s="1853"/>
      <c r="Y166" s="1853"/>
      <c r="Z166" s="1853"/>
      <c r="AA166" s="1853"/>
      <c r="AB166" s="1853"/>
      <c r="AC166" s="1853"/>
      <c r="AD166" s="1853"/>
      <c r="AE166" s="1855"/>
      <c r="AF166" s="1856">
        <f>AD65</f>
        <v>612.79999999999995</v>
      </c>
      <c r="AG166" s="1856">
        <f>AF178</f>
        <v>606</v>
      </c>
      <c r="AH166" s="1856">
        <f>AG178</f>
        <v>608</v>
      </c>
      <c r="AI166" s="1856">
        <f>AH178</f>
        <v>614</v>
      </c>
      <c r="AJ166" s="1855"/>
      <c r="AK166" s="1856">
        <f>AI65</f>
        <v>615</v>
      </c>
      <c r="AL166" s="1856">
        <f>AK178</f>
        <v>610</v>
      </c>
      <c r="AM166" s="1856">
        <f>AL178</f>
        <v>608.98</v>
      </c>
      <c r="AN166" s="1856">
        <f>AM178</f>
        <v>610</v>
      </c>
      <c r="AO166" s="1855"/>
      <c r="AP166" s="1856">
        <f>AN65</f>
        <v>614</v>
      </c>
      <c r="AQ166" s="1856">
        <f>AP178</f>
        <v>608</v>
      </c>
      <c r="AR166" s="1856">
        <f>AQ178</f>
        <v>604</v>
      </c>
      <c r="AS166" s="1856">
        <f>AR178</f>
        <v>596</v>
      </c>
      <c r="AT166" s="1855"/>
      <c r="AU166" s="1856">
        <f>AS65</f>
        <v>584</v>
      </c>
      <c r="AV166" s="1856">
        <f>AU178</f>
        <v>572</v>
      </c>
      <c r="AW166" s="1856">
        <f>AV178</f>
        <v>562</v>
      </c>
      <c r="AX166" s="1856">
        <f>AW178</f>
        <v>554</v>
      </c>
      <c r="AY166" s="1855"/>
      <c r="AZ166" s="1856">
        <f>AX65</f>
        <v>556</v>
      </c>
      <c r="BA166" s="1856">
        <f>AZ178</f>
        <v>550</v>
      </c>
      <c r="BB166" s="1856">
        <f>BA178</f>
        <v>547</v>
      </c>
      <c r="BC166" s="1856">
        <f>BB178</f>
        <v>541</v>
      </c>
      <c r="BD166" s="1855"/>
      <c r="BE166" s="1856">
        <f>BC65</f>
        <v>528</v>
      </c>
      <c r="BF166" s="1856">
        <f>BE178</f>
        <v>504</v>
      </c>
      <c r="BG166" s="1856">
        <f>BF178</f>
        <v>498</v>
      </c>
      <c r="BH166" s="1856">
        <f>BG178</f>
        <v>487</v>
      </c>
      <c r="BI166" s="1855"/>
      <c r="BJ166" s="1856">
        <f>BH65</f>
        <v>479</v>
      </c>
      <c r="BK166" s="1856">
        <f>BJ65</f>
        <v>479</v>
      </c>
      <c r="BL166" s="1856">
        <f>BK178</f>
        <v>483</v>
      </c>
      <c r="BM166" s="1856">
        <f>BL178</f>
        <v>485</v>
      </c>
      <c r="BN166" s="1855"/>
      <c r="BO166" s="1856">
        <f>BM65</f>
        <v>485</v>
      </c>
      <c r="BP166" s="1856">
        <f>BO178</f>
        <v>485</v>
      </c>
      <c r="BQ166" s="1856">
        <f>BP178</f>
        <v>485</v>
      </c>
      <c r="BR166" s="1856">
        <f>BQ178</f>
        <v>484</v>
      </c>
      <c r="BS166" s="1855"/>
      <c r="BT166" s="1856">
        <f>BS174</f>
        <v>469</v>
      </c>
      <c r="BU166" s="1856">
        <f>BT174</f>
        <v>467</v>
      </c>
      <c r="BV166" s="1856">
        <f>BU174</f>
        <v>465</v>
      </c>
      <c r="BW166" s="1856">
        <f>BV174</f>
        <v>461</v>
      </c>
      <c r="BX166" s="1855"/>
      <c r="BY166" s="1856">
        <f>BX174</f>
        <v>460</v>
      </c>
      <c r="BZ166" s="1856">
        <f>BY174</f>
        <v>460</v>
      </c>
      <c r="CA166" s="1856">
        <f>BZ174</f>
        <v>458</v>
      </c>
      <c r="CB166" s="1856">
        <f>CA174</f>
        <v>452</v>
      </c>
      <c r="CC166" s="1855"/>
      <c r="CD166" s="1857">
        <f>CC174</f>
        <v>451</v>
      </c>
      <c r="CE166" s="1857">
        <f>CD174</f>
        <v>450</v>
      </c>
      <c r="CF166" s="1857">
        <f>CE174</f>
        <v>447</v>
      </c>
      <c r="CG166" s="1858">
        <f>CF174</f>
        <v>445</v>
      </c>
      <c r="CH166" s="1859"/>
      <c r="CI166" s="1858">
        <f>CH174</f>
        <v>443</v>
      </c>
      <c r="CJ166" s="1858">
        <f>CI174</f>
        <v>442</v>
      </c>
      <c r="CK166" s="1858">
        <f>CJ174</f>
        <v>440</v>
      </c>
      <c r="CL166" s="1858">
        <f>CK174</f>
        <v>438</v>
      </c>
      <c r="CM166" s="1859"/>
      <c r="CN166" s="1858">
        <f>CM174</f>
        <v>434</v>
      </c>
      <c r="CO166" s="1858">
        <f>CN174</f>
        <v>433</v>
      </c>
      <c r="CP166" s="1858">
        <f>CO174</f>
        <v>432</v>
      </c>
      <c r="CQ166" s="1912">
        <f>CP174</f>
        <v>431</v>
      </c>
      <c r="CR166" s="1972"/>
      <c r="CS166" s="2089">
        <f>CR174</f>
        <v>420</v>
      </c>
      <c r="CT166" s="2089">
        <f>CS174</f>
        <v>407</v>
      </c>
      <c r="CU166" s="2089">
        <f>CT174</f>
        <v>399</v>
      </c>
      <c r="CV166" s="790">
        <f>CU174</f>
        <v>376</v>
      </c>
      <c r="CW166" s="276"/>
      <c r="CX166" s="790">
        <f>CW174</f>
        <v>355</v>
      </c>
      <c r="CY166" s="790">
        <f>CX174</f>
        <v>350</v>
      </c>
      <c r="CZ166" s="790">
        <f>CY174</f>
        <v>345</v>
      </c>
      <c r="DA166" s="790">
        <f>CZ174</f>
        <v>339</v>
      </c>
      <c r="DB166" s="276"/>
      <c r="DC166" s="790">
        <f>DB174</f>
        <v>333.98690671031096</v>
      </c>
      <c r="DD166" s="790">
        <f>DC174</f>
        <v>327.36123907229251</v>
      </c>
      <c r="DE166" s="790">
        <f>DD174</f>
        <v>321.00692918154283</v>
      </c>
      <c r="DF166" s="790">
        <f>DE174</f>
        <v>314.81979758081144</v>
      </c>
      <c r="DG166" s="276"/>
      <c r="DH166" s="790">
        <f>DG174</f>
        <v>311.2149777651511</v>
      </c>
      <c r="DI166" s="790">
        <f>DH174</f>
        <v>307.19999125735677</v>
      </c>
      <c r="DJ166" s="790">
        <f>DI174</f>
        <v>303.37157311246034</v>
      </c>
      <c r="DK166" s="790">
        <f>DJ174</f>
        <v>299.62802591158152</v>
      </c>
      <c r="DL166" s="276"/>
      <c r="DM166" s="790">
        <f>DL174</f>
        <v>298.4329007266245</v>
      </c>
      <c r="DN166" s="790">
        <f>DM174</f>
        <v>296.63937121815019</v>
      </c>
      <c r="DO166" s="790">
        <f>DN174</f>
        <v>294.98885209219503</v>
      </c>
      <c r="DP166" s="790">
        <f>DO174</f>
        <v>293.38050000792526</v>
      </c>
      <c r="DQ166" s="276"/>
      <c r="DR166" s="790">
        <f>DQ174</f>
        <v>294.29457701016526</v>
      </c>
      <c r="DS166" s="790">
        <f>DR174</f>
        <v>292.6495544633417</v>
      </c>
      <c r="DT166" s="790">
        <f>DS174</f>
        <v>291.14463039782845</v>
      </c>
      <c r="DU166" s="790">
        <f>DT174</f>
        <v>289.67901856889387</v>
      </c>
      <c r="DV166" s="276"/>
      <c r="DW166" s="790">
        <f>DV174</f>
        <v>290.73291568251364</v>
      </c>
      <c r="DX166" s="790">
        <f>DW174</f>
        <v>289.22497167625846</v>
      </c>
      <c r="DY166" s="790">
        <f>DX174</f>
        <v>287.85443833679267</v>
      </c>
      <c r="DZ166" s="790">
        <f>DY174</f>
        <v>286.52058212163013</v>
      </c>
      <c r="EA166" s="276"/>
      <c r="EC166" s="33"/>
      <c r="ED166" s="321"/>
      <c r="EE166" s="321"/>
      <c r="EF166" s="321"/>
      <c r="EG166" s="321"/>
      <c r="EH166" s="132"/>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row>
    <row r="167" spans="1:259" s="15" customFormat="1" x14ac:dyDescent="0.2">
      <c r="A167" s="14" t="s">
        <v>213</v>
      </c>
      <c r="B167" s="1358"/>
      <c r="C167" s="1358"/>
      <c r="D167" s="1358"/>
      <c r="E167" s="1358"/>
      <c r="F167" s="1358"/>
      <c r="G167" s="1358"/>
      <c r="H167" s="1358"/>
      <c r="I167" s="1358"/>
      <c r="J167" s="1675"/>
      <c r="K167" s="1358"/>
      <c r="L167" s="1358"/>
      <c r="M167" s="1358"/>
      <c r="N167" s="1358"/>
      <c r="O167" s="1358"/>
      <c r="P167" s="1358"/>
      <c r="Q167" s="1358"/>
      <c r="R167" s="1358"/>
      <c r="S167" s="1358"/>
      <c r="T167" s="1358"/>
      <c r="U167" s="1358"/>
      <c r="V167" s="1358"/>
      <c r="W167" s="1358"/>
      <c r="X167" s="1358"/>
      <c r="Y167" s="1358"/>
      <c r="Z167" s="1358"/>
      <c r="AA167" s="1358"/>
      <c r="AB167" s="1358"/>
      <c r="AC167" s="1358"/>
      <c r="AD167" s="1358"/>
      <c r="AE167" s="1375"/>
      <c r="AF167" s="1359">
        <f>-CF!AF59</f>
        <v>48</v>
      </c>
      <c r="AG167" s="1359">
        <f>-CF!AG59</f>
        <v>34</v>
      </c>
      <c r="AH167" s="1359">
        <f>-CF!AH59</f>
        <v>39</v>
      </c>
      <c r="AI167" s="1359">
        <f>-CF!AI59</f>
        <v>157</v>
      </c>
      <c r="AJ167" s="1375">
        <f>-CF!AJ59</f>
        <v>278</v>
      </c>
      <c r="AK167" s="1359">
        <f>-CF!AK59</f>
        <v>216</v>
      </c>
      <c r="AL167" s="1359">
        <f>-CF!AL59</f>
        <v>78</v>
      </c>
      <c r="AM167" s="1359">
        <f>-CF!AM59</f>
        <v>0</v>
      </c>
      <c r="AN167" s="1359">
        <f>-CF!AN59</f>
        <v>275</v>
      </c>
      <c r="AO167" s="1375">
        <f>-CF!AO59</f>
        <v>569</v>
      </c>
      <c r="AP167" s="1359">
        <f>-CF!AP59</f>
        <v>116</v>
      </c>
      <c r="AQ167" s="1359">
        <f>-CF!AQ59</f>
        <v>373</v>
      </c>
      <c r="AR167" s="1359">
        <f>-CF!AR59</f>
        <v>189</v>
      </c>
      <c r="AS167" s="1359">
        <f>-CF!AS59</f>
        <v>378</v>
      </c>
      <c r="AT167" s="1375">
        <f>-CF!AT59</f>
        <v>1056</v>
      </c>
      <c r="AU167" s="1359">
        <f>-CF!AU59</f>
        <v>371</v>
      </c>
      <c r="AV167" s="1359">
        <f>-CF!AV59</f>
        <v>158</v>
      </c>
      <c r="AW167" s="1359">
        <f>-CF!AW59</f>
        <v>324</v>
      </c>
      <c r="AX167" s="1359">
        <f>-CF!AX59</f>
        <v>130</v>
      </c>
      <c r="AY167" s="1375">
        <f>-CF!AY59</f>
        <v>983</v>
      </c>
      <c r="AZ167" s="1359">
        <f>-CF!AZ59</f>
        <v>246</v>
      </c>
      <c r="BA167" s="1359">
        <f>-CF!BA59</f>
        <v>231</v>
      </c>
      <c r="BB167" s="1359">
        <f>-CF!BB59</f>
        <v>297</v>
      </c>
      <c r="BC167" s="1359">
        <f>-CF!BC59</f>
        <v>636</v>
      </c>
      <c r="BD167" s="1375">
        <f>-CF!BD59</f>
        <v>1410</v>
      </c>
      <c r="BE167" s="1359">
        <f>-CF!BE59</f>
        <v>994</v>
      </c>
      <c r="BF167" s="1359">
        <f>-CF!BF59</f>
        <v>0</v>
      </c>
      <c r="BG167" s="1359">
        <f>-CF!BG59</f>
        <v>519</v>
      </c>
      <c r="BH167" s="1359">
        <f>BH168*BH170</f>
        <v>115.72879500000001</v>
      </c>
      <c r="BI167" s="1375">
        <f>SUM(BE167:BH167)</f>
        <v>1628.728795</v>
      </c>
      <c r="BJ167" s="1359">
        <f>-CF!BJ59</f>
        <v>0</v>
      </c>
      <c r="BK167" s="1359">
        <f>-CF!BK59</f>
        <v>0</v>
      </c>
      <c r="BL167" s="1359">
        <f>-CF!BL59</f>
        <v>0</v>
      </c>
      <c r="BM167" s="1359">
        <f>-CF!BM59</f>
        <v>0</v>
      </c>
      <c r="BN167" s="1375">
        <f>SUM(BJ167:BM167)</f>
        <v>0</v>
      </c>
      <c r="BO167" s="1359">
        <f>-CF!BO59</f>
        <v>132</v>
      </c>
      <c r="BP167" s="1359">
        <f>-CF!BP59</f>
        <v>115</v>
      </c>
      <c r="BQ167" s="1359">
        <f>-CF!BQ59</f>
        <v>36</v>
      </c>
      <c r="BR167" s="1359">
        <f>-CF!BR59</f>
        <v>88</v>
      </c>
      <c r="BS167" s="1375">
        <f>SUM(BO167:BR167)</f>
        <v>371</v>
      </c>
      <c r="BT167" s="1359">
        <f>-CF!BT59</f>
        <v>152</v>
      </c>
      <c r="BU167" s="1359">
        <f>-CF!BU59</f>
        <v>167</v>
      </c>
      <c r="BV167" s="1359">
        <f>-CF!BV59</f>
        <v>243</v>
      </c>
      <c r="BW167" s="1359">
        <f>-CF!BW59</f>
        <v>190</v>
      </c>
      <c r="BX167" s="1375">
        <f>SUM(BT167:BW167)</f>
        <v>752</v>
      </c>
      <c r="BY167" s="1359">
        <f>-CF!BY59</f>
        <v>78</v>
      </c>
      <c r="BZ167" s="1359">
        <f>-CF!BZ59</f>
        <v>211</v>
      </c>
      <c r="CA167" s="1359">
        <f>-CF!CA59</f>
        <v>399</v>
      </c>
      <c r="CB167" s="1359">
        <f>-CF!CB59</f>
        <v>277</v>
      </c>
      <c r="CC167" s="1375">
        <f>SUM(BY167:CB167)</f>
        <v>965</v>
      </c>
      <c r="CD167" s="1363">
        <f>-CF!CD59-20</f>
        <v>78</v>
      </c>
      <c r="CE167" s="1363">
        <f>-CF!CE59</f>
        <v>231</v>
      </c>
      <c r="CF167" s="1363">
        <f>-CF!CF59</f>
        <v>181</v>
      </c>
      <c r="CG167" s="1363">
        <f>-CF!CG59</f>
        <v>260</v>
      </c>
      <c r="CH167" s="1688">
        <f>SUM(CD167:CG167)</f>
        <v>750</v>
      </c>
      <c r="CI167" s="1363">
        <f>-CF!CI59</f>
        <v>124</v>
      </c>
      <c r="CJ167" s="1689">
        <f>-CF!CJ59</f>
        <v>176</v>
      </c>
      <c r="CK167" s="1689">
        <f>-CF!CK59</f>
        <v>210</v>
      </c>
      <c r="CL167" s="1689">
        <f>-CF!CL59</f>
        <v>310</v>
      </c>
      <c r="CM167" s="1688">
        <f>SUM(CI167:CL167)</f>
        <v>820</v>
      </c>
      <c r="CN167" s="1363">
        <f>-CF!CN59</f>
        <v>0</v>
      </c>
      <c r="CO167" s="1689">
        <f>-CF!CO59</f>
        <v>0</v>
      </c>
      <c r="CP167" s="1689">
        <f>-CF!CP59</f>
        <v>0</v>
      </c>
      <c r="CQ167" s="1913">
        <f>-CF!CQ59</f>
        <v>830</v>
      </c>
      <c r="CR167" s="1973">
        <f>SUM(CN167:CQ167)</f>
        <v>830</v>
      </c>
      <c r="CS167" s="2090">
        <f>-CF!CS59</f>
        <v>925</v>
      </c>
      <c r="CT167" s="2090">
        <f>-CF!CT59</f>
        <v>634</v>
      </c>
      <c r="CU167" s="2090">
        <f>-CF!CU59</f>
        <v>2093</v>
      </c>
      <c r="CV167" s="791">
        <f>-CF!CV59</f>
        <v>1750</v>
      </c>
      <c r="CW167" s="792">
        <f>SUM(CS167:CV167)</f>
        <v>5402</v>
      </c>
      <c r="CX167" s="791">
        <f>-CF!CX59</f>
        <v>461</v>
      </c>
      <c r="CY167" s="791">
        <f>-CF!CY59</f>
        <v>395</v>
      </c>
      <c r="CZ167" s="791">
        <f>-CF!CZ59</f>
        <v>492</v>
      </c>
      <c r="DA167" s="791">
        <f>-CF!DA59</f>
        <v>612</v>
      </c>
      <c r="DB167" s="792">
        <f>SUM(CX167:DA167)</f>
        <v>1960</v>
      </c>
      <c r="DC167" s="799">
        <f>-CF!DC59</f>
        <v>550</v>
      </c>
      <c r="DD167" s="799">
        <f>-CF!DD59</f>
        <v>550</v>
      </c>
      <c r="DE167" s="799">
        <f>-CF!DE59</f>
        <v>550</v>
      </c>
      <c r="DF167" s="799">
        <f>-CF!DF59</f>
        <v>550</v>
      </c>
      <c r="DG167" s="792">
        <f>SUM(DC167:DF167)</f>
        <v>2200</v>
      </c>
      <c r="DH167" s="799">
        <f>-CF!DH59</f>
        <v>375</v>
      </c>
      <c r="DI167" s="799">
        <f>-CF!DI59</f>
        <v>375</v>
      </c>
      <c r="DJ167" s="799">
        <f>-CF!DJ59</f>
        <v>375</v>
      </c>
      <c r="DK167" s="799">
        <f>-CF!DK59</f>
        <v>375</v>
      </c>
      <c r="DL167" s="792">
        <f>SUM(DH167:DK167)</f>
        <v>1500</v>
      </c>
      <c r="DM167" s="799">
        <f>-CF!DM59</f>
        <v>200</v>
      </c>
      <c r="DN167" s="799">
        <f>-CF!DN59</f>
        <v>200</v>
      </c>
      <c r="DO167" s="799">
        <f>-CF!DO59</f>
        <v>200</v>
      </c>
      <c r="DP167" s="799">
        <f>-CF!DP59</f>
        <v>200</v>
      </c>
      <c r="DQ167" s="792">
        <f>SUM(DM167:DP167)</f>
        <v>800</v>
      </c>
      <c r="DR167" s="799">
        <f>-CF!DR59</f>
        <v>200</v>
      </c>
      <c r="DS167" s="799">
        <f>-CF!DS59</f>
        <v>200</v>
      </c>
      <c r="DT167" s="799">
        <f>-CF!DT59</f>
        <v>200</v>
      </c>
      <c r="DU167" s="799">
        <f>-CF!DU59</f>
        <v>200</v>
      </c>
      <c r="DV167" s="792">
        <f>SUM(DR167:DU167)</f>
        <v>800</v>
      </c>
      <c r="DW167" s="799">
        <f>-CF!DW59</f>
        <v>200</v>
      </c>
      <c r="DX167" s="799">
        <f>-CF!DX59</f>
        <v>200</v>
      </c>
      <c r="DY167" s="799">
        <f>-CF!DY59</f>
        <v>200</v>
      </c>
      <c r="DZ167" s="799">
        <f>-CF!DZ59</f>
        <v>200</v>
      </c>
      <c r="EA167" s="792">
        <f>SUM(DW167:DZ167)</f>
        <v>800</v>
      </c>
      <c r="EC167" s="33"/>
      <c r="ED167" s="321"/>
      <c r="EE167" s="321"/>
      <c r="EF167" s="321"/>
      <c r="EG167" s="321"/>
      <c r="EH167" s="132"/>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row>
    <row r="168" spans="1:259" s="15" customFormat="1" x14ac:dyDescent="0.2">
      <c r="A168" s="14" t="s">
        <v>31</v>
      </c>
      <c r="B168" s="1358"/>
      <c r="C168" s="1358"/>
      <c r="D168" s="1358"/>
      <c r="E168" s="1358"/>
      <c r="F168" s="1358"/>
      <c r="G168" s="1358"/>
      <c r="H168" s="1358"/>
      <c r="I168" s="1358"/>
      <c r="J168" s="1675"/>
      <c r="K168" s="1358"/>
      <c r="L168" s="1358"/>
      <c r="M168" s="1358"/>
      <c r="N168" s="1358"/>
      <c r="O168" s="1358"/>
      <c r="P168" s="1358"/>
      <c r="Q168" s="1358"/>
      <c r="R168" s="1358"/>
      <c r="S168" s="1358"/>
      <c r="T168" s="1358"/>
      <c r="U168" s="1358"/>
      <c r="V168" s="1358"/>
      <c r="W168" s="1358"/>
      <c r="X168" s="1358"/>
      <c r="Y168" s="1358"/>
      <c r="Z168" s="1358"/>
      <c r="AA168" s="1358"/>
      <c r="AB168" s="1358"/>
      <c r="AC168" s="1358"/>
      <c r="AD168" s="1358"/>
      <c r="AE168" s="1375"/>
      <c r="AF168" s="1359"/>
      <c r="AG168" s="1359"/>
      <c r="AH168" s="1359"/>
      <c r="AI168" s="1359"/>
      <c r="AJ168" s="1375"/>
      <c r="AK168" s="1359"/>
      <c r="AL168" s="1359"/>
      <c r="AM168" s="1359"/>
      <c r="AN168" s="1359"/>
      <c r="AO168" s="1690"/>
      <c r="AP168" s="1691">
        <f>AP167/AP170</f>
        <v>25.217391304347828</v>
      </c>
      <c r="AQ168" s="1691">
        <f>AQ167/AQ170</f>
        <v>24.866666666666667</v>
      </c>
      <c r="AR168" s="1691">
        <f>AR167/AR170</f>
        <v>24.868421052631579</v>
      </c>
      <c r="AS168" s="1691">
        <f>AS167/AS170</f>
        <v>25.54054054054054</v>
      </c>
      <c r="AT168" s="1690">
        <f>AVERAGE(AP168:AS168)</f>
        <v>25.123254891046656</v>
      </c>
      <c r="AU168" s="1691">
        <f>AU167/AU170</f>
        <v>24.407894736842106</v>
      </c>
      <c r="AV168" s="1691">
        <f>AV167/AV170</f>
        <v>25.143220878421378</v>
      </c>
      <c r="AW168" s="1691">
        <f>AW167/AW170</f>
        <v>22.845860950500644</v>
      </c>
      <c r="AX168" s="1691">
        <f>AX167/AX170</f>
        <v>27.874863305958787</v>
      </c>
      <c r="AY168" s="1690">
        <f>AVERAGE(AU168:AX168)</f>
        <v>25.067959967930729</v>
      </c>
      <c r="AZ168" s="1691">
        <f>AZ167/AZ170</f>
        <v>31.766528925619834</v>
      </c>
      <c r="BA168" s="1691">
        <f>BA167/BA170</f>
        <v>32.083333333333336</v>
      </c>
      <c r="BB168" s="1691">
        <f>BB167/BB170</f>
        <v>28.125</v>
      </c>
      <c r="BC168" s="1691">
        <f>BC167/BC170</f>
        <v>39.75</v>
      </c>
      <c r="BD168" s="1690">
        <f>AVERAGE(AZ168:BC168)</f>
        <v>32.931215564738295</v>
      </c>
      <c r="BE168" s="1691">
        <f>BE167/BE170</f>
        <v>35.85599884568213</v>
      </c>
      <c r="BF168" s="1691">
        <v>34</v>
      </c>
      <c r="BG168" s="1691">
        <f>BG167/BG170</f>
        <v>35.93336748964925</v>
      </c>
      <c r="BH168" s="1691">
        <v>26.55</v>
      </c>
      <c r="BI168" s="1690">
        <f>AVERAGE(BE168:BH168)</f>
        <v>33.084841583832848</v>
      </c>
      <c r="BJ168" s="1691">
        <v>25</v>
      </c>
      <c r="BK168" s="1691">
        <v>30</v>
      </c>
      <c r="BL168" s="1691">
        <v>32</v>
      </c>
      <c r="BM168" s="1691">
        <v>34</v>
      </c>
      <c r="BN168" s="1690">
        <f>AVERAGE(BJ168:BM168)</f>
        <v>30.25</v>
      </c>
      <c r="BO168" s="1691">
        <v>34.119999999999997</v>
      </c>
      <c r="BP168" s="1691">
        <v>40</v>
      </c>
      <c r="BQ168" s="1691">
        <v>41</v>
      </c>
      <c r="BR168" s="1691">
        <v>47</v>
      </c>
      <c r="BS168" s="1690">
        <f>AVERAGE(BO168:BR168)</f>
        <v>40.53</v>
      </c>
      <c r="BT168" s="1691">
        <v>50</v>
      </c>
      <c r="BU168" s="1691">
        <v>52</v>
      </c>
      <c r="BV168" s="1691">
        <v>52</v>
      </c>
      <c r="BW168" s="1691">
        <v>51.62</v>
      </c>
      <c r="BX168" s="1690">
        <f>AVERAGE(BT168:BW168)</f>
        <v>51.405000000000001</v>
      </c>
      <c r="BY168" s="1691">
        <v>63.89</v>
      </c>
      <c r="BZ168" s="1691">
        <v>68.02</v>
      </c>
      <c r="CA168" s="1691">
        <v>64</v>
      </c>
      <c r="CB168" s="1691">
        <v>69</v>
      </c>
      <c r="CC168" s="1690">
        <v>66</v>
      </c>
      <c r="CD168" s="1692">
        <v>64.95</v>
      </c>
      <c r="CE168" s="1692">
        <v>68.680000000000007</v>
      </c>
      <c r="CF168" s="1692">
        <v>71.489999999999995</v>
      </c>
      <c r="CG168" s="1693">
        <v>68.11</v>
      </c>
      <c r="CH168" s="1694">
        <f>CH167/CH170</f>
        <v>68.807339449541288</v>
      </c>
      <c r="CI168" s="1693">
        <v>73.069999999999993</v>
      </c>
      <c r="CJ168" s="1693">
        <v>76.08</v>
      </c>
      <c r="CK168" s="1693">
        <v>74.400000000000006</v>
      </c>
      <c r="CL168" s="1693">
        <v>70.52</v>
      </c>
      <c r="CM168" s="1694"/>
      <c r="CN168" s="1695">
        <v>75.209999999999994</v>
      </c>
      <c r="CO168" s="1693">
        <v>86.01</v>
      </c>
      <c r="CP168" s="1693">
        <v>90.15</v>
      </c>
      <c r="CQ168" s="1914">
        <v>72.64</v>
      </c>
      <c r="CR168" s="1974"/>
      <c r="CS168" s="2091">
        <v>69.23</v>
      </c>
      <c r="CT168" s="2091">
        <v>81.98</v>
      </c>
      <c r="CU168" s="2092">
        <v>88</v>
      </c>
      <c r="CV168" s="800">
        <f>CU168+(1+CV169)</f>
        <v>89.05</v>
      </c>
      <c r="CW168" s="801"/>
      <c r="CX168" s="2339">
        <v>64.53</v>
      </c>
      <c r="CY168" s="2339">
        <v>68.45</v>
      </c>
      <c r="CZ168" s="2339">
        <v>75.349999999999994</v>
      </c>
      <c r="DA168" s="800">
        <f>CZ168+(1+DA169)</f>
        <v>76.375</v>
      </c>
      <c r="DB168" s="801"/>
      <c r="DC168" s="800">
        <f>DA168*(1+DC169)</f>
        <v>78.284374999999997</v>
      </c>
      <c r="DD168" s="800">
        <f>DC168*(1+DD169)</f>
        <v>80.241484374999985</v>
      </c>
      <c r="DE168" s="800">
        <f>DD168*(1+DE169)</f>
        <v>82.247521484374971</v>
      </c>
      <c r="DF168" s="800">
        <f>DE168+(1+DF169)</f>
        <v>83.272521484374977</v>
      </c>
      <c r="DG168" s="801"/>
      <c r="DH168" s="800">
        <f>DF168*(1+DH169)</f>
        <v>84.937971914062473</v>
      </c>
      <c r="DI168" s="800">
        <f>DH168*(1+DI169)</f>
        <v>86.63673135234373</v>
      </c>
      <c r="DJ168" s="800">
        <f>DI168*(1+DJ169)</f>
        <v>88.369465979390611</v>
      </c>
      <c r="DK168" s="800">
        <f>DJ168+(1+DK169)</f>
        <v>89.389465979390607</v>
      </c>
      <c r="DL168" s="801"/>
      <c r="DM168" s="800">
        <f>DK168*(1+DM169)</f>
        <v>91.177255298978423</v>
      </c>
      <c r="DN168" s="800">
        <f>DM168*(1+DN169)</f>
        <v>93.000800404957999</v>
      </c>
      <c r="DO168" s="800">
        <f>DN168*(1+DO169)</f>
        <v>94.860816413057165</v>
      </c>
      <c r="DP168" s="800">
        <f>DO168+(1+DP169)</f>
        <v>95.880816413057161</v>
      </c>
      <c r="DQ168" s="801"/>
      <c r="DR168" s="800">
        <f>DP168*(1+DR169)</f>
        <v>97.798432741318308</v>
      </c>
      <c r="DS168" s="800">
        <f>DR168*(1+DS169)</f>
        <v>99.754401396144672</v>
      </c>
      <c r="DT168" s="800">
        <f>DS168*(1+DT169)</f>
        <v>101.74948942406756</v>
      </c>
      <c r="DU168" s="800">
        <f>DT168+(1+DU169)</f>
        <v>102.76948942406756</v>
      </c>
      <c r="DV168" s="801"/>
      <c r="DW168" s="800">
        <f>DU168*(1+DW169)</f>
        <v>104.82487921254891</v>
      </c>
      <c r="DX168" s="800">
        <f>DW168*(1+DX169)</f>
        <v>106.92137679679989</v>
      </c>
      <c r="DY168" s="800">
        <f>DX168*(1+DY169)</f>
        <v>109.05980433273589</v>
      </c>
      <c r="DZ168" s="800">
        <f>DY168+(1+DZ169)</f>
        <v>110.07980433273589</v>
      </c>
      <c r="EA168" s="801"/>
      <c r="EC168" s="33"/>
      <c r="ED168" s="321"/>
      <c r="EE168" s="321"/>
      <c r="EF168" s="321"/>
      <c r="EG168" s="321"/>
      <c r="EH168" s="132"/>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row>
    <row r="169" spans="1:259" s="15" customFormat="1" x14ac:dyDescent="0.2">
      <c r="A169" s="14" t="s">
        <v>554</v>
      </c>
      <c r="B169" s="1358"/>
      <c r="C169" s="1358"/>
      <c r="D169" s="1358"/>
      <c r="E169" s="1358"/>
      <c r="F169" s="1358"/>
      <c r="G169" s="1358"/>
      <c r="H169" s="1358"/>
      <c r="I169" s="1358"/>
      <c r="J169" s="1675"/>
      <c r="K169" s="1358"/>
      <c r="L169" s="1358"/>
      <c r="M169" s="1358"/>
      <c r="N169" s="1358"/>
      <c r="O169" s="1358"/>
      <c r="P169" s="1358"/>
      <c r="Q169" s="1358"/>
      <c r="R169" s="1358"/>
      <c r="S169" s="1358"/>
      <c r="T169" s="1358"/>
      <c r="U169" s="1358"/>
      <c r="V169" s="1358"/>
      <c r="W169" s="1358"/>
      <c r="X169" s="1358"/>
      <c r="Y169" s="1358"/>
      <c r="Z169" s="1358"/>
      <c r="AA169" s="1358"/>
      <c r="AB169" s="1358"/>
      <c r="AC169" s="1358"/>
      <c r="AD169" s="1358"/>
      <c r="AE169" s="1375"/>
      <c r="AF169" s="1359"/>
      <c r="AG169" s="1359"/>
      <c r="AH169" s="1359"/>
      <c r="AI169" s="1359"/>
      <c r="AJ169" s="1375"/>
      <c r="AK169" s="1359"/>
      <c r="AL169" s="1359"/>
      <c r="AM169" s="1359"/>
      <c r="AN169" s="1359"/>
      <c r="AO169" s="1690"/>
      <c r="AP169" s="1691"/>
      <c r="AQ169" s="1696">
        <f>AQ168/AP168-1</f>
        <v>-1.3908045977011563E-2</v>
      </c>
      <c r="AR169" s="1696">
        <f>AR168/AQ168-1</f>
        <v>7.0551714406619226E-5</v>
      </c>
      <c r="AS169" s="1696">
        <f>AS168/AR168-1</f>
        <v>2.7027027027026973E-2</v>
      </c>
      <c r="AT169" s="1690"/>
      <c r="AU169" s="1696">
        <f>AU168/AS168-1</f>
        <v>-4.4346978557504801E-2</v>
      </c>
      <c r="AV169" s="1696">
        <f>AV168/AU168-1</f>
        <v>3.012656968195393E-2</v>
      </c>
      <c r="AW169" s="1696">
        <f>AW168/AV168-1</f>
        <v>-9.1370948019328435E-2</v>
      </c>
      <c r="AX169" s="1696">
        <f>AX168/AW168-1</f>
        <v>0.22012750433675121</v>
      </c>
      <c r="AY169" s="1690"/>
      <c r="AZ169" s="1696">
        <f>AZ168/AX168-1</f>
        <v>0.13961200731087109</v>
      </c>
      <c r="BA169" s="1696">
        <f>BA168/AZ168-1</f>
        <v>9.9728997289973975E-3</v>
      </c>
      <c r="BB169" s="1696">
        <f>BB168/BA168-1</f>
        <v>-0.12337662337662347</v>
      </c>
      <c r="BC169" s="1696">
        <f>BC168/BB168-1</f>
        <v>0.41333333333333333</v>
      </c>
      <c r="BD169" s="1690"/>
      <c r="BE169" s="1696">
        <f>BE168/BC168-1</f>
        <v>-9.7962293190386629E-2</v>
      </c>
      <c r="BF169" s="1696">
        <f>BF168/BE168-1</f>
        <v>-5.1762575452716342E-2</v>
      </c>
      <c r="BG169" s="1696">
        <f>BG168/BF168-1</f>
        <v>5.6863749695566179E-2</v>
      </c>
      <c r="BH169" s="1696">
        <f>BH168/BG168-1</f>
        <v>-0.2611324277456647</v>
      </c>
      <c r="BI169" s="1697"/>
      <c r="BJ169" s="1696">
        <f>BJ168/BH168-1</f>
        <v>-5.8380414312617757E-2</v>
      </c>
      <c r="BK169" s="1696">
        <f>BK168/BJ168-1</f>
        <v>0.19999999999999996</v>
      </c>
      <c r="BL169" s="1696">
        <f>BL168/BK168-1</f>
        <v>6.6666666666666652E-2</v>
      </c>
      <c r="BM169" s="1696">
        <f>BM168/BL168-1</f>
        <v>6.25E-2</v>
      </c>
      <c r="BN169" s="1697"/>
      <c r="BO169" s="1696">
        <f>BO168/BM168-1</f>
        <v>3.529411764705781E-3</v>
      </c>
      <c r="BP169" s="1696">
        <f>BP168/BO168-1</f>
        <v>0.17233294255568588</v>
      </c>
      <c r="BQ169" s="1696">
        <f>BQ168/BP168-1</f>
        <v>2.4999999999999911E-2</v>
      </c>
      <c r="BR169" s="1696">
        <f>BR168/BQ168-1</f>
        <v>0.14634146341463405</v>
      </c>
      <c r="BS169" s="1697"/>
      <c r="BT169" s="1696">
        <f>BT168/BR168-1</f>
        <v>6.3829787234042534E-2</v>
      </c>
      <c r="BU169" s="1696">
        <f>BU168/BT168-1</f>
        <v>4.0000000000000036E-2</v>
      </c>
      <c r="BV169" s="1696">
        <f>BV168/BU168-1</f>
        <v>0</v>
      </c>
      <c r="BW169" s="1696">
        <f>BW168/BV168-1</f>
        <v>-7.3076923076923483E-3</v>
      </c>
      <c r="BX169" s="1697"/>
      <c r="BY169" s="1696">
        <f>BY168/BW168-1</f>
        <v>0.23769856644711362</v>
      </c>
      <c r="BZ169" s="1696">
        <f>BZ168/BY168-1</f>
        <v>6.4642354046016592E-2</v>
      </c>
      <c r="CA169" s="1696">
        <f>CA168/BZ168-1</f>
        <v>-5.9100264628050514E-2</v>
      </c>
      <c r="CB169" s="1518">
        <f>CB168/CA168-1</f>
        <v>7.8125E-2</v>
      </c>
      <c r="CC169" s="1697"/>
      <c r="CD169" s="1522">
        <f>CD168/CC168-1</f>
        <v>-1.5909090909090873E-2</v>
      </c>
      <c r="CE169" s="1522">
        <f>CE168/CD168-1</f>
        <v>5.7428791377983179E-2</v>
      </c>
      <c r="CF169" s="1522">
        <f>CF168/CE168-1</f>
        <v>4.0914385556202415E-2</v>
      </c>
      <c r="CG169" s="1565">
        <f>CG168/CF168-1</f>
        <v>-4.7279339767799633E-2</v>
      </c>
      <c r="CH169" s="1698"/>
      <c r="CI169" s="1565">
        <f>CI168/CH168-1</f>
        <v>6.1950666666666487E-2</v>
      </c>
      <c r="CJ169" s="1565">
        <f>CJ168/CI168-1</f>
        <v>4.119337621458885E-2</v>
      </c>
      <c r="CK169" s="1565">
        <f>CK168/CJ168-1</f>
        <v>-2.2082018927444658E-2</v>
      </c>
      <c r="CL169" s="1565">
        <f>CL168/CK168-1</f>
        <v>-5.2150537634408689E-2</v>
      </c>
      <c r="CM169" s="1698"/>
      <c r="CN169" s="1565">
        <f>CN168/CL168-1</f>
        <v>6.650595575723206E-2</v>
      </c>
      <c r="CO169" s="1565">
        <f>CO168/CN168-1</f>
        <v>0.14359792580773845</v>
      </c>
      <c r="CP169" s="1565">
        <f>CP168/CO168-1</f>
        <v>4.8133937914196068E-2</v>
      </c>
      <c r="CQ169" s="1082">
        <f>CQ168/CP168-1</f>
        <v>-0.19423183582917369</v>
      </c>
      <c r="CR169" s="1975"/>
      <c r="CS169" s="2093">
        <f>CS168/CQ168-1</f>
        <v>-4.694383259911894E-2</v>
      </c>
      <c r="CT169" s="2093">
        <f>CT168/CS168-1</f>
        <v>0.18416871298569992</v>
      </c>
      <c r="CU169" s="2093">
        <f>CU168/CT168-1</f>
        <v>7.3432544523054366E-2</v>
      </c>
      <c r="CV169" s="128">
        <v>0.05</v>
      </c>
      <c r="CW169" s="627"/>
      <c r="CX169" s="2093">
        <f>CX168/CV168-1</f>
        <v>-0.27535092644581693</v>
      </c>
      <c r="CY169" s="2093">
        <f>CY168/CX168-1</f>
        <v>6.0746939408027334E-2</v>
      </c>
      <c r="CZ169" s="1082">
        <f>CZ168/CY168-1</f>
        <v>0.10080350620891143</v>
      </c>
      <c r="DA169" s="128">
        <v>2.5000000000000001E-2</v>
      </c>
      <c r="DB169" s="627"/>
      <c r="DC169" s="802">
        <v>2.5000000000000001E-2</v>
      </c>
      <c r="DD169" s="802">
        <v>2.5000000000000001E-2</v>
      </c>
      <c r="DE169" s="802">
        <v>2.5000000000000001E-2</v>
      </c>
      <c r="DF169" s="802">
        <v>2.5000000000000001E-2</v>
      </c>
      <c r="DG169" s="718"/>
      <c r="DH169" s="802">
        <v>0.02</v>
      </c>
      <c r="DI169" s="802">
        <v>0.02</v>
      </c>
      <c r="DJ169" s="802">
        <v>0.02</v>
      </c>
      <c r="DK169" s="802">
        <v>0.02</v>
      </c>
      <c r="DL169" s="718"/>
      <c r="DM169" s="802">
        <v>0.02</v>
      </c>
      <c r="DN169" s="802">
        <v>0.02</v>
      </c>
      <c r="DO169" s="802">
        <v>0.02</v>
      </c>
      <c r="DP169" s="802">
        <v>0.02</v>
      </c>
      <c r="DQ169" s="718"/>
      <c r="DR169" s="802">
        <v>0.02</v>
      </c>
      <c r="DS169" s="802">
        <v>0.02</v>
      </c>
      <c r="DT169" s="802">
        <v>0.02</v>
      </c>
      <c r="DU169" s="802">
        <v>0.02</v>
      </c>
      <c r="DV169" s="718"/>
      <c r="DW169" s="802">
        <v>0.02</v>
      </c>
      <c r="DX169" s="802">
        <v>0.02</v>
      </c>
      <c r="DY169" s="802">
        <v>0.02</v>
      </c>
      <c r="DZ169" s="802">
        <v>0.02</v>
      </c>
      <c r="EA169" s="718"/>
      <c r="EB169" s="16"/>
      <c r="EC169" s="33"/>
      <c r="ED169" s="321"/>
      <c r="EE169" s="321"/>
      <c r="EF169" s="321"/>
      <c r="EG169" s="321"/>
      <c r="EH169" s="132"/>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row>
    <row r="170" spans="1:259" s="15" customFormat="1" x14ac:dyDescent="0.2">
      <c r="A170" s="14" t="s">
        <v>32</v>
      </c>
      <c r="B170" s="1358"/>
      <c r="C170" s="1358"/>
      <c r="D170" s="1358"/>
      <c r="E170" s="1358"/>
      <c r="F170" s="1358"/>
      <c r="G170" s="1358"/>
      <c r="H170" s="1358"/>
      <c r="I170" s="1358"/>
      <c r="J170" s="1675"/>
      <c r="K170" s="1358"/>
      <c r="L170" s="1358"/>
      <c r="M170" s="1358"/>
      <c r="N170" s="1358"/>
      <c r="O170" s="1358"/>
      <c r="P170" s="1358"/>
      <c r="Q170" s="1358"/>
      <c r="R170" s="1358"/>
      <c r="S170" s="1358"/>
      <c r="T170" s="1358"/>
      <c r="U170" s="1358"/>
      <c r="V170" s="1358"/>
      <c r="W170" s="1358"/>
      <c r="X170" s="1358"/>
      <c r="Y170" s="1358"/>
      <c r="Z170" s="1358"/>
      <c r="AA170" s="1358"/>
      <c r="AB170" s="1358"/>
      <c r="AC170" s="1358"/>
      <c r="AD170" s="1358"/>
      <c r="AE170" s="1375"/>
      <c r="AF170" s="1359">
        <v>3.9954000000000001</v>
      </c>
      <c r="AG170" s="1359">
        <v>2.66</v>
      </c>
      <c r="AH170" s="1359">
        <v>2.66</v>
      </c>
      <c r="AI170" s="1359">
        <v>8.6845999999999997</v>
      </c>
      <c r="AJ170" s="1375">
        <v>18</v>
      </c>
      <c r="AK170" s="1359">
        <v>12</v>
      </c>
      <c r="AL170" s="1359">
        <v>4.2</v>
      </c>
      <c r="AM170" s="1359">
        <v>0</v>
      </c>
      <c r="AN170" s="1359">
        <v>11.8</v>
      </c>
      <c r="AO170" s="1375">
        <v>28</v>
      </c>
      <c r="AP170" s="1359">
        <v>4.5999999999999996</v>
      </c>
      <c r="AQ170" s="1359">
        <v>15</v>
      </c>
      <c r="AR170" s="1359">
        <v>7.6</v>
      </c>
      <c r="AS170" s="1359">
        <v>14.8</v>
      </c>
      <c r="AT170" s="1375">
        <v>42</v>
      </c>
      <c r="AU170" s="1359">
        <v>15.2</v>
      </c>
      <c r="AV170" s="1359">
        <v>6.2840000000000025</v>
      </c>
      <c r="AW170" s="1359">
        <v>14.181999999999995</v>
      </c>
      <c r="AX170" s="1359">
        <v>4.6637000000000004</v>
      </c>
      <c r="AY170" s="1375">
        <v>40.329699999999995</v>
      </c>
      <c r="AZ170" s="1359">
        <v>7.7439999999999998</v>
      </c>
      <c r="BA170" s="1359">
        <v>7.2</v>
      </c>
      <c r="BB170" s="1359">
        <v>10.56</v>
      </c>
      <c r="BC170" s="1359">
        <v>16</v>
      </c>
      <c r="BD170" s="1375"/>
      <c r="BE170" s="1359">
        <v>27.722000000000001</v>
      </c>
      <c r="BF170" s="1359">
        <f>28.016-BE170</f>
        <v>0.29399999999999693</v>
      </c>
      <c r="BG170" s="1359">
        <v>14.4434</v>
      </c>
      <c r="BH170" s="1359">
        <v>4.3589000000000002</v>
      </c>
      <c r="BI170" s="1375">
        <f>SUM(BE170:BH170)</f>
        <v>46.818300000000001</v>
      </c>
      <c r="BJ170" s="1359">
        <f>BJ167/BJ168</f>
        <v>0</v>
      </c>
      <c r="BK170" s="1359">
        <v>0</v>
      </c>
      <c r="BL170" s="1359">
        <f>BL167/BL168</f>
        <v>0</v>
      </c>
      <c r="BM170" s="1359">
        <f>BM167/BM168</f>
        <v>0</v>
      </c>
      <c r="BN170" s="1375">
        <f>SUM(BJ170:BM170)</f>
        <v>0</v>
      </c>
      <c r="BO170" s="1359">
        <f>BO167/BO168</f>
        <v>3.8686987104337636</v>
      </c>
      <c r="BP170" s="1359">
        <f>BP167/BP168</f>
        <v>2.875</v>
      </c>
      <c r="BQ170" s="1359">
        <f>BQ167/BQ168</f>
        <v>0.87804878048780488</v>
      </c>
      <c r="BR170" s="1359">
        <f>BR167/BR168</f>
        <v>1.8723404255319149</v>
      </c>
      <c r="BS170" s="1375">
        <f>SUM(BO170:BR170)</f>
        <v>9.4940879164534842</v>
      </c>
      <c r="BT170" s="1359">
        <f>BT167/BT168</f>
        <v>3.04</v>
      </c>
      <c r="BU170" s="1359">
        <f>BU167/BU168</f>
        <v>3.2115384615384617</v>
      </c>
      <c r="BV170" s="1359">
        <f>BV167/BV168</f>
        <v>4.6730769230769234</v>
      </c>
      <c r="BW170" s="1359">
        <v>3.629</v>
      </c>
      <c r="BX170" s="1375">
        <f>SUM(BT170:BW170)</f>
        <v>14.553615384615386</v>
      </c>
      <c r="BY170" s="1699">
        <v>1.2190000000000001</v>
      </c>
      <c r="BZ170" s="1699">
        <v>3.0960000000000001</v>
      </c>
      <c r="CA170" s="1699">
        <v>6.5</v>
      </c>
      <c r="CB170" s="1699">
        <v>4.0999999999999996</v>
      </c>
      <c r="CC170" s="1700">
        <f>SUM(BY170:CB170)</f>
        <v>14.915000000000001</v>
      </c>
      <c r="CD170" s="1701">
        <v>1.198</v>
      </c>
      <c r="CE170" s="1701">
        <v>3.58</v>
      </c>
      <c r="CF170" s="1701">
        <v>2.3220000000000001</v>
      </c>
      <c r="CG170" s="1702">
        <v>3.8210000000000002</v>
      </c>
      <c r="CH170" s="1703">
        <v>10.9</v>
      </c>
      <c r="CI170" s="1702">
        <v>1.696</v>
      </c>
      <c r="CJ170" s="1702">
        <f>4.6-CI170</f>
        <v>2.9039999999999999</v>
      </c>
      <c r="CK170" s="1702">
        <v>2.8220000000000001</v>
      </c>
      <c r="CL170" s="1702">
        <v>4.3959999999999999</v>
      </c>
      <c r="CM170" s="1703">
        <v>11.2</v>
      </c>
      <c r="CN170" s="1704">
        <v>1.996</v>
      </c>
      <c r="CO170" s="1702">
        <v>1.6839999999999999</v>
      </c>
      <c r="CP170" s="1702">
        <v>0.83599999999999997</v>
      </c>
      <c r="CQ170" s="1915">
        <f>CQ167/CQ168</f>
        <v>11.426211453744493</v>
      </c>
      <c r="CR170" s="1976"/>
      <c r="CS170" s="2094">
        <v>13.275</v>
      </c>
      <c r="CT170" s="2094">
        <v>9.0190000000000001</v>
      </c>
      <c r="CU170" s="2090">
        <f>CU167/CU168</f>
        <v>23.78409090909091</v>
      </c>
      <c r="CV170" s="791">
        <f>CV167/CV168</f>
        <v>19.65188096574958</v>
      </c>
      <c r="CW170" s="792"/>
      <c r="CX170" s="1006">
        <f>6.849-0.4+0.7</f>
        <v>7.149</v>
      </c>
      <c r="CY170" s="2090">
        <f>CY167/CY168</f>
        <v>5.7706355003652297</v>
      </c>
      <c r="CZ170" s="2376">
        <f>CZ167/CZ168</f>
        <v>6.5295288652952888</v>
      </c>
      <c r="DA170" s="791">
        <f>DA167/DA168</f>
        <v>8.013093289689035</v>
      </c>
      <c r="DB170" s="792"/>
      <c r="DC170" s="791">
        <f>DC167/DC168</f>
        <v>7.0256676380184429</v>
      </c>
      <c r="DD170" s="791">
        <f>DD167/DD168</f>
        <v>6.8543098907497013</v>
      </c>
      <c r="DE170" s="791">
        <f>DE167/DE168</f>
        <v>6.6871316007314165</v>
      </c>
      <c r="DF170" s="791">
        <f>DF167/DF168</f>
        <v>6.6048198156603251</v>
      </c>
      <c r="DG170" s="792"/>
      <c r="DH170" s="791">
        <f>DH167/DH168</f>
        <v>4.4149865077943353</v>
      </c>
      <c r="DI170" s="791">
        <f>DI167/DI168</f>
        <v>4.328418144896407</v>
      </c>
      <c r="DJ170" s="791">
        <f>DJ167/DJ168</f>
        <v>4.2435472008788295</v>
      </c>
      <c r="DK170" s="791">
        <f>DK167/DK168</f>
        <v>4.1951251849570168</v>
      </c>
      <c r="DL170" s="792"/>
      <c r="DM170" s="791">
        <f>DM167/DM168</f>
        <v>2.1935295084742572</v>
      </c>
      <c r="DN170" s="791">
        <f>DN167/DN168</f>
        <v>2.1505191259551539</v>
      </c>
      <c r="DO170" s="791">
        <f>DO167/DO168</f>
        <v>2.1083520842697587</v>
      </c>
      <c r="DP170" s="791">
        <f>DP167/DP168</f>
        <v>2.0859229977599956</v>
      </c>
      <c r="DQ170" s="792"/>
      <c r="DR170" s="791">
        <f>DR167/DR168</f>
        <v>2.045022546823525</v>
      </c>
      <c r="DS170" s="791">
        <f>DS167/DS168</f>
        <v>2.0049240655132601</v>
      </c>
      <c r="DT170" s="791">
        <f>DT167/DT168</f>
        <v>1.9656118289345688</v>
      </c>
      <c r="DU170" s="791">
        <f>DU167/DU168</f>
        <v>1.9461028863802261</v>
      </c>
      <c r="DV170" s="792"/>
      <c r="DW170" s="791">
        <f>DW167/DW168</f>
        <v>1.9079440062551236</v>
      </c>
      <c r="DX170" s="791">
        <f>DX167/DX168</f>
        <v>1.8705333394658075</v>
      </c>
      <c r="DY170" s="791">
        <f>DY167/DY168</f>
        <v>1.8338562151625561</v>
      </c>
      <c r="DZ170" s="791">
        <f>DZ167/DZ168</f>
        <v>1.8168636945925543</v>
      </c>
      <c r="EA170" s="792"/>
      <c r="EB170" s="368"/>
      <c r="EC170" s="33"/>
      <c r="ED170" s="321"/>
      <c r="EE170" s="321"/>
      <c r="EF170" s="321"/>
      <c r="EG170" s="321"/>
      <c r="EH170" s="132"/>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row>
    <row r="171" spans="1:259" s="15" customFormat="1" x14ac:dyDescent="0.2">
      <c r="A171" s="14" t="s">
        <v>100</v>
      </c>
      <c r="B171" s="1358"/>
      <c r="C171" s="1358"/>
      <c r="D171" s="1358"/>
      <c r="E171" s="1358"/>
      <c r="F171" s="1358"/>
      <c r="G171" s="1358"/>
      <c r="H171" s="1358"/>
      <c r="I171" s="1358"/>
      <c r="J171" s="1675"/>
      <c r="K171" s="1358"/>
      <c r="L171" s="1358"/>
      <c r="M171" s="1358"/>
      <c r="N171" s="1358"/>
      <c r="O171" s="1358"/>
      <c r="P171" s="1358"/>
      <c r="Q171" s="1358"/>
      <c r="R171" s="1358"/>
      <c r="S171" s="1358"/>
      <c r="T171" s="1358"/>
      <c r="U171" s="1358"/>
      <c r="V171" s="1358"/>
      <c r="W171" s="1358"/>
      <c r="X171" s="1358"/>
      <c r="Y171" s="1358"/>
      <c r="Z171" s="1358"/>
      <c r="AA171" s="1358"/>
      <c r="AB171" s="1358"/>
      <c r="AC171" s="1358"/>
      <c r="AD171" s="1358"/>
      <c r="AE171" s="1375"/>
      <c r="AF171" s="1359"/>
      <c r="AG171" s="1359"/>
      <c r="AH171" s="1359"/>
      <c r="AI171" s="1359"/>
      <c r="AJ171" s="1375"/>
      <c r="AK171" s="1359"/>
      <c r="AL171" s="1359"/>
      <c r="AM171" s="1359"/>
      <c r="AN171" s="1359"/>
      <c r="AO171" s="1375"/>
      <c r="AP171" s="1359">
        <f>AP173*AP168</f>
        <v>-35.304347826086385</v>
      </c>
      <c r="AQ171" s="1359">
        <f>AQ173*AQ168</f>
        <v>273.53333333333336</v>
      </c>
      <c r="AR171" s="1359">
        <f>AR173*AR168</f>
        <v>-9.9473684210520652</v>
      </c>
      <c r="AS171" s="1359">
        <f>AS173*AS168</f>
        <v>71.513513513512351</v>
      </c>
      <c r="AT171" s="1375">
        <f>SUM(AP171:AS171)</f>
        <v>299.79513059970725</v>
      </c>
      <c r="AU171" s="1359">
        <f>AU173*AU168</f>
        <v>78.105263157895848</v>
      </c>
      <c r="AV171" s="1359">
        <f>AV173*AV168</f>
        <v>-93.432208784214041</v>
      </c>
      <c r="AW171" s="1359">
        <f>AW173*AW168</f>
        <v>141.23311239599536</v>
      </c>
      <c r="AX171" s="1359">
        <f>AX173*AX168</f>
        <v>185.74972661191615</v>
      </c>
      <c r="AY171" s="1375">
        <f>SUM(AU171:AX171)</f>
        <v>311.65589338159333</v>
      </c>
      <c r="AZ171" s="1359">
        <f>AZ173*AZ168</f>
        <v>55.40082644628189</v>
      </c>
      <c r="BA171" s="1359">
        <f>BA173*BA168</f>
        <v>134.75000000000148</v>
      </c>
      <c r="BB171" s="1359">
        <f>BB173*BB168</f>
        <v>128.24999999999847</v>
      </c>
      <c r="BC171" s="1359">
        <f>BC173*BC168</f>
        <v>119.25</v>
      </c>
      <c r="BD171" s="1375">
        <f>SUM(AZ171:BC171)</f>
        <v>437.65082644628183</v>
      </c>
      <c r="BE171" s="1359">
        <f>BE173*BE168</f>
        <v>133.45602770362817</v>
      </c>
      <c r="BF171" s="1359">
        <f>BF173*BF168</f>
        <v>-194.00400000000059</v>
      </c>
      <c r="BG171" s="1359">
        <f>BG173*BG168</f>
        <v>123.73295761385812</v>
      </c>
      <c r="BH171" s="1359">
        <f>BH173*BH168</f>
        <v>-96.671205</v>
      </c>
      <c r="BI171" s="1375">
        <f>SUM(BE171:BH171)</f>
        <v>-33.486219682514303</v>
      </c>
      <c r="BJ171" s="1359"/>
      <c r="BK171" s="1359"/>
      <c r="BL171" s="1359">
        <f>BL173*BL168</f>
        <v>64</v>
      </c>
      <c r="BM171" s="1359">
        <f>BM173*BM168</f>
        <v>0</v>
      </c>
      <c r="BN171" s="1375">
        <f>SUM(BJ171:BM171)</f>
        <v>64</v>
      </c>
      <c r="BO171" s="1359">
        <f>CF!BO62</f>
        <v>17</v>
      </c>
      <c r="BP171" s="1359">
        <f>CF!BP62</f>
        <v>27</v>
      </c>
      <c r="BQ171" s="1359">
        <f>CF!BQ62</f>
        <v>20</v>
      </c>
      <c r="BR171" s="1359">
        <f>CF!BR62</f>
        <v>38</v>
      </c>
      <c r="BS171" s="1375">
        <f>CF!BS62</f>
        <v>102</v>
      </c>
      <c r="BT171" s="1359">
        <f>CF!BT62</f>
        <v>9</v>
      </c>
      <c r="BU171" s="1359">
        <f>CF!BU62</f>
        <v>13</v>
      </c>
      <c r="BV171" s="1359">
        <f>CF!BV62</f>
        <v>8</v>
      </c>
      <c r="BW171" s="1359">
        <f>CF!BW62</f>
        <v>29</v>
      </c>
      <c r="BX171" s="1375">
        <f>CF!BX62</f>
        <v>59</v>
      </c>
      <c r="BY171" s="1359">
        <f>CF!BY62</f>
        <v>16</v>
      </c>
      <c r="BZ171" s="1359">
        <f>CF!BZ62</f>
        <v>6</v>
      </c>
      <c r="CA171" s="1359">
        <f>CF!CA62</f>
        <v>5</v>
      </c>
      <c r="CB171" s="1359">
        <f>CF!CB62</f>
        <v>35</v>
      </c>
      <c r="CC171" s="1375">
        <f>CF!CC62</f>
        <v>62</v>
      </c>
      <c r="CD171" s="1363">
        <f>CF!CD62</f>
        <v>5</v>
      </c>
      <c r="CE171" s="1363">
        <f>CF!CE62</f>
        <v>6</v>
      </c>
      <c r="CF171" s="1363">
        <f>CF!CF62</f>
        <v>6</v>
      </c>
      <c r="CG171" s="1363">
        <f>CF!CG62</f>
        <v>20</v>
      </c>
      <c r="CH171" s="1688">
        <f>SUM(CD171:CG171)</f>
        <v>37</v>
      </c>
      <c r="CI171" s="1363">
        <f>CF!CI62</f>
        <v>11</v>
      </c>
      <c r="CJ171" s="1363">
        <f>CF!CJ62</f>
        <v>5</v>
      </c>
      <c r="CK171" s="1363">
        <f>CF!CK62</f>
        <v>5</v>
      </c>
      <c r="CL171" s="1363">
        <f>CF!CL62</f>
        <v>8</v>
      </c>
      <c r="CM171" s="1688">
        <f>SUM(CI171:CL171)</f>
        <v>29</v>
      </c>
      <c r="CN171" s="1363">
        <f>CF!CN62</f>
        <v>0</v>
      </c>
      <c r="CO171" s="1363">
        <f>CF!CO62</f>
        <v>0</v>
      </c>
      <c r="CP171" s="1363">
        <f>CF!CP62</f>
        <v>0</v>
      </c>
      <c r="CQ171" s="1060">
        <f>CQ172*CQ173</f>
        <v>8.8691796008869126</v>
      </c>
      <c r="CR171" s="1973">
        <f>SUM(CN171:CQ171)</f>
        <v>8.8691796008869126</v>
      </c>
      <c r="CS171" s="2062">
        <f>CF!CS62</f>
        <v>1</v>
      </c>
      <c r="CT171" s="2062">
        <f>CF!CT62</f>
        <v>1</v>
      </c>
      <c r="CU171" s="2090">
        <f>CF!CU62</f>
        <v>1</v>
      </c>
      <c r="CV171" s="791">
        <f>CF!CV62</f>
        <v>-3</v>
      </c>
      <c r="CW171" s="792">
        <f>SUM(CS171:CV171)</f>
        <v>0</v>
      </c>
      <c r="CX171" s="791">
        <f>CF!CX62</f>
        <v>10</v>
      </c>
      <c r="CY171" s="791">
        <f>CF!CY62</f>
        <v>-10</v>
      </c>
      <c r="CZ171" s="791">
        <f>CF!CZ62</f>
        <v>0</v>
      </c>
      <c r="DA171" s="791">
        <f>DA172*DA173</f>
        <v>5.7257392753019625</v>
      </c>
      <c r="DB171" s="792">
        <f>SUM(CX171:DA171)</f>
        <v>5.7257392753019625</v>
      </c>
      <c r="DC171" s="791">
        <f>DC172*DC173</f>
        <v>2.2580679123276535</v>
      </c>
      <c r="DD171" s="791">
        <f>DD172*DD173</f>
        <v>-7.6058279028436049</v>
      </c>
      <c r="DE171" s="791">
        <f>DE172*DE173</f>
        <v>0</v>
      </c>
      <c r="DF171" s="791">
        <f>DF172*DF173</f>
        <v>6.2428379288577718</v>
      </c>
      <c r="DG171" s="792">
        <f>SUM(DC171:DF171)</f>
        <v>0.89507793834181992</v>
      </c>
      <c r="DH171" s="791">
        <f>DH172*DH173</f>
        <v>2.4499871004569167</v>
      </c>
      <c r="DI171" s="791">
        <f>DI172*DI173</f>
        <v>-8.2120124504591256</v>
      </c>
      <c r="DJ171" s="791">
        <f>DJ172*DJ173</f>
        <v>0</v>
      </c>
      <c r="DK171" s="791">
        <f>DK172*DK173</f>
        <v>6.7014176910830177</v>
      </c>
      <c r="DL171" s="792">
        <f>SUM(DH171:DK171)</f>
        <v>0.93939234108080871</v>
      </c>
      <c r="DM171" s="791">
        <f>DM172*DM173</f>
        <v>2.6299556523856733</v>
      </c>
      <c r="DN171" s="791">
        <f>DN172*DN173</f>
        <v>-8.8152417445457871</v>
      </c>
      <c r="DO171" s="791">
        <f>DO172*DO173</f>
        <v>0</v>
      </c>
      <c r="DP171" s="791">
        <f>DP172*DP173</f>
        <v>7.1880662033945466</v>
      </c>
      <c r="DQ171" s="792">
        <f>SUM(DM171:DP171)</f>
        <v>1.0027801112344328</v>
      </c>
      <c r="DR171" s="791">
        <f>DR172*DR173</f>
        <v>2.8209397194408856</v>
      </c>
      <c r="DS171" s="791">
        <f>DS172*DS173</f>
        <v>-9.4553934972649039</v>
      </c>
      <c r="DT171" s="791">
        <f>DT172*DT173</f>
        <v>0</v>
      </c>
      <c r="DU171" s="791">
        <f>DU172*DU173</f>
        <v>7.7045014978476374</v>
      </c>
      <c r="DV171" s="792">
        <f>SUM(DR171:DU171)</f>
        <v>1.0700477200236191</v>
      </c>
      <c r="DW171" s="791">
        <f>DW172*DW173</f>
        <v>3.0236135392724126</v>
      </c>
      <c r="DX171" s="791">
        <f>DX172*DX173</f>
        <v>-10.134727658464451</v>
      </c>
      <c r="DY171" s="791">
        <f>DY172*DY173</f>
        <v>0</v>
      </c>
      <c r="DZ171" s="791">
        <f>DZ172*DZ173</f>
        <v>8.2525467638036147</v>
      </c>
      <c r="EA171" s="792">
        <f>SUM(DW171:DZ171)</f>
        <v>1.1414326446115766</v>
      </c>
      <c r="EC171" s="33"/>
      <c r="ED171" s="321"/>
      <c r="EE171" s="321"/>
      <c r="EF171" s="321"/>
      <c r="EG171" s="321"/>
      <c r="EH171" s="132"/>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row>
    <row r="172" spans="1:259" s="15" customFormat="1" x14ac:dyDescent="0.2">
      <c r="A172" s="14" t="s">
        <v>31</v>
      </c>
      <c r="B172" s="1358"/>
      <c r="C172" s="1358"/>
      <c r="D172" s="1358"/>
      <c r="E172" s="1358"/>
      <c r="F172" s="1358"/>
      <c r="G172" s="1358"/>
      <c r="H172" s="1358"/>
      <c r="I172" s="1358"/>
      <c r="J172" s="1675"/>
      <c r="K172" s="1358"/>
      <c r="L172" s="1358"/>
      <c r="M172" s="1358"/>
      <c r="N172" s="1358"/>
      <c r="O172" s="1358"/>
      <c r="P172" s="1358"/>
      <c r="Q172" s="1358"/>
      <c r="R172" s="1358"/>
      <c r="S172" s="1358"/>
      <c r="T172" s="1358"/>
      <c r="U172" s="1358"/>
      <c r="V172" s="1358"/>
      <c r="W172" s="1358"/>
      <c r="X172" s="1358"/>
      <c r="Y172" s="1358"/>
      <c r="Z172" s="1358"/>
      <c r="AA172" s="1358"/>
      <c r="AB172" s="1358"/>
      <c r="AC172" s="1358"/>
      <c r="AD172" s="1358"/>
      <c r="AE172" s="1375"/>
      <c r="AF172" s="1359"/>
      <c r="AG172" s="1359"/>
      <c r="AH172" s="1359"/>
      <c r="AI172" s="1359"/>
      <c r="AJ172" s="1375"/>
      <c r="AK172" s="1359"/>
      <c r="AL172" s="1359"/>
      <c r="AM172" s="1359"/>
      <c r="AN172" s="1359"/>
      <c r="AO172" s="1375"/>
      <c r="AP172" s="1359"/>
      <c r="AQ172" s="1359"/>
      <c r="AR172" s="1359"/>
      <c r="AS172" s="1359"/>
      <c r="AT172" s="1375"/>
      <c r="AU172" s="1359"/>
      <c r="AV172" s="1359"/>
      <c r="AW172" s="1359"/>
      <c r="AX172" s="1359"/>
      <c r="AY172" s="1375"/>
      <c r="AZ172" s="1359"/>
      <c r="BA172" s="1359"/>
      <c r="BB172" s="1359"/>
      <c r="BC172" s="1359"/>
      <c r="BD172" s="1375"/>
      <c r="BE172" s="1359"/>
      <c r="BF172" s="1359"/>
      <c r="BG172" s="1359"/>
      <c r="BH172" s="1359"/>
      <c r="BI172" s="1375"/>
      <c r="BJ172" s="1359"/>
      <c r="BK172" s="1359"/>
      <c r="BL172" s="1359"/>
      <c r="BM172" s="1359"/>
      <c r="BN172" s="1375"/>
      <c r="BO172" s="1691">
        <f t="shared" ref="BO172:CE172" si="487">BO171/BO173</f>
        <v>9.0972396486825584</v>
      </c>
      <c r="BP172" s="1691">
        <f t="shared" si="487"/>
        <v>9.3913043478260878</v>
      </c>
      <c r="BQ172" s="1691">
        <f t="shared" si="487"/>
        <v>10.64935064935065</v>
      </c>
      <c r="BR172" s="1691">
        <f t="shared" si="487"/>
        <v>13.229629629629629</v>
      </c>
      <c r="BS172" s="1690">
        <f t="shared" si="487"/>
        <v>10.743528066896403</v>
      </c>
      <c r="BT172" s="1691">
        <f t="shared" si="487"/>
        <v>8.6538461538461533</v>
      </c>
      <c r="BU172" s="1691">
        <f t="shared" si="487"/>
        <v>10.730158730158729</v>
      </c>
      <c r="BV172" s="1691">
        <f t="shared" si="487"/>
        <v>11.885714285714281</v>
      </c>
      <c r="BW172" s="1691">
        <f t="shared" si="487"/>
        <v>11.03081019399011</v>
      </c>
      <c r="BX172" s="1690">
        <f t="shared" si="487"/>
        <v>10.623710126459546</v>
      </c>
      <c r="BY172" s="1691">
        <f t="shared" si="487"/>
        <v>13.125512715340442</v>
      </c>
      <c r="BZ172" s="1691">
        <f t="shared" si="487"/>
        <v>5.4744525547445253</v>
      </c>
      <c r="CA172" s="1691">
        <f t="shared" si="487"/>
        <v>10</v>
      </c>
      <c r="CB172" s="1691">
        <f t="shared" si="487"/>
        <v>11.290322580645162</v>
      </c>
      <c r="CC172" s="1690">
        <f t="shared" si="487"/>
        <v>10.48182586644125</v>
      </c>
      <c r="CD172" s="1692">
        <f t="shared" si="487"/>
        <v>25.25252525252526</v>
      </c>
      <c r="CE172" s="1692">
        <f t="shared" si="487"/>
        <v>10.344827586206895</v>
      </c>
      <c r="CF172" s="1692">
        <f t="shared" ref="CF172:CL172" si="488">CF171/CF173</f>
        <v>18.633540372670804</v>
      </c>
      <c r="CG172" s="1692">
        <f t="shared" si="488"/>
        <v>10.982976386600768</v>
      </c>
      <c r="CH172" s="1694">
        <f t="shared" si="488"/>
        <v>12.666894899007188</v>
      </c>
      <c r="CI172" s="1692">
        <f t="shared" si="488"/>
        <v>15.804597701149426</v>
      </c>
      <c r="CJ172" s="1692">
        <f t="shared" si="488"/>
        <v>5.5309734513274345</v>
      </c>
      <c r="CK172" s="1692">
        <f t="shared" si="488"/>
        <v>6.0827250608272498</v>
      </c>
      <c r="CL172" s="1692">
        <f t="shared" si="488"/>
        <v>20.202020202020208</v>
      </c>
      <c r="CM172" s="1694">
        <f>CM171/CM173</f>
        <v>10.29098651525905</v>
      </c>
      <c r="CN172" s="1692">
        <f>CN171/CN173</f>
        <v>0</v>
      </c>
      <c r="CO172" s="1692">
        <f>CO171/CO173</f>
        <v>0</v>
      </c>
      <c r="CP172" s="1692">
        <f>CP171/CP173</f>
        <v>0</v>
      </c>
      <c r="CQ172" s="1064">
        <f>CL172*CQ168/CL168</f>
        <v>20.809341285801871</v>
      </c>
      <c r="CR172" s="1974">
        <f>CR171/CR173</f>
        <v>4.5665365549088639</v>
      </c>
      <c r="CS172" s="2095">
        <f>CS171/CS173</f>
        <v>3.6363636363636318</v>
      </c>
      <c r="CT172" s="2095">
        <f>CT171/CT173</f>
        <v>0.98135426889106958</v>
      </c>
      <c r="CU172" s="2095">
        <f t="shared" ref="CU172:CV172" si="489">CU171/CU173</f>
        <v>1.275362318840578</v>
      </c>
      <c r="CV172" s="2095">
        <f t="shared" si="489"/>
        <v>2.225322782174096</v>
      </c>
      <c r="CW172" s="801">
        <f>CW171/CW173</f>
        <v>0</v>
      </c>
      <c r="CX172" s="2095">
        <f t="shared" ref="CX172:CZ172" si="490">CX171/CX173</f>
        <v>4.6533271288971614</v>
      </c>
      <c r="CY172" s="2095">
        <f t="shared" si="490"/>
        <v>-12.976303317535553</v>
      </c>
      <c r="CZ172" s="1232">
        <f t="shared" si="490"/>
        <v>0</v>
      </c>
      <c r="DA172" s="800">
        <f>CV172*DA168/CV168</f>
        <v>1.9085797584339874</v>
      </c>
      <c r="DB172" s="801">
        <f>DB171/DB173</f>
        <v>0.88782653854962446</v>
      </c>
      <c r="DC172" s="805">
        <f>CX172*DC168/CX168</f>
        <v>5.6451697808191339</v>
      </c>
      <c r="DD172" s="805">
        <f>CY172*DD168/CY168</f>
        <v>-15.21165580568721</v>
      </c>
      <c r="DE172" s="805">
        <f>CZ172*DE168/CZ168</f>
        <v>0</v>
      </c>
      <c r="DF172" s="805">
        <f>DA172*DF168/DA168</f>
        <v>2.0809459762859239</v>
      </c>
      <c r="DG172" s="801">
        <f>DG171/DG173</f>
        <v>0.20342680416859543</v>
      </c>
      <c r="DH172" s="805">
        <f>DC172*DH168/DC168</f>
        <v>6.1249677511422913</v>
      </c>
      <c r="DI172" s="805">
        <f>DD172*DI168/DD168</f>
        <v>-16.424024900918251</v>
      </c>
      <c r="DJ172" s="805">
        <f>DE172*DJ168/DE168</f>
        <v>0</v>
      </c>
      <c r="DK172" s="805">
        <f>DF172*DK168/DF168</f>
        <v>2.2338058970276724</v>
      </c>
      <c r="DL172" s="801">
        <f>DL171/DL173</f>
        <v>0.21349825933654742</v>
      </c>
      <c r="DM172" s="805">
        <f>DH172*DM168/DH168</f>
        <v>6.5748891309641833</v>
      </c>
      <c r="DN172" s="805">
        <f>DI172*DN168/DI168</f>
        <v>-17.630483489091574</v>
      </c>
      <c r="DO172" s="805">
        <f>DJ172*DO168/DJ168</f>
        <v>0</v>
      </c>
      <c r="DP172" s="805">
        <f>DK172*DP168/DK168</f>
        <v>2.3960220677981821</v>
      </c>
      <c r="DQ172" s="801">
        <f>DQ171/DQ173</f>
        <v>0.22790457073509834</v>
      </c>
      <c r="DR172" s="805">
        <f>DM172*DR168/DM168</f>
        <v>7.0523492986022136</v>
      </c>
      <c r="DS172" s="805">
        <f>DN172*DS168/DN168</f>
        <v>-18.910786994529808</v>
      </c>
      <c r="DT172" s="805">
        <f>DO172*DT168/DO168</f>
        <v>0</v>
      </c>
      <c r="DU172" s="805">
        <f>DP172*DU168/DP168</f>
        <v>2.5681671659492125</v>
      </c>
      <c r="DV172" s="801">
        <f>DV171/DV173</f>
        <v>0.24319266364173162</v>
      </c>
      <c r="DW172" s="805">
        <f>DR172*DW168/DR168</f>
        <v>7.5590338481810306</v>
      </c>
      <c r="DX172" s="805">
        <f>DS172*DX168/DS168</f>
        <v>-20.269455316928902</v>
      </c>
      <c r="DY172" s="805">
        <f>DT172*DY168/DT168</f>
        <v>0</v>
      </c>
      <c r="DZ172" s="805">
        <f>DU172*DZ168/DU168</f>
        <v>2.7508489212678713</v>
      </c>
      <c r="EA172" s="801">
        <f>EA171/EA173</f>
        <v>0.25941651013899464</v>
      </c>
      <c r="EC172" s="33"/>
      <c r="ED172" s="321"/>
      <c r="EE172" s="321"/>
      <c r="EF172" s="321"/>
      <c r="EG172" s="321"/>
      <c r="EH172" s="13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row>
    <row r="173" spans="1:259" s="15" customFormat="1" x14ac:dyDescent="0.2">
      <c r="A173" s="14" t="s">
        <v>99</v>
      </c>
      <c r="B173" s="1358"/>
      <c r="C173" s="1358"/>
      <c r="D173" s="1358"/>
      <c r="E173" s="1358"/>
      <c r="F173" s="1358"/>
      <c r="G173" s="1358"/>
      <c r="H173" s="1358"/>
      <c r="I173" s="1358"/>
      <c r="J173" s="1675"/>
      <c r="K173" s="1358"/>
      <c r="L173" s="1358"/>
      <c r="M173" s="1358"/>
      <c r="N173" s="1358"/>
      <c r="O173" s="1358"/>
      <c r="P173" s="1358"/>
      <c r="Q173" s="1358"/>
      <c r="R173" s="1358"/>
      <c r="S173" s="1358"/>
      <c r="T173" s="1358"/>
      <c r="U173" s="1358"/>
      <c r="V173" s="1358"/>
      <c r="W173" s="1358"/>
      <c r="X173" s="1358"/>
      <c r="Y173" s="1358"/>
      <c r="Z173" s="1358"/>
      <c r="AA173" s="1358"/>
      <c r="AB173" s="1358"/>
      <c r="AC173" s="1358"/>
      <c r="AD173" s="1358"/>
      <c r="AE173" s="1375"/>
      <c r="AF173" s="1359"/>
      <c r="AG173" s="1359"/>
      <c r="AH173" s="1359"/>
      <c r="AI173" s="1359"/>
      <c r="AJ173" s="1375"/>
      <c r="AK173" s="1359"/>
      <c r="AL173" s="1359"/>
      <c r="AM173" s="1359"/>
      <c r="AN173" s="1359"/>
      <c r="AO173" s="1375"/>
      <c r="AP173" s="1359">
        <f>AP178-(AP166-AP170)</f>
        <v>-1.3999999999999773</v>
      </c>
      <c r="AQ173" s="1359">
        <f>AQ178-(AQ166-AQ170)</f>
        <v>11</v>
      </c>
      <c r="AR173" s="1359">
        <f>AR178-(AR166-AR170)</f>
        <v>-0.39999999999997726</v>
      </c>
      <c r="AS173" s="1359">
        <f>AS178-(AS166-AS170)</f>
        <v>2.7999999999999545</v>
      </c>
      <c r="AT173" s="1375">
        <f>SUM(AP173:AS173)</f>
        <v>12</v>
      </c>
      <c r="AU173" s="1359">
        <f>AU178-(AU166-AU170)</f>
        <v>3.2000000000000455</v>
      </c>
      <c r="AV173" s="1359">
        <f>AV178-(AV166-AV170)</f>
        <v>-3.7160000000000082</v>
      </c>
      <c r="AW173" s="1359">
        <f>AW178-(AW166-AW170)</f>
        <v>6.1820000000000164</v>
      </c>
      <c r="AX173" s="1359">
        <f>AX178-(AX166-AX170)</f>
        <v>6.6636999999999489</v>
      </c>
      <c r="AY173" s="1375">
        <f>SUM(AU173:AX173)</f>
        <v>12.329700000000003</v>
      </c>
      <c r="AZ173" s="1359">
        <f>AZ178-(AZ166-AZ170)</f>
        <v>1.7440000000000282</v>
      </c>
      <c r="BA173" s="1359">
        <f>BA178-(BA166-BA170)</f>
        <v>4.2000000000000455</v>
      </c>
      <c r="BB173" s="1359">
        <f>BB178-(BB166-BB170)</f>
        <v>4.5599999999999454</v>
      </c>
      <c r="BC173" s="1359">
        <f>BC178-(BC166-BC170)</f>
        <v>3</v>
      </c>
      <c r="BD173" s="1375">
        <f>SUM(AZ173:BC173)</f>
        <v>13.504000000000019</v>
      </c>
      <c r="BE173" s="1359">
        <f>BE178-(BE166-BE170)</f>
        <v>3.72199999999998</v>
      </c>
      <c r="BF173" s="1359">
        <f>BF178-(BF166-BF170)</f>
        <v>-5.7060000000000173</v>
      </c>
      <c r="BG173" s="1359">
        <f>BG178-(BG166-BG170)</f>
        <v>3.4433999999999969</v>
      </c>
      <c r="BH173" s="1359">
        <f>BH178-BH166+BH170</f>
        <v>-3.6410999999999998</v>
      </c>
      <c r="BI173" s="1375">
        <f>SUM(BE173:BH173)</f>
        <v>-2.1817000000000402</v>
      </c>
      <c r="BJ173" s="1359">
        <f>BJ178-(BJ166-BJ170)</f>
        <v>0</v>
      </c>
      <c r="BK173" s="1359">
        <f>BK178-(BK166-BK170)</f>
        <v>4</v>
      </c>
      <c r="BL173" s="1359">
        <f>BL178-(BL166-BL170)</f>
        <v>2</v>
      </c>
      <c r="BM173" s="1359">
        <f>BM178-(BM166-BM170)</f>
        <v>0</v>
      </c>
      <c r="BN173" s="1375">
        <f>SUM(BJ173:BM173)</f>
        <v>6</v>
      </c>
      <c r="BO173" s="1699">
        <f>BO174-BN174+BO170</f>
        <v>1.8686987104337636</v>
      </c>
      <c r="BP173" s="1699">
        <f>BP174-BO174+BP170</f>
        <v>2.875</v>
      </c>
      <c r="BQ173" s="1699">
        <f>BQ174-BP174+BQ170</f>
        <v>1.8780487804878048</v>
      </c>
      <c r="BR173" s="1699">
        <f>BR174-BQ174+BR170</f>
        <v>2.8723404255319149</v>
      </c>
      <c r="BS173" s="1375">
        <f>BS174-BN174+BS170</f>
        <v>9.4940879164534842</v>
      </c>
      <c r="BT173" s="1699">
        <f>BT174-BS174+BT170</f>
        <v>1.04</v>
      </c>
      <c r="BU173" s="1699">
        <f>BU174-BT174+BU170</f>
        <v>1.2115384615384617</v>
      </c>
      <c r="BV173" s="1699">
        <f>BV174-BU174+BV170</f>
        <v>0.67307692307692335</v>
      </c>
      <c r="BW173" s="1699">
        <f>BW174-BV174+BW170</f>
        <v>2.629</v>
      </c>
      <c r="BX173" s="1375">
        <f>BX174-BS174+BX170</f>
        <v>5.5536153846153855</v>
      </c>
      <c r="BY173" s="1699">
        <f>BY174-BX174+BY170</f>
        <v>1.2190000000000001</v>
      </c>
      <c r="BZ173" s="1699">
        <f>BZ174-BY174+BZ170</f>
        <v>1.0960000000000001</v>
      </c>
      <c r="CA173" s="1699">
        <f>CA174-BZ174+CA170</f>
        <v>0.5</v>
      </c>
      <c r="CB173" s="1699">
        <f>CB174-CA174+CB170</f>
        <v>3.0999999999999996</v>
      </c>
      <c r="CC173" s="1375">
        <f>CC174-BX174+CC170</f>
        <v>5.9150000000000009</v>
      </c>
      <c r="CD173" s="1701">
        <f>CD174-CC174+CD170</f>
        <v>0.19799999999999995</v>
      </c>
      <c r="CE173" s="1701">
        <f>CE174-CD174+CE170</f>
        <v>0.58000000000000007</v>
      </c>
      <c r="CF173" s="1701">
        <f>CF174-CE174+CF170</f>
        <v>0.32200000000000006</v>
      </c>
      <c r="CG173" s="1701">
        <f>CG174-CF174+CG170</f>
        <v>1.8210000000000002</v>
      </c>
      <c r="CH173" s="1688">
        <f>SUM(CD173:CG173)</f>
        <v>2.9210000000000003</v>
      </c>
      <c r="CI173" s="1701">
        <f>CI174-CH174+CI170</f>
        <v>0.69599999999999995</v>
      </c>
      <c r="CJ173" s="1701">
        <f>CJ174-CI174+CJ170</f>
        <v>0.90399999999999991</v>
      </c>
      <c r="CK173" s="1701">
        <f>CK174-CJ174+CK170</f>
        <v>0.82200000000000006</v>
      </c>
      <c r="CL173" s="1701">
        <f>CL174-CK174+CL170</f>
        <v>0.39599999999999991</v>
      </c>
      <c r="CM173" s="1688">
        <f>SUM(CI173:CL173)</f>
        <v>2.8179999999999996</v>
      </c>
      <c r="CN173" s="1701">
        <f>CN174-CM174+CN170</f>
        <v>0.996</v>
      </c>
      <c r="CO173" s="1701">
        <f>CO174-CN174+CO170</f>
        <v>0.68399999999999994</v>
      </c>
      <c r="CP173" s="1701">
        <f t="shared" ref="CP173:CQ173" si="491">CP174-CO174+CP170</f>
        <v>-0.16400000000000003</v>
      </c>
      <c r="CQ173" s="1916">
        <f t="shared" si="491"/>
        <v>0.42621145374449299</v>
      </c>
      <c r="CR173" s="1973">
        <f>SUM(CN173:CQ173)</f>
        <v>1.942211453744493</v>
      </c>
      <c r="CS173" s="2096">
        <f>CS174-CR174+CS170</f>
        <v>0.27500000000000036</v>
      </c>
      <c r="CT173" s="2096">
        <f>CT174-CS174+CT170</f>
        <v>1.0190000000000001</v>
      </c>
      <c r="CU173" s="2096">
        <f t="shared" ref="CU173:CV173" si="492">CU174-CT174+CU170</f>
        <v>0.78409090909091006</v>
      </c>
      <c r="CV173" s="2096">
        <f t="shared" si="492"/>
        <v>-1.3481190342504199</v>
      </c>
      <c r="CW173" s="792">
        <f>SUM(CS173:CV173)</f>
        <v>0.72997187484049064</v>
      </c>
      <c r="CX173" s="2096">
        <f>CX174-CW174+CX170</f>
        <v>2.149</v>
      </c>
      <c r="CY173" s="2096">
        <f>CY174-CX174+CY170</f>
        <v>0.77063550036522965</v>
      </c>
      <c r="CZ173" s="2377">
        <f t="shared" ref="CZ173" si="493">CZ174-CY174+CZ170</f>
        <v>0.52952886529528875</v>
      </c>
      <c r="DA173" s="2375">
        <v>3</v>
      </c>
      <c r="DB173" s="792">
        <f>SUM(CX173:DA173)</f>
        <v>6.4491643656605184</v>
      </c>
      <c r="DC173" s="798">
        <v>0.4</v>
      </c>
      <c r="DD173" s="798">
        <v>0.5</v>
      </c>
      <c r="DE173" s="798">
        <v>0.5</v>
      </c>
      <c r="DF173" s="798">
        <v>3</v>
      </c>
      <c r="DG173" s="792">
        <f>SUM(DC173:DF173)</f>
        <v>4.4000000000000004</v>
      </c>
      <c r="DH173" s="798">
        <v>0.4</v>
      </c>
      <c r="DI173" s="798">
        <v>0.5</v>
      </c>
      <c r="DJ173" s="798">
        <v>0.5</v>
      </c>
      <c r="DK173" s="798">
        <v>3</v>
      </c>
      <c r="DL173" s="792">
        <f>SUM(DH173:DK173)</f>
        <v>4.4000000000000004</v>
      </c>
      <c r="DM173" s="798">
        <v>0.4</v>
      </c>
      <c r="DN173" s="798">
        <v>0.5</v>
      </c>
      <c r="DO173" s="798">
        <v>0.5</v>
      </c>
      <c r="DP173" s="798">
        <v>3</v>
      </c>
      <c r="DQ173" s="792">
        <f>SUM(DM173:DP173)</f>
        <v>4.4000000000000004</v>
      </c>
      <c r="DR173" s="798">
        <v>0.4</v>
      </c>
      <c r="DS173" s="798">
        <v>0.5</v>
      </c>
      <c r="DT173" s="798">
        <v>0.5</v>
      </c>
      <c r="DU173" s="798">
        <v>3</v>
      </c>
      <c r="DV173" s="792">
        <f>SUM(DR173:DU173)</f>
        <v>4.4000000000000004</v>
      </c>
      <c r="DW173" s="798">
        <v>0.4</v>
      </c>
      <c r="DX173" s="798">
        <v>0.5</v>
      </c>
      <c r="DY173" s="798">
        <v>0.5</v>
      </c>
      <c r="DZ173" s="798">
        <v>3</v>
      </c>
      <c r="EA173" s="792">
        <f>SUM(DW173:DZ173)</f>
        <v>4.4000000000000004</v>
      </c>
      <c r="EC173" s="33"/>
      <c r="ED173" s="321"/>
      <c r="EE173" s="321"/>
      <c r="EF173" s="321"/>
      <c r="EG173" s="321"/>
      <c r="EH173" s="132"/>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row>
    <row r="174" spans="1:259" s="15" customFormat="1" x14ac:dyDescent="0.2">
      <c r="A174" s="14" t="s">
        <v>172</v>
      </c>
      <c r="B174" s="1358"/>
      <c r="C174" s="1358"/>
      <c r="D174" s="1358"/>
      <c r="E174" s="1358"/>
      <c r="F174" s="1358"/>
      <c r="G174" s="1358"/>
      <c r="H174" s="1358"/>
      <c r="I174" s="1358"/>
      <c r="J174" s="1675"/>
      <c r="K174" s="1358"/>
      <c r="L174" s="1358"/>
      <c r="M174" s="1358"/>
      <c r="N174" s="1358"/>
      <c r="O174" s="1358"/>
      <c r="P174" s="1358"/>
      <c r="Q174" s="1358"/>
      <c r="R174" s="1358"/>
      <c r="S174" s="1358"/>
      <c r="T174" s="1358"/>
      <c r="U174" s="1358"/>
      <c r="V174" s="1358"/>
      <c r="W174" s="1358"/>
      <c r="X174" s="1358"/>
      <c r="Y174" s="1358"/>
      <c r="Z174" s="1358"/>
      <c r="AA174" s="1358"/>
      <c r="AB174" s="1358"/>
      <c r="AC174" s="1358"/>
      <c r="AD174" s="1358"/>
      <c r="AE174" s="1358"/>
      <c r="AF174" s="1358"/>
      <c r="AG174" s="1358"/>
      <c r="AH174" s="1358"/>
      <c r="AI174" s="1358"/>
      <c r="AJ174" s="1358"/>
      <c r="AK174" s="1358"/>
      <c r="AL174" s="1358"/>
      <c r="AM174" s="1358"/>
      <c r="AN174" s="1358"/>
      <c r="AO174" s="1375">
        <v>584</v>
      </c>
      <c r="AP174" s="1359" t="s">
        <v>52</v>
      </c>
      <c r="AQ174" s="1359" t="s">
        <v>52</v>
      </c>
      <c r="AR174" s="1359" t="s">
        <v>52</v>
      </c>
      <c r="AS174" s="1359" t="s">
        <v>52</v>
      </c>
      <c r="AT174" s="1375">
        <f>+AT179-24</f>
        <v>560</v>
      </c>
      <c r="AU174" s="1359" t="s">
        <v>52</v>
      </c>
      <c r="AV174" s="1359" t="s">
        <v>52</v>
      </c>
      <c r="AW174" s="1359" t="s">
        <v>52</v>
      </c>
      <c r="AX174" s="1359" t="s">
        <v>52</v>
      </c>
      <c r="AY174" s="1375">
        <f>+AY179-12</f>
        <v>544</v>
      </c>
      <c r="AZ174" s="1359" t="s">
        <v>52</v>
      </c>
      <c r="BA174" s="1359" t="s">
        <v>52</v>
      </c>
      <c r="BB174" s="1359" t="s">
        <v>52</v>
      </c>
      <c r="BC174" s="1359" t="s">
        <v>52</v>
      </c>
      <c r="BD174" s="1375">
        <f>+BD179-12</f>
        <v>516</v>
      </c>
      <c r="BE174" s="1359" t="s">
        <v>52</v>
      </c>
      <c r="BF174" s="1359" t="s">
        <v>52</v>
      </c>
      <c r="BG174" s="1359" t="s">
        <v>52</v>
      </c>
      <c r="BH174" s="1359" t="s">
        <v>52</v>
      </c>
      <c r="BI174" s="1375">
        <v>459</v>
      </c>
      <c r="BJ174" s="1359" t="s">
        <v>52</v>
      </c>
      <c r="BK174" s="1359" t="s">
        <v>52</v>
      </c>
      <c r="BL174" s="1359" t="s">
        <v>52</v>
      </c>
      <c r="BM174" s="1359">
        <f>BN174</f>
        <v>469</v>
      </c>
      <c r="BN174" s="1375">
        <v>469</v>
      </c>
      <c r="BO174" s="1359">
        <v>467</v>
      </c>
      <c r="BP174" s="1359">
        <v>467</v>
      </c>
      <c r="BQ174" s="1359">
        <v>468</v>
      </c>
      <c r="BR174" s="1359">
        <v>469</v>
      </c>
      <c r="BS174" s="1375">
        <v>469</v>
      </c>
      <c r="BT174" s="1359">
        <v>467</v>
      </c>
      <c r="BU174" s="1359">
        <v>465</v>
      </c>
      <c r="BV174" s="1359">
        <v>461</v>
      </c>
      <c r="BW174" s="1359">
        <v>460</v>
      </c>
      <c r="BX174" s="1375">
        <v>460</v>
      </c>
      <c r="BY174" s="1705">
        <v>460</v>
      </c>
      <c r="BZ174" s="1705">
        <v>458</v>
      </c>
      <c r="CA174" s="1705">
        <v>452</v>
      </c>
      <c r="CB174" s="1705">
        <v>451</v>
      </c>
      <c r="CC174" s="1706">
        <f>CB174</f>
        <v>451</v>
      </c>
      <c r="CD174" s="1689">
        <v>450</v>
      </c>
      <c r="CE174" s="1689">
        <v>447</v>
      </c>
      <c r="CF174" s="1689">
        <v>445</v>
      </c>
      <c r="CG174" s="1689">
        <v>443</v>
      </c>
      <c r="CH174" s="1688">
        <f>CG174</f>
        <v>443</v>
      </c>
      <c r="CI174" s="1689">
        <v>442</v>
      </c>
      <c r="CJ174" s="1689">
        <v>440</v>
      </c>
      <c r="CK174" s="1689">
        <v>438</v>
      </c>
      <c r="CL174" s="1689">
        <v>434</v>
      </c>
      <c r="CM174" s="1688">
        <f>CL174</f>
        <v>434</v>
      </c>
      <c r="CN174" s="1707">
        <v>433</v>
      </c>
      <c r="CO174" s="1689">
        <v>432</v>
      </c>
      <c r="CP174" s="1689">
        <v>431</v>
      </c>
      <c r="CQ174" s="1913">
        <v>420</v>
      </c>
      <c r="CR174" s="1973">
        <v>420</v>
      </c>
      <c r="CS174" s="2094">
        <v>407</v>
      </c>
      <c r="CT174" s="2094">
        <v>399</v>
      </c>
      <c r="CU174" s="2090">
        <v>376</v>
      </c>
      <c r="CV174" s="791">
        <v>355</v>
      </c>
      <c r="CW174" s="792">
        <f>CV174</f>
        <v>355</v>
      </c>
      <c r="CX174" s="791">
        <v>350</v>
      </c>
      <c r="CY174" s="791">
        <v>345</v>
      </c>
      <c r="CZ174" s="791">
        <v>339</v>
      </c>
      <c r="DA174" s="791">
        <f>DA166-DA170+DA173</f>
        <v>333.98690671031096</v>
      </c>
      <c r="DB174" s="792">
        <f>DA174</f>
        <v>333.98690671031096</v>
      </c>
      <c r="DC174" s="791">
        <f>DC166-DC170+DC173</f>
        <v>327.36123907229251</v>
      </c>
      <c r="DD174" s="791">
        <f>DD166-DD170+DD173</f>
        <v>321.00692918154283</v>
      </c>
      <c r="DE174" s="791">
        <f>DE166-DE170+DE173</f>
        <v>314.81979758081144</v>
      </c>
      <c r="DF174" s="791">
        <f>DF166-DF170+DF173</f>
        <v>311.2149777651511</v>
      </c>
      <c r="DG174" s="792">
        <f>DF174</f>
        <v>311.2149777651511</v>
      </c>
      <c r="DH174" s="791">
        <f>DH166-DH170+DH173</f>
        <v>307.19999125735677</v>
      </c>
      <c r="DI174" s="791">
        <f>DI166-DI170+DI173</f>
        <v>303.37157311246034</v>
      </c>
      <c r="DJ174" s="791">
        <f>DJ166-DJ170+DJ173</f>
        <v>299.62802591158152</v>
      </c>
      <c r="DK174" s="791">
        <f>DK166-DK170+DK173</f>
        <v>298.4329007266245</v>
      </c>
      <c r="DL174" s="792">
        <f>DK174</f>
        <v>298.4329007266245</v>
      </c>
      <c r="DM174" s="791">
        <f>DM166-DM170+DM173</f>
        <v>296.63937121815019</v>
      </c>
      <c r="DN174" s="791">
        <f>DN166-DN170+DN173</f>
        <v>294.98885209219503</v>
      </c>
      <c r="DO174" s="791">
        <f>DO166-DO170+DO173</f>
        <v>293.38050000792526</v>
      </c>
      <c r="DP174" s="791">
        <f>DP166-DP170+DP173</f>
        <v>294.29457701016526</v>
      </c>
      <c r="DQ174" s="792">
        <f>DP174</f>
        <v>294.29457701016526</v>
      </c>
      <c r="DR174" s="791">
        <f>DR166-DR170+DR173</f>
        <v>292.6495544633417</v>
      </c>
      <c r="DS174" s="791">
        <f>DS166-DS170+DS173</f>
        <v>291.14463039782845</v>
      </c>
      <c r="DT174" s="791">
        <f>DT166-DT170+DT173</f>
        <v>289.67901856889387</v>
      </c>
      <c r="DU174" s="791">
        <f>DU166-DU170+DU173</f>
        <v>290.73291568251364</v>
      </c>
      <c r="DV174" s="792">
        <f>DU174</f>
        <v>290.73291568251364</v>
      </c>
      <c r="DW174" s="791">
        <f>DW166-DW170+DW173</f>
        <v>289.22497167625846</v>
      </c>
      <c r="DX174" s="791">
        <f>DX166-DX170+DX173</f>
        <v>287.85443833679267</v>
      </c>
      <c r="DY174" s="791">
        <f>DY166-DY170+DY173</f>
        <v>286.52058212163013</v>
      </c>
      <c r="DZ174" s="791">
        <f>DZ166-DZ170+DZ173</f>
        <v>287.70371842703759</v>
      </c>
      <c r="EA174" s="792">
        <f>DZ174</f>
        <v>287.70371842703759</v>
      </c>
      <c r="EC174" s="33"/>
      <c r="ED174" s="321"/>
      <c r="EE174" s="321"/>
      <c r="EF174" s="321"/>
      <c r="EG174" s="321"/>
      <c r="EH174" s="132"/>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row>
    <row r="175" spans="1:259" s="15" customFormat="1" x14ac:dyDescent="0.2">
      <c r="A175" s="14" t="s">
        <v>105</v>
      </c>
      <c r="B175" s="1358"/>
      <c r="C175" s="1358"/>
      <c r="D175" s="1358"/>
      <c r="E175" s="1358"/>
      <c r="F175" s="1358"/>
      <c r="G175" s="1358"/>
      <c r="H175" s="1358"/>
      <c r="I175" s="1358"/>
      <c r="J175" s="1675"/>
      <c r="K175" s="1358"/>
      <c r="L175" s="1358"/>
      <c r="M175" s="1358"/>
      <c r="N175" s="1358"/>
      <c r="O175" s="1358"/>
      <c r="P175" s="1358"/>
      <c r="Q175" s="1358"/>
      <c r="R175" s="1358"/>
      <c r="S175" s="1358"/>
      <c r="T175" s="1358"/>
      <c r="U175" s="1358"/>
      <c r="V175" s="1358"/>
      <c r="W175" s="1358"/>
      <c r="X175" s="1358"/>
      <c r="Y175" s="1358"/>
      <c r="Z175" s="1358"/>
      <c r="AA175" s="1358"/>
      <c r="AB175" s="1358"/>
      <c r="AC175" s="1358"/>
      <c r="AD175" s="1358"/>
      <c r="AE175" s="1358"/>
      <c r="AF175" s="1358"/>
      <c r="AG175" s="1358"/>
      <c r="AH175" s="1358"/>
      <c r="AI175" s="1358"/>
      <c r="AJ175" s="1358"/>
      <c r="AK175" s="1358"/>
      <c r="AL175" s="1358"/>
      <c r="AM175" s="1358"/>
      <c r="AN175" s="1358"/>
      <c r="AO175" s="1375"/>
      <c r="AP175" s="1359"/>
      <c r="AQ175" s="1359"/>
      <c r="AR175" s="1359"/>
      <c r="AS175" s="1359"/>
      <c r="AT175" s="1375"/>
      <c r="AU175" s="1359"/>
      <c r="AV175" s="1359"/>
      <c r="AW175" s="1359"/>
      <c r="AX175" s="1359"/>
      <c r="AY175" s="1375"/>
      <c r="AZ175" s="1359"/>
      <c r="BA175" s="1359"/>
      <c r="BB175" s="1359"/>
      <c r="BC175" s="1359"/>
      <c r="BD175" s="1375"/>
      <c r="BE175" s="1359"/>
      <c r="BF175" s="1359"/>
      <c r="BG175" s="1359"/>
      <c r="BH175" s="1359"/>
      <c r="BI175" s="1375"/>
      <c r="BJ175" s="1359"/>
      <c r="BK175" s="1359"/>
      <c r="BL175" s="1359"/>
      <c r="BM175" s="1359"/>
      <c r="BN175" s="1375"/>
      <c r="BO175" s="1359"/>
      <c r="BP175" s="1359"/>
      <c r="BQ175" s="1359"/>
      <c r="BR175" s="1359"/>
      <c r="BS175" s="1375"/>
      <c r="BT175" s="1708">
        <f>BT176-AVERAGE(BS174:BT174)</f>
        <v>5</v>
      </c>
      <c r="BU175" s="1708">
        <f>BU176-AVERAGE(BT174:BU174)</f>
        <v>5</v>
      </c>
      <c r="BV175" s="1708">
        <f>BV176-AVERAGE(BU174:BV174)</f>
        <v>6</v>
      </c>
      <c r="BW175" s="1708">
        <f>BW176-AVERAGE(BV174:BW174)</f>
        <v>8.5</v>
      </c>
      <c r="BX175" s="1700"/>
      <c r="BY175" s="1708">
        <f>BY176-AVERAGE(BX174:BY174)</f>
        <v>5</v>
      </c>
      <c r="BZ175" s="1708">
        <f>BZ176-AVERAGE(BY174:BZ174)</f>
        <v>6</v>
      </c>
      <c r="CA175" s="1708">
        <f>CA176-AVERAGE(BZ174:CA174)</f>
        <v>5</v>
      </c>
      <c r="CB175" s="1708">
        <f>CB176-AVERAGE(CA174:CB174)</f>
        <v>2.5</v>
      </c>
      <c r="CC175" s="1700"/>
      <c r="CD175" s="1702">
        <f>CD176-AVERAGE(CC174:CD174)</f>
        <v>4.5</v>
      </c>
      <c r="CE175" s="1702">
        <f>CE176-AVERAGE(CD174:CE174)</f>
        <v>5.5</v>
      </c>
      <c r="CF175" s="1702">
        <f>CF176-AVERAGE(CE174:CF174)</f>
        <v>5</v>
      </c>
      <c r="CG175" s="1702">
        <f>CG176-AVERAGE(CF174:CG174)</f>
        <v>4</v>
      </c>
      <c r="CH175" s="1688"/>
      <c r="CI175" s="1702">
        <f>CI176-AVERAGE(CH174:CI174)</f>
        <v>4.5</v>
      </c>
      <c r="CJ175" s="1702">
        <f>CJ176-AVERAGE(CI174:CJ174)</f>
        <v>5</v>
      </c>
      <c r="CK175" s="1702">
        <f>CK176-AVERAGE(CJ174:CK174)</f>
        <v>5</v>
      </c>
      <c r="CL175" s="1702">
        <f>CL176-AVERAGE(CK174:CL174)</f>
        <v>3</v>
      </c>
      <c r="CM175" s="1688"/>
      <c r="CN175" s="1702">
        <f>CN176-AVERAGE(CM174:CN174)</f>
        <v>4.5</v>
      </c>
      <c r="CO175" s="1702">
        <f>CO176-AVERAGE(CN174:CO174)</f>
        <v>4.5</v>
      </c>
      <c r="CP175" s="1702">
        <f>CP176-AVERAGE(CO174:CP174)</f>
        <v>4.5</v>
      </c>
      <c r="CQ175" s="1915">
        <f>CQ176-AVERAGE(CP174:CQ174)</f>
        <v>7.5</v>
      </c>
      <c r="CR175" s="1973"/>
      <c r="CS175" s="2097">
        <f>CS176-AVERAGE(CR174:CS174)</f>
        <v>2.5</v>
      </c>
      <c r="CT175" s="2097">
        <f t="shared" ref="CT175:CV175" si="494">CT176-AVERAGE(CS174:CT174)</f>
        <v>7</v>
      </c>
      <c r="CU175" s="2097">
        <f t="shared" si="494"/>
        <v>4.5</v>
      </c>
      <c r="CV175" s="2097">
        <f t="shared" si="494"/>
        <v>5.5</v>
      </c>
      <c r="CW175" s="792"/>
      <c r="CX175" s="2097">
        <f>CX176-AVERAGE(CW174:CX174)</f>
        <v>4.5</v>
      </c>
      <c r="CY175" s="2097">
        <f t="shared" ref="CY175" si="495">CY176-AVERAGE(CX174:CY174)</f>
        <v>2.5</v>
      </c>
      <c r="CZ175" s="1915">
        <f t="shared" ref="CZ175" si="496">CZ176-AVERAGE(CY174:CZ174)</f>
        <v>3</v>
      </c>
      <c r="DA175" s="2375">
        <v>4.5</v>
      </c>
      <c r="DB175" s="792"/>
      <c r="DC175" s="798">
        <v>4.5</v>
      </c>
      <c r="DD175" s="798">
        <v>4.5</v>
      </c>
      <c r="DE175" s="798">
        <v>4.5</v>
      </c>
      <c r="DF175" s="798">
        <v>4.5</v>
      </c>
      <c r="DG175" s="792"/>
      <c r="DH175" s="798">
        <f>DE175</f>
        <v>4.5</v>
      </c>
      <c r="DI175" s="798">
        <f>DH175</f>
        <v>4.5</v>
      </c>
      <c r="DJ175" s="798">
        <f>DI175</f>
        <v>4.5</v>
      </c>
      <c r="DK175" s="798">
        <f>DJ175</f>
        <v>4.5</v>
      </c>
      <c r="DL175" s="792"/>
      <c r="DM175" s="798">
        <f>DJ175</f>
        <v>4.5</v>
      </c>
      <c r="DN175" s="798">
        <f>DM175</f>
        <v>4.5</v>
      </c>
      <c r="DO175" s="798">
        <f>DN175</f>
        <v>4.5</v>
      </c>
      <c r="DP175" s="798">
        <f>DO175</f>
        <v>4.5</v>
      </c>
      <c r="DQ175" s="792"/>
      <c r="DR175" s="798">
        <f>DO175</f>
        <v>4.5</v>
      </c>
      <c r="DS175" s="798">
        <f>DR175</f>
        <v>4.5</v>
      </c>
      <c r="DT175" s="798">
        <f>DS175</f>
        <v>4.5</v>
      </c>
      <c r="DU175" s="798">
        <f>DT175</f>
        <v>4.5</v>
      </c>
      <c r="DV175" s="792"/>
      <c r="DW175" s="798">
        <f>DT175</f>
        <v>4.5</v>
      </c>
      <c r="DX175" s="798">
        <f>DW175</f>
        <v>4.5</v>
      </c>
      <c r="DY175" s="798">
        <f>DX175</f>
        <v>4.5</v>
      </c>
      <c r="DZ175" s="798">
        <f>DY175</f>
        <v>4.5</v>
      </c>
      <c r="EA175" s="792"/>
      <c r="EC175" s="33"/>
      <c r="ED175" s="321"/>
      <c r="EE175" s="321"/>
      <c r="EF175" s="321"/>
      <c r="EG175" s="321"/>
      <c r="EH175" s="132"/>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row>
    <row r="176" spans="1:259" s="15" customFormat="1" x14ac:dyDescent="0.2">
      <c r="A176" s="14" t="s">
        <v>103</v>
      </c>
      <c r="B176" s="1358"/>
      <c r="C176" s="1358"/>
      <c r="D176" s="1358"/>
      <c r="E176" s="1358"/>
      <c r="F176" s="1358"/>
      <c r="G176" s="1358"/>
      <c r="H176" s="1358"/>
      <c r="I176" s="1358"/>
      <c r="J176" s="1675"/>
      <c r="K176" s="1358"/>
      <c r="L176" s="1358"/>
      <c r="M176" s="1358"/>
      <c r="N176" s="1358"/>
      <c r="O176" s="1358"/>
      <c r="P176" s="1358"/>
      <c r="Q176" s="1358"/>
      <c r="R176" s="1358"/>
      <c r="S176" s="1358"/>
      <c r="T176" s="1358"/>
      <c r="U176" s="1358"/>
      <c r="V176" s="1358"/>
      <c r="W176" s="1358"/>
      <c r="X176" s="1358"/>
      <c r="Y176" s="1358"/>
      <c r="Z176" s="1358"/>
      <c r="AA176" s="1358"/>
      <c r="AB176" s="1358"/>
      <c r="AC176" s="1358"/>
      <c r="AD176" s="1358"/>
      <c r="AE176" s="1358"/>
      <c r="AF176" s="1358"/>
      <c r="AG176" s="1358"/>
      <c r="AH176" s="1358"/>
      <c r="AI176" s="1358"/>
      <c r="AJ176" s="1358"/>
      <c r="AK176" s="1358"/>
      <c r="AL176" s="1358"/>
      <c r="AM176" s="1358"/>
      <c r="AN176" s="1358"/>
      <c r="AO176" s="1375">
        <v>584</v>
      </c>
      <c r="AP176" s="1359" t="s">
        <v>52</v>
      </c>
      <c r="AQ176" s="1359" t="s">
        <v>52</v>
      </c>
      <c r="AR176" s="1359" t="s">
        <v>52</v>
      </c>
      <c r="AS176" s="1359" t="s">
        <v>52</v>
      </c>
      <c r="AT176" s="1375">
        <f>AVERAGE(AP174:AT174)</f>
        <v>560</v>
      </c>
      <c r="AU176" s="1359" t="s">
        <v>52</v>
      </c>
      <c r="AV176" s="1359" t="s">
        <v>52</v>
      </c>
      <c r="AW176" s="1359" t="s">
        <v>52</v>
      </c>
      <c r="AX176" s="1359" t="s">
        <v>52</v>
      </c>
      <c r="AY176" s="1375">
        <f>AVERAGE(AU174:AY174)</f>
        <v>544</v>
      </c>
      <c r="AZ176" s="1359" t="s">
        <v>52</v>
      </c>
      <c r="BA176" s="1359" t="s">
        <v>52</v>
      </c>
      <c r="BB176" s="1359" t="s">
        <v>52</v>
      </c>
      <c r="BC176" s="1359" t="s">
        <v>52</v>
      </c>
      <c r="BD176" s="1375">
        <v>522</v>
      </c>
      <c r="BE176" s="1359" t="s">
        <v>52</v>
      </c>
      <c r="BF176" s="1359" t="s">
        <v>52</v>
      </c>
      <c r="BG176" s="1359" t="s">
        <v>52</v>
      </c>
      <c r="BH176" s="1359" t="s">
        <v>52</v>
      </c>
      <c r="BI176" s="1375">
        <v>475</v>
      </c>
      <c r="BJ176" s="1359">
        <v>466</v>
      </c>
      <c r="BK176" s="1359">
        <v>470</v>
      </c>
      <c r="BL176" s="1359">
        <v>472</v>
      </c>
      <c r="BM176" s="1359" t="s">
        <v>52</v>
      </c>
      <c r="BN176" s="1375">
        <v>471</v>
      </c>
      <c r="BO176" s="1359">
        <v>474</v>
      </c>
      <c r="BP176" s="1359">
        <v>473</v>
      </c>
      <c r="BQ176" s="1359">
        <v>473</v>
      </c>
      <c r="BR176" s="1359">
        <f>BS176*4-SUM(BO176:BQ176)</f>
        <v>476</v>
      </c>
      <c r="BS176" s="1375">
        <v>474</v>
      </c>
      <c r="BT176" s="1359">
        <v>473</v>
      </c>
      <c r="BU176" s="1359">
        <v>471</v>
      </c>
      <c r="BV176" s="1359">
        <v>469</v>
      </c>
      <c r="BW176" s="1359">
        <v>469</v>
      </c>
      <c r="BX176" s="1375">
        <v>469</v>
      </c>
      <c r="BY176" s="1705">
        <v>465</v>
      </c>
      <c r="BZ176" s="1705">
        <v>465</v>
      </c>
      <c r="CA176" s="1705">
        <v>460</v>
      </c>
      <c r="CB176" s="1705">
        <f>CC176*4-SUM(BY176:CA176)</f>
        <v>454</v>
      </c>
      <c r="CC176" s="1706">
        <v>461</v>
      </c>
      <c r="CD176" s="1689">
        <v>455</v>
      </c>
      <c r="CE176" s="1689">
        <v>454</v>
      </c>
      <c r="CF176" s="1689">
        <v>451</v>
      </c>
      <c r="CG176" s="1689">
        <v>448</v>
      </c>
      <c r="CH176" s="1688">
        <v>452</v>
      </c>
      <c r="CI176" s="1689">
        <v>447</v>
      </c>
      <c r="CJ176" s="1689">
        <v>446</v>
      </c>
      <c r="CK176" s="1689">
        <v>444</v>
      </c>
      <c r="CL176" s="1689">
        <f>CM176*4-CK176-CJ176-CI176</f>
        <v>439</v>
      </c>
      <c r="CM176" s="1688">
        <v>444</v>
      </c>
      <c r="CN176" s="1707">
        <v>438</v>
      </c>
      <c r="CO176" s="1689">
        <v>437</v>
      </c>
      <c r="CP176" s="1689">
        <v>436</v>
      </c>
      <c r="CQ176" s="1913">
        <v>433</v>
      </c>
      <c r="CR176" s="1973">
        <f>AVERAGE(CN176:CQ176)</f>
        <v>436</v>
      </c>
      <c r="CS176" s="2094">
        <v>416</v>
      </c>
      <c r="CT176" s="2094">
        <v>410</v>
      </c>
      <c r="CU176" s="2090">
        <v>392</v>
      </c>
      <c r="CV176" s="791">
        <v>371</v>
      </c>
      <c r="CW176" s="792">
        <f>AVERAGE(CS176:CV176)</f>
        <v>397.25</v>
      </c>
      <c r="CX176" s="791">
        <v>357</v>
      </c>
      <c r="CY176" s="791">
        <v>350</v>
      </c>
      <c r="CZ176" s="791">
        <v>345</v>
      </c>
      <c r="DA176" s="791">
        <f>AVERAGE(CZ174:DA174)+DA175</f>
        <v>340.99345335515545</v>
      </c>
      <c r="DB176" s="792">
        <f>AVERAGE(CX176:DA176)</f>
        <v>348.24836333878886</v>
      </c>
      <c r="DC176" s="791">
        <f>AVERAGE(DB174:DC174)+DC175</f>
        <v>335.17407289130176</v>
      </c>
      <c r="DD176" s="791">
        <f>AVERAGE(DC174:DD174)+DD175</f>
        <v>328.6840841269177</v>
      </c>
      <c r="DE176" s="791">
        <f>AVERAGE(DD174:DE174)+DE175</f>
        <v>322.41336338117713</v>
      </c>
      <c r="DF176" s="791">
        <f>AVERAGE(DE174:DF174)+DF175</f>
        <v>317.51738767298127</v>
      </c>
      <c r="DG176" s="792">
        <f>AVERAGE(DC176:DF176)</f>
        <v>325.94722701809451</v>
      </c>
      <c r="DH176" s="791">
        <f>AVERAGE(DG174:DH174)+DH175</f>
        <v>313.70748451125394</v>
      </c>
      <c r="DI176" s="791">
        <f>AVERAGE(DH174:DI174)+DI175</f>
        <v>309.78578218490856</v>
      </c>
      <c r="DJ176" s="791">
        <f>AVERAGE(DI174:DJ174)+DJ175</f>
        <v>305.9997995120209</v>
      </c>
      <c r="DK176" s="791">
        <f>AVERAGE(DJ174:DK174)+DK175</f>
        <v>303.53046331910298</v>
      </c>
      <c r="DL176" s="792">
        <f>AVERAGE(DH176:DK176)</f>
        <v>308.25588238182161</v>
      </c>
      <c r="DM176" s="791">
        <f>AVERAGE(DL174:DM174)+DM175</f>
        <v>302.03613597238734</v>
      </c>
      <c r="DN176" s="791">
        <f>AVERAGE(DM174:DN174)+DN175</f>
        <v>300.31411165517261</v>
      </c>
      <c r="DO176" s="791">
        <f>AVERAGE(DN174:DO174)+DO175</f>
        <v>298.68467605006015</v>
      </c>
      <c r="DP176" s="791">
        <f>AVERAGE(DO174:DP174)+DP175</f>
        <v>298.33753850904526</v>
      </c>
      <c r="DQ176" s="792">
        <f>AVERAGE(DM176:DP176)</f>
        <v>299.84311554666635</v>
      </c>
      <c r="DR176" s="791">
        <f>AVERAGE(DQ174:DR174)+DR175</f>
        <v>297.97206573675351</v>
      </c>
      <c r="DS176" s="791">
        <f>AVERAGE(DR174:DS174)+DS175</f>
        <v>296.39709243058508</v>
      </c>
      <c r="DT176" s="791">
        <f>AVERAGE(DS174:DT174)+DT175</f>
        <v>294.91182448336116</v>
      </c>
      <c r="DU176" s="791">
        <f>AVERAGE(DT174:DU174)+DU175</f>
        <v>294.70596712570375</v>
      </c>
      <c r="DV176" s="792">
        <f>AVERAGE(DR176:DU176)</f>
        <v>295.99673744410086</v>
      </c>
      <c r="DW176" s="791">
        <f>AVERAGE(DV174:DW174)+DW175</f>
        <v>294.47894367938602</v>
      </c>
      <c r="DX176" s="791">
        <f>AVERAGE(DW174:DX174)+DX175</f>
        <v>293.03970500652554</v>
      </c>
      <c r="DY176" s="791">
        <f>AVERAGE(DX174:DY174)+DY175</f>
        <v>291.6875102292114</v>
      </c>
      <c r="DZ176" s="791">
        <f>AVERAGE(DY174:DZ174)+DZ175</f>
        <v>291.61215027433389</v>
      </c>
      <c r="EA176" s="792">
        <f>AVERAGE(DW176:DZ176)</f>
        <v>292.70457729736421</v>
      </c>
      <c r="EC176" s="33"/>
      <c r="ED176" s="321"/>
      <c r="EE176" s="321"/>
      <c r="EF176" s="321"/>
      <c r="EG176" s="321"/>
      <c r="EH176" s="132"/>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row>
    <row r="177" spans="1:259" s="15" customFormat="1" x14ac:dyDescent="0.2">
      <c r="A177" s="14" t="s">
        <v>102</v>
      </c>
      <c r="B177" s="1358"/>
      <c r="C177" s="1358"/>
      <c r="D177" s="1358"/>
      <c r="E177" s="1358"/>
      <c r="F177" s="1358"/>
      <c r="G177" s="1358"/>
      <c r="H177" s="1358"/>
      <c r="I177" s="1358"/>
      <c r="J177" s="1675"/>
      <c r="K177" s="1358"/>
      <c r="L177" s="1358"/>
      <c r="M177" s="1358"/>
      <c r="N177" s="1358"/>
      <c r="O177" s="1358"/>
      <c r="P177" s="1358"/>
      <c r="Q177" s="1358"/>
      <c r="R177" s="1358"/>
      <c r="S177" s="1358"/>
      <c r="T177" s="1358"/>
      <c r="U177" s="1358"/>
      <c r="V177" s="1358"/>
      <c r="W177" s="1358"/>
      <c r="X177" s="1358"/>
      <c r="Y177" s="1358"/>
      <c r="Z177" s="1358"/>
      <c r="AA177" s="1358"/>
      <c r="AB177" s="1358"/>
      <c r="AC177" s="1358"/>
      <c r="AD177" s="1358"/>
      <c r="AE177" s="1375"/>
      <c r="AF177" s="1359"/>
      <c r="AG177" s="1359"/>
      <c r="AH177" s="1359"/>
      <c r="AI177" s="1359"/>
      <c r="AJ177" s="1375"/>
      <c r="AK177" s="1359"/>
      <c r="AL177" s="1359"/>
      <c r="AM177" s="1359"/>
      <c r="AN177" s="1359"/>
      <c r="AO177" s="1375"/>
      <c r="AP177" s="1359"/>
      <c r="AQ177" s="1359"/>
      <c r="AR177" s="1359"/>
      <c r="AS177" s="1359"/>
      <c r="AT177" s="1375"/>
      <c r="AU177" s="1359"/>
      <c r="AV177" s="1359"/>
      <c r="AW177" s="1359"/>
      <c r="AX177" s="1359"/>
      <c r="AY177" s="1375"/>
      <c r="AZ177" s="1359"/>
      <c r="BA177" s="1359"/>
      <c r="BB177" s="1359"/>
      <c r="BC177" s="1359"/>
      <c r="BD177" s="1375">
        <f>BD178-BD176</f>
        <v>19</v>
      </c>
      <c r="BE177" s="1359"/>
      <c r="BF177" s="1359"/>
      <c r="BG177" s="1359"/>
      <c r="BH177" s="1359"/>
      <c r="BI177" s="1375">
        <f>BI178-BI176</f>
        <v>16</v>
      </c>
      <c r="BJ177" s="1359"/>
      <c r="BK177" s="1359">
        <f>BK178-BK176</f>
        <v>13</v>
      </c>
      <c r="BL177" s="1359">
        <f>BL178-BL176</f>
        <v>13</v>
      </c>
      <c r="BM177" s="1359"/>
      <c r="BN177" s="1375">
        <f t="shared" ref="BN177:CE177" si="497">BN178-BN176</f>
        <v>12</v>
      </c>
      <c r="BO177" s="1359">
        <f t="shared" si="497"/>
        <v>11</v>
      </c>
      <c r="BP177" s="1359">
        <f t="shared" si="497"/>
        <v>12</v>
      </c>
      <c r="BQ177" s="1359">
        <f t="shared" si="497"/>
        <v>11</v>
      </c>
      <c r="BR177" s="1359">
        <f t="shared" si="497"/>
        <v>12</v>
      </c>
      <c r="BS177" s="1375">
        <f t="shared" si="497"/>
        <v>11.5</v>
      </c>
      <c r="BT177" s="1359">
        <f t="shared" si="497"/>
        <v>13</v>
      </c>
      <c r="BU177" s="1359">
        <f t="shared" si="497"/>
        <v>13</v>
      </c>
      <c r="BV177" s="1359">
        <f t="shared" si="497"/>
        <v>12</v>
      </c>
      <c r="BW177" s="1359">
        <f t="shared" si="497"/>
        <v>8</v>
      </c>
      <c r="BX177" s="1375">
        <f t="shared" si="497"/>
        <v>13</v>
      </c>
      <c r="BY177" s="1359">
        <f t="shared" si="497"/>
        <v>13</v>
      </c>
      <c r="BZ177" s="1359">
        <f t="shared" si="497"/>
        <v>12</v>
      </c>
      <c r="CA177" s="1359">
        <f t="shared" si="497"/>
        <v>12</v>
      </c>
      <c r="CB177" s="1359">
        <f t="shared" si="497"/>
        <v>14</v>
      </c>
      <c r="CC177" s="1375">
        <f t="shared" si="497"/>
        <v>12</v>
      </c>
      <c r="CD177" s="1363">
        <f t="shared" si="497"/>
        <v>10</v>
      </c>
      <c r="CE177" s="1363">
        <f t="shared" si="497"/>
        <v>10</v>
      </c>
      <c r="CF177" s="1363">
        <f t="shared" ref="CF177:CT177" si="498">CF178-CF176</f>
        <v>10</v>
      </c>
      <c r="CG177" s="1363">
        <f t="shared" si="498"/>
        <v>10</v>
      </c>
      <c r="CH177" s="1688">
        <f t="shared" si="498"/>
        <v>9</v>
      </c>
      <c r="CI177" s="1363">
        <f t="shared" si="498"/>
        <v>9.1999999999999886</v>
      </c>
      <c r="CJ177" s="1363">
        <f t="shared" si="498"/>
        <v>9</v>
      </c>
      <c r="CK177" s="1363">
        <f t="shared" si="498"/>
        <v>8</v>
      </c>
      <c r="CL177" s="1363">
        <f t="shared" si="498"/>
        <v>9.8000000000000114</v>
      </c>
      <c r="CM177" s="1688">
        <f>CM178-CM176</f>
        <v>9</v>
      </c>
      <c r="CN177" s="1363">
        <f t="shared" si="498"/>
        <v>8</v>
      </c>
      <c r="CO177" s="1363">
        <f t="shared" si="498"/>
        <v>8.3999999999999773</v>
      </c>
      <c r="CP177" s="1363">
        <f>CP178-CP176</f>
        <v>8</v>
      </c>
      <c r="CQ177" s="1060">
        <f t="shared" si="498"/>
        <v>6</v>
      </c>
      <c r="CR177" s="1973">
        <f>CR178-CR176</f>
        <v>7.6000000000000227</v>
      </c>
      <c r="CS177" s="2062">
        <f t="shared" si="498"/>
        <v>5</v>
      </c>
      <c r="CT177" s="2062">
        <f t="shared" si="498"/>
        <v>5</v>
      </c>
      <c r="CU177" s="2090">
        <v>6</v>
      </c>
      <c r="CV177" s="791">
        <v>6</v>
      </c>
      <c r="CW177" s="792">
        <f>CW178-CW176</f>
        <v>3.5</v>
      </c>
      <c r="CX177" s="2062">
        <f t="shared" ref="CX177:CZ177" si="499">CX178-CX176</f>
        <v>7</v>
      </c>
      <c r="CY177" s="2062">
        <f t="shared" si="499"/>
        <v>8</v>
      </c>
      <c r="CZ177" s="1046">
        <f t="shared" si="499"/>
        <v>8</v>
      </c>
      <c r="DA177" s="791">
        <v>6</v>
      </c>
      <c r="DB177" s="792">
        <f>DB178-DB176</f>
        <v>7.25</v>
      </c>
      <c r="DC177" s="799">
        <v>6</v>
      </c>
      <c r="DD177" s="799">
        <v>6</v>
      </c>
      <c r="DE177" s="799">
        <v>6</v>
      </c>
      <c r="DF177" s="799">
        <v>6</v>
      </c>
      <c r="DG177" s="792">
        <f>DG178-DG176</f>
        <v>6</v>
      </c>
      <c r="DH177" s="799">
        <v>6</v>
      </c>
      <c r="DI177" s="799">
        <v>6</v>
      </c>
      <c r="DJ177" s="799">
        <v>6</v>
      </c>
      <c r="DK177" s="799">
        <v>6</v>
      </c>
      <c r="DL177" s="792">
        <f>DL178-DL176</f>
        <v>6</v>
      </c>
      <c r="DM177" s="799">
        <v>6</v>
      </c>
      <c r="DN177" s="799">
        <v>6</v>
      </c>
      <c r="DO177" s="799">
        <v>6</v>
      </c>
      <c r="DP177" s="799">
        <v>6</v>
      </c>
      <c r="DQ177" s="792">
        <f>DQ178-DQ176</f>
        <v>6</v>
      </c>
      <c r="DR177" s="799">
        <v>6</v>
      </c>
      <c r="DS177" s="799">
        <v>6</v>
      </c>
      <c r="DT177" s="799">
        <v>6</v>
      </c>
      <c r="DU177" s="799">
        <v>6</v>
      </c>
      <c r="DV177" s="792">
        <f>DV178-DV176</f>
        <v>6</v>
      </c>
      <c r="DW177" s="799">
        <v>6</v>
      </c>
      <c r="DX177" s="799">
        <v>6</v>
      </c>
      <c r="DY177" s="799">
        <v>6</v>
      </c>
      <c r="DZ177" s="799">
        <v>6</v>
      </c>
      <c r="EA177" s="792">
        <f>EA178-EA176</f>
        <v>6</v>
      </c>
      <c r="EC177" s="33"/>
      <c r="ED177" s="321"/>
      <c r="EE177" s="321"/>
      <c r="EF177" s="321"/>
      <c r="EG177" s="321"/>
      <c r="EH177" s="132"/>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row>
    <row r="178" spans="1:259" s="15" customFormat="1" x14ac:dyDescent="0.2">
      <c r="A178" s="14" t="s">
        <v>104</v>
      </c>
      <c r="B178" s="1511"/>
      <c r="C178" s="1511"/>
      <c r="D178" s="1511"/>
      <c r="E178" s="1511"/>
      <c r="F178" s="1511"/>
      <c r="G178" s="1511"/>
      <c r="H178" s="1511"/>
      <c r="I178" s="1511"/>
      <c r="J178" s="1512"/>
      <c r="K178" s="1511"/>
      <c r="L178" s="1511"/>
      <c r="M178" s="1511"/>
      <c r="N178" s="1511"/>
      <c r="O178" s="1511"/>
      <c r="P178" s="1511"/>
      <c r="Q178" s="1511"/>
      <c r="R178" s="1511"/>
      <c r="S178" s="1511"/>
      <c r="T178" s="1511"/>
      <c r="U178" s="1511"/>
      <c r="V178" s="1511"/>
      <c r="W178" s="1511"/>
      <c r="X178" s="1511"/>
      <c r="Y178" s="1511"/>
      <c r="Z178" s="1511"/>
      <c r="AA178" s="1511"/>
      <c r="AB178" s="1511"/>
      <c r="AC178" s="1511"/>
      <c r="AD178" s="1511"/>
      <c r="AE178" s="1633"/>
      <c r="AF178" s="1709">
        <f t="shared" ref="AF178:BK178" si="500">AF65</f>
        <v>606</v>
      </c>
      <c r="AG178" s="1709">
        <f t="shared" si="500"/>
        <v>608</v>
      </c>
      <c r="AH178" s="1709">
        <f t="shared" si="500"/>
        <v>614</v>
      </c>
      <c r="AI178" s="1709">
        <f t="shared" si="500"/>
        <v>615</v>
      </c>
      <c r="AJ178" s="1633">
        <f t="shared" si="500"/>
        <v>609</v>
      </c>
      <c r="AK178" s="1709">
        <f t="shared" si="500"/>
        <v>610</v>
      </c>
      <c r="AL178" s="1709">
        <f t="shared" si="500"/>
        <v>608.98</v>
      </c>
      <c r="AM178" s="1709">
        <f t="shared" si="500"/>
        <v>610</v>
      </c>
      <c r="AN178" s="1709">
        <f t="shared" si="500"/>
        <v>614</v>
      </c>
      <c r="AO178" s="1633">
        <f t="shared" si="500"/>
        <v>610.745</v>
      </c>
      <c r="AP178" s="1709">
        <f t="shared" si="500"/>
        <v>608</v>
      </c>
      <c r="AQ178" s="1709">
        <f t="shared" si="500"/>
        <v>604</v>
      </c>
      <c r="AR178" s="1709">
        <f t="shared" si="500"/>
        <v>596</v>
      </c>
      <c r="AS178" s="1709">
        <f t="shared" si="500"/>
        <v>584</v>
      </c>
      <c r="AT178" s="1633">
        <f t="shared" si="500"/>
        <v>596</v>
      </c>
      <c r="AU178" s="1709">
        <f t="shared" si="500"/>
        <v>572</v>
      </c>
      <c r="AV178" s="1709">
        <f t="shared" si="500"/>
        <v>562</v>
      </c>
      <c r="AW178" s="1709">
        <f t="shared" si="500"/>
        <v>554</v>
      </c>
      <c r="AX178" s="1709">
        <f t="shared" si="500"/>
        <v>556</v>
      </c>
      <c r="AY178" s="1633">
        <f t="shared" si="500"/>
        <v>564</v>
      </c>
      <c r="AZ178" s="1709">
        <f t="shared" si="500"/>
        <v>550</v>
      </c>
      <c r="BA178" s="1709">
        <f t="shared" si="500"/>
        <v>547</v>
      </c>
      <c r="BB178" s="1709">
        <f t="shared" si="500"/>
        <v>541</v>
      </c>
      <c r="BC178" s="1709">
        <f t="shared" si="500"/>
        <v>528</v>
      </c>
      <c r="BD178" s="1633">
        <f t="shared" si="500"/>
        <v>541</v>
      </c>
      <c r="BE178" s="1709">
        <f t="shared" si="500"/>
        <v>504</v>
      </c>
      <c r="BF178" s="1709">
        <f t="shared" si="500"/>
        <v>498</v>
      </c>
      <c r="BG178" s="1709">
        <f t="shared" si="500"/>
        <v>487</v>
      </c>
      <c r="BH178" s="1709">
        <f t="shared" si="500"/>
        <v>479</v>
      </c>
      <c r="BI178" s="1633">
        <f t="shared" si="500"/>
        <v>491</v>
      </c>
      <c r="BJ178" s="1709">
        <f t="shared" si="500"/>
        <v>479</v>
      </c>
      <c r="BK178" s="1709">
        <f t="shared" si="500"/>
        <v>483</v>
      </c>
      <c r="BL178" s="1709">
        <f t="shared" ref="BL178:CE178" si="501">BL65</f>
        <v>485</v>
      </c>
      <c r="BM178" s="1709">
        <f t="shared" si="501"/>
        <v>485</v>
      </c>
      <c r="BN178" s="1633">
        <f t="shared" si="501"/>
        <v>483</v>
      </c>
      <c r="BO178" s="1709">
        <f t="shared" si="501"/>
        <v>485</v>
      </c>
      <c r="BP178" s="1709">
        <f t="shared" si="501"/>
        <v>485</v>
      </c>
      <c r="BQ178" s="1709">
        <f t="shared" si="501"/>
        <v>484</v>
      </c>
      <c r="BR178" s="1709">
        <f t="shared" si="501"/>
        <v>488</v>
      </c>
      <c r="BS178" s="1633">
        <f t="shared" si="501"/>
        <v>485.5</v>
      </c>
      <c r="BT178" s="1709">
        <f t="shared" si="501"/>
        <v>486</v>
      </c>
      <c r="BU178" s="1709">
        <f t="shared" si="501"/>
        <v>484</v>
      </c>
      <c r="BV178" s="1709">
        <f t="shared" si="501"/>
        <v>481</v>
      </c>
      <c r="BW178" s="1709">
        <f t="shared" si="501"/>
        <v>477</v>
      </c>
      <c r="BX178" s="1633">
        <f t="shared" si="501"/>
        <v>482</v>
      </c>
      <c r="BY178" s="1709">
        <f t="shared" si="501"/>
        <v>478</v>
      </c>
      <c r="BZ178" s="1709">
        <f t="shared" si="501"/>
        <v>477</v>
      </c>
      <c r="CA178" s="1709">
        <f t="shared" si="501"/>
        <v>472</v>
      </c>
      <c r="CB178" s="1709">
        <f t="shared" si="501"/>
        <v>468</v>
      </c>
      <c r="CC178" s="1633">
        <f t="shared" si="501"/>
        <v>473</v>
      </c>
      <c r="CD178" s="1710">
        <f t="shared" si="501"/>
        <v>465</v>
      </c>
      <c r="CE178" s="1710">
        <f t="shared" si="501"/>
        <v>464</v>
      </c>
      <c r="CF178" s="1710">
        <v>461</v>
      </c>
      <c r="CG178" s="1711">
        <v>458</v>
      </c>
      <c r="CH178" s="1712">
        <v>461</v>
      </c>
      <c r="CI178" s="1710">
        <f>CI65</f>
        <v>456.2</v>
      </c>
      <c r="CJ178" s="1710">
        <f>CJ65</f>
        <v>455</v>
      </c>
      <c r="CK178" s="1710">
        <f>CK65</f>
        <v>452</v>
      </c>
      <c r="CL178" s="1689">
        <f>CM178*4-CK178-CJ178-CI178</f>
        <v>448.8</v>
      </c>
      <c r="CM178" s="1712">
        <v>453</v>
      </c>
      <c r="CN178" s="1710">
        <f>CN65</f>
        <v>446</v>
      </c>
      <c r="CO178" s="1710">
        <f>CO65</f>
        <v>445.4</v>
      </c>
      <c r="CP178" s="1710">
        <f>CP65</f>
        <v>444</v>
      </c>
      <c r="CQ178" s="1917">
        <f>CQ65</f>
        <v>439</v>
      </c>
      <c r="CR178" s="1977">
        <f>AVERAGE(CN178:CQ178)</f>
        <v>443.6</v>
      </c>
      <c r="CS178" s="2098">
        <f>CS65</f>
        <v>421</v>
      </c>
      <c r="CT178" s="2098">
        <f>CT65</f>
        <v>415</v>
      </c>
      <c r="CU178" s="2098">
        <f>CU65</f>
        <v>395</v>
      </c>
      <c r="CV178" s="1273">
        <f>CV65</f>
        <v>372</v>
      </c>
      <c r="CW178" s="804">
        <f>AVERAGE(CS178:CV178)</f>
        <v>400.75</v>
      </c>
      <c r="CX178" s="1273">
        <f>CX65</f>
        <v>364</v>
      </c>
      <c r="CY178" s="1273">
        <f>CY65</f>
        <v>358</v>
      </c>
      <c r="CZ178" s="1273">
        <f>CZ65</f>
        <v>353</v>
      </c>
      <c r="DA178" s="803">
        <f>DA176+DA177</f>
        <v>346.99345335515545</v>
      </c>
      <c r="DB178" s="804">
        <f>AVERAGE(CX178:DA178)</f>
        <v>355.49836333878886</v>
      </c>
      <c r="DC178" s="803">
        <f>DC176+DC177</f>
        <v>341.17407289130176</v>
      </c>
      <c r="DD178" s="803">
        <f>DD176+DD177</f>
        <v>334.6840841269177</v>
      </c>
      <c r="DE178" s="803">
        <f>DE176+DE177</f>
        <v>328.41336338117713</v>
      </c>
      <c r="DF178" s="803">
        <f>DF176+DF177</f>
        <v>323.51738767298127</v>
      </c>
      <c r="DG178" s="804">
        <f>AVERAGE(DC178:DF178)</f>
        <v>331.94722701809451</v>
      </c>
      <c r="DH178" s="803">
        <f>DH176+DH177</f>
        <v>319.70748451125394</v>
      </c>
      <c r="DI178" s="803">
        <f>DI176+DI177</f>
        <v>315.78578218490856</v>
      </c>
      <c r="DJ178" s="803">
        <f>DJ176+DJ177</f>
        <v>311.9997995120209</v>
      </c>
      <c r="DK178" s="803">
        <f>DK176+DK177</f>
        <v>309.53046331910298</v>
      </c>
      <c r="DL178" s="804">
        <f>AVERAGE(DH178:DK178)</f>
        <v>314.25588238182161</v>
      </c>
      <c r="DM178" s="803">
        <f>DM176+DM177</f>
        <v>308.03613597238734</v>
      </c>
      <c r="DN178" s="803">
        <f>DN176+DN177</f>
        <v>306.31411165517261</v>
      </c>
      <c r="DO178" s="803">
        <f>DO176+DO177</f>
        <v>304.68467605006015</v>
      </c>
      <c r="DP178" s="803">
        <f>DP176+DP177</f>
        <v>304.33753850904526</v>
      </c>
      <c r="DQ178" s="804">
        <f>AVERAGE(DM178:DP178)</f>
        <v>305.84311554666635</v>
      </c>
      <c r="DR178" s="803">
        <f>DR176+DR177</f>
        <v>303.97206573675351</v>
      </c>
      <c r="DS178" s="803">
        <f>DS176+DS177</f>
        <v>302.39709243058508</v>
      </c>
      <c r="DT178" s="803">
        <f>DT176+DT177</f>
        <v>300.91182448336116</v>
      </c>
      <c r="DU178" s="803">
        <f>DU176+DU177</f>
        <v>300.70596712570375</v>
      </c>
      <c r="DV178" s="804">
        <f>AVERAGE(DR178:DU178)</f>
        <v>301.99673744410086</v>
      </c>
      <c r="DW178" s="803">
        <f>DW176+DW177</f>
        <v>300.47894367938602</v>
      </c>
      <c r="DX178" s="803">
        <f>DX176+DX177</f>
        <v>299.03970500652554</v>
      </c>
      <c r="DY178" s="803">
        <f>DY176+DY177</f>
        <v>297.6875102292114</v>
      </c>
      <c r="DZ178" s="803">
        <f>DZ176+DZ177</f>
        <v>297.61215027433389</v>
      </c>
      <c r="EA178" s="804">
        <f>AVERAGE(DW178:DZ178)</f>
        <v>298.70457729736421</v>
      </c>
      <c r="EC178" s="33"/>
      <c r="ED178" s="321"/>
      <c r="EE178" s="321"/>
      <c r="EF178" s="321"/>
      <c r="EG178" s="321"/>
      <c r="EH178" s="132"/>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row>
    <row r="179" spans="1:259" s="15" customFormat="1" x14ac:dyDescent="0.2">
      <c r="A179" s="2312" t="s">
        <v>171</v>
      </c>
      <c r="B179" s="2313"/>
      <c r="C179" s="2313"/>
      <c r="D179" s="2313"/>
      <c r="E179" s="2313"/>
      <c r="F179" s="2313"/>
      <c r="G179" s="2313"/>
      <c r="H179" s="2313"/>
      <c r="I179" s="2313"/>
      <c r="J179" s="2314"/>
      <c r="K179" s="2313"/>
      <c r="L179" s="2313"/>
      <c r="M179" s="2313"/>
      <c r="N179" s="2313"/>
      <c r="O179" s="2313"/>
      <c r="P179" s="2313"/>
      <c r="Q179" s="2313"/>
      <c r="R179" s="2313"/>
      <c r="S179" s="2313"/>
      <c r="T179" s="2313"/>
      <c r="U179" s="2313"/>
      <c r="V179" s="2313"/>
      <c r="W179" s="2313"/>
      <c r="X179" s="2313"/>
      <c r="Y179" s="2313"/>
      <c r="Z179" s="2313"/>
      <c r="AA179" s="2313"/>
      <c r="AB179" s="2313"/>
      <c r="AC179" s="2313"/>
      <c r="AD179" s="2313"/>
      <c r="AE179" s="2313"/>
      <c r="AF179" s="2313"/>
      <c r="AG179" s="2313"/>
      <c r="AH179" s="2313"/>
      <c r="AI179" s="2313"/>
      <c r="AJ179" s="2313"/>
      <c r="AK179" s="2313"/>
      <c r="AL179" s="2313"/>
      <c r="AM179" s="2313"/>
      <c r="AN179" s="2313"/>
      <c r="AO179" s="2315">
        <v>614</v>
      </c>
      <c r="AP179" s="2316">
        <f>AP65</f>
        <v>608</v>
      </c>
      <c r="AQ179" s="2316">
        <f>AQ65</f>
        <v>604</v>
      </c>
      <c r="AR179" s="2316">
        <f>AR65</f>
        <v>596</v>
      </c>
      <c r="AS179" s="2316">
        <f>AS65</f>
        <v>584</v>
      </c>
      <c r="AT179" s="2315">
        <f>AS179</f>
        <v>584</v>
      </c>
      <c r="AU179" s="2316">
        <f>AU65</f>
        <v>572</v>
      </c>
      <c r="AV179" s="2316">
        <f>AV65</f>
        <v>562</v>
      </c>
      <c r="AW179" s="2316">
        <f>AW65</f>
        <v>554</v>
      </c>
      <c r="AX179" s="2316">
        <f>AX65</f>
        <v>556</v>
      </c>
      <c r="AY179" s="2315">
        <f>AX179</f>
        <v>556</v>
      </c>
      <c r="AZ179" s="2316">
        <f>AZ65</f>
        <v>550</v>
      </c>
      <c r="BA179" s="2316">
        <f>BA65</f>
        <v>547</v>
      </c>
      <c r="BB179" s="2316">
        <f>BB65</f>
        <v>541</v>
      </c>
      <c r="BC179" s="2316">
        <f>BC65</f>
        <v>528</v>
      </c>
      <c r="BD179" s="2315">
        <f>BC179</f>
        <v>528</v>
      </c>
      <c r="BE179" s="2316">
        <f>BE65</f>
        <v>504</v>
      </c>
      <c r="BF179" s="2316">
        <f>BF65</f>
        <v>498</v>
      </c>
      <c r="BG179" s="2316">
        <f>BG65</f>
        <v>487</v>
      </c>
      <c r="BH179" s="2316">
        <f>BH65</f>
        <v>479</v>
      </c>
      <c r="BI179" s="2315">
        <f>BH179</f>
        <v>479</v>
      </c>
      <c r="BJ179" s="2316">
        <f>BJ65</f>
        <v>479</v>
      </c>
      <c r="BK179" s="2316">
        <f>BK65</f>
        <v>483</v>
      </c>
      <c r="BL179" s="2316">
        <f>BL65</f>
        <v>485</v>
      </c>
      <c r="BM179" s="2316">
        <f>BM65</f>
        <v>485</v>
      </c>
      <c r="BN179" s="2315">
        <f>BM179</f>
        <v>485</v>
      </c>
      <c r="BO179" s="2316">
        <f>BO65</f>
        <v>485</v>
      </c>
      <c r="BP179" s="2316">
        <f>BP65</f>
        <v>485</v>
      </c>
      <c r="BQ179" s="2316">
        <f>BQ65</f>
        <v>484</v>
      </c>
      <c r="BR179" s="2316">
        <f>BR65</f>
        <v>488</v>
      </c>
      <c r="BS179" s="2315">
        <f>BR179</f>
        <v>488</v>
      </c>
      <c r="BT179" s="2316">
        <f>BT65</f>
        <v>486</v>
      </c>
      <c r="BU179" s="2316">
        <f>BU65</f>
        <v>484</v>
      </c>
      <c r="BV179" s="2316">
        <f>BV65</f>
        <v>481</v>
      </c>
      <c r="BW179" s="2316">
        <v>471</v>
      </c>
      <c r="BX179" s="2315">
        <f>BW179</f>
        <v>471</v>
      </c>
      <c r="BY179" s="2317">
        <f>BY65</f>
        <v>478</v>
      </c>
      <c r="BZ179" s="2317">
        <f>BZ65</f>
        <v>477</v>
      </c>
      <c r="CA179" s="2317">
        <v>471</v>
      </c>
      <c r="CB179" s="2317">
        <v>465</v>
      </c>
      <c r="CC179" s="2318">
        <f>CB179</f>
        <v>465</v>
      </c>
      <c r="CD179" s="2319">
        <f>CD65</f>
        <v>465</v>
      </c>
      <c r="CE179" s="2319">
        <f>CE65</f>
        <v>464</v>
      </c>
      <c r="CF179" s="2319">
        <f>CF65</f>
        <v>461</v>
      </c>
      <c r="CG179" s="2319">
        <f>CG65</f>
        <v>458</v>
      </c>
      <c r="CH179" s="2320">
        <f>CG179</f>
        <v>458</v>
      </c>
      <c r="CI179" s="2319">
        <f>CI65</f>
        <v>456.2</v>
      </c>
      <c r="CJ179" s="2319">
        <f>CJ65</f>
        <v>455</v>
      </c>
      <c r="CK179" s="2319">
        <f>CK65</f>
        <v>452</v>
      </c>
      <c r="CL179" s="2319">
        <f>CL65</f>
        <v>441</v>
      </c>
      <c r="CM179" s="2320">
        <f>CL179</f>
        <v>441</v>
      </c>
      <c r="CN179" s="2319">
        <f>CN174+CN177</f>
        <v>441</v>
      </c>
      <c r="CO179" s="2319">
        <f>CO174+CO177</f>
        <v>440.4</v>
      </c>
      <c r="CP179" s="2319">
        <f>CP174+CP177</f>
        <v>439</v>
      </c>
      <c r="CQ179" s="2321">
        <f>CQ174+CQ177</f>
        <v>426</v>
      </c>
      <c r="CR179" s="2322">
        <f>CQ179</f>
        <v>426</v>
      </c>
      <c r="CS179" s="2323">
        <f>CS174+CS177</f>
        <v>412</v>
      </c>
      <c r="CT179" s="2323">
        <f>CT174+CT177</f>
        <v>404</v>
      </c>
      <c r="CU179" s="2323">
        <f>CU174+CU177</f>
        <v>382</v>
      </c>
      <c r="CV179" s="2324">
        <f>CV174+CV177</f>
        <v>361</v>
      </c>
      <c r="CW179" s="2325">
        <f>CV179</f>
        <v>361</v>
      </c>
      <c r="CX179" s="2324">
        <f>CX174+CX177</f>
        <v>357</v>
      </c>
      <c r="CY179" s="2324">
        <f>CY174+CY177</f>
        <v>353</v>
      </c>
      <c r="CZ179" s="2324">
        <f>CZ174+CZ177</f>
        <v>347</v>
      </c>
      <c r="DA179" s="2324">
        <f>DA174+DA177</f>
        <v>339.98690671031096</v>
      </c>
      <c r="DB179" s="2325">
        <f>DA179</f>
        <v>339.98690671031096</v>
      </c>
      <c r="DC179" s="2324">
        <f>DC174+DC177</f>
        <v>333.36123907229251</v>
      </c>
      <c r="DD179" s="2324">
        <f>DD174+DD177</f>
        <v>327.00692918154283</v>
      </c>
      <c r="DE179" s="2324">
        <f>DE174+DE177</f>
        <v>320.81979758081144</v>
      </c>
      <c r="DF179" s="2324">
        <f>DF174+DF177</f>
        <v>317.2149777651511</v>
      </c>
      <c r="DG179" s="2325">
        <f>DF179</f>
        <v>317.2149777651511</v>
      </c>
      <c r="DH179" s="2324">
        <f>DH65</f>
        <v>319.70748451125394</v>
      </c>
      <c r="DI179" s="2324">
        <f>DI65</f>
        <v>315.78578218490856</v>
      </c>
      <c r="DJ179" s="2324">
        <f>DJ65</f>
        <v>311.9997995120209</v>
      </c>
      <c r="DK179" s="2324">
        <f>DK65</f>
        <v>309.53046331910298</v>
      </c>
      <c r="DL179" s="2325">
        <f>DK179</f>
        <v>309.53046331910298</v>
      </c>
      <c r="DM179" s="2324">
        <f>DM65</f>
        <v>308.03613597238734</v>
      </c>
      <c r="DN179" s="2324">
        <f>DN65</f>
        <v>306.31411165517261</v>
      </c>
      <c r="DO179" s="2324">
        <f>DO65</f>
        <v>304.68467605006015</v>
      </c>
      <c r="DP179" s="2324">
        <f>DP65</f>
        <v>304.33753850904526</v>
      </c>
      <c r="DQ179" s="2325">
        <f>DP179</f>
        <v>304.33753850904526</v>
      </c>
      <c r="DR179" s="2324">
        <f>DR65</f>
        <v>303.97206573675351</v>
      </c>
      <c r="DS179" s="2324">
        <f>DS65</f>
        <v>302.39709243058508</v>
      </c>
      <c r="DT179" s="2324">
        <f>DT65</f>
        <v>300.91182448336116</v>
      </c>
      <c r="DU179" s="2324">
        <f>DU65</f>
        <v>300.70596712570375</v>
      </c>
      <c r="DV179" s="2325">
        <f>DU179</f>
        <v>300.70596712570375</v>
      </c>
      <c r="DW179" s="2324">
        <f>DW65</f>
        <v>300.47894367938602</v>
      </c>
      <c r="DX179" s="2324">
        <f>DX65</f>
        <v>299.03970500652554</v>
      </c>
      <c r="DY179" s="2324">
        <f>DY65</f>
        <v>297.6875102292114</v>
      </c>
      <c r="DZ179" s="2324">
        <f>DZ65</f>
        <v>297.61215027433389</v>
      </c>
      <c r="EA179" s="2325">
        <f>DZ179</f>
        <v>297.61215027433389</v>
      </c>
      <c r="EC179" s="33"/>
      <c r="ED179" s="321"/>
      <c r="EE179" s="321"/>
      <c r="EF179" s="321"/>
      <c r="EG179" s="321"/>
      <c r="EH179" s="132"/>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row>
    <row r="180" spans="1:259" s="15" customFormat="1" x14ac:dyDescent="0.2">
      <c r="A180" s="1872" t="s">
        <v>104</v>
      </c>
      <c r="B180" s="1358"/>
      <c r="C180" s="1358"/>
      <c r="D180" s="1358"/>
      <c r="E180" s="1358"/>
      <c r="F180" s="1358"/>
      <c r="G180" s="1358"/>
      <c r="H180" s="1358"/>
      <c r="I180" s="1358"/>
      <c r="J180" s="1675"/>
      <c r="K180" s="1358"/>
      <c r="L180" s="1358"/>
      <c r="M180" s="1358"/>
      <c r="N180" s="1358"/>
      <c r="O180" s="1358"/>
      <c r="P180" s="1358"/>
      <c r="Q180" s="1358"/>
      <c r="R180" s="1358"/>
      <c r="S180" s="1358"/>
      <c r="T180" s="1358"/>
      <c r="U180" s="1358"/>
      <c r="V180" s="1358"/>
      <c r="W180" s="1358"/>
      <c r="X180" s="1358"/>
      <c r="Y180" s="1358"/>
      <c r="Z180" s="1358"/>
      <c r="AA180" s="1358"/>
      <c r="AB180" s="1358"/>
      <c r="AC180" s="1358"/>
      <c r="AD180" s="1358"/>
      <c r="AE180" s="1358"/>
      <c r="AF180" s="1358"/>
      <c r="AG180" s="1358"/>
      <c r="AH180" s="1358"/>
      <c r="AI180" s="1358"/>
      <c r="AJ180" s="1358"/>
      <c r="AK180" s="1358"/>
      <c r="AL180" s="1358"/>
      <c r="AM180" s="1358"/>
      <c r="AN180" s="1358"/>
      <c r="AO180" s="1375">
        <f>AO65</f>
        <v>610.745</v>
      </c>
      <c r="AP180" s="1359" t="s">
        <v>52</v>
      </c>
      <c r="AQ180" s="1359" t="s">
        <v>52</v>
      </c>
      <c r="AR180" s="1359" t="s">
        <v>52</v>
      </c>
      <c r="AS180" s="1359" t="s">
        <v>52</v>
      </c>
      <c r="AT180" s="1375">
        <f>AT65</f>
        <v>596</v>
      </c>
      <c r="AU180" s="1359" t="s">
        <v>52</v>
      </c>
      <c r="AV180" s="1359" t="s">
        <v>52</v>
      </c>
      <c r="AW180" s="1359" t="s">
        <v>52</v>
      </c>
      <c r="AX180" s="1359" t="s">
        <v>52</v>
      </c>
      <c r="AY180" s="1375">
        <f>AY65</f>
        <v>564</v>
      </c>
      <c r="AZ180" s="1359" t="s">
        <v>52</v>
      </c>
      <c r="BA180" s="1359" t="s">
        <v>52</v>
      </c>
      <c r="BB180" s="1359" t="s">
        <v>52</v>
      </c>
      <c r="BC180" s="1359" t="s">
        <v>52</v>
      </c>
      <c r="BD180" s="1375">
        <f t="shared" ref="BD180:CU180" si="502">BD65</f>
        <v>541</v>
      </c>
      <c r="BE180" s="1359">
        <f t="shared" si="502"/>
        <v>504</v>
      </c>
      <c r="BF180" s="1359">
        <f t="shared" si="502"/>
        <v>498</v>
      </c>
      <c r="BG180" s="1359">
        <f t="shared" si="502"/>
        <v>487</v>
      </c>
      <c r="BH180" s="1359">
        <f t="shared" si="502"/>
        <v>479</v>
      </c>
      <c r="BI180" s="1375">
        <f t="shared" si="502"/>
        <v>491</v>
      </c>
      <c r="BJ180" s="1359">
        <f t="shared" si="502"/>
        <v>479</v>
      </c>
      <c r="BK180" s="1359">
        <f t="shared" si="502"/>
        <v>483</v>
      </c>
      <c r="BL180" s="1359">
        <f t="shared" si="502"/>
        <v>485</v>
      </c>
      <c r="BM180" s="1359">
        <f t="shared" si="502"/>
        <v>485</v>
      </c>
      <c r="BN180" s="1375">
        <f t="shared" si="502"/>
        <v>483</v>
      </c>
      <c r="BO180" s="1359">
        <f t="shared" si="502"/>
        <v>485</v>
      </c>
      <c r="BP180" s="1359">
        <f t="shared" si="502"/>
        <v>485</v>
      </c>
      <c r="BQ180" s="1359">
        <f t="shared" si="502"/>
        <v>484</v>
      </c>
      <c r="BR180" s="1359">
        <f t="shared" si="502"/>
        <v>488</v>
      </c>
      <c r="BS180" s="1375">
        <f t="shared" si="502"/>
        <v>485.5</v>
      </c>
      <c r="BT180" s="1359">
        <f t="shared" si="502"/>
        <v>486</v>
      </c>
      <c r="BU180" s="1359">
        <f t="shared" si="502"/>
        <v>484</v>
      </c>
      <c r="BV180" s="1359">
        <f t="shared" si="502"/>
        <v>481</v>
      </c>
      <c r="BW180" s="1359">
        <f t="shared" si="502"/>
        <v>477</v>
      </c>
      <c r="BX180" s="1375">
        <f t="shared" si="502"/>
        <v>482</v>
      </c>
      <c r="BY180" s="1705">
        <f t="shared" si="502"/>
        <v>478</v>
      </c>
      <c r="BZ180" s="1705">
        <f t="shared" si="502"/>
        <v>477</v>
      </c>
      <c r="CA180" s="1705">
        <f t="shared" si="502"/>
        <v>472</v>
      </c>
      <c r="CB180" s="1705">
        <f t="shared" si="502"/>
        <v>468</v>
      </c>
      <c r="CC180" s="1706">
        <f t="shared" si="502"/>
        <v>473</v>
      </c>
      <c r="CD180" s="1689">
        <f t="shared" si="502"/>
        <v>465</v>
      </c>
      <c r="CE180" s="1689">
        <f t="shared" si="502"/>
        <v>464</v>
      </c>
      <c r="CF180" s="1689">
        <f t="shared" si="502"/>
        <v>461</v>
      </c>
      <c r="CG180" s="1689">
        <f t="shared" si="502"/>
        <v>458</v>
      </c>
      <c r="CH180" s="1688">
        <f t="shared" si="502"/>
        <v>461</v>
      </c>
      <c r="CI180" s="1689">
        <f t="shared" si="502"/>
        <v>456.2</v>
      </c>
      <c r="CJ180" s="1689">
        <f t="shared" si="502"/>
        <v>455</v>
      </c>
      <c r="CK180" s="1689">
        <f t="shared" si="502"/>
        <v>452</v>
      </c>
      <c r="CL180" s="1689">
        <f t="shared" si="502"/>
        <v>441</v>
      </c>
      <c r="CM180" s="1688">
        <f t="shared" si="502"/>
        <v>453</v>
      </c>
      <c r="CN180" s="1689">
        <f t="shared" si="502"/>
        <v>446</v>
      </c>
      <c r="CO180" s="1689">
        <f t="shared" si="502"/>
        <v>445.4</v>
      </c>
      <c r="CP180" s="1689">
        <f t="shared" si="502"/>
        <v>444</v>
      </c>
      <c r="CQ180" s="1913">
        <f t="shared" si="502"/>
        <v>439</v>
      </c>
      <c r="CR180" s="1973">
        <f t="shared" si="502"/>
        <v>443</v>
      </c>
      <c r="CS180" s="2090">
        <f t="shared" si="502"/>
        <v>421</v>
      </c>
      <c r="CT180" s="2090">
        <f t="shared" si="502"/>
        <v>415</v>
      </c>
      <c r="CU180" s="2090">
        <f t="shared" si="502"/>
        <v>395</v>
      </c>
      <c r="CV180" s="791">
        <f>CV178</f>
        <v>372</v>
      </c>
      <c r="CW180" s="792">
        <f>CW178</f>
        <v>400.75</v>
      </c>
      <c r="CX180" s="2090">
        <f t="shared" ref="CX180:CZ180" si="503">CX65</f>
        <v>364</v>
      </c>
      <c r="CY180" s="2090">
        <f t="shared" si="503"/>
        <v>358</v>
      </c>
      <c r="CZ180" s="2376">
        <f t="shared" si="503"/>
        <v>353</v>
      </c>
      <c r="DA180" s="791">
        <f t="shared" ref="DA180:DQ180" si="504">DA178</f>
        <v>346.99345335515545</v>
      </c>
      <c r="DB180" s="792">
        <f t="shared" si="504"/>
        <v>355.49836333878886</v>
      </c>
      <c r="DC180" s="791">
        <f t="shared" si="504"/>
        <v>341.17407289130176</v>
      </c>
      <c r="DD180" s="791">
        <f t="shared" si="504"/>
        <v>334.6840841269177</v>
      </c>
      <c r="DE180" s="791">
        <f t="shared" si="504"/>
        <v>328.41336338117713</v>
      </c>
      <c r="DF180" s="791">
        <f t="shared" si="504"/>
        <v>323.51738767298127</v>
      </c>
      <c r="DG180" s="792">
        <f t="shared" si="504"/>
        <v>331.94722701809451</v>
      </c>
      <c r="DH180" s="791">
        <f t="shared" si="504"/>
        <v>319.70748451125394</v>
      </c>
      <c r="DI180" s="791">
        <f t="shared" si="504"/>
        <v>315.78578218490856</v>
      </c>
      <c r="DJ180" s="791">
        <f t="shared" si="504"/>
        <v>311.9997995120209</v>
      </c>
      <c r="DK180" s="791">
        <f t="shared" si="504"/>
        <v>309.53046331910298</v>
      </c>
      <c r="DL180" s="792">
        <f t="shared" si="504"/>
        <v>314.25588238182161</v>
      </c>
      <c r="DM180" s="791">
        <f t="shared" si="504"/>
        <v>308.03613597238734</v>
      </c>
      <c r="DN180" s="791">
        <f t="shared" si="504"/>
        <v>306.31411165517261</v>
      </c>
      <c r="DO180" s="791">
        <f t="shared" si="504"/>
        <v>304.68467605006015</v>
      </c>
      <c r="DP180" s="791">
        <f t="shared" si="504"/>
        <v>304.33753850904526</v>
      </c>
      <c r="DQ180" s="792">
        <f t="shared" si="504"/>
        <v>305.84311554666635</v>
      </c>
      <c r="DR180" s="791">
        <f t="shared" ref="DR180:EA180" si="505">DR178</f>
        <v>303.97206573675351</v>
      </c>
      <c r="DS180" s="791">
        <f t="shared" si="505"/>
        <v>302.39709243058508</v>
      </c>
      <c r="DT180" s="791">
        <f t="shared" si="505"/>
        <v>300.91182448336116</v>
      </c>
      <c r="DU180" s="791">
        <f t="shared" si="505"/>
        <v>300.70596712570375</v>
      </c>
      <c r="DV180" s="792">
        <f t="shared" si="505"/>
        <v>301.99673744410086</v>
      </c>
      <c r="DW180" s="791">
        <f t="shared" si="505"/>
        <v>300.47894367938602</v>
      </c>
      <c r="DX180" s="791">
        <f t="shared" si="505"/>
        <v>299.03970500652554</v>
      </c>
      <c r="DY180" s="791">
        <f t="shared" si="505"/>
        <v>297.6875102292114</v>
      </c>
      <c r="DZ180" s="791">
        <f t="shared" si="505"/>
        <v>297.61215027433389</v>
      </c>
      <c r="EA180" s="792">
        <f t="shared" si="505"/>
        <v>298.70457729736421</v>
      </c>
      <c r="EC180" s="33"/>
      <c r="ED180" s="321"/>
      <c r="EE180" s="321"/>
      <c r="EF180" s="321"/>
      <c r="EG180" s="321"/>
      <c r="EH180" s="132"/>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row>
    <row r="181" spans="1:259" s="15" customFormat="1" x14ac:dyDescent="0.2">
      <c r="A181" s="1872"/>
      <c r="B181" s="1358"/>
      <c r="C181" s="1358"/>
      <c r="D181" s="1358"/>
      <c r="E181" s="1358"/>
      <c r="F181" s="1358"/>
      <c r="G181" s="1358"/>
      <c r="H181" s="1358"/>
      <c r="I181" s="1358"/>
      <c r="J181" s="1675"/>
      <c r="K181" s="1358"/>
      <c r="L181" s="1358"/>
      <c r="M181" s="1358"/>
      <c r="N181" s="1358"/>
      <c r="O181" s="1358"/>
      <c r="P181" s="1358"/>
      <c r="Q181" s="1358"/>
      <c r="R181" s="1358"/>
      <c r="S181" s="1358"/>
      <c r="T181" s="1358"/>
      <c r="U181" s="1358"/>
      <c r="V181" s="1358"/>
      <c r="W181" s="1358"/>
      <c r="X181" s="1358"/>
      <c r="Y181" s="1358"/>
      <c r="Z181" s="1358"/>
      <c r="AA181" s="1358"/>
      <c r="AB181" s="1358"/>
      <c r="AC181" s="1358"/>
      <c r="AD181" s="1358"/>
      <c r="AE181" s="1358"/>
      <c r="AF181" s="1358"/>
      <c r="AG181" s="1358"/>
      <c r="AH181" s="1358"/>
      <c r="AI181" s="1358"/>
      <c r="AJ181" s="1358"/>
      <c r="AK181" s="1358"/>
      <c r="AL181" s="1358"/>
      <c r="AM181" s="1358"/>
      <c r="AN181" s="1358"/>
      <c r="AO181" s="1375"/>
      <c r="AP181" s="1359"/>
      <c r="AQ181" s="1359"/>
      <c r="AR181" s="1359"/>
      <c r="AS181" s="1359"/>
      <c r="AT181" s="1375"/>
      <c r="AU181" s="1359"/>
      <c r="AV181" s="1359"/>
      <c r="AW181" s="1359"/>
      <c r="AX181" s="1359"/>
      <c r="AY181" s="1375"/>
      <c r="AZ181" s="1359"/>
      <c r="BA181" s="1359"/>
      <c r="BB181" s="1359"/>
      <c r="BC181" s="1359"/>
      <c r="BD181" s="1375"/>
      <c r="BE181" s="1359"/>
      <c r="BF181" s="1359"/>
      <c r="BG181" s="1359"/>
      <c r="BH181" s="1359"/>
      <c r="BI181" s="1375"/>
      <c r="BJ181" s="1359"/>
      <c r="BK181" s="1359"/>
      <c r="BL181" s="1359"/>
      <c r="BM181" s="1359"/>
      <c r="BN181" s="1375"/>
      <c r="BO181" s="1359"/>
      <c r="BP181" s="1359"/>
      <c r="BQ181" s="1359"/>
      <c r="BR181" s="1359"/>
      <c r="BS181" s="1375"/>
      <c r="BT181" s="1359"/>
      <c r="BU181" s="1359"/>
      <c r="BV181" s="1359"/>
      <c r="BW181" s="1359"/>
      <c r="BX181" s="1375"/>
      <c r="BY181" s="1705"/>
      <c r="BZ181" s="1705"/>
      <c r="CA181" s="1705"/>
      <c r="CB181" s="1705"/>
      <c r="CC181" s="1706"/>
      <c r="CD181" s="1689"/>
      <c r="CE181" s="1689"/>
      <c r="CF181" s="1689"/>
      <c r="CG181" s="1689"/>
      <c r="CH181" s="1688"/>
      <c r="CI181" s="1689"/>
      <c r="CJ181" s="1689"/>
      <c r="CK181" s="1689"/>
      <c r="CL181" s="1689"/>
      <c r="CM181" s="1688"/>
      <c r="CN181" s="1689"/>
      <c r="CO181" s="1689"/>
      <c r="CP181" s="1689"/>
      <c r="CQ181" s="1913"/>
      <c r="CR181" s="1973"/>
      <c r="CS181" s="2090"/>
      <c r="CT181" s="2090"/>
      <c r="CU181" s="2090"/>
      <c r="CV181" s="791"/>
      <c r="CW181" s="792"/>
      <c r="CX181" s="791"/>
      <c r="CY181" s="791"/>
      <c r="CZ181" s="791"/>
      <c r="DA181" s="791"/>
      <c r="DB181" s="792"/>
      <c r="DC181" s="791"/>
      <c r="DD181" s="791"/>
      <c r="DE181" s="791"/>
      <c r="DF181" s="791"/>
      <c r="DG181" s="792"/>
      <c r="DH181" s="791"/>
      <c r="DI181" s="791"/>
      <c r="DJ181" s="791"/>
      <c r="DK181" s="791"/>
      <c r="DL181" s="792"/>
      <c r="DM181" s="791"/>
      <c r="DN181" s="791"/>
      <c r="DO181" s="791"/>
      <c r="DP181" s="791"/>
      <c r="DQ181" s="792"/>
      <c r="DR181" s="791"/>
      <c r="DS181" s="791"/>
      <c r="DT181" s="791"/>
      <c r="DU181" s="791"/>
      <c r="DV181" s="792"/>
      <c r="DW181" s="791"/>
      <c r="DX181" s="791"/>
      <c r="DY181" s="791"/>
      <c r="DZ181" s="791"/>
      <c r="EA181" s="792"/>
      <c r="EC181" s="33"/>
      <c r="ED181" s="321"/>
      <c r="EE181" s="321"/>
      <c r="EF181" s="321"/>
      <c r="EG181" s="321"/>
      <c r="EH181" s="132"/>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row>
    <row r="182" spans="1:259" s="15" customFormat="1" x14ac:dyDescent="0.2">
      <c r="A182" s="2340" t="s">
        <v>434</v>
      </c>
      <c r="B182" s="2341"/>
      <c r="C182" s="2341"/>
      <c r="D182" s="2341"/>
      <c r="E182" s="2341"/>
      <c r="F182" s="2341"/>
      <c r="G182" s="2341"/>
      <c r="H182" s="2341"/>
      <c r="I182" s="2341"/>
      <c r="J182" s="2342"/>
      <c r="K182" s="2341"/>
      <c r="L182" s="2341"/>
      <c r="M182" s="2341"/>
      <c r="N182" s="2341"/>
      <c r="O182" s="2341"/>
      <c r="P182" s="2341"/>
      <c r="Q182" s="2341"/>
      <c r="R182" s="2341"/>
      <c r="S182" s="2341"/>
      <c r="T182" s="2341"/>
      <c r="U182" s="2341"/>
      <c r="V182" s="2341"/>
      <c r="W182" s="2341"/>
      <c r="X182" s="2341"/>
      <c r="Y182" s="2341"/>
      <c r="Z182" s="2341"/>
      <c r="AA182" s="2341"/>
      <c r="AB182" s="2341"/>
      <c r="AC182" s="2341"/>
      <c r="AD182" s="2341"/>
      <c r="AE182" s="2341"/>
      <c r="AF182" s="2341"/>
      <c r="AG182" s="2341"/>
      <c r="AH182" s="2341"/>
      <c r="AI182" s="2341"/>
      <c r="AJ182" s="2341"/>
      <c r="AK182" s="2341"/>
      <c r="AL182" s="2341"/>
      <c r="AM182" s="2341"/>
      <c r="AN182" s="2341"/>
      <c r="AO182" s="2343">
        <f t="shared" ref="AO182:BT182" si="506">AO78</f>
        <v>0.27650602409638553</v>
      </c>
      <c r="AP182" s="2344">
        <f t="shared" si="506"/>
        <v>0.318</v>
      </c>
      <c r="AQ182" s="2344">
        <f t="shared" si="506"/>
        <v>0.22943722943722944</v>
      </c>
      <c r="AR182" s="2344">
        <f t="shared" si="506"/>
        <v>0.26785714285714285</v>
      </c>
      <c r="AS182" s="2344">
        <f t="shared" si="506"/>
        <v>0.22758620689655173</v>
      </c>
      <c r="AT182" s="2343">
        <f t="shared" si="506"/>
        <v>0.2578125</v>
      </c>
      <c r="AU182" s="2344">
        <f t="shared" si="506"/>
        <v>0.31174089068825911</v>
      </c>
      <c r="AV182" s="2344">
        <f t="shared" si="506"/>
        <v>0.29151291512915128</v>
      </c>
      <c r="AW182" s="2344">
        <f t="shared" si="506"/>
        <v>0.25806451612903225</v>
      </c>
      <c r="AX182" s="2344">
        <f t="shared" si="506"/>
        <v>0.17142857142857143</v>
      </c>
      <c r="AY182" s="2343">
        <f t="shared" si="506"/>
        <v>0.2563176895306859</v>
      </c>
      <c r="AZ182" s="2344">
        <f t="shared" si="506"/>
        <v>0.3075822603719599</v>
      </c>
      <c r="BA182" s="2344">
        <f t="shared" si="506"/>
        <v>0.21323529411764705</v>
      </c>
      <c r="BB182" s="2344">
        <f t="shared" si="506"/>
        <v>0.256198347107438</v>
      </c>
      <c r="BC182" s="2344">
        <f t="shared" si="506"/>
        <v>0.16304347826086957</v>
      </c>
      <c r="BD182" s="2343">
        <f t="shared" si="506"/>
        <v>0.23685536704182766</v>
      </c>
      <c r="BE182" s="2344">
        <f t="shared" si="506"/>
        <v>0.31367292225201071</v>
      </c>
      <c r="BF182" s="2344">
        <f t="shared" si="506"/>
        <v>0.14828897338403041</v>
      </c>
      <c r="BG182" s="2344">
        <f t="shared" si="506"/>
        <v>0.21703296703296704</v>
      </c>
      <c r="BH182" s="2344">
        <f t="shared" si="506"/>
        <v>0.2837370242214533</v>
      </c>
      <c r="BI182" s="2343">
        <f t="shared" si="506"/>
        <v>0.24592707525213345</v>
      </c>
      <c r="BJ182" s="2344">
        <f t="shared" si="506"/>
        <v>0.2651006711409396</v>
      </c>
      <c r="BK182" s="2344">
        <f t="shared" si="506"/>
        <v>0.12820512820512819</v>
      </c>
      <c r="BL182" s="2344">
        <f t="shared" si="506"/>
        <v>0.20560747663551401</v>
      </c>
      <c r="BM182" s="2344">
        <f t="shared" si="506"/>
        <v>0.31661442006269591</v>
      </c>
      <c r="BN182" s="2343">
        <f t="shared" si="506"/>
        <v>0.22421203438395415</v>
      </c>
      <c r="BO182" s="2344">
        <f t="shared" si="506"/>
        <v>0.24148606811145512</v>
      </c>
      <c r="BP182" s="2344">
        <f t="shared" si="506"/>
        <v>0.23746701846965698</v>
      </c>
      <c r="BQ182" s="2344">
        <f t="shared" si="506"/>
        <v>0.27470355731225299</v>
      </c>
      <c r="BR182" s="2344">
        <f t="shared" si="506"/>
        <v>0.28238341968911918</v>
      </c>
      <c r="BS182" s="2343">
        <f t="shared" si="506"/>
        <v>0.26097867001254704</v>
      </c>
      <c r="BT182" s="2344">
        <f t="shared" si="506"/>
        <v>0.25418994413407819</v>
      </c>
      <c r="BU182" s="2344">
        <f t="shared" ref="BU182:CK182" si="507">BU78</f>
        <v>0.16145833333333334</v>
      </c>
      <c r="BV182" s="2344">
        <f t="shared" si="507"/>
        <v>0.14692982456140352</v>
      </c>
      <c r="BW182" s="2344">
        <f t="shared" si="507"/>
        <v>0.22559652928416485</v>
      </c>
      <c r="BX182" s="2343">
        <f t="shared" si="507"/>
        <v>0.19529837251356238</v>
      </c>
      <c r="BY182" s="2345">
        <f t="shared" si="507"/>
        <v>0.24177631578947367</v>
      </c>
      <c r="BZ182" s="2345">
        <f t="shared" si="507"/>
        <v>0.23448275862068965</v>
      </c>
      <c r="CA182" s="2345">
        <f t="shared" si="507"/>
        <v>0.2519561815336463</v>
      </c>
      <c r="CB182" s="2345">
        <f t="shared" si="507"/>
        <v>0.27429805615550756</v>
      </c>
      <c r="CC182" s="2346">
        <f t="shared" si="507"/>
        <v>0.25034965034965034</v>
      </c>
      <c r="CD182" s="2347">
        <f t="shared" si="507"/>
        <v>0.27400000000000002</v>
      </c>
      <c r="CE182" s="2347">
        <f t="shared" si="507"/>
        <v>0.27400000000000002</v>
      </c>
      <c r="CF182" s="2347">
        <f t="shared" si="507"/>
        <v>0.27400000000000002</v>
      </c>
      <c r="CG182" s="2347">
        <f t="shared" si="507"/>
        <v>0.27400000000000002</v>
      </c>
      <c r="CH182" s="2348">
        <f t="shared" si="507"/>
        <v>0.27365129007036748</v>
      </c>
      <c r="CI182" s="2347">
        <f t="shared" si="507"/>
        <v>0.18850803424194962</v>
      </c>
      <c r="CJ182" s="2347">
        <f t="shared" si="507"/>
        <v>0.22598630445413065</v>
      </c>
      <c r="CK182" s="2347">
        <f t="shared" si="507"/>
        <v>0.18876243428217984</v>
      </c>
      <c r="CL182" s="2347">
        <v>0.26</v>
      </c>
      <c r="CM182" s="2348">
        <f t="shared" ref="CM182:DQ182" si="508">CM78</f>
        <v>0.26749271137026237</v>
      </c>
      <c r="CN182" s="2347">
        <f t="shared" si="508"/>
        <v>0.16355636917601724</v>
      </c>
      <c r="CO182" s="2347">
        <f t="shared" si="508"/>
        <v>0.31077710420315935</v>
      </c>
      <c r="CP182" s="2347">
        <f t="shared" si="508"/>
        <v>0.2823681502334639</v>
      </c>
      <c r="CQ182" s="2349">
        <f t="shared" si="508"/>
        <v>0.32580645161290323</v>
      </c>
      <c r="CR182" s="2350">
        <f t="shared" si="508"/>
        <v>0.2615194307890083</v>
      </c>
      <c r="CS182" s="2351">
        <f t="shared" si="508"/>
        <v>0.26623376623376621</v>
      </c>
      <c r="CT182" s="2351">
        <f t="shared" si="508"/>
        <v>0.26849315068493151</v>
      </c>
      <c r="CU182" s="2351">
        <f t="shared" si="508"/>
        <v>0.27666666666666667</v>
      </c>
      <c r="CV182" s="2352">
        <f t="shared" si="508"/>
        <v>0.17158176943699732</v>
      </c>
      <c r="CW182" s="2353">
        <f t="shared" si="508"/>
        <v>0.24294205052005943</v>
      </c>
      <c r="CX182" s="2352">
        <f t="shared" si="508"/>
        <v>0.1930835734870317</v>
      </c>
      <c r="CY182" s="2352">
        <f t="shared" si="508"/>
        <v>0.33762057877813506</v>
      </c>
      <c r="CZ182" s="2352">
        <f t="shared" si="508"/>
        <v>0.20229007633587787</v>
      </c>
      <c r="DA182" s="2352">
        <f t="shared" si="508"/>
        <v>0.60073260073260071</v>
      </c>
      <c r="DB182" s="2353">
        <f t="shared" si="508"/>
        <v>0.41072999120492526</v>
      </c>
      <c r="DC182" s="2352">
        <f t="shared" si="508"/>
        <v>0.19500000000000001</v>
      </c>
      <c r="DD182" s="2352">
        <f t="shared" si="508"/>
        <v>0.19500000000000001</v>
      </c>
      <c r="DE182" s="2352">
        <f t="shared" si="508"/>
        <v>0.19500000000000001</v>
      </c>
      <c r="DF182" s="2352">
        <f t="shared" si="508"/>
        <v>0.19500000000000001</v>
      </c>
      <c r="DG182" s="2353">
        <f t="shared" si="508"/>
        <v>0.19500000000000006</v>
      </c>
      <c r="DH182" s="2352">
        <f t="shared" si="508"/>
        <v>0.2</v>
      </c>
      <c r="DI182" s="2352">
        <f t="shared" si="508"/>
        <v>0.2</v>
      </c>
      <c r="DJ182" s="2352">
        <f t="shared" si="508"/>
        <v>0.2</v>
      </c>
      <c r="DK182" s="2352">
        <f t="shared" si="508"/>
        <v>0.2</v>
      </c>
      <c r="DL182" s="2353">
        <f t="shared" si="508"/>
        <v>0.20000000000000004</v>
      </c>
      <c r="DM182" s="2352">
        <f t="shared" si="508"/>
        <v>0.21</v>
      </c>
      <c r="DN182" s="2352">
        <f t="shared" si="508"/>
        <v>0.21</v>
      </c>
      <c r="DO182" s="2352">
        <f t="shared" si="508"/>
        <v>0.21</v>
      </c>
      <c r="DP182" s="2352">
        <f t="shared" si="508"/>
        <v>0.21</v>
      </c>
      <c r="DQ182" s="2353">
        <f t="shared" si="508"/>
        <v>0.20999999999999991</v>
      </c>
      <c r="DR182" s="2352">
        <f t="shared" ref="DR182:EA182" si="509">DR78</f>
        <v>0.21</v>
      </c>
      <c r="DS182" s="2352">
        <f t="shared" si="509"/>
        <v>0.21</v>
      </c>
      <c r="DT182" s="2352">
        <f t="shared" si="509"/>
        <v>0.21</v>
      </c>
      <c r="DU182" s="2352">
        <f t="shared" si="509"/>
        <v>0.21</v>
      </c>
      <c r="DV182" s="2353">
        <f t="shared" si="509"/>
        <v>0.21</v>
      </c>
      <c r="DW182" s="2352">
        <f t="shared" si="509"/>
        <v>0.21</v>
      </c>
      <c r="DX182" s="2352">
        <f t="shared" si="509"/>
        <v>0.21</v>
      </c>
      <c r="DY182" s="2352">
        <f t="shared" si="509"/>
        <v>0.21</v>
      </c>
      <c r="DZ182" s="2352">
        <f t="shared" si="509"/>
        <v>0.21</v>
      </c>
      <c r="EA182" s="2353">
        <f t="shared" si="509"/>
        <v>0.21000000000000005</v>
      </c>
      <c r="EC182" s="33"/>
      <c r="ED182" s="321"/>
      <c r="EE182" s="321"/>
      <c r="EF182" s="321"/>
      <c r="EG182" s="321"/>
      <c r="EH182" s="13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row>
    <row r="183" spans="1:259" s="15" customFormat="1" x14ac:dyDescent="0.2">
      <c r="A183" s="2326" t="s">
        <v>157</v>
      </c>
      <c r="B183" s="2211"/>
      <c r="C183" s="2211"/>
      <c r="D183" s="2211"/>
      <c r="E183" s="2211"/>
      <c r="F183" s="2211"/>
      <c r="G183" s="2211"/>
      <c r="H183" s="2211"/>
      <c r="I183" s="2211"/>
      <c r="J183" s="2327"/>
      <c r="K183" s="2211"/>
      <c r="L183" s="2211"/>
      <c r="M183" s="2211"/>
      <c r="N183" s="2211"/>
      <c r="O183" s="2211"/>
      <c r="P183" s="2211"/>
      <c r="Q183" s="2211"/>
      <c r="R183" s="2211"/>
      <c r="S183" s="2211"/>
      <c r="T183" s="2211"/>
      <c r="U183" s="2211"/>
      <c r="V183" s="2211"/>
      <c r="W183" s="2211"/>
      <c r="X183" s="2211"/>
      <c r="Y183" s="2211"/>
      <c r="Z183" s="2211"/>
      <c r="AA183" s="2211"/>
      <c r="AB183" s="2211"/>
      <c r="AC183" s="2211"/>
      <c r="AD183" s="2211"/>
      <c r="AE183" s="2211"/>
      <c r="AF183" s="2211"/>
      <c r="AG183" s="2211"/>
      <c r="AH183" s="2211"/>
      <c r="AI183" s="2211"/>
      <c r="AJ183" s="2211"/>
      <c r="AK183" s="2211"/>
      <c r="AL183" s="2211"/>
      <c r="AM183" s="2211"/>
      <c r="AN183" s="2211"/>
      <c r="AO183" s="2328">
        <v>0.35</v>
      </c>
      <c r="AP183" s="2329" t="s">
        <v>52</v>
      </c>
      <c r="AQ183" s="2329" t="s">
        <v>52</v>
      </c>
      <c r="AR183" s="2329" t="s">
        <v>52</v>
      </c>
      <c r="AS183" s="2329" t="s">
        <v>52</v>
      </c>
      <c r="AT183" s="2328">
        <v>0.35</v>
      </c>
      <c r="AU183" s="2329" t="s">
        <v>52</v>
      </c>
      <c r="AV183" s="2329" t="s">
        <v>52</v>
      </c>
      <c r="AW183" s="2329" t="s">
        <v>52</v>
      </c>
      <c r="AX183" s="2329" t="s">
        <v>52</v>
      </c>
      <c r="AY183" s="2328">
        <v>0.35</v>
      </c>
      <c r="AZ183" s="2329" t="s">
        <v>52</v>
      </c>
      <c r="BA183" s="2329" t="s">
        <v>52</v>
      </c>
      <c r="BB183" s="2329" t="s">
        <v>52</v>
      </c>
      <c r="BC183" s="2329" t="s">
        <v>52</v>
      </c>
      <c r="BD183" s="2328">
        <v>0.35</v>
      </c>
      <c r="BE183" s="2329" t="s">
        <v>52</v>
      </c>
      <c r="BF183" s="2329" t="s">
        <v>52</v>
      </c>
      <c r="BG183" s="2329" t="s">
        <v>52</v>
      </c>
      <c r="BH183" s="2329" t="s">
        <v>52</v>
      </c>
      <c r="BI183" s="2328">
        <v>0.35</v>
      </c>
      <c r="BJ183" s="2329" t="s">
        <v>52</v>
      </c>
      <c r="BK183" s="2329" t="s">
        <v>52</v>
      </c>
      <c r="BL183" s="2329" t="s">
        <v>52</v>
      </c>
      <c r="BM183" s="2329" t="s">
        <v>52</v>
      </c>
      <c r="BN183" s="2328">
        <v>0.35</v>
      </c>
      <c r="BO183" s="2329" t="s">
        <v>52</v>
      </c>
      <c r="BP183" s="2329" t="s">
        <v>52</v>
      </c>
      <c r="BQ183" s="2329" t="s">
        <v>52</v>
      </c>
      <c r="BR183" s="2329" t="s">
        <v>52</v>
      </c>
      <c r="BS183" s="2328">
        <v>0.35</v>
      </c>
      <c r="BT183" s="2329" t="s">
        <v>52</v>
      </c>
      <c r="BU183" s="2329" t="s">
        <v>52</v>
      </c>
      <c r="BV183" s="2329" t="s">
        <v>52</v>
      </c>
      <c r="BW183" s="2329" t="s">
        <v>52</v>
      </c>
      <c r="BX183" s="2328">
        <v>0.35</v>
      </c>
      <c r="BY183" s="2330" t="s">
        <v>52</v>
      </c>
      <c r="BZ183" s="2330" t="s">
        <v>52</v>
      </c>
      <c r="CA183" s="2330" t="s">
        <v>52</v>
      </c>
      <c r="CB183" s="2330" t="s">
        <v>52</v>
      </c>
      <c r="CC183" s="2331">
        <v>0.35</v>
      </c>
      <c r="CD183" s="2332" t="s">
        <v>52</v>
      </c>
      <c r="CE183" s="2332" t="s">
        <v>52</v>
      </c>
      <c r="CF183" s="2332" t="s">
        <v>52</v>
      </c>
      <c r="CG183" s="2332" t="s">
        <v>52</v>
      </c>
      <c r="CH183" s="2333">
        <v>0.35</v>
      </c>
      <c r="CI183" s="2332" t="s">
        <v>52</v>
      </c>
      <c r="CJ183" s="2332" t="s">
        <v>52</v>
      </c>
      <c r="CK183" s="2332" t="s">
        <v>52</v>
      </c>
      <c r="CL183" s="2332" t="s">
        <v>52</v>
      </c>
      <c r="CM183" s="2333">
        <v>0.35</v>
      </c>
      <c r="CN183" s="2332" t="s">
        <v>52</v>
      </c>
      <c r="CO183" s="2332" t="s">
        <v>52</v>
      </c>
      <c r="CP183" s="2332" t="s">
        <v>52</v>
      </c>
      <c r="CQ183" s="2334" t="s">
        <v>52</v>
      </c>
      <c r="CR183" s="2335">
        <v>0.35</v>
      </c>
      <c r="CS183" s="2336" t="s">
        <v>52</v>
      </c>
      <c r="CT183" s="2336" t="s">
        <v>52</v>
      </c>
      <c r="CU183" s="2336" t="s">
        <v>52</v>
      </c>
      <c r="CV183" s="2337" t="s">
        <v>52</v>
      </c>
      <c r="CW183" s="2338">
        <v>0.35</v>
      </c>
      <c r="CX183" s="2337" t="s">
        <v>52</v>
      </c>
      <c r="CY183" s="2337" t="s">
        <v>52</v>
      </c>
      <c r="CZ183" s="2337" t="s">
        <v>52</v>
      </c>
      <c r="DA183" s="2337" t="s">
        <v>52</v>
      </c>
      <c r="DB183" s="2338">
        <v>0.35</v>
      </c>
      <c r="DC183" s="2337" t="s">
        <v>52</v>
      </c>
      <c r="DD183" s="2337" t="s">
        <v>52</v>
      </c>
      <c r="DE183" s="2337" t="s">
        <v>52</v>
      </c>
      <c r="DF183" s="2337" t="s">
        <v>52</v>
      </c>
      <c r="DG183" s="2338">
        <v>0.35</v>
      </c>
      <c r="DH183" s="2337" t="s">
        <v>52</v>
      </c>
      <c r="DI183" s="2337" t="s">
        <v>52</v>
      </c>
      <c r="DJ183" s="2337" t="s">
        <v>52</v>
      </c>
      <c r="DK183" s="2337" t="s">
        <v>52</v>
      </c>
      <c r="DL183" s="2338">
        <v>0.35</v>
      </c>
      <c r="DM183" s="2337" t="s">
        <v>52</v>
      </c>
      <c r="DN183" s="2337" t="s">
        <v>52</v>
      </c>
      <c r="DO183" s="2337" t="s">
        <v>52</v>
      </c>
      <c r="DP183" s="2337" t="s">
        <v>52</v>
      </c>
      <c r="DQ183" s="2338">
        <v>0.35</v>
      </c>
      <c r="DR183" s="2337" t="s">
        <v>52</v>
      </c>
      <c r="DS183" s="2337" t="s">
        <v>52</v>
      </c>
      <c r="DT183" s="2337" t="s">
        <v>52</v>
      </c>
      <c r="DU183" s="2337" t="s">
        <v>52</v>
      </c>
      <c r="DV183" s="2338">
        <v>0.35</v>
      </c>
      <c r="DW183" s="2337" t="s">
        <v>52</v>
      </c>
      <c r="DX183" s="2337" t="s">
        <v>52</v>
      </c>
      <c r="DY183" s="2337" t="s">
        <v>52</v>
      </c>
      <c r="DZ183" s="2337" t="s">
        <v>52</v>
      </c>
      <c r="EA183" s="2338">
        <v>0.35</v>
      </c>
      <c r="EC183" s="33"/>
      <c r="ED183" s="321"/>
      <c r="EE183" s="321"/>
      <c r="EF183" s="321"/>
      <c r="EG183" s="321"/>
      <c r="EH183" s="132"/>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row>
    <row r="184" spans="1:259" x14ac:dyDescent="0.2">
      <c r="B184" s="1660"/>
      <c r="C184" s="1660"/>
      <c r="D184" s="1660"/>
      <c r="E184" s="1660"/>
      <c r="F184" s="1660"/>
      <c r="G184" s="1660"/>
      <c r="H184" s="1660"/>
      <c r="I184" s="1660"/>
      <c r="J184" s="1660"/>
      <c r="K184" s="1660"/>
      <c r="L184" s="1660"/>
      <c r="M184" s="1660"/>
      <c r="N184" s="1660"/>
      <c r="O184" s="1660"/>
      <c r="P184" s="1660"/>
      <c r="Q184" s="1660"/>
      <c r="R184" s="1660"/>
      <c r="S184" s="1660"/>
      <c r="T184" s="1660"/>
      <c r="U184" s="1660"/>
      <c r="V184" s="1660"/>
      <c r="W184" s="1660"/>
      <c r="X184" s="1660"/>
      <c r="Y184" s="1660"/>
      <c r="Z184" s="1660"/>
      <c r="AA184" s="1660"/>
      <c r="AB184" s="1660"/>
      <c r="AC184" s="1660"/>
      <c r="AD184" s="1660"/>
      <c r="AE184" s="1660"/>
      <c r="AF184" s="1660"/>
      <c r="AG184" s="1660"/>
      <c r="AH184" s="1660"/>
      <c r="AI184" s="1660"/>
      <c r="AJ184" s="1660"/>
      <c r="AK184" s="1660"/>
      <c r="AL184" s="1660"/>
      <c r="AM184" s="1660"/>
      <c r="AN184" s="1660"/>
      <c r="AO184" s="1660"/>
      <c r="AP184" s="1660"/>
      <c r="AQ184" s="1660"/>
      <c r="AR184" s="1660"/>
      <c r="AS184" s="1660"/>
      <c r="AT184" s="1660"/>
      <c r="AU184" s="1660"/>
      <c r="AV184" s="1660"/>
      <c r="AW184" s="1660"/>
      <c r="AX184" s="1660"/>
      <c r="AY184" s="1660"/>
      <c r="AZ184" s="1660"/>
      <c r="BA184" s="1660"/>
      <c r="BB184" s="1660"/>
      <c r="BC184" s="1660"/>
      <c r="BD184" s="1660"/>
      <c r="BE184" s="1660"/>
      <c r="BF184" s="1660"/>
      <c r="BG184" s="1660"/>
      <c r="BH184" s="1660"/>
      <c r="BI184" s="1660"/>
      <c r="BJ184" s="1660"/>
      <c r="BK184" s="1660"/>
      <c r="BL184" s="1660"/>
      <c r="BM184" s="1660"/>
      <c r="BN184" s="1660"/>
      <c r="BO184" s="1660"/>
      <c r="BP184" s="1660"/>
      <c r="BQ184" s="1660"/>
      <c r="BR184" s="1660"/>
      <c r="BS184" s="1660"/>
      <c r="BT184" s="1660"/>
      <c r="BU184" s="1660"/>
      <c r="BV184" s="1660"/>
      <c r="BW184" s="1660"/>
      <c r="BX184" s="1660"/>
      <c r="BY184" s="1660"/>
      <c r="BZ184" s="1660"/>
      <c r="CA184" s="1660"/>
      <c r="CB184" s="1660"/>
      <c r="CC184" s="1660"/>
      <c r="CD184" s="1661"/>
      <c r="CE184" s="1661"/>
      <c r="CF184" s="1661"/>
      <c r="CG184" s="1661"/>
      <c r="CH184" s="1661"/>
      <c r="CI184" s="1661"/>
      <c r="CJ184" s="1661"/>
      <c r="CK184" s="1661"/>
      <c r="CL184" s="1661"/>
      <c r="CM184" s="1661"/>
      <c r="CN184" s="1661"/>
      <c r="CO184" s="1661"/>
      <c r="CP184" s="1661"/>
      <c r="CS184" s="973"/>
      <c r="CT184" s="973"/>
      <c r="CU184" s="973"/>
      <c r="CV184" s="844"/>
      <c r="CW184" s="844"/>
    </row>
    <row r="185" spans="1:259" s="15" customFormat="1" x14ac:dyDescent="0.2">
      <c r="B185" s="1358"/>
      <c r="C185" s="1358"/>
      <c r="D185" s="1358"/>
      <c r="E185" s="1358"/>
      <c r="F185" s="1358"/>
      <c r="G185" s="1358"/>
      <c r="H185" s="1358"/>
      <c r="I185" s="1358"/>
      <c r="J185" s="1675"/>
      <c r="K185" s="1358"/>
      <c r="L185" s="1358"/>
      <c r="M185" s="1358"/>
      <c r="N185" s="1358"/>
      <c r="O185" s="1358"/>
      <c r="P185" s="1358"/>
      <c r="Q185" s="1358"/>
      <c r="R185" s="1358"/>
      <c r="S185" s="1358"/>
      <c r="T185" s="1358"/>
      <c r="U185" s="1358"/>
      <c r="V185" s="1358"/>
      <c r="W185" s="1358"/>
      <c r="X185" s="1358"/>
      <c r="Y185" s="1358"/>
      <c r="Z185" s="1358"/>
      <c r="AA185" s="1358"/>
      <c r="AB185" s="1358"/>
      <c r="AC185" s="1358"/>
      <c r="AD185" s="1358"/>
      <c r="AE185" s="1358"/>
      <c r="AF185" s="1358"/>
      <c r="AG185" s="1358"/>
      <c r="AH185" s="1358"/>
      <c r="AI185" s="1358"/>
      <c r="AJ185" s="1358"/>
      <c r="AK185" s="1358"/>
      <c r="AL185" s="1358"/>
      <c r="AM185" s="1358"/>
      <c r="AN185" s="1358"/>
      <c r="AO185" s="1359"/>
      <c r="AP185" s="1359"/>
      <c r="AQ185" s="1359"/>
      <c r="AR185" s="1359"/>
      <c r="AS185" s="1359"/>
      <c r="AT185" s="1359"/>
      <c r="AU185" s="1359"/>
      <c r="AV185" s="1359"/>
      <c r="AW185" s="1359"/>
      <c r="AX185" s="1359"/>
      <c r="AY185" s="1359"/>
      <c r="AZ185" s="1359"/>
      <c r="BA185" s="1359"/>
      <c r="BB185" s="1359"/>
      <c r="BC185" s="1359"/>
      <c r="BD185" s="1359"/>
      <c r="BE185" s="1359"/>
      <c r="BF185" s="1359"/>
      <c r="BG185" s="1359"/>
      <c r="BH185" s="1359"/>
      <c r="BI185" s="1359"/>
      <c r="BJ185" s="1359"/>
      <c r="BK185" s="1359"/>
      <c r="BL185" s="1359"/>
      <c r="BM185" s="1359"/>
      <c r="BN185" s="1359"/>
      <c r="BO185" s="1359"/>
      <c r="BP185" s="1359"/>
      <c r="BQ185" s="1359"/>
      <c r="BR185" s="1359"/>
      <c r="BS185" s="1359"/>
      <c r="BT185" s="1359"/>
      <c r="BU185" s="1359"/>
      <c r="BV185" s="1359"/>
      <c r="BW185" s="1359"/>
      <c r="BX185" s="1359"/>
      <c r="BY185" s="1359"/>
      <c r="BZ185" s="1359"/>
      <c r="CA185" s="1359"/>
      <c r="CB185" s="1359"/>
      <c r="CC185" s="1359"/>
      <c r="CD185" s="1363"/>
      <c r="CE185" s="1363"/>
      <c r="CF185" s="1363"/>
      <c r="CG185" s="1363"/>
      <c r="CH185" s="1363"/>
      <c r="CI185" s="1363"/>
      <c r="CJ185" s="1363"/>
      <c r="CK185" s="1363"/>
      <c r="CL185" s="1363"/>
      <c r="CM185" s="1363"/>
      <c r="CN185" s="1363"/>
      <c r="CO185" s="1363"/>
      <c r="CP185" s="1363"/>
      <c r="CQ185" s="1060"/>
      <c r="CR185" s="1060"/>
      <c r="CS185" s="2062"/>
      <c r="CT185" s="2062"/>
      <c r="CU185" s="2062"/>
      <c r="CV185" s="62"/>
      <c r="CW185" s="62"/>
      <c r="CX185" s="62"/>
      <c r="CY185" s="62"/>
      <c r="CZ185" s="62"/>
      <c r="DA185" s="62"/>
      <c r="DB185" s="62"/>
      <c r="DC185" s="62"/>
      <c r="DD185" s="62"/>
      <c r="DE185" s="62"/>
      <c r="DF185" s="62"/>
      <c r="DG185" s="62"/>
      <c r="DH185" s="62"/>
      <c r="DI185" s="62"/>
      <c r="DJ185" s="62"/>
      <c r="DK185" s="62"/>
      <c r="DL185" s="62"/>
      <c r="DM185" s="62"/>
      <c r="DN185" s="62"/>
      <c r="DO185" s="62"/>
      <c r="DP185" s="62"/>
      <c r="DQ185" s="62"/>
      <c r="DR185" s="62"/>
      <c r="DS185" s="62"/>
      <c r="DT185" s="62"/>
      <c r="DU185" s="62"/>
      <c r="DV185" s="62"/>
      <c r="DW185" s="62"/>
      <c r="DX185" s="62"/>
      <c r="DY185" s="62"/>
      <c r="DZ185" s="62"/>
      <c r="EA185" s="62"/>
      <c r="EC185" s="33"/>
      <c r="ED185" s="321"/>
      <c r="EE185" s="321"/>
      <c r="EF185" s="321"/>
      <c r="EG185" s="321"/>
      <c r="EH185" s="132"/>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row>
    <row r="186" spans="1:259" s="15" customFormat="1" x14ac:dyDescent="0.2">
      <c r="A186" s="142" t="s">
        <v>432</v>
      </c>
      <c r="B186" s="1853"/>
      <c r="C186" s="1853"/>
      <c r="D186" s="1853"/>
      <c r="E186" s="1853"/>
      <c r="F186" s="1853"/>
      <c r="G186" s="1853"/>
      <c r="H186" s="1853"/>
      <c r="I186" s="1853"/>
      <c r="J186" s="1854"/>
      <c r="K186" s="1853"/>
      <c r="L186" s="1853"/>
      <c r="M186" s="1853"/>
      <c r="N186" s="1853"/>
      <c r="O186" s="1853"/>
      <c r="P186" s="1853"/>
      <c r="Q186" s="1853"/>
      <c r="R186" s="1853"/>
      <c r="S186" s="1853"/>
      <c r="T186" s="1853"/>
      <c r="U186" s="1853"/>
      <c r="V186" s="1853"/>
      <c r="W186" s="1853"/>
      <c r="X186" s="1853"/>
      <c r="Y186" s="1853"/>
      <c r="Z186" s="1853"/>
      <c r="AA186" s="1853"/>
      <c r="AB186" s="1853"/>
      <c r="AC186" s="1853"/>
      <c r="AD186" s="1853"/>
      <c r="AE186" s="1853"/>
      <c r="AF186" s="1853"/>
      <c r="AG186" s="1853"/>
      <c r="AH186" s="1853"/>
      <c r="AI186" s="1853"/>
      <c r="AJ186" s="1853"/>
      <c r="AK186" s="1853"/>
      <c r="AL186" s="1853"/>
      <c r="AM186" s="1853"/>
      <c r="AN186" s="1853"/>
      <c r="AO186" s="1855"/>
      <c r="AP186" s="1856"/>
      <c r="AQ186" s="1856"/>
      <c r="AR186" s="1856"/>
      <c r="AS186" s="1856"/>
      <c r="AT186" s="1855"/>
      <c r="AU186" s="1856"/>
      <c r="AV186" s="1856"/>
      <c r="AW186" s="1856"/>
      <c r="AX186" s="1856"/>
      <c r="AY186" s="1855"/>
      <c r="AZ186" s="1856"/>
      <c r="BA186" s="1856"/>
      <c r="BB186" s="1856"/>
      <c r="BC186" s="1856"/>
      <c r="BD186" s="1855"/>
      <c r="BE186" s="1856"/>
      <c r="BF186" s="1856"/>
      <c r="BG186" s="1856"/>
      <c r="BH186" s="1856"/>
      <c r="BI186" s="1855"/>
      <c r="BJ186" s="1856"/>
      <c r="BK186" s="1856"/>
      <c r="BL186" s="1856"/>
      <c r="BM186" s="1856"/>
      <c r="BN186" s="1855"/>
      <c r="BO186" s="1856">
        <v>44</v>
      </c>
      <c r="BP186" s="1856">
        <v>45</v>
      </c>
      <c r="BQ186" s="1856">
        <v>44</v>
      </c>
      <c r="BR186" s="1856">
        <f>BS186-SUM(BO186:BQ186)</f>
        <v>62</v>
      </c>
      <c r="BS186" s="1855">
        <v>195</v>
      </c>
      <c r="BT186" s="1856">
        <v>48</v>
      </c>
      <c r="BU186" s="1856">
        <v>41</v>
      </c>
      <c r="BV186" s="1856">
        <v>40</v>
      </c>
      <c r="BW186" s="1856">
        <f>BX186-SUM(BT186:BV186)</f>
        <v>55</v>
      </c>
      <c r="BX186" s="1855">
        <v>184</v>
      </c>
      <c r="BY186" s="1856">
        <v>40</v>
      </c>
      <c r="BZ186" s="1856">
        <v>42</v>
      </c>
      <c r="CA186" s="1856">
        <v>36</v>
      </c>
      <c r="CB186" s="1856">
        <f>CC186-SUM(BY186:CA186)</f>
        <v>51</v>
      </c>
      <c r="CC186" s="1855">
        <v>169</v>
      </c>
      <c r="CD186" s="1857">
        <v>33</v>
      </c>
      <c r="CE186" s="1857">
        <v>35</v>
      </c>
      <c r="CF186" s="1857">
        <v>36</v>
      </c>
      <c r="CG186" s="1857">
        <v>35</v>
      </c>
      <c r="CH186" s="1861">
        <f>270-118</f>
        <v>152</v>
      </c>
      <c r="CI186" s="1857">
        <f>CI43</f>
        <v>36.5</v>
      </c>
      <c r="CJ186" s="1857">
        <f>CJ43</f>
        <v>32.5</v>
      </c>
      <c r="CK186" s="1857">
        <f>CK43</f>
        <v>31.5</v>
      </c>
      <c r="CL186" s="1857">
        <f>CL43</f>
        <v>43.5</v>
      </c>
      <c r="CM186" s="1861">
        <f>SUM(CI186:CL186)</f>
        <v>144</v>
      </c>
      <c r="CN186" s="1857">
        <f>CN43</f>
        <v>36</v>
      </c>
      <c r="CO186" s="1857">
        <f>CO43</f>
        <v>35</v>
      </c>
      <c r="CP186" s="1857">
        <f>CP43</f>
        <v>32</v>
      </c>
      <c r="CQ186" s="1918">
        <f>CQ43</f>
        <v>38</v>
      </c>
      <c r="CR186" s="1979">
        <f>SUM(CN186:CQ186)</f>
        <v>141</v>
      </c>
      <c r="CS186" s="2099">
        <f>CS43</f>
        <v>42</v>
      </c>
      <c r="CT186" s="2099">
        <f>CT43</f>
        <v>51</v>
      </c>
      <c r="CU186" s="2099">
        <f>BS!CW271</f>
        <v>127.27523076923079</v>
      </c>
      <c r="CV186" s="322">
        <f>BS!CX274</f>
        <v>0</v>
      </c>
      <c r="CW186" s="323">
        <f>SUM(CS186:CV186)</f>
        <v>220.2752307692308</v>
      </c>
      <c r="CX186" s="322">
        <f>BS!CZ274</f>
        <v>0</v>
      </c>
      <c r="CY186" s="322">
        <f>BS!DA271</f>
        <v>109.68177643835617</v>
      </c>
      <c r="CZ186" s="322">
        <f>BS!DB271</f>
        <v>109.68177643835617</v>
      </c>
      <c r="DA186" s="322">
        <f>BS!DC271</f>
        <v>110.8870706849315</v>
      </c>
      <c r="DB186" s="323">
        <f>SUM(CX186:DA186)</f>
        <v>330.25062356164381</v>
      </c>
      <c r="DC186" s="322">
        <f>BS!DE271</f>
        <v>108.47648219178083</v>
      </c>
      <c r="DD186" s="322">
        <f>BS!DF271</f>
        <v>107.7695298630137</v>
      </c>
      <c r="DE186" s="322">
        <f>BS!DG271</f>
        <v>107.7695298630137</v>
      </c>
      <c r="DF186" s="322">
        <f>BS!DH271</f>
        <v>108.95381041095891</v>
      </c>
      <c r="DG186" s="323">
        <f>SUM(DC186:DF186)</f>
        <v>432.96935232876717</v>
      </c>
      <c r="DH186" s="322">
        <f>BS!DJ271</f>
        <v>106.58524931506849</v>
      </c>
      <c r="DI186" s="322">
        <f>BS!DK271</f>
        <v>107.7695298630137</v>
      </c>
      <c r="DJ186" s="322">
        <f>BS!DL271</f>
        <v>107.7695298630137</v>
      </c>
      <c r="DK186" s="322">
        <f>BS!DM271</f>
        <v>107.95189260273972</v>
      </c>
      <c r="DL186" s="323">
        <f>SUM(DH186:DK186)</f>
        <v>430.07620164383559</v>
      </c>
      <c r="DM186" s="322">
        <f>BS!DO271</f>
        <v>105.60511232876713</v>
      </c>
      <c r="DN186" s="322">
        <f>BS!DP271</f>
        <v>106.77850246575342</v>
      </c>
      <c r="DO186" s="322">
        <f>BS!DQ271</f>
        <v>107.11358191780823</v>
      </c>
      <c r="DP186" s="322">
        <f>BS!DR271</f>
        <v>108.29065424657536</v>
      </c>
      <c r="DQ186" s="323">
        <f>SUM(DM186:DP186)</f>
        <v>427.78785095890413</v>
      </c>
      <c r="DR186" s="322">
        <f>BS!DT271</f>
        <v>105.93650958904109</v>
      </c>
      <c r="DS186" s="322">
        <f>BS!DU271</f>
        <v>107.11358191780823</v>
      </c>
      <c r="DT186" s="322">
        <f>BS!DV271</f>
        <v>107.11358191780823</v>
      </c>
      <c r="DU186" s="322">
        <f>BS!DW271</f>
        <v>108.29065424657536</v>
      </c>
      <c r="DV186" s="323">
        <f>SUM(DR186:DU186)</f>
        <v>428.45432767123287</v>
      </c>
      <c r="DW186" s="322">
        <f>BS!DY271</f>
        <v>105.93650958904109</v>
      </c>
      <c r="DX186" s="322">
        <f>BS!DZ271</f>
        <v>107.11358191780823</v>
      </c>
      <c r="DY186" s="322">
        <f>BS!EA271</f>
        <v>107.11358191780823</v>
      </c>
      <c r="DZ186" s="322">
        <f>BS!EB271</f>
        <v>108.29065424657536</v>
      </c>
      <c r="EA186" s="323">
        <f>SUM(DW186:DZ186)</f>
        <v>428.45432767123287</v>
      </c>
      <c r="EC186" s="33"/>
      <c r="ED186" s="321"/>
      <c r="EE186" s="321"/>
      <c r="EF186" s="321"/>
      <c r="EG186" s="321"/>
      <c r="EH186" s="132"/>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row>
    <row r="187" spans="1:259" s="777" customFormat="1" x14ac:dyDescent="0.2">
      <c r="A187" s="782" t="s">
        <v>136</v>
      </c>
      <c r="B187" s="1715"/>
      <c r="C187" s="1715"/>
      <c r="D187" s="1715"/>
      <c r="E187" s="1715"/>
      <c r="F187" s="1715"/>
      <c r="G187" s="1715"/>
      <c r="H187" s="1715"/>
      <c r="I187" s="1715"/>
      <c r="J187" s="1716"/>
      <c r="K187" s="1715"/>
      <c r="L187" s="1715"/>
      <c r="M187" s="1715"/>
      <c r="N187" s="1715"/>
      <c r="O187" s="1715"/>
      <c r="P187" s="1715"/>
      <c r="Q187" s="1715"/>
      <c r="R187" s="1715"/>
      <c r="S187" s="1715"/>
      <c r="T187" s="1715"/>
      <c r="U187" s="1715"/>
      <c r="V187" s="1715"/>
      <c r="W187" s="1715"/>
      <c r="X187" s="1715"/>
      <c r="Y187" s="1715"/>
      <c r="Z187" s="1715"/>
      <c r="AA187" s="1715"/>
      <c r="AB187" s="1715"/>
      <c r="AC187" s="1715"/>
      <c r="AD187" s="1715"/>
      <c r="AE187" s="1715"/>
      <c r="AF187" s="1715"/>
      <c r="AG187" s="1715"/>
      <c r="AH187" s="1715"/>
      <c r="AI187" s="1715"/>
      <c r="AJ187" s="1715"/>
      <c r="AK187" s="1715"/>
      <c r="AL187" s="1715"/>
      <c r="AM187" s="1715"/>
      <c r="AN187" s="1715"/>
      <c r="AO187" s="1544"/>
      <c r="AP187" s="1545"/>
      <c r="AQ187" s="1545"/>
      <c r="AR187" s="1545"/>
      <c r="AS187" s="1545"/>
      <c r="AT187" s="1544"/>
      <c r="AU187" s="1545"/>
      <c r="AV187" s="1545"/>
      <c r="AW187" s="1545"/>
      <c r="AX187" s="1545"/>
      <c r="AY187" s="1544"/>
      <c r="AZ187" s="1545"/>
      <c r="BA187" s="1545"/>
      <c r="BB187" s="1545"/>
      <c r="BC187" s="1545"/>
      <c r="BD187" s="1544"/>
      <c r="BE187" s="1545"/>
      <c r="BF187" s="1545"/>
      <c r="BG187" s="1545"/>
      <c r="BH187" s="1545"/>
      <c r="BI187" s="1544"/>
      <c r="BJ187" s="1545"/>
      <c r="BK187" s="1545"/>
      <c r="BL187" s="1545"/>
      <c r="BM187" s="1545"/>
      <c r="BN187" s="1544"/>
      <c r="BO187" s="1545">
        <v>4.3289060430620196E-2</v>
      </c>
      <c r="BP187" s="1545">
        <v>4.7946889599213179E-2</v>
      </c>
      <c r="BQ187" s="1545">
        <v>4.8577494692144368E-2</v>
      </c>
      <c r="BR187" s="1545">
        <v>4.8303967397818531E-2</v>
      </c>
      <c r="BS187" s="1544">
        <f>BS186/AVERAGE(BS!BU38+BS!BU39,BS!BP38+BS!BP39)</f>
        <v>4.5454545454545456E-2</v>
      </c>
      <c r="BT187" s="1545">
        <v>5.0011795234725168E-2</v>
      </c>
      <c r="BU187" s="1545">
        <v>4.0752409887101014E-2</v>
      </c>
      <c r="BV187" s="1545">
        <v>4.0119601831876156E-2</v>
      </c>
      <c r="BW187" s="1545">
        <v>3.9568613876841838E-2</v>
      </c>
      <c r="BX187" s="1544">
        <f>BX186/AVERAGE(BS!BZ38+BS!BZ39,BS!BU38+BS!BU39)</f>
        <v>4.2459905388254296E-2</v>
      </c>
      <c r="BY187" s="1545">
        <v>3.7924370054333953E-2</v>
      </c>
      <c r="BZ187" s="1545">
        <v>3.9287641662169456E-2</v>
      </c>
      <c r="CA187" s="1545">
        <v>3.4023991275899675E-2</v>
      </c>
      <c r="CB187" s="1545">
        <v>3.647265925844427E-2</v>
      </c>
      <c r="CC187" s="1544">
        <f>CC186/AVERAGE(BS!CE38+BS!CE39,BS!BZ38+BS!BZ39)</f>
        <v>3.7643390132531464E-2</v>
      </c>
      <c r="CD187" s="1549">
        <v>3.1955307262569829E-2</v>
      </c>
      <c r="CE187" s="1549">
        <v>3.4201525914233095E-2</v>
      </c>
      <c r="CF187" s="1549">
        <v>3.517078119715928E-2</v>
      </c>
      <c r="CG187" s="1549">
        <v>2.6444263628966638E-2</v>
      </c>
      <c r="CH187" s="1551">
        <f>CH186/AVERAGE(BS!CJ38+BS!CJ39,BS!CE38+BS!CE39)</f>
        <v>3.505130865905684E-2</v>
      </c>
      <c r="CI187" s="1549">
        <v>3.8324852596720776E-2</v>
      </c>
      <c r="CJ187" s="1549">
        <v>3.4416748126425548E-2</v>
      </c>
      <c r="CK187" s="1549">
        <v>3.3357771260997066E-2</v>
      </c>
      <c r="CL187" s="1549">
        <v>3.4549120234604103E-2</v>
      </c>
      <c r="CM187" s="1551">
        <f>CM186/AVERAGE(BS!CO38+BS!CO39,BS!CJ38+BS!CJ39)</f>
        <v>3.4892173491640414E-2</v>
      </c>
      <c r="CN187" s="1549">
        <v>3.9644218551461247E-2</v>
      </c>
      <c r="CO187" s="1549">
        <v>4.0144697370742895E-2</v>
      </c>
      <c r="CP187" s="1549">
        <v>3.6703723310393503E-2</v>
      </c>
      <c r="CQ187" s="1131">
        <v>3.5999999999999997E-2</v>
      </c>
      <c r="CR187" s="1129">
        <f>CR186/AVERAGE(BS!CT38+BS!CT39,BS!CO38+BS!CO39)</f>
        <v>3.583227445997459E-2</v>
      </c>
      <c r="CS187" s="2075"/>
      <c r="CT187" s="2075"/>
      <c r="CU187" s="2075"/>
      <c r="CV187" s="153"/>
      <c r="CW187" s="152"/>
      <c r="CX187" s="153"/>
      <c r="CY187" s="153"/>
      <c r="CZ187" s="153"/>
      <c r="DA187" s="153"/>
      <c r="DB187" s="152"/>
      <c r="DC187" s="154"/>
      <c r="DD187" s="154"/>
      <c r="DE187" s="154"/>
      <c r="DF187" s="154"/>
      <c r="DG187" s="152"/>
      <c r="DH187" s="154"/>
      <c r="DI187" s="154"/>
      <c r="DJ187" s="154"/>
      <c r="DK187" s="154"/>
      <c r="DL187" s="152"/>
      <c r="DM187" s="154"/>
      <c r="DN187" s="154"/>
      <c r="DO187" s="154"/>
      <c r="DP187" s="154"/>
      <c r="DQ187" s="152"/>
      <c r="DR187" s="154"/>
      <c r="DS187" s="154"/>
      <c r="DT187" s="154"/>
      <c r="DU187" s="154"/>
      <c r="DV187" s="152"/>
      <c r="DW187" s="154"/>
      <c r="DX187" s="154"/>
      <c r="DY187" s="154"/>
      <c r="DZ187" s="154"/>
      <c r="EA187" s="152"/>
      <c r="EC187" s="783"/>
      <c r="ED187" s="784"/>
      <c r="EE187" s="784"/>
      <c r="EF187" s="784"/>
      <c r="EG187" s="784"/>
      <c r="EH187" s="785"/>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row>
    <row r="188" spans="1:259" s="15" customFormat="1" x14ac:dyDescent="0.2">
      <c r="A188" s="15" t="s">
        <v>137</v>
      </c>
      <c r="B188" s="1717"/>
      <c r="C188" s="1717"/>
      <c r="D188" s="1717"/>
      <c r="E188" s="1717"/>
      <c r="F188" s="1717"/>
      <c r="G188" s="1717"/>
      <c r="H188" s="1717"/>
      <c r="I188" s="1717"/>
      <c r="J188" s="1718"/>
      <c r="K188" s="1717"/>
      <c r="L188" s="1717"/>
      <c r="M188" s="1717"/>
      <c r="N188" s="1717"/>
      <c r="O188" s="1717"/>
      <c r="P188" s="1717"/>
      <c r="Q188" s="1717"/>
      <c r="R188" s="1717"/>
      <c r="S188" s="1717"/>
      <c r="T188" s="1717"/>
      <c r="U188" s="1717"/>
      <c r="V188" s="1717"/>
      <c r="W188" s="1717"/>
      <c r="X188" s="1717"/>
      <c r="Y188" s="1717"/>
      <c r="Z188" s="1717"/>
      <c r="AA188" s="1717"/>
      <c r="AB188" s="1717"/>
      <c r="AC188" s="1717"/>
      <c r="AD188" s="1717"/>
      <c r="AE188" s="1717"/>
      <c r="AF188" s="1717"/>
      <c r="AG188" s="1717"/>
      <c r="AH188" s="1717"/>
      <c r="AI188" s="1717"/>
      <c r="AJ188" s="1717"/>
      <c r="AK188" s="1717"/>
      <c r="AL188" s="1717"/>
      <c r="AM188" s="1717"/>
      <c r="AN188" s="1717"/>
      <c r="AO188" s="1719"/>
      <c r="AP188" s="1717"/>
      <c r="AQ188" s="1717"/>
      <c r="AR188" s="1717"/>
      <c r="AS188" s="1717"/>
      <c r="AT188" s="1719"/>
      <c r="AU188" s="1717"/>
      <c r="AV188" s="1717"/>
      <c r="AW188" s="1717"/>
      <c r="AX188" s="1717"/>
      <c r="AY188" s="1719"/>
      <c r="AZ188" s="1717"/>
      <c r="BA188" s="1717"/>
      <c r="BB188" s="1717"/>
      <c r="BC188" s="1717"/>
      <c r="BD188" s="1719"/>
      <c r="BE188" s="1717"/>
      <c r="BF188" s="1717"/>
      <c r="BG188" s="1717"/>
      <c r="BH188" s="1717"/>
      <c r="BI188" s="1719"/>
      <c r="BJ188" s="1717"/>
      <c r="BK188" s="1717"/>
      <c r="BL188" s="1717"/>
      <c r="BM188" s="1717"/>
      <c r="BN188" s="1719"/>
      <c r="BO188" s="1717">
        <v>-3</v>
      </c>
      <c r="BP188" s="1717">
        <v>-3</v>
      </c>
      <c r="BQ188" s="1717">
        <v>-6</v>
      </c>
      <c r="BR188" s="1720">
        <f>BS188-SUM(BO188:BQ188)</f>
        <v>-8</v>
      </c>
      <c r="BS188" s="1719">
        <v>-20</v>
      </c>
      <c r="BT188" s="1717">
        <v>-5</v>
      </c>
      <c r="BU188" s="1717">
        <v>-6</v>
      </c>
      <c r="BV188" s="1717">
        <v>-8</v>
      </c>
      <c r="BW188" s="1720">
        <f>BX188-SUM(BT188:BV188)</f>
        <v>-9</v>
      </c>
      <c r="BX188" s="1719">
        <v>-28</v>
      </c>
      <c r="BY188" s="1717">
        <v>-3</v>
      </c>
      <c r="BZ188" s="1717">
        <v>-4</v>
      </c>
      <c r="CA188" s="1717">
        <v>-4</v>
      </c>
      <c r="CB188" s="1720">
        <f>CC188-SUM(BY188:CA188)</f>
        <v>-9</v>
      </c>
      <c r="CC188" s="1719">
        <v>-20</v>
      </c>
      <c r="CD188" s="1721">
        <v>-2</v>
      </c>
      <c r="CE188" s="1721">
        <v>-3</v>
      </c>
      <c r="CF188" s="1721">
        <v>-5</v>
      </c>
      <c r="CG188" s="1722">
        <f>CH188-SUM(CD188:CF188)</f>
        <v>-13</v>
      </c>
      <c r="CH188" s="1723">
        <v>-23</v>
      </c>
      <c r="CI188" s="1721"/>
      <c r="CJ188" s="1721"/>
      <c r="CK188" s="1721"/>
      <c r="CL188" s="1721"/>
      <c r="CM188" s="1723"/>
      <c r="CN188" s="1721"/>
      <c r="CO188" s="1721"/>
      <c r="CP188" s="1721"/>
      <c r="CQ188" s="1919"/>
      <c r="CR188" s="1061"/>
      <c r="CS188" s="2100"/>
      <c r="CT188" s="2100"/>
      <c r="CU188" s="2100"/>
      <c r="CV188" s="778"/>
      <c r="CW188" s="60"/>
      <c r="CX188" s="778"/>
      <c r="CY188" s="778"/>
      <c r="CZ188" s="778"/>
      <c r="DA188" s="778"/>
      <c r="DB188" s="60"/>
      <c r="DC188" s="778"/>
      <c r="DD188" s="778"/>
      <c r="DE188" s="778"/>
      <c r="DF188" s="778"/>
      <c r="DG188" s="60"/>
      <c r="DH188" s="778"/>
      <c r="DI188" s="778"/>
      <c r="DJ188" s="778"/>
      <c r="DK188" s="778"/>
      <c r="DL188" s="60"/>
      <c r="DM188" s="778"/>
      <c r="DN188" s="778"/>
      <c r="DO188" s="778"/>
      <c r="DP188" s="778"/>
      <c r="DQ188" s="60"/>
      <c r="DR188" s="778"/>
      <c r="DS188" s="778"/>
      <c r="DT188" s="778"/>
      <c r="DU188" s="778"/>
      <c r="DV188" s="60"/>
      <c r="DW188" s="778"/>
      <c r="DX188" s="778"/>
      <c r="DY188" s="778"/>
      <c r="DZ188" s="778"/>
      <c r="EA188" s="60"/>
      <c r="EB188" s="778"/>
      <c r="EC188" s="779"/>
      <c r="ED188" s="780"/>
      <c r="EE188" s="780"/>
      <c r="EF188" s="780"/>
      <c r="EG188" s="780"/>
      <c r="EH188" s="781"/>
      <c r="EI188" s="77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row>
    <row r="189" spans="1:259" s="110" customFormat="1" x14ac:dyDescent="0.2">
      <c r="A189" s="426" t="s">
        <v>136</v>
      </c>
      <c r="B189" s="1416"/>
      <c r="C189" s="1416"/>
      <c r="D189" s="1416"/>
      <c r="E189" s="1416"/>
      <c r="F189" s="1416"/>
      <c r="G189" s="1416"/>
      <c r="H189" s="1416"/>
      <c r="I189" s="1416"/>
      <c r="J189" s="1724"/>
      <c r="K189" s="1416"/>
      <c r="L189" s="1416"/>
      <c r="M189" s="1416"/>
      <c r="N189" s="1416"/>
      <c r="O189" s="1416"/>
      <c r="P189" s="1416"/>
      <c r="Q189" s="1416"/>
      <c r="R189" s="1416"/>
      <c r="S189" s="1416"/>
      <c r="T189" s="1416"/>
      <c r="U189" s="1416"/>
      <c r="V189" s="1416"/>
      <c r="W189" s="1416"/>
      <c r="X189" s="1416"/>
      <c r="Y189" s="1416"/>
      <c r="Z189" s="1416"/>
      <c r="AA189" s="1416"/>
      <c r="AB189" s="1416"/>
      <c r="AC189" s="1416"/>
      <c r="AD189" s="1416"/>
      <c r="AE189" s="1416"/>
      <c r="AF189" s="1416"/>
      <c r="AG189" s="1416"/>
      <c r="AH189" s="1416"/>
      <c r="AI189" s="1416"/>
      <c r="AJ189" s="1416"/>
      <c r="AK189" s="1416"/>
      <c r="AL189" s="1416"/>
      <c r="AM189" s="1416"/>
      <c r="AN189" s="1416"/>
      <c r="AO189" s="1725"/>
      <c r="AP189" s="1416"/>
      <c r="AQ189" s="1416"/>
      <c r="AR189" s="1416"/>
      <c r="AS189" s="1416"/>
      <c r="AT189" s="1726"/>
      <c r="AU189" s="1416"/>
      <c r="AV189" s="1416"/>
      <c r="AW189" s="1416"/>
      <c r="AX189" s="1416"/>
      <c r="AY189" s="1726"/>
      <c r="AZ189" s="1416"/>
      <c r="BA189" s="1416"/>
      <c r="BB189" s="1416"/>
      <c r="BC189" s="1416"/>
      <c r="BD189" s="1726"/>
      <c r="BE189" s="1727"/>
      <c r="BF189" s="1727"/>
      <c r="BG189" s="1727"/>
      <c r="BH189" s="1727"/>
      <c r="BI189" s="1726"/>
      <c r="BJ189" s="1727"/>
      <c r="BK189" s="1727"/>
      <c r="BL189" s="1727"/>
      <c r="BM189" s="1727"/>
      <c r="BN189" s="1726"/>
      <c r="BO189" s="1545">
        <v>3.262233375156838E-2</v>
      </c>
      <c r="BP189" s="1545">
        <v>2.6694045174537988E-2</v>
      </c>
      <c r="BQ189" s="1545">
        <v>2.8824833702882482E-2</v>
      </c>
      <c r="BR189" s="1545">
        <v>1.9259259259259261E-2</v>
      </c>
      <c r="BS189" s="1544">
        <f>-BS188/AVERAGE(BS!BU12,BS!BP12)</f>
        <v>2.2484541877459248E-2</v>
      </c>
      <c r="BT189" s="1545">
        <v>1.494641849971799E-2</v>
      </c>
      <c r="BU189" s="1545">
        <v>2.1336553945249599E-2</v>
      </c>
      <c r="BV189" s="1545">
        <v>3.2253156853795831E-2</v>
      </c>
      <c r="BW189" s="1545">
        <v>2.3055730098119773E-2</v>
      </c>
      <c r="BX189" s="1544">
        <f>-BX188/AVERAGE(BS!BZ12,BS!BU12)</f>
        <v>2.1341463414634148E-2</v>
      </c>
      <c r="BY189" s="1545">
        <v>1.1319111885067479E-2</v>
      </c>
      <c r="BZ189" s="1545">
        <v>1.6642662826052167E-2</v>
      </c>
      <c r="CA189" s="1545">
        <v>1.7999307718933887E-2</v>
      </c>
      <c r="CB189" s="1545">
        <v>3.4051222351571597E-2</v>
      </c>
      <c r="CC189" s="1544">
        <f>-CC188/AVERAGE(BS!CE12,BS!BZ12)</f>
        <v>2.0263424518743668E-2</v>
      </c>
      <c r="CD189" s="1549">
        <v>1.1270047680970957E-2</v>
      </c>
      <c r="CE189" s="1549">
        <v>2.0602218700475437E-2</v>
      </c>
      <c r="CF189" s="1549">
        <v>3.4583665868582074E-2</v>
      </c>
      <c r="CG189" s="1549">
        <v>6.3725490196078427E-2</v>
      </c>
      <c r="CH189" s="1551">
        <f>-CH188/AVERAGE(BS!CJ12,BS!CE12)</f>
        <v>3.4099332839140101E-2</v>
      </c>
      <c r="CI189" s="1728"/>
      <c r="CJ189" s="1728"/>
      <c r="CK189" s="1728"/>
      <c r="CL189" s="1728"/>
      <c r="CM189" s="1551"/>
      <c r="CN189" s="1728"/>
      <c r="CO189" s="1728"/>
      <c r="CP189" s="1728"/>
      <c r="CQ189" s="1920"/>
      <c r="CR189" s="1129"/>
      <c r="CS189" s="2075"/>
      <c r="CT189" s="2075"/>
      <c r="CU189" s="2075"/>
      <c r="CV189" s="153"/>
      <c r="CW189" s="152"/>
      <c r="CX189" s="153"/>
      <c r="CY189" s="153"/>
      <c r="CZ189" s="153"/>
      <c r="DA189" s="153"/>
      <c r="DB189" s="152"/>
      <c r="DC189" s="154"/>
      <c r="DD189" s="154"/>
      <c r="DE189" s="154"/>
      <c r="DF189" s="154"/>
      <c r="DG189" s="152"/>
      <c r="DH189" s="154"/>
      <c r="DI189" s="154"/>
      <c r="DJ189" s="154"/>
      <c r="DK189" s="154"/>
      <c r="DL189" s="152"/>
      <c r="DM189" s="154"/>
      <c r="DN189" s="154"/>
      <c r="DO189" s="154"/>
      <c r="DP189" s="154"/>
      <c r="DQ189" s="152"/>
      <c r="DR189" s="154"/>
      <c r="DS189" s="154"/>
      <c r="DT189" s="154"/>
      <c r="DU189" s="154"/>
      <c r="DV189" s="152"/>
      <c r="DW189" s="154"/>
      <c r="DX189" s="154"/>
      <c r="DY189" s="154"/>
      <c r="DZ189" s="154"/>
      <c r="EA189" s="152"/>
      <c r="EC189" s="33"/>
      <c r="ED189" s="321"/>
      <c r="EE189" s="321"/>
      <c r="EF189" s="321"/>
      <c r="EG189" s="321"/>
      <c r="EH189" s="702"/>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row>
    <row r="190" spans="1:259" s="55" customFormat="1" x14ac:dyDescent="0.2">
      <c r="A190" s="28" t="s">
        <v>138</v>
      </c>
      <c r="B190" s="1729"/>
      <c r="C190" s="1729"/>
      <c r="D190" s="1729"/>
      <c r="E190" s="1729"/>
      <c r="F190" s="1729"/>
      <c r="G190" s="1729"/>
      <c r="H190" s="1729"/>
      <c r="I190" s="1729"/>
      <c r="J190" s="1730"/>
      <c r="K190" s="1729"/>
      <c r="L190" s="1729"/>
      <c r="M190" s="1729"/>
      <c r="N190" s="1729"/>
      <c r="O190" s="1729"/>
      <c r="P190" s="1729"/>
      <c r="Q190" s="1729"/>
      <c r="R190" s="1729"/>
      <c r="S190" s="1729"/>
      <c r="T190" s="1729"/>
      <c r="U190" s="1729"/>
      <c r="V190" s="1729"/>
      <c r="W190" s="1729"/>
      <c r="X190" s="1729"/>
      <c r="Y190" s="1729"/>
      <c r="Z190" s="1729"/>
      <c r="AA190" s="1729"/>
      <c r="AB190" s="1729"/>
      <c r="AC190" s="1729"/>
      <c r="AD190" s="1729"/>
      <c r="AE190" s="1729"/>
      <c r="AF190" s="1729"/>
      <c r="AG190" s="1729"/>
      <c r="AH190" s="1729"/>
      <c r="AI190" s="1729"/>
      <c r="AJ190" s="1729"/>
      <c r="AK190" s="1729"/>
      <c r="AL190" s="1729"/>
      <c r="AM190" s="1729"/>
      <c r="AN190" s="1729"/>
      <c r="AO190" s="1731"/>
      <c r="AP190" s="1729"/>
      <c r="AQ190" s="1729"/>
      <c r="AR190" s="1729"/>
      <c r="AS190" s="1729"/>
      <c r="AT190" s="1732"/>
      <c r="AU190" s="1729"/>
      <c r="AV190" s="1729"/>
      <c r="AW190" s="1729"/>
      <c r="AX190" s="1729"/>
      <c r="AY190" s="1732"/>
      <c r="AZ190" s="1729"/>
      <c r="BA190" s="1729"/>
      <c r="BB190" s="1729"/>
      <c r="BC190" s="1729"/>
      <c r="BD190" s="1732"/>
      <c r="BE190" s="1729"/>
      <c r="BF190" s="1729"/>
      <c r="BG190" s="1729"/>
      <c r="BH190" s="1729"/>
      <c r="BI190" s="1732"/>
      <c r="BJ190" s="1729"/>
      <c r="BK190" s="1729"/>
      <c r="BL190" s="1729"/>
      <c r="BM190" s="1729"/>
      <c r="BN190" s="1732"/>
      <c r="BO190" s="1733">
        <f t="shared" ref="BO190:CT190" si="510">SUM(BO186,BO188)</f>
        <v>41</v>
      </c>
      <c r="BP190" s="1733">
        <f t="shared" si="510"/>
        <v>42</v>
      </c>
      <c r="BQ190" s="1733">
        <f t="shared" si="510"/>
        <v>38</v>
      </c>
      <c r="BR190" s="1729">
        <f t="shared" si="510"/>
        <v>54</v>
      </c>
      <c r="BS190" s="1731">
        <f t="shared" si="510"/>
        <v>175</v>
      </c>
      <c r="BT190" s="1733">
        <f t="shared" si="510"/>
        <v>43</v>
      </c>
      <c r="BU190" s="1733">
        <f t="shared" si="510"/>
        <v>35</v>
      </c>
      <c r="BV190" s="1733">
        <f t="shared" si="510"/>
        <v>32</v>
      </c>
      <c r="BW190" s="1729">
        <f t="shared" si="510"/>
        <v>46</v>
      </c>
      <c r="BX190" s="1731">
        <f t="shared" si="510"/>
        <v>156</v>
      </c>
      <c r="BY190" s="1733">
        <f t="shared" si="510"/>
        <v>37</v>
      </c>
      <c r="BZ190" s="1733">
        <f t="shared" si="510"/>
        <v>38</v>
      </c>
      <c r="CA190" s="1733">
        <f t="shared" si="510"/>
        <v>32</v>
      </c>
      <c r="CB190" s="1729">
        <f t="shared" si="510"/>
        <v>42</v>
      </c>
      <c r="CC190" s="1731">
        <f t="shared" si="510"/>
        <v>149</v>
      </c>
      <c r="CD190" s="1734">
        <f t="shared" si="510"/>
        <v>31</v>
      </c>
      <c r="CE190" s="1734">
        <f t="shared" si="510"/>
        <v>32</v>
      </c>
      <c r="CF190" s="1734">
        <f t="shared" si="510"/>
        <v>31</v>
      </c>
      <c r="CG190" s="1735">
        <f t="shared" si="510"/>
        <v>22</v>
      </c>
      <c r="CH190" s="1736">
        <f t="shared" si="510"/>
        <v>129</v>
      </c>
      <c r="CI190" s="1734">
        <f t="shared" si="510"/>
        <v>36.5</v>
      </c>
      <c r="CJ190" s="1734">
        <f t="shared" si="510"/>
        <v>32.5</v>
      </c>
      <c r="CK190" s="1734">
        <f t="shared" si="510"/>
        <v>31.5</v>
      </c>
      <c r="CL190" s="1735">
        <f t="shared" si="510"/>
        <v>43.5</v>
      </c>
      <c r="CM190" s="1736">
        <f t="shared" si="510"/>
        <v>144</v>
      </c>
      <c r="CN190" s="1734">
        <f t="shared" si="510"/>
        <v>36</v>
      </c>
      <c r="CO190" s="1734">
        <f t="shared" si="510"/>
        <v>35</v>
      </c>
      <c r="CP190" s="1734">
        <f t="shared" si="510"/>
        <v>32</v>
      </c>
      <c r="CQ190" s="1921">
        <f t="shared" si="510"/>
        <v>38</v>
      </c>
      <c r="CR190" s="1980">
        <f t="shared" si="510"/>
        <v>141</v>
      </c>
      <c r="CS190" s="2101">
        <f t="shared" si="510"/>
        <v>42</v>
      </c>
      <c r="CT190" s="2101">
        <f t="shared" si="510"/>
        <v>51</v>
      </c>
      <c r="CU190" s="2101">
        <f t="shared" ref="CU190:DQ190" si="511">SUM(CU186,CU188)</f>
        <v>127.27523076923079</v>
      </c>
      <c r="CV190" s="786">
        <f t="shared" si="511"/>
        <v>0</v>
      </c>
      <c r="CW190" s="787">
        <f t="shared" si="511"/>
        <v>220.2752307692308</v>
      </c>
      <c r="CX190" s="145">
        <f t="shared" si="511"/>
        <v>0</v>
      </c>
      <c r="CY190" s="145">
        <f t="shared" si="511"/>
        <v>109.68177643835617</v>
      </c>
      <c r="CZ190" s="145">
        <f t="shared" ref="CZ190:DG190" si="512">SUM(CZ186,CZ188)</f>
        <v>109.68177643835617</v>
      </c>
      <c r="DA190" s="786">
        <f t="shared" si="512"/>
        <v>110.8870706849315</v>
      </c>
      <c r="DB190" s="787">
        <f t="shared" si="512"/>
        <v>330.25062356164381</v>
      </c>
      <c r="DC190" s="145">
        <f t="shared" si="512"/>
        <v>108.47648219178083</v>
      </c>
      <c r="DD190" s="145">
        <f t="shared" si="512"/>
        <v>107.7695298630137</v>
      </c>
      <c r="DE190" s="145">
        <f t="shared" si="512"/>
        <v>107.7695298630137</v>
      </c>
      <c r="DF190" s="786">
        <f t="shared" si="512"/>
        <v>108.95381041095891</v>
      </c>
      <c r="DG190" s="787">
        <f t="shared" si="512"/>
        <v>432.96935232876717</v>
      </c>
      <c r="DH190" s="145">
        <f t="shared" si="511"/>
        <v>106.58524931506849</v>
      </c>
      <c r="DI190" s="145">
        <f t="shared" si="511"/>
        <v>107.7695298630137</v>
      </c>
      <c r="DJ190" s="145">
        <f t="shared" si="511"/>
        <v>107.7695298630137</v>
      </c>
      <c r="DK190" s="786">
        <f t="shared" si="511"/>
        <v>107.95189260273972</v>
      </c>
      <c r="DL190" s="787">
        <f t="shared" si="511"/>
        <v>430.07620164383559</v>
      </c>
      <c r="DM190" s="145">
        <f t="shared" si="511"/>
        <v>105.60511232876713</v>
      </c>
      <c r="DN190" s="145">
        <f t="shared" si="511"/>
        <v>106.77850246575342</v>
      </c>
      <c r="DO190" s="145">
        <f t="shared" si="511"/>
        <v>107.11358191780823</v>
      </c>
      <c r="DP190" s="786">
        <f t="shared" si="511"/>
        <v>108.29065424657536</v>
      </c>
      <c r="DQ190" s="787">
        <f t="shared" si="511"/>
        <v>427.78785095890413</v>
      </c>
      <c r="DR190" s="145">
        <f t="shared" ref="DR190:EA190" si="513">SUM(DR186,DR188)</f>
        <v>105.93650958904109</v>
      </c>
      <c r="DS190" s="145">
        <f t="shared" si="513"/>
        <v>107.11358191780823</v>
      </c>
      <c r="DT190" s="145">
        <f t="shared" si="513"/>
        <v>107.11358191780823</v>
      </c>
      <c r="DU190" s="786">
        <f t="shared" si="513"/>
        <v>108.29065424657536</v>
      </c>
      <c r="DV190" s="787">
        <f t="shared" si="513"/>
        <v>428.45432767123287</v>
      </c>
      <c r="DW190" s="145">
        <f t="shared" si="513"/>
        <v>105.93650958904109</v>
      </c>
      <c r="DX190" s="145">
        <f t="shared" si="513"/>
        <v>107.11358191780823</v>
      </c>
      <c r="DY190" s="145">
        <f t="shared" si="513"/>
        <v>107.11358191780823</v>
      </c>
      <c r="DZ190" s="786">
        <f t="shared" si="513"/>
        <v>108.29065424657536</v>
      </c>
      <c r="EA190" s="787">
        <f t="shared" si="513"/>
        <v>428.45432767123287</v>
      </c>
      <c r="EC190" s="12"/>
      <c r="ED190" s="342"/>
      <c r="EE190" s="342"/>
      <c r="EF190" s="342"/>
      <c r="EG190" s="342"/>
      <c r="EH190" s="57"/>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row>
    <row r="191" spans="1:259" s="15" customFormat="1" x14ac:dyDescent="0.2">
      <c r="B191" s="1358"/>
      <c r="C191" s="1358"/>
      <c r="D191" s="1358"/>
      <c r="E191" s="1358"/>
      <c r="F191" s="1358"/>
      <c r="G191" s="1358"/>
      <c r="H191" s="1358"/>
      <c r="I191" s="1358"/>
      <c r="J191" s="1675"/>
      <c r="K191" s="1358"/>
      <c r="L191" s="1358"/>
      <c r="M191" s="1358"/>
      <c r="N191" s="1358"/>
      <c r="O191" s="1358"/>
      <c r="P191" s="1358"/>
      <c r="Q191" s="1358"/>
      <c r="R191" s="1358"/>
      <c r="S191" s="1358"/>
      <c r="T191" s="1358"/>
      <c r="U191" s="1358"/>
      <c r="V191" s="1358"/>
      <c r="W191" s="1358"/>
      <c r="X191" s="1358"/>
      <c r="Y191" s="1358"/>
      <c r="Z191" s="1358"/>
      <c r="AA191" s="1358"/>
      <c r="AB191" s="1358"/>
      <c r="AC191" s="1358"/>
      <c r="AD191" s="1358"/>
      <c r="AE191" s="1358"/>
      <c r="AF191" s="1358"/>
      <c r="AG191" s="1358"/>
      <c r="AH191" s="1358"/>
      <c r="AI191" s="1358"/>
      <c r="AJ191" s="1358"/>
      <c r="AK191" s="1358"/>
      <c r="AL191" s="1358"/>
      <c r="AM191" s="1358"/>
      <c r="AN191" s="1358"/>
      <c r="AO191" s="1358"/>
      <c r="AP191" s="1358"/>
      <c r="AQ191" s="1358"/>
      <c r="AR191" s="1358"/>
      <c r="AS191" s="1358"/>
      <c r="AT191" s="1358"/>
      <c r="AU191" s="1358"/>
      <c r="AV191" s="1358"/>
      <c r="AW191" s="1358"/>
      <c r="AX191" s="1358"/>
      <c r="AY191" s="1358"/>
      <c r="AZ191" s="1358"/>
      <c r="BA191" s="1358"/>
      <c r="BB191" s="1358"/>
      <c r="BC191" s="1358"/>
      <c r="BD191" s="1358"/>
      <c r="BE191" s="1358"/>
      <c r="BF191" s="1358"/>
      <c r="BG191" s="1358"/>
      <c r="BH191" s="1358"/>
      <c r="BI191" s="1358"/>
      <c r="BJ191" s="1358"/>
      <c r="BK191" s="1358"/>
      <c r="BL191" s="1358"/>
      <c r="BM191" s="1358"/>
      <c r="BN191" s="1358"/>
      <c r="BO191" s="1358"/>
      <c r="BP191" s="1358"/>
      <c r="BQ191" s="1358"/>
      <c r="BR191" s="1358"/>
      <c r="BS191" s="1358"/>
      <c r="BT191" s="1358"/>
      <c r="BU191" s="1358"/>
      <c r="BV191" s="1358"/>
      <c r="BW191" s="1358"/>
      <c r="BX191" s="1358"/>
      <c r="BY191" s="1358"/>
      <c r="BZ191" s="1358"/>
      <c r="CA191" s="1358"/>
      <c r="CB191" s="1358"/>
      <c r="CC191" s="1358"/>
      <c r="CD191" s="1363"/>
      <c r="CE191" s="1328"/>
      <c r="CF191" s="1328"/>
      <c r="CG191" s="1328"/>
      <c r="CH191" s="1328"/>
      <c r="CI191" s="1328"/>
      <c r="CJ191" s="1328"/>
      <c r="CK191" s="1328"/>
      <c r="CL191" s="1328"/>
      <c r="CM191" s="1328"/>
      <c r="CN191" s="1328"/>
      <c r="CO191" s="1328"/>
      <c r="CP191" s="1328"/>
      <c r="CQ191" s="1058"/>
      <c r="CR191" s="1058"/>
      <c r="CS191" s="1119"/>
      <c r="CT191" s="1119"/>
      <c r="CU191" s="1119"/>
      <c r="EC191" s="33"/>
      <c r="ED191" s="321"/>
      <c r="EE191" s="321"/>
      <c r="EF191" s="321"/>
      <c r="EG191" s="321"/>
      <c r="EH191" s="132"/>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row>
    <row r="192" spans="1:259" s="15" customFormat="1" x14ac:dyDescent="0.2">
      <c r="A192" s="142" t="s">
        <v>35</v>
      </c>
      <c r="B192" s="1853"/>
      <c r="C192" s="1853"/>
      <c r="D192" s="1853"/>
      <c r="E192" s="1853"/>
      <c r="F192" s="1853"/>
      <c r="G192" s="1853"/>
      <c r="H192" s="1853"/>
      <c r="I192" s="1853"/>
      <c r="J192" s="1854"/>
      <c r="K192" s="1853"/>
      <c r="L192" s="1853"/>
      <c r="M192" s="1853"/>
      <c r="N192" s="1853"/>
      <c r="O192" s="1853"/>
      <c r="P192" s="1853"/>
      <c r="Q192" s="1853"/>
      <c r="R192" s="1853"/>
      <c r="S192" s="1853"/>
      <c r="T192" s="1853"/>
      <c r="U192" s="1853"/>
      <c r="V192" s="1853"/>
      <c r="W192" s="1853"/>
      <c r="X192" s="1853"/>
      <c r="Y192" s="1853"/>
      <c r="Z192" s="1853"/>
      <c r="AA192" s="1853"/>
      <c r="AB192" s="1853"/>
      <c r="AC192" s="1853"/>
      <c r="AD192" s="1853"/>
      <c r="AE192" s="1853"/>
      <c r="AF192" s="1853"/>
      <c r="AG192" s="1853"/>
      <c r="AH192" s="1853"/>
      <c r="AI192" s="1853"/>
      <c r="AJ192" s="1853"/>
      <c r="AK192" s="1853"/>
      <c r="AL192" s="1853"/>
      <c r="AM192" s="1853"/>
      <c r="AN192" s="1853"/>
      <c r="AO192" s="1855">
        <v>87</v>
      </c>
      <c r="AP192" s="1856">
        <f>AT192/4</f>
        <v>32.25</v>
      </c>
      <c r="AQ192" s="1856">
        <f>AT192/4</f>
        <v>32.25</v>
      </c>
      <c r="AR192" s="1856">
        <f>AT192/4</f>
        <v>32.25</v>
      </c>
      <c r="AS192" s="1856">
        <f>AT192/4</f>
        <v>32.25</v>
      </c>
      <c r="AT192" s="1855">
        <v>129</v>
      </c>
      <c r="AU192" s="1856">
        <f>AY192/4</f>
        <v>58.5</v>
      </c>
      <c r="AV192" s="1856">
        <f>AY192/4</f>
        <v>58.5</v>
      </c>
      <c r="AW192" s="1856">
        <f>AY192/4</f>
        <v>58.5</v>
      </c>
      <c r="AX192" s="1856">
        <f>AY192/4</f>
        <v>58.5</v>
      </c>
      <c r="AY192" s="1855">
        <v>234</v>
      </c>
      <c r="AZ192" s="1856">
        <f>-CF!AZ61</f>
        <v>40</v>
      </c>
      <c r="BA192" s="1856">
        <f>-CF!BA61</f>
        <v>79</v>
      </c>
      <c r="BB192" s="1856">
        <f>-CF!BB61</f>
        <v>77</v>
      </c>
      <c r="BC192" s="1856">
        <f>-CF!BC61</f>
        <v>77</v>
      </c>
      <c r="BD192" s="1855">
        <f>SUM(AZ192:BC192)</f>
        <v>273</v>
      </c>
      <c r="BE192" s="1856">
        <f>-CF!BE61</f>
        <v>75</v>
      </c>
      <c r="BF192" s="1856">
        <f>-CF!BF61</f>
        <v>71</v>
      </c>
      <c r="BG192" s="1856">
        <f>-CF!BG61</f>
        <v>88</v>
      </c>
      <c r="BH192" s="1856">
        <f>-CF!BH61</f>
        <v>88</v>
      </c>
      <c r="BI192" s="1855">
        <f>SUM(BE192:BH192)</f>
        <v>322</v>
      </c>
      <c r="BJ192" s="1856">
        <f>-CF!BJ61</f>
        <v>87</v>
      </c>
      <c r="BK192" s="1856">
        <f>-CF!BK61</f>
        <v>88</v>
      </c>
      <c r="BL192" s="1856">
        <f>-CF!BL61</f>
        <v>88</v>
      </c>
      <c r="BM192" s="1856">
        <f>-CF!BM61</f>
        <v>99</v>
      </c>
      <c r="BN192" s="1855">
        <f>SUM(BJ192:BM192)</f>
        <v>362</v>
      </c>
      <c r="BO192" s="1856">
        <f>-CF!BO61</f>
        <v>99</v>
      </c>
      <c r="BP192" s="1856">
        <f>-CF!BP61</f>
        <v>98</v>
      </c>
      <c r="BQ192" s="1856">
        <f>-CF!BQ61</f>
        <v>98</v>
      </c>
      <c r="BR192" s="1856">
        <f>-CF!BR61</f>
        <v>117</v>
      </c>
      <c r="BS192" s="1855">
        <f>SUM(BO192:BR192)</f>
        <v>412</v>
      </c>
      <c r="BT192" s="1856">
        <f>-CF!BT61</f>
        <v>118</v>
      </c>
      <c r="BU192" s="1856">
        <f>-CF!BU61</f>
        <v>116</v>
      </c>
      <c r="BV192" s="1856">
        <f>-CF!BV61</f>
        <v>116</v>
      </c>
      <c r="BW192" s="1856">
        <f>-CF!BW61</f>
        <v>131</v>
      </c>
      <c r="BX192" s="1855">
        <f>SUM(BT192:BW192)</f>
        <v>481</v>
      </c>
      <c r="BY192" s="1856">
        <f>-CF!BY61</f>
        <v>131</v>
      </c>
      <c r="BZ192" s="1856">
        <f>-CF!BZ61</f>
        <v>131</v>
      </c>
      <c r="CA192" s="1856">
        <f>-CF!CA61</f>
        <v>131</v>
      </c>
      <c r="CB192" s="1856">
        <f>CB194*CB65</f>
        <v>156.78</v>
      </c>
      <c r="CC192" s="1855">
        <f>SUM(BY192:CB192)</f>
        <v>549.78</v>
      </c>
      <c r="CD192" s="1857">
        <f>CD194*CD65</f>
        <v>155.77500000000001</v>
      </c>
      <c r="CE192" s="1857">
        <f>CE194*CE65</f>
        <v>155.44</v>
      </c>
      <c r="CF192" s="1857">
        <f>CF194*CF65</f>
        <v>154.435</v>
      </c>
      <c r="CG192" s="1857">
        <f>CG194*CG65</f>
        <v>169.46</v>
      </c>
      <c r="CH192" s="1861">
        <f>SUM(CD192:CG192)</f>
        <v>635.11</v>
      </c>
      <c r="CI192" s="1857">
        <f>CI194*CI65</f>
        <v>168.79399999999998</v>
      </c>
      <c r="CJ192" s="1857">
        <f>CJ194*CJ65</f>
        <v>168.35</v>
      </c>
      <c r="CK192" s="1857">
        <f>CK194*CK65</f>
        <v>167.24</v>
      </c>
      <c r="CL192" s="1857">
        <f>CL194*CL65</f>
        <v>180.81</v>
      </c>
      <c r="CM192" s="1861">
        <f>SUM(CI192:CL192)</f>
        <v>685.19399999999996</v>
      </c>
      <c r="CN192" s="1857">
        <f>CN194*CN65</f>
        <v>182.85999999999999</v>
      </c>
      <c r="CO192" s="1857">
        <f>CO194*CO65</f>
        <v>182.61399999999998</v>
      </c>
      <c r="CP192" s="1857">
        <f>CP194*CP65</f>
        <v>182.04</v>
      </c>
      <c r="CQ192" s="1918">
        <f>CQ194*CQ65</f>
        <v>201.94</v>
      </c>
      <c r="CR192" s="1979">
        <f>SUM(CN192:CQ192)</f>
        <v>749.45399999999995</v>
      </c>
      <c r="CS192" s="2099">
        <f>CS194*CS65</f>
        <v>193.66</v>
      </c>
      <c r="CT192" s="2099">
        <f>CT194*CT65</f>
        <v>190.9</v>
      </c>
      <c r="CU192" s="2099">
        <f>CU194*CU65</f>
        <v>0</v>
      </c>
      <c r="CV192" s="322">
        <f>CV194*CV65</f>
        <v>301.32</v>
      </c>
      <c r="CW192" s="323">
        <f>SUM(CS192:CV192)</f>
        <v>685.88</v>
      </c>
      <c r="CX192" s="322">
        <f>CX194*CX65</f>
        <v>109.2</v>
      </c>
      <c r="CY192" s="322">
        <f>CY194*CY65</f>
        <v>107.39999999999999</v>
      </c>
      <c r="CZ192" s="322">
        <f>CZ194*CZ65</f>
        <v>105.89999999999999</v>
      </c>
      <c r="DA192" s="322">
        <f>DA194*DA65</f>
        <v>103.5</v>
      </c>
      <c r="DB192" s="323">
        <f>SUM(CX192:DA192)</f>
        <v>426</v>
      </c>
      <c r="DC192" s="322">
        <f>DC194*DC65</f>
        <v>122.82266624086863</v>
      </c>
      <c r="DD192" s="322">
        <f>DD194*DD65</f>
        <v>120.48627028569037</v>
      </c>
      <c r="DE192" s="322">
        <f>DE194*DE65</f>
        <v>118.22881081722376</v>
      </c>
      <c r="DF192" s="322">
        <f>DF194*DF65</f>
        <v>116.46625956227325</v>
      </c>
      <c r="DG192" s="323">
        <f>SUM(DC192:DF192)</f>
        <v>478.00400690605602</v>
      </c>
      <c r="DH192" s="322">
        <f>DH194*DH65</f>
        <v>126.60416386645656</v>
      </c>
      <c r="DI192" s="322">
        <f>DI194*DI65</f>
        <v>125.05116974522379</v>
      </c>
      <c r="DJ192" s="322">
        <f>DJ194*DJ65</f>
        <v>123.55192060676028</v>
      </c>
      <c r="DK192" s="322">
        <f>DK194*DK65</f>
        <v>122.57406347436479</v>
      </c>
      <c r="DL192" s="323">
        <f>SUM(DH192:DK192)</f>
        <v>497.78131769280543</v>
      </c>
      <c r="DM192" s="322">
        <f>DM194*DM65</f>
        <v>134.18054082957195</v>
      </c>
      <c r="DN192" s="322">
        <f>DN194*DN65</f>
        <v>133.43042703699319</v>
      </c>
      <c r="DO192" s="322">
        <f>DO194*DO65</f>
        <v>132.72064488740622</v>
      </c>
      <c r="DP192" s="322">
        <f>DP194*DP65</f>
        <v>132.56943177454013</v>
      </c>
      <c r="DQ192" s="323">
        <f>SUM(DM192:DP192)</f>
        <v>532.90104452851153</v>
      </c>
      <c r="DR192" s="322">
        <f>DR194*DR65</f>
        <v>145.65125501842283</v>
      </c>
      <c r="DS192" s="322">
        <f>DS194*DS65</f>
        <v>144.89659080903917</v>
      </c>
      <c r="DT192" s="322">
        <f>DT194*DT65</f>
        <v>144.18490981944737</v>
      </c>
      <c r="DU192" s="322">
        <f>DU194*DU65</f>
        <v>144.08627120795222</v>
      </c>
      <c r="DV192" s="323">
        <f>SUM(DR192:DU192)</f>
        <v>578.81902685486159</v>
      </c>
      <c r="DW192" s="322">
        <f>DW194*DW65</f>
        <v>158.37523971875609</v>
      </c>
      <c r="DX192" s="322">
        <f>DX194*DX65</f>
        <v>157.61665155601949</v>
      </c>
      <c r="DY192" s="322">
        <f>DY194*DY65</f>
        <v>156.90394214157186</v>
      </c>
      <c r="DZ192" s="322">
        <f>DZ194*DZ65</f>
        <v>156.86422171799484</v>
      </c>
      <c r="EA192" s="323">
        <f>SUM(DW192:DZ192)</f>
        <v>629.76005513434234</v>
      </c>
      <c r="EC192" s="33"/>
      <c r="ED192" s="321"/>
      <c r="EE192" s="321"/>
      <c r="EF192" s="321"/>
      <c r="EG192" s="321"/>
      <c r="EH192" s="13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row>
    <row r="193" spans="1:259" s="110" customFormat="1" x14ac:dyDescent="0.2">
      <c r="A193" s="134" t="s">
        <v>36</v>
      </c>
      <c r="B193" s="1416"/>
      <c r="C193" s="1416"/>
      <c r="D193" s="1416"/>
      <c r="E193" s="1416"/>
      <c r="F193" s="1416"/>
      <c r="G193" s="1416"/>
      <c r="H193" s="1416"/>
      <c r="I193" s="1416"/>
      <c r="J193" s="1724"/>
      <c r="K193" s="1416"/>
      <c r="L193" s="1416"/>
      <c r="M193" s="1416"/>
      <c r="N193" s="1416"/>
      <c r="O193" s="1416"/>
      <c r="P193" s="1416"/>
      <c r="Q193" s="1416"/>
      <c r="R193" s="1416"/>
      <c r="S193" s="1416"/>
      <c r="T193" s="1416"/>
      <c r="U193" s="1416"/>
      <c r="V193" s="1416"/>
      <c r="W193" s="1416"/>
      <c r="X193" s="1416"/>
      <c r="Y193" s="1416"/>
      <c r="Z193" s="1416"/>
      <c r="AA193" s="1416"/>
      <c r="AB193" s="1416"/>
      <c r="AC193" s="1416"/>
      <c r="AD193" s="1416"/>
      <c r="AE193" s="1416"/>
      <c r="AF193" s="1416"/>
      <c r="AG193" s="1416"/>
      <c r="AH193" s="1416"/>
      <c r="AI193" s="1416"/>
      <c r="AJ193" s="1416"/>
      <c r="AK193" s="1416"/>
      <c r="AL193" s="1416"/>
      <c r="AM193" s="1416"/>
      <c r="AN193" s="1416"/>
      <c r="AO193" s="1737"/>
      <c r="AP193" s="1738"/>
      <c r="AQ193" s="1738"/>
      <c r="AR193" s="1738"/>
      <c r="AS193" s="1738"/>
      <c r="AT193" s="1737">
        <f t="shared" ref="AT193:BD193" si="514">AT192/AO192-1</f>
        <v>0.48275862068965525</v>
      </c>
      <c r="AU193" s="1738">
        <f t="shared" si="514"/>
        <v>0.81395348837209291</v>
      </c>
      <c r="AV193" s="1738">
        <f t="shared" si="514"/>
        <v>0.81395348837209291</v>
      </c>
      <c r="AW193" s="1738">
        <f t="shared" si="514"/>
        <v>0.81395348837209291</v>
      </c>
      <c r="AX193" s="1738">
        <f t="shared" si="514"/>
        <v>0.81395348837209291</v>
      </c>
      <c r="AY193" s="1737">
        <f t="shared" si="514"/>
        <v>0.81395348837209291</v>
      </c>
      <c r="AZ193" s="1738">
        <f t="shared" si="514"/>
        <v>-0.31623931623931623</v>
      </c>
      <c r="BA193" s="1738">
        <f t="shared" si="514"/>
        <v>0.35042735042735051</v>
      </c>
      <c r="BB193" s="1738">
        <f t="shared" si="514"/>
        <v>0.31623931623931623</v>
      </c>
      <c r="BC193" s="1738">
        <f t="shared" si="514"/>
        <v>0.31623931623931623</v>
      </c>
      <c r="BD193" s="1737">
        <f t="shared" si="514"/>
        <v>0.16666666666666674</v>
      </c>
      <c r="BE193" s="1738">
        <f>BE192/AZ192-1</f>
        <v>0.875</v>
      </c>
      <c r="BF193" s="1738">
        <f>BF192/BA192-1</f>
        <v>-0.10126582278481011</v>
      </c>
      <c r="BG193" s="1738">
        <f>BG192/BB192-1</f>
        <v>0.14285714285714279</v>
      </c>
      <c r="BH193" s="1738">
        <f>BH192/BC192-1</f>
        <v>0.14285714285714279</v>
      </c>
      <c r="BI193" s="1737">
        <f>BI192/BD192-1</f>
        <v>0.17948717948717952</v>
      </c>
      <c r="BJ193" s="1738">
        <f t="shared" ref="BJ193:CD193" si="515">BJ192/BE192-1</f>
        <v>0.15999999999999992</v>
      </c>
      <c r="BK193" s="1738">
        <f t="shared" si="515"/>
        <v>0.23943661971830976</v>
      </c>
      <c r="BL193" s="1738">
        <f t="shared" si="515"/>
        <v>0</v>
      </c>
      <c r="BM193" s="1738">
        <f t="shared" si="515"/>
        <v>0.125</v>
      </c>
      <c r="BN193" s="1737">
        <f t="shared" si="515"/>
        <v>0.12422360248447206</v>
      </c>
      <c r="BO193" s="1738">
        <f t="shared" si="515"/>
        <v>0.13793103448275867</v>
      </c>
      <c r="BP193" s="1738">
        <f t="shared" si="515"/>
        <v>0.11363636363636354</v>
      </c>
      <c r="BQ193" s="1738">
        <f t="shared" si="515"/>
        <v>0.11363636363636354</v>
      </c>
      <c r="BR193" s="1738">
        <f t="shared" si="515"/>
        <v>0.18181818181818188</v>
      </c>
      <c r="BS193" s="1737">
        <f t="shared" si="515"/>
        <v>0.13812154696132595</v>
      </c>
      <c r="BT193" s="1738">
        <f t="shared" si="515"/>
        <v>0.19191919191919182</v>
      </c>
      <c r="BU193" s="1738">
        <f t="shared" si="515"/>
        <v>0.18367346938775508</v>
      </c>
      <c r="BV193" s="1738">
        <f t="shared" si="515"/>
        <v>0.18367346938775508</v>
      </c>
      <c r="BW193" s="1738">
        <f t="shared" si="515"/>
        <v>0.11965811965811968</v>
      </c>
      <c r="BX193" s="1737">
        <f t="shared" si="515"/>
        <v>0.16747572815533984</v>
      </c>
      <c r="BY193" s="1738">
        <f t="shared" si="515"/>
        <v>0.11016949152542366</v>
      </c>
      <c r="BZ193" s="1738">
        <f t="shared" si="515"/>
        <v>0.1293103448275863</v>
      </c>
      <c r="CA193" s="1738">
        <f t="shared" si="515"/>
        <v>0.1293103448275863</v>
      </c>
      <c r="CB193" s="1738">
        <f t="shared" si="515"/>
        <v>0.19679389312977102</v>
      </c>
      <c r="CC193" s="1737">
        <f>CC192/BX192-1</f>
        <v>0.14299376299376299</v>
      </c>
      <c r="CD193" s="1739">
        <f t="shared" si="515"/>
        <v>0.18912213740458017</v>
      </c>
      <c r="CE193" s="1739">
        <f t="shared" ref="CE193:DQ193" si="516">CE192/BZ192-1</f>
        <v>0.18656488549618322</v>
      </c>
      <c r="CF193" s="1739">
        <f t="shared" si="516"/>
        <v>0.17889312977099237</v>
      </c>
      <c r="CG193" s="1739">
        <f t="shared" si="516"/>
        <v>8.0877662967215214E-2</v>
      </c>
      <c r="CH193" s="1740">
        <f t="shared" si="516"/>
        <v>0.15520753756047889</v>
      </c>
      <c r="CI193" s="1739">
        <f t="shared" si="516"/>
        <v>8.3575670036912131E-2</v>
      </c>
      <c r="CJ193" s="1739">
        <f t="shared" si="516"/>
        <v>8.3054554812146186E-2</v>
      </c>
      <c r="CK193" s="1739">
        <f t="shared" si="516"/>
        <v>8.2915142292874E-2</v>
      </c>
      <c r="CL193" s="1739">
        <f t="shared" si="516"/>
        <v>6.697745780715203E-2</v>
      </c>
      <c r="CM193" s="1740">
        <f t="shared" si="516"/>
        <v>7.8858780368754822E-2</v>
      </c>
      <c r="CN193" s="1739">
        <f t="shared" si="516"/>
        <v>8.3332345936466989E-2</v>
      </c>
      <c r="CO193" s="1739">
        <f t="shared" si="516"/>
        <v>8.4728244728244695E-2</v>
      </c>
      <c r="CP193" s="1739">
        <f t="shared" si="516"/>
        <v>8.8495575221238854E-2</v>
      </c>
      <c r="CQ193" s="1182">
        <f t="shared" si="516"/>
        <v>0.11686300536474747</v>
      </c>
      <c r="CR193" s="1183">
        <f t="shared" si="516"/>
        <v>9.3783658350773624E-2</v>
      </c>
      <c r="CS193" s="2102">
        <f t="shared" ref="CS193:DG193" si="517">CS192/CN192-1</f>
        <v>5.9061577162856871E-2</v>
      </c>
      <c r="CT193" s="2102">
        <f t="shared" si="517"/>
        <v>4.5374396267537254E-2</v>
      </c>
      <c r="CU193" s="2102">
        <f t="shared" si="517"/>
        <v>-1</v>
      </c>
      <c r="CV193" s="429">
        <f t="shared" si="517"/>
        <v>0.49212637417054572</v>
      </c>
      <c r="CW193" s="428">
        <f t="shared" si="517"/>
        <v>-8.482708745299905E-2</v>
      </c>
      <c r="CX193" s="429">
        <f t="shared" si="517"/>
        <v>-0.43612516781989052</v>
      </c>
      <c r="CY193" s="429">
        <f t="shared" si="517"/>
        <v>-0.43740178103719229</v>
      </c>
      <c r="CZ193" s="429"/>
      <c r="DA193" s="429">
        <f t="shared" si="517"/>
        <v>-0.65651135005973715</v>
      </c>
      <c r="DB193" s="428">
        <f t="shared" si="517"/>
        <v>-0.37890009914270717</v>
      </c>
      <c r="DC193" s="429">
        <f t="shared" si="517"/>
        <v>0.12474969085044529</v>
      </c>
      <c r="DD193" s="429">
        <f t="shared" si="517"/>
        <v>0.1218460920455342</v>
      </c>
      <c r="DE193" s="429">
        <f t="shared" si="517"/>
        <v>0.11641936560173538</v>
      </c>
      <c r="DF193" s="429">
        <f t="shared" si="517"/>
        <v>0.12527787016689129</v>
      </c>
      <c r="DG193" s="428">
        <f t="shared" si="517"/>
        <v>0.12207513358229116</v>
      </c>
      <c r="DH193" s="429">
        <f t="shared" si="516"/>
        <v>3.0788271752479224E-2</v>
      </c>
      <c r="DI193" s="429">
        <f t="shared" si="516"/>
        <v>3.788729992811124E-2</v>
      </c>
      <c r="DJ193" s="429">
        <f t="shared" si="516"/>
        <v>4.5023795407752143E-2</v>
      </c>
      <c r="DK193" s="429">
        <f t="shared" si="516"/>
        <v>5.2442689711570623E-2</v>
      </c>
      <c r="DL193" s="428">
        <f t="shared" si="516"/>
        <v>4.1374780338685246E-2</v>
      </c>
      <c r="DM193" s="429">
        <f t="shared" si="516"/>
        <v>5.9843031474912989E-2</v>
      </c>
      <c r="DN193" s="429">
        <f t="shared" si="516"/>
        <v>6.7006628637229948E-2</v>
      </c>
      <c r="DO193" s="429">
        <f t="shared" si="516"/>
        <v>7.4209484042162766E-2</v>
      </c>
      <c r="DP193" s="429">
        <f t="shared" si="516"/>
        <v>8.1545540849804476E-2</v>
      </c>
      <c r="DQ193" s="428">
        <f t="shared" si="516"/>
        <v>7.055252093124853E-2</v>
      </c>
      <c r="DR193" s="429">
        <f t="shared" ref="DR193" si="518">DR192/DM192-1</f>
        <v>8.5487166156382521E-2</v>
      </c>
      <c r="DS193" s="429">
        <f t="shared" ref="DS193" si="519">DS192/DN192-1</f>
        <v>8.5933651166888669E-2</v>
      </c>
      <c r="DT193" s="429">
        <f t="shared" ref="DT193" si="520">DT192/DO192-1</f>
        <v>8.6378912201390268E-2</v>
      </c>
      <c r="DU193" s="429">
        <f t="shared" ref="DU193" si="521">DU192/DP192-1</f>
        <v>8.6874019743847786E-2</v>
      </c>
      <c r="DV193" s="428">
        <f t="shared" ref="DV193" si="522">DV192/DQ192-1</f>
        <v>8.6166058028608994E-2</v>
      </c>
      <c r="DW193" s="429">
        <f t="shared" ref="DW193" si="523">DW192/DR192-1</f>
        <v>8.7359252062221282E-2</v>
      </c>
      <c r="DX193" s="429">
        <f t="shared" ref="DX193" si="524">DX192/DS192-1</f>
        <v>8.7787163769396326E-2</v>
      </c>
      <c r="DY193" s="429">
        <f t="shared" ref="DY193" si="525">DY192/DT192-1</f>
        <v>8.821333895517669E-2</v>
      </c>
      <c r="DZ193" s="429">
        <f t="shared" ref="DZ193" si="526">DZ192/DU192-1</f>
        <v>8.8682637165347078E-2</v>
      </c>
      <c r="EA193" s="428">
        <f t="shared" ref="EA193" si="527">EA192/DV192-1</f>
        <v>8.800855866172852E-2</v>
      </c>
      <c r="EC193" s="33"/>
      <c r="ED193" s="321"/>
      <c r="EE193" s="321"/>
      <c r="EF193" s="321"/>
      <c r="EG193" s="321"/>
      <c r="EH193" s="702"/>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row>
    <row r="194" spans="1:259" s="15" customFormat="1" x14ac:dyDescent="0.2">
      <c r="A194" s="15" t="s">
        <v>552</v>
      </c>
      <c r="B194" s="1358"/>
      <c r="C194" s="1358"/>
      <c r="D194" s="1358"/>
      <c r="E194" s="1358"/>
      <c r="F194" s="1358"/>
      <c r="G194" s="1358"/>
      <c r="H194" s="1358"/>
      <c r="I194" s="1358"/>
      <c r="J194" s="1675"/>
      <c r="K194" s="1358"/>
      <c r="L194" s="1358"/>
      <c r="M194" s="1358"/>
      <c r="N194" s="1358"/>
      <c r="O194" s="1358"/>
      <c r="P194" s="1358"/>
      <c r="Q194" s="1358"/>
      <c r="R194" s="1358"/>
      <c r="S194" s="1358"/>
      <c r="T194" s="1358"/>
      <c r="U194" s="1358"/>
      <c r="V194" s="1358"/>
      <c r="W194" s="1358"/>
      <c r="X194" s="1358"/>
      <c r="Y194" s="1358"/>
      <c r="Z194" s="1358"/>
      <c r="AA194" s="1358"/>
      <c r="AB194" s="1358"/>
      <c r="AC194" s="1358"/>
      <c r="AD194" s="1358"/>
      <c r="AE194" s="1358"/>
      <c r="AF194" s="1358"/>
      <c r="AG194" s="1358"/>
      <c r="AH194" s="1358"/>
      <c r="AI194" s="1358"/>
      <c r="AJ194" s="1358"/>
      <c r="AK194" s="1358"/>
      <c r="AL194" s="1358"/>
      <c r="AM194" s="1358"/>
      <c r="AN194" s="1358"/>
      <c r="AO194" s="1741">
        <f>AO192/AO176</f>
        <v>0.14897260273972604</v>
      </c>
      <c r="AP194" s="1358"/>
      <c r="AQ194" s="1358"/>
      <c r="AR194" s="1358"/>
      <c r="AS194" s="1358"/>
      <c r="AT194" s="1741">
        <f>AT192/AT176</f>
        <v>0.23035714285714284</v>
      </c>
      <c r="AU194" s="1358"/>
      <c r="AV194" s="1358"/>
      <c r="AW194" s="1358"/>
      <c r="AX194" s="1358"/>
      <c r="AY194" s="1741">
        <f>AY192/AY176</f>
        <v>0.43014705882352944</v>
      </c>
      <c r="AZ194" s="1358">
        <f>0.15/2</f>
        <v>7.4999999999999997E-2</v>
      </c>
      <c r="BA194" s="1358">
        <v>0.15</v>
      </c>
      <c r="BB194" s="1358">
        <v>0.15</v>
      </c>
      <c r="BC194" s="1358">
        <v>0.15</v>
      </c>
      <c r="BD194" s="1741">
        <f>BD192/BD176</f>
        <v>0.52298850574712641</v>
      </c>
      <c r="BE194" s="1358">
        <v>0.15</v>
      </c>
      <c r="BF194" s="1358">
        <v>0.15</v>
      </c>
      <c r="BG194" s="1358">
        <v>0.19</v>
      </c>
      <c r="BH194" s="1358">
        <v>0.19</v>
      </c>
      <c r="BI194" s="1741">
        <f>BI192/BI176</f>
        <v>0.67789473684210522</v>
      </c>
      <c r="BJ194" s="1742">
        <f>BJ192/BJ65</f>
        <v>0.18162839248434237</v>
      </c>
      <c r="BK194" s="1742">
        <f>BK192/BK65</f>
        <v>0.18219461697722567</v>
      </c>
      <c r="BL194" s="1742">
        <f>BL192/BL65</f>
        <v>0.18144329896907216</v>
      </c>
      <c r="BM194" s="1742">
        <f>BM192/BM65</f>
        <v>0.20412371134020618</v>
      </c>
      <c r="BN194" s="1741">
        <f>BN192/BN176</f>
        <v>0.76857749469214443</v>
      </c>
      <c r="BO194" s="1743">
        <f>BO192/BO65</f>
        <v>0.20412371134020618</v>
      </c>
      <c r="BP194" s="1743">
        <f>BP192/BP65</f>
        <v>0.2020618556701031</v>
      </c>
      <c r="BQ194" s="1743">
        <f>BQ192/BQ65</f>
        <v>0.2024793388429752</v>
      </c>
      <c r="BR194" s="1743">
        <f>BR192/BR65</f>
        <v>0.23975409836065573</v>
      </c>
      <c r="BS194" s="1741">
        <f>BS192/BS176</f>
        <v>0.86919831223628696</v>
      </c>
      <c r="BT194" s="1743">
        <f>BT192/BT65</f>
        <v>0.24279835390946503</v>
      </c>
      <c r="BU194" s="1743">
        <f>BU192/BU65</f>
        <v>0.23966942148760331</v>
      </c>
      <c r="BV194" s="1743">
        <f>BV192/BV65</f>
        <v>0.24116424116424118</v>
      </c>
      <c r="BW194" s="1743">
        <f>BW192/BW65</f>
        <v>0.27463312368972748</v>
      </c>
      <c r="BX194" s="1741">
        <f>BX192/BX176</f>
        <v>1.0255863539445629</v>
      </c>
      <c r="BY194" s="1743">
        <f>BY192/BY65</f>
        <v>0.27405857740585776</v>
      </c>
      <c r="BZ194" s="1743">
        <f>BZ192/BZ65</f>
        <v>0.27463312368972748</v>
      </c>
      <c r="CA194" s="1743">
        <f>CA192/CA65</f>
        <v>0.27754237288135591</v>
      </c>
      <c r="CB194" s="1744">
        <v>0.33500000000000002</v>
      </c>
      <c r="CC194" s="1741">
        <f>CC192/CC176</f>
        <v>1.1925813449023861</v>
      </c>
      <c r="CD194" s="1745">
        <v>0.33500000000000002</v>
      </c>
      <c r="CE194" s="1745">
        <v>0.33500000000000002</v>
      </c>
      <c r="CF194" s="1745">
        <v>0.33500000000000002</v>
      </c>
      <c r="CG194" s="1745">
        <v>0.37</v>
      </c>
      <c r="CH194" s="1746">
        <f>CH192/CH176</f>
        <v>1.4051106194690266</v>
      </c>
      <c r="CI194" s="1745">
        <f>CG194</f>
        <v>0.37</v>
      </c>
      <c r="CJ194" s="1745">
        <f>CG194</f>
        <v>0.37</v>
      </c>
      <c r="CK194" s="1745">
        <f>CG194</f>
        <v>0.37</v>
      </c>
      <c r="CL194" s="1745">
        <v>0.41</v>
      </c>
      <c r="CM194" s="1746">
        <f>CM192/CM176</f>
        <v>1.5432297297297297</v>
      </c>
      <c r="CN194" s="1745">
        <f>CL194</f>
        <v>0.41</v>
      </c>
      <c r="CO194" s="1745">
        <f>CL194</f>
        <v>0.41</v>
      </c>
      <c r="CP194" s="1745">
        <f>CL194</f>
        <v>0.41</v>
      </c>
      <c r="CQ194" s="1922">
        <v>0.46</v>
      </c>
      <c r="CR194" s="1981">
        <f>CR192/CR176</f>
        <v>1.7189311926605504</v>
      </c>
      <c r="CS194" s="2103">
        <v>0.46</v>
      </c>
      <c r="CT194" s="2103">
        <v>0.46</v>
      </c>
      <c r="CU194" s="2308">
        <v>0</v>
      </c>
      <c r="CV194" s="2309">
        <v>0.81</v>
      </c>
      <c r="CW194" s="2310">
        <f>CW192/CW176</f>
        <v>1.7265701699181875</v>
      </c>
      <c r="CX194" s="2309">
        <v>0.3</v>
      </c>
      <c r="CY194" s="2309">
        <v>0.3</v>
      </c>
      <c r="CZ194" s="2309">
        <v>0.3</v>
      </c>
      <c r="DA194" s="2309">
        <v>0.3</v>
      </c>
      <c r="DB194" s="2310">
        <f>DB192/DB176</f>
        <v>1.2232649018527375</v>
      </c>
      <c r="DC194" s="19">
        <f>CX194*(1+DC195)</f>
        <v>0.36</v>
      </c>
      <c r="DD194" s="19">
        <f t="shared" ref="DD194:DF194" si="528">CY194*(1+DD195)</f>
        <v>0.36</v>
      </c>
      <c r="DE194" s="19">
        <f t="shared" si="528"/>
        <v>0.36</v>
      </c>
      <c r="DF194" s="19">
        <f t="shared" si="528"/>
        <v>0.36</v>
      </c>
      <c r="DG194" s="430">
        <f>DG192/DG176</f>
        <v>1.466507358504143</v>
      </c>
      <c r="DH194" s="19">
        <f>DC194*(1+DH195)</f>
        <v>0.39600000000000002</v>
      </c>
      <c r="DI194" s="19">
        <f t="shared" ref="DI194" si="529">DD194*(1+DI195)</f>
        <v>0.39600000000000002</v>
      </c>
      <c r="DJ194" s="19">
        <f t="shared" ref="DJ194" si="530">DE194*(1+DJ195)</f>
        <v>0.39600000000000002</v>
      </c>
      <c r="DK194" s="19">
        <f t="shared" ref="DK194" si="531">DF194*(1+DK195)</f>
        <v>0.39600000000000002</v>
      </c>
      <c r="DL194" s="430">
        <f>DL192/DL176</f>
        <v>1.6148315284255561</v>
      </c>
      <c r="DM194" s="19">
        <f>DH194*(1+DM195)</f>
        <v>0.43560000000000004</v>
      </c>
      <c r="DN194" s="19">
        <f t="shared" ref="DN194" si="532">DI194*(1+DN195)</f>
        <v>0.43560000000000004</v>
      </c>
      <c r="DO194" s="19">
        <f t="shared" ref="DO194" si="533">DJ194*(1+DO195)</f>
        <v>0.43560000000000004</v>
      </c>
      <c r="DP194" s="19">
        <f t="shared" ref="DP194" si="534">DK194*(1+DP195)</f>
        <v>0.43560000000000004</v>
      </c>
      <c r="DQ194" s="430">
        <f>DQ192/DQ176</f>
        <v>1.7772662332331355</v>
      </c>
      <c r="DR194" s="19">
        <f>DM194*(1+DR195)</f>
        <v>0.47916000000000009</v>
      </c>
      <c r="DS194" s="19">
        <f t="shared" ref="DS194" si="535">DN194*(1+DS195)</f>
        <v>0.47916000000000009</v>
      </c>
      <c r="DT194" s="19">
        <f t="shared" ref="DT194" si="536">DO194*(1+DT195)</f>
        <v>0.47916000000000009</v>
      </c>
      <c r="DU194" s="19">
        <f t="shared" ref="DU194" si="537">DP194*(1+DU195)</f>
        <v>0.47916000000000009</v>
      </c>
      <c r="DV194" s="430">
        <f>DV192/DV176</f>
        <v>1.9554912390349297</v>
      </c>
      <c r="DW194" s="19">
        <f>DR194*(1+DW195)</f>
        <v>0.5270760000000001</v>
      </c>
      <c r="DX194" s="19">
        <f t="shared" ref="DX194" si="538">DS194*(1+DX195)</f>
        <v>0.5270760000000001</v>
      </c>
      <c r="DY194" s="19">
        <f t="shared" ref="DY194" si="539">DT194*(1+DY195)</f>
        <v>0.5270760000000001</v>
      </c>
      <c r="DZ194" s="19">
        <f t="shared" ref="DZ194" si="540">DU194*(1+DZ195)</f>
        <v>0.5270760000000001</v>
      </c>
      <c r="EA194" s="430">
        <f>EA192/EA176</f>
        <v>2.1515210351307794</v>
      </c>
      <c r="EC194" s="33"/>
      <c r="ED194" s="321"/>
      <c r="EE194" s="321"/>
      <c r="EF194" s="321"/>
      <c r="EG194" s="321"/>
      <c r="EH194" s="132"/>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row>
    <row r="195" spans="1:259" s="110" customFormat="1" x14ac:dyDescent="0.2">
      <c r="A195" s="134" t="s">
        <v>36</v>
      </c>
      <c r="B195" s="1416"/>
      <c r="C195" s="1416"/>
      <c r="D195" s="1416"/>
      <c r="E195" s="1416"/>
      <c r="F195" s="1416"/>
      <c r="G195" s="1416"/>
      <c r="H195" s="1416"/>
      <c r="I195" s="1416"/>
      <c r="J195" s="1724"/>
      <c r="K195" s="1416"/>
      <c r="L195" s="1416"/>
      <c r="M195" s="1416"/>
      <c r="N195" s="1416"/>
      <c r="O195" s="1416"/>
      <c r="P195" s="1416"/>
      <c r="Q195" s="1416"/>
      <c r="R195" s="1416"/>
      <c r="S195" s="1416"/>
      <c r="T195" s="1416"/>
      <c r="U195" s="1416"/>
      <c r="V195" s="1416"/>
      <c r="W195" s="1416"/>
      <c r="X195" s="1416"/>
      <c r="Y195" s="1416"/>
      <c r="Z195" s="1416"/>
      <c r="AA195" s="1416"/>
      <c r="AB195" s="1416"/>
      <c r="AC195" s="1416"/>
      <c r="AD195" s="1416"/>
      <c r="AE195" s="1416"/>
      <c r="AF195" s="1416"/>
      <c r="AG195" s="1416"/>
      <c r="AH195" s="1416"/>
      <c r="AI195" s="1416"/>
      <c r="AJ195" s="1416"/>
      <c r="AK195" s="1416"/>
      <c r="AL195" s="1416"/>
      <c r="AM195" s="1416"/>
      <c r="AN195" s="1416"/>
      <c r="AO195" s="1725"/>
      <c r="AP195" s="1416"/>
      <c r="AQ195" s="1416"/>
      <c r="AR195" s="1416"/>
      <c r="AS195" s="1416"/>
      <c r="AT195" s="1726">
        <f>AT194/AO194-1</f>
        <v>0.54630541871921157</v>
      </c>
      <c r="AU195" s="1416"/>
      <c r="AV195" s="1416"/>
      <c r="AW195" s="1416"/>
      <c r="AX195" s="1416"/>
      <c r="AY195" s="1726">
        <f>AY194/AT194-1</f>
        <v>0.86730506155950771</v>
      </c>
      <c r="AZ195" s="1416"/>
      <c r="BA195" s="1416"/>
      <c r="BB195" s="1416"/>
      <c r="BC195" s="1416"/>
      <c r="BD195" s="1726">
        <f t="shared" ref="BD195:CD195" si="541">BD194/AY194-1</f>
        <v>0.21583652618135374</v>
      </c>
      <c r="BE195" s="1727">
        <f t="shared" si="541"/>
        <v>1</v>
      </c>
      <c r="BF195" s="1727">
        <f t="shared" si="541"/>
        <v>0</v>
      </c>
      <c r="BG195" s="1727">
        <f t="shared" si="541"/>
        <v>0.26666666666666683</v>
      </c>
      <c r="BH195" s="1727">
        <f t="shared" si="541"/>
        <v>0.26666666666666683</v>
      </c>
      <c r="BI195" s="1726">
        <f t="shared" si="541"/>
        <v>0.29619433198380563</v>
      </c>
      <c r="BJ195" s="1727">
        <f t="shared" si="541"/>
        <v>0.21085594989561596</v>
      </c>
      <c r="BK195" s="1727">
        <f t="shared" si="541"/>
        <v>0.21463077984817125</v>
      </c>
      <c r="BL195" s="1727">
        <f t="shared" si="541"/>
        <v>-4.5035268583830779E-2</v>
      </c>
      <c r="BM195" s="1727">
        <f t="shared" si="541"/>
        <v>7.4335322843190443E-2</v>
      </c>
      <c r="BN195" s="1726">
        <f t="shared" si="541"/>
        <v>0.13377114900238696</v>
      </c>
      <c r="BO195" s="1727">
        <f t="shared" si="541"/>
        <v>0.12385353714895131</v>
      </c>
      <c r="BP195" s="1727">
        <f t="shared" si="541"/>
        <v>0.10904404873477036</v>
      </c>
      <c r="BQ195" s="1727">
        <f t="shared" si="541"/>
        <v>0.11593726521412462</v>
      </c>
      <c r="BR195" s="1727">
        <f t="shared" si="541"/>
        <v>0.17455290611028307</v>
      </c>
      <c r="BS195" s="1726">
        <f t="shared" si="541"/>
        <v>0.13091824603119107</v>
      </c>
      <c r="BT195" s="1727">
        <f t="shared" si="541"/>
        <v>0.18946668329384386</v>
      </c>
      <c r="BU195" s="1727">
        <f t="shared" si="541"/>
        <v>0.18611907572946529</v>
      </c>
      <c r="BV195" s="1727">
        <f t="shared" si="541"/>
        <v>0.19105604819890543</v>
      </c>
      <c r="BW195" s="1727">
        <f t="shared" si="541"/>
        <v>0.14547832786826498</v>
      </c>
      <c r="BX195" s="1726">
        <f t="shared" si="541"/>
        <v>0.17992216448961851</v>
      </c>
      <c r="BY195" s="1727">
        <f t="shared" si="541"/>
        <v>0.1287497340614141</v>
      </c>
      <c r="BZ195" s="1727">
        <f t="shared" si="541"/>
        <v>0.14588303332610431</v>
      </c>
      <c r="CA195" s="1727">
        <f t="shared" si="541"/>
        <v>0.15084380479251891</v>
      </c>
      <c r="CB195" s="1738">
        <f t="shared" si="541"/>
        <v>0.21980916030534359</v>
      </c>
      <c r="CC195" s="1737">
        <f>CC194/BX194-1</f>
        <v>0.16282879575721232</v>
      </c>
      <c r="CD195" s="1739">
        <f t="shared" si="541"/>
        <v>0.22236641221374054</v>
      </c>
      <c r="CE195" s="1739">
        <f t="shared" ref="CE195:CK195" si="542">CE194/BZ194-1</f>
        <v>0.21980916030534359</v>
      </c>
      <c r="CF195" s="1739">
        <f t="shared" si="542"/>
        <v>0.20702290076335883</v>
      </c>
      <c r="CG195" s="1739">
        <f t="shared" si="542"/>
        <v>0.10447761194029836</v>
      </c>
      <c r="CH195" s="1740">
        <f t="shared" si="542"/>
        <v>0.17820945755615214</v>
      </c>
      <c r="CI195" s="1739">
        <f t="shared" si="542"/>
        <v>0.10447761194029836</v>
      </c>
      <c r="CJ195" s="1739">
        <f t="shared" si="542"/>
        <v>0.10447761194029836</v>
      </c>
      <c r="CK195" s="1739">
        <f t="shared" si="542"/>
        <v>0.10447761194029836</v>
      </c>
      <c r="CL195" s="1739">
        <f t="shared" ref="CL195:CU195" si="543">CL194/CG194-1</f>
        <v>0.10810810810810811</v>
      </c>
      <c r="CM195" s="1740">
        <f t="shared" si="543"/>
        <v>9.8297677312336074E-2</v>
      </c>
      <c r="CN195" s="1739">
        <f t="shared" si="543"/>
        <v>0.10810810810810811</v>
      </c>
      <c r="CO195" s="1739">
        <f t="shared" si="543"/>
        <v>0.10810810810810811</v>
      </c>
      <c r="CP195" s="1739">
        <f t="shared" si="543"/>
        <v>0.10810810810810811</v>
      </c>
      <c r="CQ195" s="1182">
        <f t="shared" si="543"/>
        <v>0.12195121951219523</v>
      </c>
      <c r="CR195" s="1183">
        <f t="shared" si="543"/>
        <v>0.11385308327464094</v>
      </c>
      <c r="CS195" s="2102">
        <f t="shared" si="543"/>
        <v>0.12195121951219523</v>
      </c>
      <c r="CT195" s="2102">
        <f t="shared" si="543"/>
        <v>0.12195121951219523</v>
      </c>
      <c r="CU195" s="2102">
        <f t="shared" si="543"/>
        <v>-1</v>
      </c>
      <c r="CV195" s="429">
        <v>0.1</v>
      </c>
      <c r="CW195" s="428">
        <f>CW194/CR194-1</f>
        <v>4.4440273643608919E-3</v>
      </c>
      <c r="CX195" s="429">
        <f>CX194/CS194-1</f>
        <v>-0.34782608695652184</v>
      </c>
      <c r="CY195" s="429">
        <f>CY194/CT194-1</f>
        <v>-0.34782608695652184</v>
      </c>
      <c r="CZ195" s="429"/>
      <c r="DA195" s="429">
        <f t="shared" ref="DA195" si="544">DA194/CV194-1</f>
        <v>-0.62962962962962965</v>
      </c>
      <c r="DB195" s="428">
        <f>DB194/CW194-1</f>
        <v>-0.29150582862745666</v>
      </c>
      <c r="DC195" s="2311">
        <v>0.2</v>
      </c>
      <c r="DD195" s="2311">
        <v>0.2</v>
      </c>
      <c r="DE195" s="2311">
        <v>0.2</v>
      </c>
      <c r="DF195" s="2311">
        <v>0.2</v>
      </c>
      <c r="DG195" s="428">
        <f>DG194/DB194-1</f>
        <v>0.19884691883417438</v>
      </c>
      <c r="DH195" s="2311">
        <v>0.1</v>
      </c>
      <c r="DI195" s="2311">
        <v>0.1</v>
      </c>
      <c r="DJ195" s="2311">
        <v>0.1</v>
      </c>
      <c r="DK195" s="2311">
        <v>0.1</v>
      </c>
      <c r="DL195" s="428">
        <f>DL194/DG194-1</f>
        <v>0.10114110172123891</v>
      </c>
      <c r="DM195" s="2311">
        <v>0.1</v>
      </c>
      <c r="DN195" s="2311">
        <v>0.1</v>
      </c>
      <c r="DO195" s="2311">
        <v>0.1</v>
      </c>
      <c r="DP195" s="2311">
        <v>0.1</v>
      </c>
      <c r="DQ195" s="428">
        <f>DQ194/DL194-1</f>
        <v>0.10058925773263261</v>
      </c>
      <c r="DR195" s="2311">
        <v>0.1</v>
      </c>
      <c r="DS195" s="2311">
        <v>0.1</v>
      </c>
      <c r="DT195" s="2311">
        <v>0.1</v>
      </c>
      <c r="DU195" s="2311">
        <v>0.1</v>
      </c>
      <c r="DV195" s="428">
        <f>DV194/DQ194-1</f>
        <v>0.1002804208335033</v>
      </c>
      <c r="DW195" s="2311">
        <v>0.1</v>
      </c>
      <c r="DX195" s="2311">
        <v>0.1</v>
      </c>
      <c r="DY195" s="2311">
        <v>0.1</v>
      </c>
      <c r="DZ195" s="2311">
        <v>0.1</v>
      </c>
      <c r="EA195" s="428">
        <f>EA194/DV194-1</f>
        <v>0.10024580636453995</v>
      </c>
      <c r="EC195" s="33"/>
      <c r="ED195" s="321"/>
      <c r="EE195" s="321"/>
      <c r="EF195" s="321"/>
      <c r="EG195" s="321"/>
      <c r="EH195" s="702"/>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row>
    <row r="196" spans="1:259" s="15" customFormat="1" x14ac:dyDescent="0.2">
      <c r="A196" s="23" t="s">
        <v>553</v>
      </c>
      <c r="B196" s="1511"/>
      <c r="C196" s="1511"/>
      <c r="D196" s="1511"/>
      <c r="E196" s="1511"/>
      <c r="F196" s="1511"/>
      <c r="G196" s="1511"/>
      <c r="H196" s="1511"/>
      <c r="I196" s="1511"/>
      <c r="J196" s="1512"/>
      <c r="K196" s="1511"/>
      <c r="L196" s="1511"/>
      <c r="M196" s="1511"/>
      <c r="N196" s="1511"/>
      <c r="O196" s="1511"/>
      <c r="P196" s="1511"/>
      <c r="Q196" s="1511"/>
      <c r="R196" s="1511"/>
      <c r="S196" s="1511"/>
      <c r="T196" s="1511"/>
      <c r="U196" s="1511"/>
      <c r="V196" s="1511"/>
      <c r="W196" s="1511"/>
      <c r="X196" s="1511"/>
      <c r="Y196" s="1511"/>
      <c r="Z196" s="1511"/>
      <c r="AA196" s="1511"/>
      <c r="AB196" s="1511"/>
      <c r="AC196" s="1511"/>
      <c r="AD196" s="1511"/>
      <c r="AE196" s="1511"/>
      <c r="AF196" s="1511"/>
      <c r="AG196" s="1511"/>
      <c r="AH196" s="1511"/>
      <c r="AI196" s="1511"/>
      <c r="AJ196" s="1511"/>
      <c r="AK196" s="1511"/>
      <c r="AL196" s="1511"/>
      <c r="AM196" s="1511"/>
      <c r="AN196" s="1511"/>
      <c r="AO196" s="1747"/>
      <c r="AP196" s="1511"/>
      <c r="AQ196" s="1511"/>
      <c r="AR196" s="1511"/>
      <c r="AS196" s="1511"/>
      <c r="AT196" s="1634">
        <f>AT194/AT168</f>
        <v>9.1690803542831059E-3</v>
      </c>
      <c r="AU196" s="1511"/>
      <c r="AV196" s="1511"/>
      <c r="AW196" s="1511"/>
      <c r="AX196" s="1511"/>
      <c r="AY196" s="1634">
        <f>AY194/AY168</f>
        <v>1.715923670589125E-2</v>
      </c>
      <c r="AZ196" s="1511"/>
      <c r="BA196" s="1511"/>
      <c r="BB196" s="1511"/>
      <c r="BC196" s="1511"/>
      <c r="BD196" s="1634">
        <f>BD194/BD168</f>
        <v>1.5881239024384087E-2</v>
      </c>
      <c r="BE196" s="1511"/>
      <c r="BF196" s="1511"/>
      <c r="BG196" s="1511"/>
      <c r="BH196" s="1511"/>
      <c r="BI196" s="1634">
        <f>BI194/BI168</f>
        <v>2.0489586904153818E-2</v>
      </c>
      <c r="BJ196" s="1511"/>
      <c r="BK196" s="1511"/>
      <c r="BL196" s="1511"/>
      <c r="BM196" s="1511"/>
      <c r="BN196" s="1634">
        <f>BN194/BN168</f>
        <v>2.5407520485690723E-2</v>
      </c>
      <c r="BO196" s="1511"/>
      <c r="BP196" s="1511"/>
      <c r="BQ196" s="1511"/>
      <c r="BR196" s="1511"/>
      <c r="BS196" s="1634">
        <f>BS194/BS168</f>
        <v>2.1445800943407031E-2</v>
      </c>
      <c r="BT196" s="1511"/>
      <c r="BU196" s="1511"/>
      <c r="BV196" s="1511"/>
      <c r="BW196" s="1511"/>
      <c r="BX196" s="1634">
        <f>BX194/BX168</f>
        <v>1.9951101136943154E-2</v>
      </c>
      <c r="BY196" s="1511"/>
      <c r="BZ196" s="1511"/>
      <c r="CA196" s="1511"/>
      <c r="CB196" s="1511"/>
      <c r="CC196" s="1747"/>
      <c r="CD196" s="1605"/>
      <c r="CE196" s="1605"/>
      <c r="CF196" s="1605"/>
      <c r="CG196" s="1605"/>
      <c r="CH196" s="1748"/>
      <c r="CI196" s="1605"/>
      <c r="CJ196" s="1605"/>
      <c r="CK196" s="1605"/>
      <c r="CL196" s="1605"/>
      <c r="CM196" s="1748"/>
      <c r="CN196" s="1605"/>
      <c r="CO196" s="1605"/>
      <c r="CP196" s="1605"/>
      <c r="CQ196" s="1923"/>
      <c r="CR196" s="1982"/>
      <c r="CS196" s="2104"/>
      <c r="CT196" s="2104"/>
      <c r="CU196" s="2104"/>
      <c r="CV196" s="23"/>
      <c r="CW196" s="294"/>
      <c r="CX196" s="23"/>
      <c r="CY196" s="23"/>
      <c r="CZ196" s="23"/>
      <c r="DA196" s="23"/>
      <c r="DB196" s="294"/>
      <c r="DC196" s="23"/>
      <c r="DD196" s="23"/>
      <c r="DE196" s="23"/>
      <c r="DF196" s="23"/>
      <c r="DG196" s="294"/>
      <c r="DH196" s="23"/>
      <c r="DI196" s="23"/>
      <c r="DJ196" s="23"/>
      <c r="DK196" s="23"/>
      <c r="DL196" s="294"/>
      <c r="DM196" s="23"/>
      <c r="DN196" s="23"/>
      <c r="DO196" s="23"/>
      <c r="DP196" s="23"/>
      <c r="DQ196" s="294"/>
      <c r="DR196" s="23"/>
      <c r="DS196" s="23"/>
      <c r="DT196" s="23"/>
      <c r="DU196" s="23"/>
      <c r="DV196" s="294"/>
      <c r="DW196" s="23"/>
      <c r="DX196" s="23"/>
      <c r="DY196" s="23"/>
      <c r="DZ196" s="23"/>
      <c r="EA196" s="294"/>
      <c r="EC196" s="33"/>
      <c r="ED196" s="321"/>
      <c r="EE196" s="321"/>
      <c r="EF196" s="321"/>
      <c r="EG196" s="321"/>
      <c r="EH196" s="132"/>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row>
    <row r="197" spans="1:259" s="15" customFormat="1" x14ac:dyDescent="0.2">
      <c r="A197" s="15" t="s">
        <v>481</v>
      </c>
      <c r="B197" s="1358"/>
      <c r="C197" s="1358"/>
      <c r="D197" s="1358"/>
      <c r="E197" s="1358"/>
      <c r="F197" s="1358"/>
      <c r="G197" s="1358"/>
      <c r="H197" s="1358"/>
      <c r="I197" s="1358"/>
      <c r="J197" s="1675"/>
      <c r="K197" s="1358"/>
      <c r="L197" s="1358"/>
      <c r="M197" s="1358"/>
      <c r="N197" s="1358"/>
      <c r="O197" s="1358"/>
      <c r="P197" s="1358"/>
      <c r="Q197" s="1358"/>
      <c r="R197" s="1358"/>
      <c r="S197" s="1358"/>
      <c r="T197" s="1358"/>
      <c r="U197" s="1358"/>
      <c r="V197" s="1358"/>
      <c r="W197" s="1358"/>
      <c r="X197" s="1358"/>
      <c r="Y197" s="1358"/>
      <c r="Z197" s="1358"/>
      <c r="AA197" s="1358"/>
      <c r="AB197" s="1358"/>
      <c r="AC197" s="1358"/>
      <c r="AD197" s="1358"/>
      <c r="AE197" s="1358"/>
      <c r="AF197" s="1358"/>
      <c r="AG197" s="1358"/>
      <c r="AH197" s="1358"/>
      <c r="AI197" s="1358"/>
      <c r="AJ197" s="1358"/>
      <c r="AK197" s="1358"/>
      <c r="AL197" s="1358"/>
      <c r="AM197" s="1358"/>
      <c r="AN197" s="1358"/>
      <c r="AO197" s="1358"/>
      <c r="AP197" s="1358"/>
      <c r="AQ197" s="1358"/>
      <c r="AR197" s="1358"/>
      <c r="AS197" s="1358"/>
      <c r="AT197" s="1358"/>
      <c r="AU197" s="1358"/>
      <c r="AV197" s="1358"/>
      <c r="AW197" s="1358"/>
      <c r="AX197" s="1358"/>
      <c r="AY197" s="1358"/>
      <c r="AZ197" s="1358"/>
      <c r="BA197" s="1358"/>
      <c r="BB197" s="1358"/>
      <c r="BC197" s="1358"/>
      <c r="BD197" s="1518"/>
      <c r="BE197" s="1358"/>
      <c r="BF197" s="1358"/>
      <c r="BG197" s="1358"/>
      <c r="BH197" s="1358"/>
      <c r="BI197" s="1518"/>
      <c r="BJ197" s="1358"/>
      <c r="BK197" s="1358"/>
      <c r="BL197" s="1358"/>
      <c r="BM197" s="1358"/>
      <c r="BN197" s="1518"/>
      <c r="BO197" s="1749">
        <f t="shared" ref="BO197:CT197" si="545">BO192/BO49</f>
        <v>0.41078838174273857</v>
      </c>
      <c r="BP197" s="1749">
        <f t="shared" si="545"/>
        <v>0.34265734265734266</v>
      </c>
      <c r="BQ197" s="1749">
        <f t="shared" si="545"/>
        <v>0.27450980392156865</v>
      </c>
      <c r="BR197" s="1749">
        <f t="shared" si="545"/>
        <v>0.42700729927007297</v>
      </c>
      <c r="BS197" s="1749">
        <f t="shared" si="545"/>
        <v>0.35578583765112265</v>
      </c>
      <c r="BT197" s="1749">
        <f t="shared" si="545"/>
        <v>0.44696969696969696</v>
      </c>
      <c r="BU197" s="1749">
        <f t="shared" si="545"/>
        <v>0.36708860759493672</v>
      </c>
      <c r="BV197" s="1749">
        <f t="shared" si="545"/>
        <v>0.30287206266318539</v>
      </c>
      <c r="BW197" s="1749">
        <f t="shared" si="545"/>
        <v>0.36797752808988765</v>
      </c>
      <c r="BX197" s="1749">
        <f t="shared" si="545"/>
        <v>0.36467020470053069</v>
      </c>
      <c r="BY197" s="1749">
        <f t="shared" si="545"/>
        <v>0.28602620087336245</v>
      </c>
      <c r="BZ197" s="1749">
        <f t="shared" si="545"/>
        <v>0.39577039274924469</v>
      </c>
      <c r="CA197" s="1749">
        <f t="shared" si="545"/>
        <v>0.2781316348195329</v>
      </c>
      <c r="CB197" s="1749">
        <f t="shared" si="545"/>
        <v>0.46522255192878337</v>
      </c>
      <c r="CC197" s="1749">
        <f t="shared" si="545"/>
        <v>0.34425798371947397</v>
      </c>
      <c r="CD197" s="1750">
        <f t="shared" si="545"/>
        <v>0.61776488607255509</v>
      </c>
      <c r="CE197" s="1750">
        <f t="shared" si="545"/>
        <v>0.66552593021795359</v>
      </c>
      <c r="CF197" s="1750">
        <f t="shared" si="545"/>
        <v>0.59330024244306712</v>
      </c>
      <c r="CG197" s="1750">
        <f t="shared" si="545"/>
        <v>0.92835926699412574</v>
      </c>
      <c r="CH197" s="1750">
        <f t="shared" si="545"/>
        <v>0.68364908503767496</v>
      </c>
      <c r="CI197" s="1750">
        <f t="shared" si="545"/>
        <v>0.71310376434158451</v>
      </c>
      <c r="CJ197" s="1750">
        <f t="shared" si="545"/>
        <v>0.76517261505615652</v>
      </c>
      <c r="CK197" s="1750">
        <f t="shared" si="545"/>
        <v>0.55439394745280857</v>
      </c>
      <c r="CL197" s="1750">
        <f t="shared" si="545"/>
        <v>0.73315739069767194</v>
      </c>
      <c r="CM197" s="1750">
        <f t="shared" si="545"/>
        <v>0.68178507462686566</v>
      </c>
      <c r="CN197" s="1750">
        <f t="shared" si="545"/>
        <v>0.55973230800838991</v>
      </c>
      <c r="CO197" s="1750">
        <f t="shared" si="545"/>
        <v>1.0693814928030163</v>
      </c>
      <c r="CP197" s="1750">
        <f t="shared" si="545"/>
        <v>0.86298398852767888</v>
      </c>
      <c r="CQ197" s="1130">
        <f t="shared" si="545"/>
        <v>0.96622009569377987</v>
      </c>
      <c r="CR197" s="1130">
        <f t="shared" si="545"/>
        <v>0.81693229732475148</v>
      </c>
      <c r="CS197" s="2105">
        <f t="shared" si="545"/>
        <v>0.85690265486725659</v>
      </c>
      <c r="CT197" s="2105">
        <f t="shared" si="545"/>
        <v>0.71498127340823969</v>
      </c>
      <c r="CU197" s="2105">
        <f t="shared" ref="CU197:DQ197" si="546">CU192/CU49</f>
        <v>0</v>
      </c>
      <c r="CV197" s="149">
        <f t="shared" si="546"/>
        <v>0.97514563106796115</v>
      </c>
      <c r="CW197" s="149">
        <f t="shared" si="546"/>
        <v>0.67309126594700686</v>
      </c>
      <c r="CX197" s="149">
        <f t="shared" si="546"/>
        <v>0.39</v>
      </c>
      <c r="CY197" s="149">
        <f t="shared" si="546"/>
        <v>0.52135922330097084</v>
      </c>
      <c r="CZ197" s="149">
        <f t="shared" si="546"/>
        <v>0.25334928229665071</v>
      </c>
      <c r="DA197" s="149">
        <f t="shared" si="546"/>
        <v>0.23738532110091742</v>
      </c>
      <c r="DB197" s="149">
        <f t="shared" si="546"/>
        <v>0.31791044776119404</v>
      </c>
      <c r="DC197" s="149">
        <f t="shared" si="546"/>
        <v>0.55580718042821731</v>
      </c>
      <c r="DD197" s="149">
        <f t="shared" si="546"/>
        <v>0.50690152996982296</v>
      </c>
      <c r="DE197" s="149">
        <f t="shared" si="546"/>
        <v>0.4459463528175952</v>
      </c>
      <c r="DF197" s="149">
        <f t="shared" si="546"/>
        <v>0.37303858182150157</v>
      </c>
      <c r="DG197" s="149">
        <f t="shared" si="546"/>
        <v>0.46139339335441537</v>
      </c>
      <c r="DH197" s="149">
        <f t="shared" si="546"/>
        <v>0.49893671997765743</v>
      </c>
      <c r="DI197" s="149">
        <f t="shared" si="546"/>
        <v>0.46316265069591034</v>
      </c>
      <c r="DJ197" s="149">
        <f t="shared" si="546"/>
        <v>0.4102634508082304</v>
      </c>
      <c r="DK197" s="149">
        <f t="shared" si="546"/>
        <v>0.34381705921015948</v>
      </c>
      <c r="DL197" s="149">
        <f t="shared" si="546"/>
        <v>0.42134717369336083</v>
      </c>
      <c r="DM197" s="149">
        <f t="shared" si="546"/>
        <v>0.50534339860627497</v>
      </c>
      <c r="DN197" s="149">
        <f t="shared" si="546"/>
        <v>0.46653124785596012</v>
      </c>
      <c r="DO197" s="149">
        <f t="shared" si="546"/>
        <v>0.41031550494929969</v>
      </c>
      <c r="DP197" s="149">
        <f t="shared" si="546"/>
        <v>0.34145503931596966</v>
      </c>
      <c r="DQ197" s="149">
        <f t="shared" si="546"/>
        <v>0.42185344933828556</v>
      </c>
      <c r="DR197" s="149">
        <f t="shared" ref="DR197:EA197" si="547">DR192/DR49</f>
        <v>0.4953782024083459</v>
      </c>
      <c r="DS197" s="149">
        <f t="shared" si="547"/>
        <v>0.45929484822600319</v>
      </c>
      <c r="DT197" s="149">
        <f t="shared" si="547"/>
        <v>0.4041254991318684</v>
      </c>
      <c r="DU197" s="149">
        <f t="shared" si="547"/>
        <v>0.3365195795439655</v>
      </c>
      <c r="DV197" s="149">
        <f t="shared" si="547"/>
        <v>0.41508914539822672</v>
      </c>
      <c r="DW197" s="149">
        <f t="shared" si="547"/>
        <v>0.49032633320810648</v>
      </c>
      <c r="DX197" s="149">
        <f t="shared" si="547"/>
        <v>0.45549620353864279</v>
      </c>
      <c r="DY197" s="149">
        <f t="shared" si="547"/>
        <v>0.40014929813473959</v>
      </c>
      <c r="DZ197" s="149">
        <f t="shared" si="547"/>
        <v>0.33319116261283854</v>
      </c>
      <c r="EA197" s="149">
        <f t="shared" si="547"/>
        <v>0.41108677125571591</v>
      </c>
      <c r="EC197" s="33"/>
      <c r="ED197" s="321"/>
      <c r="EE197" s="321"/>
      <c r="EF197" s="321"/>
      <c r="EG197" s="321"/>
      <c r="EH197" s="132"/>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row>
    <row r="198" spans="1:259" s="15" customFormat="1" x14ac:dyDescent="0.2">
      <c r="B198" s="1358"/>
      <c r="C198" s="1358"/>
      <c r="D198" s="1358"/>
      <c r="E198" s="1358"/>
      <c r="F198" s="1358"/>
      <c r="G198" s="1358"/>
      <c r="H198" s="1358"/>
      <c r="I198" s="1358"/>
      <c r="J198" s="1675"/>
      <c r="K198" s="1358"/>
      <c r="L198" s="1358"/>
      <c r="M198" s="1358"/>
      <c r="N198" s="1358"/>
      <c r="O198" s="1358"/>
      <c r="P198" s="1358"/>
      <c r="Q198" s="1358"/>
      <c r="R198" s="1358"/>
      <c r="S198" s="1358"/>
      <c r="T198" s="1358"/>
      <c r="U198" s="1358"/>
      <c r="V198" s="1358"/>
      <c r="W198" s="1358"/>
      <c r="X198" s="1358"/>
      <c r="Y198" s="1358"/>
      <c r="Z198" s="1358"/>
      <c r="AA198" s="1358"/>
      <c r="AB198" s="1358"/>
      <c r="AC198" s="1358"/>
      <c r="AD198" s="1358"/>
      <c r="AE198" s="1358"/>
      <c r="AF198" s="1358"/>
      <c r="AG198" s="1358"/>
      <c r="AH198" s="1358"/>
      <c r="AI198" s="1358"/>
      <c r="AJ198" s="1358"/>
      <c r="AK198" s="1358"/>
      <c r="AL198" s="1358"/>
      <c r="AM198" s="1358"/>
      <c r="AN198" s="1358"/>
      <c r="AO198" s="1358"/>
      <c r="AP198" s="1358"/>
      <c r="AQ198" s="1358"/>
      <c r="AR198" s="1358"/>
      <c r="AS198" s="1358"/>
      <c r="AT198" s="1358"/>
      <c r="AU198" s="1358"/>
      <c r="AV198" s="1358"/>
      <c r="AW198" s="1358"/>
      <c r="AX198" s="1358"/>
      <c r="AY198" s="1358"/>
      <c r="AZ198" s="1358"/>
      <c r="BA198" s="1358"/>
      <c r="BB198" s="1358"/>
      <c r="BC198" s="1358"/>
      <c r="BD198" s="1518"/>
      <c r="BE198" s="1358"/>
      <c r="BF198" s="1358"/>
      <c r="BG198" s="1358"/>
      <c r="BH198" s="1358"/>
      <c r="BI198" s="1518"/>
      <c r="BJ198" s="1358"/>
      <c r="BK198" s="1358"/>
      <c r="BL198" s="1358"/>
      <c r="BM198" s="1358"/>
      <c r="BN198" s="1518"/>
      <c r="BO198" s="1358"/>
      <c r="BP198" s="1358"/>
      <c r="BQ198" s="1358"/>
      <c r="BR198" s="1358"/>
      <c r="BS198" s="1518"/>
      <c r="BT198" s="1358"/>
      <c r="BU198" s="1358"/>
      <c r="BV198" s="1358"/>
      <c r="BW198" s="1358"/>
      <c r="BX198" s="1518"/>
      <c r="BY198" s="1358"/>
      <c r="BZ198" s="1358"/>
      <c r="CA198" s="1358"/>
      <c r="CB198" s="1358"/>
      <c r="CC198" s="1358"/>
      <c r="CD198" s="1328"/>
      <c r="CE198" s="1328"/>
      <c r="CF198" s="1328"/>
      <c r="CG198" s="1328"/>
      <c r="CH198" s="1328"/>
      <c r="CI198" s="1328"/>
      <c r="CJ198" s="1328"/>
      <c r="CK198" s="1328"/>
      <c r="CL198" s="1328"/>
      <c r="CM198" s="1328"/>
      <c r="CN198" s="1328"/>
      <c r="CO198" s="1328"/>
      <c r="CP198" s="1328"/>
      <c r="CQ198" s="1058"/>
      <c r="CR198" s="1058"/>
      <c r="CS198" s="1119"/>
      <c r="CT198" s="1119"/>
      <c r="CU198" s="1119"/>
      <c r="ED198" s="132"/>
      <c r="EE198" s="132"/>
      <c r="EF198" s="132"/>
      <c r="EG198" s="132"/>
      <c r="EH198" s="132"/>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row>
    <row r="199" spans="1:259" s="15" customFormat="1" x14ac:dyDescent="0.2">
      <c r="A199" s="142" t="s">
        <v>73</v>
      </c>
      <c r="B199" s="1853"/>
      <c r="C199" s="1853"/>
      <c r="D199" s="1853"/>
      <c r="E199" s="1853"/>
      <c r="F199" s="1853"/>
      <c r="G199" s="1853"/>
      <c r="H199" s="1853"/>
      <c r="I199" s="1853"/>
      <c r="J199" s="1854"/>
      <c r="K199" s="1853"/>
      <c r="L199" s="1853"/>
      <c r="M199" s="1853"/>
      <c r="N199" s="1853"/>
      <c r="O199" s="1853"/>
      <c r="P199" s="1853"/>
      <c r="Q199" s="1853"/>
      <c r="R199" s="1853"/>
      <c r="S199" s="1853"/>
      <c r="T199" s="1853"/>
      <c r="U199" s="1853"/>
      <c r="V199" s="1853"/>
      <c r="W199" s="1853"/>
      <c r="X199" s="1853"/>
      <c r="Y199" s="1853"/>
      <c r="Z199" s="1853"/>
      <c r="AA199" s="1853"/>
      <c r="AB199" s="1853"/>
      <c r="AC199" s="1853"/>
      <c r="AD199" s="1853"/>
      <c r="AE199" s="1853"/>
      <c r="AF199" s="1853"/>
      <c r="AG199" s="1853"/>
      <c r="AH199" s="1853"/>
      <c r="AI199" s="1853"/>
      <c r="AJ199" s="1853"/>
      <c r="AK199" s="1853"/>
      <c r="AL199" s="1853"/>
      <c r="AM199" s="1853"/>
      <c r="AN199" s="1853"/>
      <c r="AO199" s="1855"/>
      <c r="AP199" s="1856"/>
      <c r="AQ199" s="1856"/>
      <c r="AR199" s="1856"/>
      <c r="AS199" s="1856"/>
      <c r="AT199" s="1855"/>
      <c r="AU199" s="1856"/>
      <c r="AV199" s="1856"/>
      <c r="AW199" s="1856"/>
      <c r="AX199" s="1856"/>
      <c r="AY199" s="1855"/>
      <c r="AZ199" s="1856"/>
      <c r="BA199" s="1856"/>
      <c r="BB199" s="1856"/>
      <c r="BC199" s="1856"/>
      <c r="BD199" s="1855"/>
      <c r="BE199" s="1856"/>
      <c r="BF199" s="1856"/>
      <c r="BG199" s="1856"/>
      <c r="BH199" s="1856"/>
      <c r="BI199" s="1855"/>
      <c r="BJ199" s="1856"/>
      <c r="BK199" s="1856"/>
      <c r="BL199" s="1856"/>
      <c r="BM199" s="1856"/>
      <c r="BN199" s="1855"/>
      <c r="BO199" s="1856"/>
      <c r="BP199" s="1856"/>
      <c r="BQ199" s="1856"/>
      <c r="BR199" s="1856"/>
      <c r="BS199" s="1855"/>
      <c r="BT199" s="1856"/>
      <c r="BU199" s="1856"/>
      <c r="BV199" s="1856"/>
      <c r="BW199" s="1856"/>
      <c r="BX199" s="1855"/>
      <c r="BY199" s="1856"/>
      <c r="BZ199" s="1856"/>
      <c r="CA199" s="1856"/>
      <c r="CB199" s="1856"/>
      <c r="CC199" s="1855"/>
      <c r="CD199" s="1857"/>
      <c r="CE199" s="1857"/>
      <c r="CF199" s="1857"/>
      <c r="CG199" s="1857"/>
      <c r="CH199" s="1861"/>
      <c r="CI199" s="1857"/>
      <c r="CJ199" s="1857"/>
      <c r="CK199" s="1857"/>
      <c r="CL199" s="1857"/>
      <c r="CM199" s="1861"/>
      <c r="CN199" s="1857"/>
      <c r="CO199" s="1857"/>
      <c r="CP199" s="1857"/>
      <c r="CQ199" s="1918"/>
      <c r="CR199" s="1979"/>
      <c r="CS199" s="2099"/>
      <c r="CT199" s="2099"/>
      <c r="CU199" s="2099"/>
      <c r="CV199" s="322"/>
      <c r="CW199" s="323"/>
      <c r="CX199" s="322"/>
      <c r="CY199" s="322"/>
      <c r="CZ199" s="322"/>
      <c r="DA199" s="322"/>
      <c r="DB199" s="323"/>
      <c r="DC199" s="322"/>
      <c r="DD199" s="322"/>
      <c r="DE199" s="322"/>
      <c r="DF199" s="322"/>
      <c r="DG199" s="323"/>
      <c r="DH199" s="322"/>
      <c r="DI199" s="322"/>
      <c r="DJ199" s="322"/>
      <c r="DK199" s="322"/>
      <c r="DL199" s="323"/>
      <c r="DM199" s="322"/>
      <c r="DN199" s="322"/>
      <c r="DO199" s="322"/>
      <c r="DP199" s="322"/>
      <c r="DQ199" s="323"/>
      <c r="DR199" s="322"/>
      <c r="DS199" s="322"/>
      <c r="DT199" s="322"/>
      <c r="DU199" s="322"/>
      <c r="DV199" s="323"/>
      <c r="DW199" s="322"/>
      <c r="DX199" s="322"/>
      <c r="DY199" s="322"/>
      <c r="DZ199" s="322"/>
      <c r="EA199" s="323"/>
      <c r="EC199" s="33"/>
      <c r="ED199" s="321"/>
      <c r="EE199" s="321"/>
      <c r="EF199" s="321"/>
      <c r="EG199" s="321"/>
      <c r="EH199" s="132"/>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row>
    <row r="200" spans="1:259" s="15" customFormat="1" x14ac:dyDescent="0.2">
      <c r="A200" s="1872" t="s">
        <v>728</v>
      </c>
      <c r="B200" s="1358"/>
      <c r="C200" s="1358"/>
      <c r="D200" s="1358"/>
      <c r="E200" s="1358"/>
      <c r="F200" s="1358"/>
      <c r="G200" s="1358"/>
      <c r="H200" s="1358"/>
      <c r="I200" s="1358"/>
      <c r="J200" s="1675"/>
      <c r="K200" s="1358"/>
      <c r="L200" s="1358"/>
      <c r="M200" s="1358"/>
      <c r="N200" s="1358"/>
      <c r="O200" s="1358"/>
      <c r="P200" s="1358"/>
      <c r="Q200" s="1358"/>
      <c r="R200" s="1358"/>
      <c r="S200" s="1358"/>
      <c r="T200" s="1358"/>
      <c r="U200" s="1358"/>
      <c r="V200" s="1358"/>
      <c r="W200" s="1358"/>
      <c r="X200" s="1358"/>
      <c r="Y200" s="1358"/>
      <c r="Z200" s="1358"/>
      <c r="AA200" s="1358"/>
      <c r="AB200" s="1358"/>
      <c r="AC200" s="1358"/>
      <c r="AD200" s="1358"/>
      <c r="AE200" s="1358"/>
      <c r="AF200" s="1358"/>
      <c r="AG200" s="1358"/>
      <c r="AH200" s="1358"/>
      <c r="AI200" s="1358"/>
      <c r="AJ200" s="1358"/>
      <c r="AK200" s="1358"/>
      <c r="AL200" s="1358"/>
      <c r="AM200" s="1358"/>
      <c r="AN200" s="1358"/>
      <c r="AO200" s="1375"/>
      <c r="AP200" s="1359"/>
      <c r="AQ200" s="1359"/>
      <c r="AR200" s="1359"/>
      <c r="AS200" s="1359"/>
      <c r="AT200" s="1375"/>
      <c r="AU200" s="1359"/>
      <c r="AV200" s="1359"/>
      <c r="AW200" s="1359"/>
      <c r="AX200" s="1359"/>
      <c r="AY200" s="1375"/>
      <c r="AZ200" s="1359"/>
      <c r="BA200" s="1359"/>
      <c r="BB200" s="1359"/>
      <c r="BC200" s="1359"/>
      <c r="BD200" s="1375"/>
      <c r="BE200" s="1359"/>
      <c r="BF200" s="1359"/>
      <c r="BG200" s="1359"/>
      <c r="BH200" s="1359"/>
      <c r="BI200" s="1375"/>
      <c r="BJ200" s="1359"/>
      <c r="BK200" s="1359"/>
      <c r="BL200" s="1359"/>
      <c r="BM200" s="1359"/>
      <c r="BN200" s="1375"/>
      <c r="BO200" s="1359"/>
      <c r="BP200" s="1359"/>
      <c r="BQ200" s="1359"/>
      <c r="BR200" s="1359"/>
      <c r="BS200" s="1375"/>
      <c r="BT200" s="1359"/>
      <c r="BU200" s="1359"/>
      <c r="BV200" s="1359"/>
      <c r="BW200" s="1359"/>
      <c r="BX200" s="1375"/>
      <c r="BY200" s="1359"/>
      <c r="BZ200" s="1359"/>
      <c r="CA200" s="1359"/>
      <c r="CB200" s="1359"/>
      <c r="CC200" s="1375"/>
      <c r="CD200" s="1363"/>
      <c r="CE200" s="1363"/>
      <c r="CF200" s="1363"/>
      <c r="CG200" s="1363"/>
      <c r="CH200" s="1723"/>
      <c r="CI200" s="1363"/>
      <c r="CJ200" s="1363"/>
      <c r="CK200" s="1363"/>
      <c r="CL200" s="1363"/>
      <c r="CM200" s="1723"/>
      <c r="CN200" s="1363"/>
      <c r="CO200" s="1363"/>
      <c r="CP200" s="1363"/>
      <c r="CQ200" s="1060"/>
      <c r="CR200" s="1061"/>
      <c r="CS200" s="2062"/>
      <c r="CT200" s="2062"/>
      <c r="CU200" s="2062"/>
      <c r="CV200" s="62"/>
      <c r="CW200" s="100">
        <f>CW29/CW17</f>
        <v>2.2394372467833133E-2</v>
      </c>
      <c r="CX200" s="62"/>
      <c r="CY200" s="62"/>
      <c r="CZ200" s="62"/>
      <c r="DA200" s="62"/>
      <c r="DB200" s="100">
        <f>DB29/DB17</f>
        <v>2.0559386644965091E-2</v>
      </c>
      <c r="DC200" s="62"/>
      <c r="DD200" s="62"/>
      <c r="DE200" s="62"/>
      <c r="DF200" s="62"/>
      <c r="DG200" s="100">
        <f>DG28/DG17</f>
        <v>1.7620158991501277E-2</v>
      </c>
      <c r="DH200" s="62"/>
      <c r="DI200" s="62"/>
      <c r="DJ200" s="62"/>
      <c r="DK200" s="62"/>
      <c r="DL200" s="100">
        <f>DL28/DL17</f>
        <v>1.6567994155266774E-2</v>
      </c>
      <c r="DM200" s="62"/>
      <c r="DN200" s="62"/>
      <c r="DO200" s="62"/>
      <c r="DP200" s="62"/>
      <c r="DQ200" s="100">
        <f>DQ28/DQ17</f>
        <v>1.6387037258852075E-2</v>
      </c>
      <c r="DR200" s="62"/>
      <c r="DS200" s="62"/>
      <c r="DT200" s="62"/>
      <c r="DU200" s="62"/>
      <c r="DV200" s="100">
        <f>DV28/DV17</f>
        <v>1.632095950978292E-2</v>
      </c>
      <c r="DW200" s="62"/>
      <c r="DX200" s="62"/>
      <c r="DY200" s="62"/>
      <c r="DZ200" s="62"/>
      <c r="EA200" s="100">
        <f>EA28/EA17</f>
        <v>1.6425290053987907E-2</v>
      </c>
      <c r="EC200" s="705"/>
      <c r="ED200" s="2292"/>
      <c r="EE200" s="2292"/>
      <c r="EF200" s="2292"/>
      <c r="EG200" s="2292"/>
      <c r="EH200" s="132"/>
      <c r="EK200"/>
      <c r="EL200"/>
      <c r="EM200"/>
      <c r="EN200"/>
      <c r="EO200"/>
      <c r="EP200"/>
      <c r="EQ200" s="844"/>
      <c r="ER200" s="844"/>
      <c r="ES200" s="844"/>
      <c r="ET200" s="844"/>
      <c r="EU200" s="844"/>
      <c r="EV200" s="844"/>
      <c r="EW200" s="844"/>
      <c r="EX200" s="844"/>
      <c r="EY200" s="844"/>
      <c r="EZ200" s="844"/>
      <c r="FA200" s="844"/>
      <c r="FB200" s="844"/>
      <c r="FC200" s="844"/>
      <c r="FD200" s="844"/>
      <c r="FE200" s="844"/>
      <c r="FF200" s="844"/>
      <c r="FG200" s="844"/>
      <c r="FH200" s="844"/>
      <c r="FI200" s="844"/>
      <c r="FJ200" s="844"/>
      <c r="FK200" s="844"/>
      <c r="FL200" s="844"/>
      <c r="FM200" s="844"/>
      <c r="FN200" s="844"/>
      <c r="FO200" s="844"/>
      <c r="FP200" s="844"/>
      <c r="FQ200" s="844"/>
      <c r="FR200" s="844"/>
      <c r="FS200" s="844"/>
      <c r="FT200" s="844"/>
      <c r="FU200" s="844"/>
      <c r="FV200" s="844"/>
      <c r="FW200" s="844"/>
      <c r="FX200" s="844"/>
      <c r="FY200" s="844"/>
      <c r="FZ200" s="844"/>
      <c r="GA200" s="844"/>
      <c r="GB200" s="844"/>
      <c r="GC200" s="844"/>
      <c r="GD200" s="844"/>
      <c r="GE200" s="844"/>
      <c r="GF200" s="844"/>
      <c r="GG200" s="844"/>
      <c r="GH200" s="844"/>
      <c r="GI200" s="844"/>
      <c r="GJ200" s="844"/>
      <c r="GK200" s="844"/>
      <c r="GL200" s="844"/>
      <c r="GM200" s="844"/>
      <c r="GN200" s="844"/>
      <c r="GO200" s="844"/>
      <c r="GP200" s="844"/>
      <c r="GQ200" s="844"/>
      <c r="GR200" s="844"/>
      <c r="GS200" s="844"/>
      <c r="GT200" s="844"/>
      <c r="GU200" s="844"/>
      <c r="GV200" s="844"/>
      <c r="GW200" s="844"/>
      <c r="GX200" s="844"/>
      <c r="GY200" s="844"/>
      <c r="GZ200" s="844"/>
      <c r="HA200" s="844"/>
      <c r="HB200" s="844"/>
      <c r="HC200" s="844"/>
      <c r="HD200" s="844"/>
      <c r="HE200" s="844"/>
      <c r="HF200" s="844"/>
      <c r="HG200" s="844"/>
      <c r="HH200" s="844"/>
      <c r="HI200" s="844"/>
      <c r="HJ200" s="844"/>
      <c r="HK200" s="844"/>
      <c r="HL200" s="844"/>
      <c r="HM200" s="844"/>
      <c r="HN200" s="844"/>
      <c r="HO200" s="844"/>
      <c r="HP200" s="844"/>
      <c r="HQ200" s="844"/>
      <c r="HR200" s="844"/>
      <c r="HS200" s="844"/>
      <c r="HT200" s="844"/>
      <c r="HU200" s="844"/>
      <c r="HV200" s="844"/>
      <c r="HW200" s="844"/>
      <c r="HX200" s="844"/>
      <c r="HY200" s="844"/>
      <c r="HZ200" s="844"/>
      <c r="IA200" s="844"/>
      <c r="IB200" s="844"/>
      <c r="IC200" s="844"/>
      <c r="ID200" s="844"/>
      <c r="IE200" s="844"/>
      <c r="IF200" s="844"/>
      <c r="IG200" s="844"/>
      <c r="IH200" s="844"/>
      <c r="II200" s="844"/>
      <c r="IJ200" s="844"/>
      <c r="IK200" s="844"/>
      <c r="IL200" s="844"/>
      <c r="IM200" s="844"/>
      <c r="IN200" s="844"/>
      <c r="IO200" s="844"/>
      <c r="IP200" s="844"/>
      <c r="IQ200" s="844"/>
      <c r="IR200" s="844"/>
      <c r="IS200" s="844"/>
      <c r="IT200" s="844"/>
      <c r="IU200" s="844"/>
      <c r="IV200" s="844"/>
      <c r="IW200" s="844"/>
      <c r="IX200" s="844"/>
      <c r="IY200" s="844"/>
    </row>
    <row r="201" spans="1:259" s="110" customFormat="1" x14ac:dyDescent="0.2">
      <c r="A201" s="2024" t="s">
        <v>727</v>
      </c>
      <c r="B201" s="1416"/>
      <c r="C201" s="1416"/>
      <c r="D201" s="1416"/>
      <c r="E201" s="1416"/>
      <c r="F201" s="1416"/>
      <c r="G201" s="1416"/>
      <c r="H201" s="1416"/>
      <c r="I201" s="1416"/>
      <c r="J201" s="1724"/>
      <c r="K201" s="1416"/>
      <c r="L201" s="1416"/>
      <c r="M201" s="1416"/>
      <c r="N201" s="1416"/>
      <c r="O201" s="1416"/>
      <c r="P201" s="1416"/>
      <c r="Q201" s="1416"/>
      <c r="R201" s="1416"/>
      <c r="S201" s="1416"/>
      <c r="T201" s="1416"/>
      <c r="U201" s="1416"/>
      <c r="V201" s="1416"/>
      <c r="W201" s="1416"/>
      <c r="X201" s="1416"/>
      <c r="Y201" s="1416"/>
      <c r="Z201" s="1416"/>
      <c r="AA201" s="1416"/>
      <c r="AB201" s="1416"/>
      <c r="AC201" s="1416"/>
      <c r="AD201" s="1416"/>
      <c r="AE201" s="1416"/>
      <c r="AF201" s="1416"/>
      <c r="AG201" s="1416"/>
      <c r="AH201" s="1416"/>
      <c r="AI201" s="1416"/>
      <c r="AJ201" s="1416"/>
      <c r="AK201" s="1416"/>
      <c r="AL201" s="1416"/>
      <c r="AM201" s="1416"/>
      <c r="AN201" s="1416"/>
      <c r="AO201" s="2017"/>
      <c r="AP201" s="2293"/>
      <c r="AQ201" s="2293"/>
      <c r="AR201" s="2293"/>
      <c r="AS201" s="2293"/>
      <c r="AT201" s="2017"/>
      <c r="AU201" s="2293"/>
      <c r="AV201" s="2293"/>
      <c r="AW201" s="2293"/>
      <c r="AX201" s="2293"/>
      <c r="AY201" s="2017"/>
      <c r="AZ201" s="2293"/>
      <c r="BA201" s="2293"/>
      <c r="BB201" s="2293"/>
      <c r="BC201" s="2293"/>
      <c r="BD201" s="2017"/>
      <c r="BE201" s="2293"/>
      <c r="BF201" s="2293"/>
      <c r="BG201" s="2293"/>
      <c r="BH201" s="2293"/>
      <c r="BI201" s="2017"/>
      <c r="BJ201" s="2293"/>
      <c r="BK201" s="2293"/>
      <c r="BL201" s="2293"/>
      <c r="BM201" s="2293"/>
      <c r="BN201" s="2017"/>
      <c r="BO201" s="2293"/>
      <c r="BP201" s="2293"/>
      <c r="BQ201" s="2293"/>
      <c r="BR201" s="2293"/>
      <c r="BS201" s="2017"/>
      <c r="BT201" s="2293"/>
      <c r="BU201" s="2293"/>
      <c r="BV201" s="2293"/>
      <c r="BW201" s="2293"/>
      <c r="BX201" s="2017"/>
      <c r="BY201" s="2293"/>
      <c r="BZ201" s="2293"/>
      <c r="CA201" s="2293"/>
      <c r="CB201" s="2293"/>
      <c r="CC201" s="2017"/>
      <c r="CD201" s="2294"/>
      <c r="CE201" s="2294"/>
      <c r="CF201" s="2294"/>
      <c r="CG201" s="2294"/>
      <c r="CH201" s="2295"/>
      <c r="CI201" s="2294"/>
      <c r="CJ201" s="2294"/>
      <c r="CK201" s="2294"/>
      <c r="CL201" s="2294"/>
      <c r="CM201" s="2295"/>
      <c r="CN201" s="2294"/>
      <c r="CO201" s="2294"/>
      <c r="CP201" s="2294"/>
      <c r="CQ201" s="2296"/>
      <c r="CR201" s="2297"/>
      <c r="CS201" s="2298"/>
      <c r="CT201" s="2298"/>
      <c r="CU201" s="2298"/>
      <c r="CV201" s="363"/>
      <c r="CW201" s="364"/>
      <c r="CX201" s="363"/>
      <c r="CY201" s="363"/>
      <c r="CZ201" s="363"/>
      <c r="DA201" s="363"/>
      <c r="DB201" s="364"/>
      <c r="DC201" s="363"/>
      <c r="DD201" s="363"/>
      <c r="DE201" s="363"/>
      <c r="DF201" s="363"/>
      <c r="DG201" s="364"/>
      <c r="DH201" s="363"/>
      <c r="DI201" s="363"/>
      <c r="DJ201" s="363"/>
      <c r="DK201" s="363"/>
      <c r="DL201" s="364"/>
      <c r="DM201" s="363"/>
      <c r="DN201" s="363"/>
      <c r="DO201" s="363"/>
      <c r="DP201" s="363"/>
      <c r="DQ201" s="364"/>
      <c r="DR201" s="363"/>
      <c r="DS201" s="363"/>
      <c r="DT201" s="363"/>
      <c r="DU201" s="363"/>
      <c r="DV201" s="364"/>
      <c r="DW201" s="363"/>
      <c r="DX201" s="363"/>
      <c r="DY201" s="363"/>
      <c r="DZ201" s="363"/>
      <c r="EA201" s="364"/>
      <c r="EC201" s="843"/>
      <c r="ED201" s="2299"/>
      <c r="EE201" s="2299"/>
      <c r="EF201" s="2299"/>
      <c r="EG201" s="2299"/>
      <c r="EH201" s="702"/>
      <c r="EK201"/>
      <c r="EL201"/>
      <c r="EM201"/>
      <c r="EN201"/>
      <c r="EO201"/>
      <c r="EP201"/>
      <c r="EQ201" s="845"/>
      <c r="ER201" s="845"/>
      <c r="ES201" s="845"/>
      <c r="ET201" s="845"/>
      <c r="EU201" s="845"/>
      <c r="EV201" s="845"/>
      <c r="EW201" s="845"/>
      <c r="EX201" s="845"/>
      <c r="EY201" s="845"/>
      <c r="EZ201" s="845"/>
      <c r="FA201" s="845"/>
      <c r="FB201" s="845"/>
      <c r="FC201" s="845"/>
      <c r="FD201" s="845"/>
      <c r="FE201" s="845"/>
      <c r="FF201" s="845"/>
      <c r="FG201" s="845"/>
      <c r="FH201" s="845"/>
      <c r="FI201" s="845"/>
      <c r="FJ201" s="845"/>
      <c r="FK201" s="845"/>
      <c r="FL201" s="845"/>
      <c r="FM201" s="845"/>
      <c r="FN201" s="845"/>
      <c r="FO201" s="845"/>
      <c r="FP201" s="845"/>
      <c r="FQ201" s="845"/>
      <c r="FR201" s="845"/>
      <c r="FS201" s="845"/>
      <c r="FT201" s="845"/>
      <c r="FU201" s="845"/>
      <c r="FV201" s="845"/>
      <c r="FW201" s="845"/>
      <c r="FX201" s="845"/>
      <c r="FY201" s="845"/>
      <c r="FZ201" s="845"/>
      <c r="GA201" s="845"/>
      <c r="GB201" s="845"/>
      <c r="GC201" s="845"/>
      <c r="GD201" s="845"/>
      <c r="GE201" s="845"/>
      <c r="GF201" s="845"/>
      <c r="GG201" s="845"/>
      <c r="GH201" s="845"/>
      <c r="GI201" s="845"/>
      <c r="GJ201" s="845"/>
      <c r="GK201" s="845"/>
      <c r="GL201" s="845"/>
      <c r="GM201" s="845"/>
      <c r="GN201" s="845"/>
      <c r="GO201" s="845"/>
      <c r="GP201" s="845"/>
      <c r="GQ201" s="845"/>
      <c r="GR201" s="845"/>
      <c r="GS201" s="845"/>
      <c r="GT201" s="845"/>
      <c r="GU201" s="845"/>
      <c r="GV201" s="845"/>
      <c r="GW201" s="845"/>
      <c r="GX201" s="845"/>
      <c r="GY201" s="845"/>
      <c r="GZ201" s="845"/>
      <c r="HA201" s="845"/>
      <c r="HB201" s="845"/>
      <c r="HC201" s="845"/>
      <c r="HD201" s="845"/>
      <c r="HE201" s="845"/>
      <c r="HF201" s="845"/>
      <c r="HG201" s="845"/>
      <c r="HH201" s="845"/>
      <c r="HI201" s="845"/>
      <c r="HJ201" s="845"/>
      <c r="HK201" s="845"/>
      <c r="HL201" s="845"/>
      <c r="HM201" s="845"/>
      <c r="HN201" s="845"/>
      <c r="HO201" s="845"/>
      <c r="HP201" s="845"/>
      <c r="HQ201" s="845"/>
      <c r="HR201" s="845"/>
      <c r="HS201" s="845"/>
      <c r="HT201" s="845"/>
      <c r="HU201" s="845"/>
      <c r="HV201" s="845"/>
      <c r="HW201" s="845"/>
      <c r="HX201" s="845"/>
      <c r="HY201" s="845"/>
      <c r="HZ201" s="845"/>
      <c r="IA201" s="845"/>
      <c r="IB201" s="845"/>
      <c r="IC201" s="845"/>
      <c r="ID201" s="845"/>
      <c r="IE201" s="845"/>
      <c r="IF201" s="845"/>
      <c r="IG201" s="845"/>
      <c r="IH201" s="845"/>
      <c r="II201" s="845"/>
      <c r="IJ201" s="845"/>
      <c r="IK201" s="845"/>
      <c r="IL201" s="845"/>
      <c r="IM201" s="845"/>
      <c r="IN201" s="845"/>
      <c r="IO201" s="845"/>
      <c r="IP201" s="845"/>
      <c r="IQ201" s="845"/>
      <c r="IR201" s="845"/>
      <c r="IS201" s="845"/>
      <c r="IT201" s="845"/>
      <c r="IU201" s="845"/>
      <c r="IV201" s="845"/>
      <c r="IW201" s="845"/>
      <c r="IX201" s="845"/>
      <c r="IY201" s="845"/>
    </row>
    <row r="202" spans="1:259" s="337" customFormat="1" x14ac:dyDescent="0.2">
      <c r="A202" s="812" t="s">
        <v>589</v>
      </c>
      <c r="B202" s="1358"/>
      <c r="C202" s="1358"/>
      <c r="D202" s="1358"/>
      <c r="E202" s="1358"/>
      <c r="F202" s="1358"/>
      <c r="G202" s="1358"/>
      <c r="H202" s="1358"/>
      <c r="I202" s="1358"/>
      <c r="J202" s="1675"/>
      <c r="K202" s="1358"/>
      <c r="L202" s="1358"/>
      <c r="M202" s="1358"/>
      <c r="N202" s="1358"/>
      <c r="O202" s="1358"/>
      <c r="P202" s="1358"/>
      <c r="Q202" s="1358"/>
      <c r="R202" s="1358"/>
      <c r="S202" s="1358"/>
      <c r="T202" s="1358"/>
      <c r="U202" s="1358"/>
      <c r="V202" s="1358"/>
      <c r="W202" s="1358"/>
      <c r="X202" s="1358"/>
      <c r="Y202" s="1358"/>
      <c r="Z202" s="1358"/>
      <c r="AA202" s="1358"/>
      <c r="AB202" s="1358"/>
      <c r="AC202" s="1358"/>
      <c r="AD202" s="1358"/>
      <c r="AE202" s="1358"/>
      <c r="AF202" s="1358"/>
      <c r="AG202" s="1358"/>
      <c r="AH202" s="1358"/>
      <c r="AI202" s="1358"/>
      <c r="AJ202" s="1358"/>
      <c r="AK202" s="1751">
        <v>33213.5</v>
      </c>
      <c r="AL202" s="1751">
        <v>33206.5</v>
      </c>
      <c r="AM202" s="1751">
        <v>33230</v>
      </c>
      <c r="AN202" s="1751">
        <v>33441.5</v>
      </c>
      <c r="AO202" s="1418">
        <v>33413</v>
      </c>
      <c r="AP202" s="1751">
        <v>33683.5</v>
      </c>
      <c r="AQ202" s="1751">
        <v>33759.5</v>
      </c>
      <c r="AR202" s="1751">
        <v>33843.5</v>
      </c>
      <c r="AS202" s="1751">
        <v>34092.5</v>
      </c>
      <c r="AT202" s="1418">
        <v>33952</v>
      </c>
      <c r="AU202" s="1751">
        <v>34304.5</v>
      </c>
      <c r="AV202" s="1751">
        <v>34273.5</v>
      </c>
      <c r="AW202" s="1751">
        <v>34244.5</v>
      </c>
      <c r="AX202" s="1751">
        <v>34434.5</v>
      </c>
      <c r="AY202" s="1418">
        <v>34436</v>
      </c>
      <c r="AZ202" s="1751">
        <v>34643.5</v>
      </c>
      <c r="BA202" s="1751">
        <v>34756</v>
      </c>
      <c r="BB202" s="1751">
        <v>34868.5</v>
      </c>
      <c r="BC202" s="1751">
        <v>35131</v>
      </c>
      <c r="BD202" s="1418">
        <v>34970</v>
      </c>
      <c r="BE202" s="1357">
        <v>35426</v>
      </c>
      <c r="BF202" s="1357">
        <v>35552</v>
      </c>
      <c r="BG202" s="1357">
        <v>35706.5</v>
      </c>
      <c r="BH202" s="1357">
        <v>36054</v>
      </c>
      <c r="BI202" s="1418">
        <v>35818.5</v>
      </c>
      <c r="BJ202" s="1357">
        <v>36369.5</v>
      </c>
      <c r="BK202" s="1357">
        <v>36529.5</v>
      </c>
      <c r="BL202" s="1357">
        <v>36620</v>
      </c>
      <c r="BM202" s="1357">
        <v>36854</v>
      </c>
      <c r="BN202" s="1418">
        <v>36686</v>
      </c>
      <c r="BO202" s="1357">
        <v>37099.5</v>
      </c>
      <c r="BP202" s="1357">
        <v>37166.5</v>
      </c>
      <c r="BQ202" s="1357">
        <v>37267.5</v>
      </c>
      <c r="BR202" s="1357">
        <v>37578.5</v>
      </c>
      <c r="BS202" s="1418">
        <v>37485</v>
      </c>
      <c r="BT202" s="1357">
        <v>38059</v>
      </c>
      <c r="BU202" s="1357">
        <v>38249</v>
      </c>
      <c r="BV202" s="1357">
        <v>38371</v>
      </c>
      <c r="BW202" s="1357">
        <v>37998.5</v>
      </c>
      <c r="BX202" s="1418">
        <v>37738.5</v>
      </c>
      <c r="BY202" s="1357">
        <v>37429.5</v>
      </c>
      <c r="BZ202" s="1357">
        <v>37374</v>
      </c>
      <c r="CA202" s="1357">
        <v>37618</v>
      </c>
      <c r="CB202" s="1357">
        <v>38147.5</v>
      </c>
      <c r="CC202" s="1418">
        <v>38061</v>
      </c>
      <c r="CD202" s="1400">
        <v>38667</v>
      </c>
      <c r="CE202" s="1400">
        <v>38882</v>
      </c>
      <c r="CF202" s="1400">
        <v>39048.5</v>
      </c>
      <c r="CG202" s="1400">
        <v>39513.5</v>
      </c>
      <c r="CH202" s="1659">
        <v>39215</v>
      </c>
      <c r="CI202" s="1400">
        <v>39906.5</v>
      </c>
      <c r="CJ202" s="1400">
        <v>39976</v>
      </c>
      <c r="CK202" s="1400">
        <v>40149.5</v>
      </c>
      <c r="CL202" s="1400">
        <v>40638</v>
      </c>
      <c r="CM202" s="1659">
        <v>40453</v>
      </c>
      <c r="CN202" s="1400">
        <v>41382.5</v>
      </c>
      <c r="CO202" s="1400">
        <v>41806</v>
      </c>
      <c r="CP202" s="1400">
        <v>41800</v>
      </c>
      <c r="CQ202" s="1072">
        <v>42096</v>
      </c>
      <c r="CR202" s="1967">
        <v>41730.5</v>
      </c>
      <c r="CS202" s="975">
        <v>42481</v>
      </c>
      <c r="CT202" s="975">
        <v>42640.5</v>
      </c>
      <c r="CU202" s="975">
        <v>42891.5</v>
      </c>
      <c r="CV202" s="554">
        <v>43344.5</v>
      </c>
      <c r="CW202" s="815">
        <v>43062.5</v>
      </c>
      <c r="CX202" s="554">
        <v>43746.5</v>
      </c>
      <c r="CY202" s="554">
        <v>43905</v>
      </c>
      <c r="CZ202" s="554">
        <v>44172</v>
      </c>
      <c r="DA202" s="554">
        <v>44718</v>
      </c>
      <c r="DB202" s="815">
        <v>44379.5</v>
      </c>
      <c r="DC202" s="554">
        <v>45193.5</v>
      </c>
      <c r="DD202" s="554">
        <v>45468.5</v>
      </c>
      <c r="DE202" s="554">
        <v>45840.5</v>
      </c>
      <c r="DF202" s="554">
        <v>46473</v>
      </c>
      <c r="DG202" s="815">
        <v>45991.5</v>
      </c>
      <c r="DH202" s="554">
        <v>47020</v>
      </c>
      <c r="DI202" s="554">
        <v>47327</v>
      </c>
      <c r="DJ202" s="554">
        <v>47736.5</v>
      </c>
      <c r="DK202" s="554">
        <v>48402</v>
      </c>
      <c r="DL202" s="815">
        <v>47871.5</v>
      </c>
      <c r="DM202" s="554">
        <v>48977</v>
      </c>
      <c r="DN202" s="554">
        <v>49308</v>
      </c>
      <c r="DO202" s="554">
        <v>49766.5</v>
      </c>
      <c r="DP202" s="554">
        <v>50481</v>
      </c>
      <c r="DQ202" s="815">
        <v>49889.5</v>
      </c>
      <c r="DR202" s="554">
        <v>51076.5</v>
      </c>
      <c r="DS202" s="554">
        <v>51424.5</v>
      </c>
      <c r="DT202" s="554">
        <v>51900</v>
      </c>
      <c r="DU202" s="554">
        <v>52631.5</v>
      </c>
      <c r="DV202" s="815">
        <v>52014.5</v>
      </c>
      <c r="DW202" s="554">
        <v>53246.5</v>
      </c>
      <c r="DX202" s="554">
        <v>53619</v>
      </c>
      <c r="DY202" s="554">
        <v>54119</v>
      </c>
      <c r="DZ202" s="554">
        <v>54872.5</v>
      </c>
      <c r="EA202" s="815">
        <v>54220</v>
      </c>
      <c r="ED202" s="703"/>
      <c r="EE202" s="703"/>
      <c r="EF202" s="703"/>
      <c r="EG202" s="703"/>
      <c r="EH202" s="703"/>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row>
    <row r="203" spans="1:259" s="337" customFormat="1" x14ac:dyDescent="0.2">
      <c r="A203" s="14" t="s">
        <v>18</v>
      </c>
      <c r="B203" s="1358"/>
      <c r="C203" s="1358"/>
      <c r="D203" s="1358"/>
      <c r="E203" s="1358"/>
      <c r="F203" s="1358"/>
      <c r="G203" s="1358"/>
      <c r="H203" s="1358"/>
      <c r="I203" s="1358"/>
      <c r="J203" s="1675"/>
      <c r="K203" s="1358"/>
      <c r="L203" s="1358"/>
      <c r="M203" s="1358"/>
      <c r="N203" s="1358"/>
      <c r="O203" s="1358"/>
      <c r="P203" s="1358"/>
      <c r="Q203" s="1358"/>
      <c r="R203" s="1358"/>
      <c r="S203" s="1358"/>
      <c r="T203" s="1358"/>
      <c r="U203" s="1358"/>
      <c r="V203" s="1358"/>
      <c r="W203" s="1358"/>
      <c r="X203" s="1358"/>
      <c r="Y203" s="1358"/>
      <c r="Z203" s="1358"/>
      <c r="AA203" s="1358"/>
      <c r="AB203" s="1358"/>
      <c r="AC203" s="1358"/>
      <c r="AD203" s="1358"/>
      <c r="AE203" s="1358"/>
      <c r="AF203" s="1358"/>
      <c r="AG203" s="1358"/>
      <c r="AH203" s="1358"/>
      <c r="AI203" s="1358"/>
      <c r="AJ203" s="1358"/>
      <c r="AK203" s="1752">
        <f t="shared" ref="AK203:BP203" si="548">AK28/AK202</f>
        <v>7.1356526713535163E-3</v>
      </c>
      <c r="AL203" s="1752">
        <f t="shared" si="548"/>
        <v>7.0468131239365787E-3</v>
      </c>
      <c r="AM203" s="1752">
        <f t="shared" si="548"/>
        <v>7.5233222991272948E-3</v>
      </c>
      <c r="AN203" s="1752">
        <f t="shared" si="548"/>
        <v>1.0017493234454196E-2</v>
      </c>
      <c r="AO203" s="1753">
        <f t="shared" si="548"/>
        <v>3.1604465327866399E-2</v>
      </c>
      <c r="AP203" s="1752">
        <f t="shared" si="548"/>
        <v>7.3329671797764482E-3</v>
      </c>
      <c r="AQ203" s="1752">
        <f t="shared" si="548"/>
        <v>8.0866126571779787E-3</v>
      </c>
      <c r="AR203" s="1752">
        <f t="shared" si="548"/>
        <v>7.8006116388671387E-3</v>
      </c>
      <c r="AS203" s="1752">
        <f t="shared" si="548"/>
        <v>1.0970154726112782E-2</v>
      </c>
      <c r="AT203" s="1753">
        <f t="shared" si="548"/>
        <v>3.4106974552309141E-2</v>
      </c>
      <c r="AU203" s="1752">
        <f t="shared" si="548"/>
        <v>7.4042764068853939E-3</v>
      </c>
      <c r="AV203" s="1752">
        <f t="shared" si="548"/>
        <v>7.7027441025865461E-3</v>
      </c>
      <c r="AW203" s="1752">
        <f t="shared" si="548"/>
        <v>7.9136795689818806E-3</v>
      </c>
      <c r="AX203" s="1752">
        <f t="shared" si="548"/>
        <v>1.1558175666845751E-2</v>
      </c>
      <c r="AY203" s="1753">
        <f t="shared" si="548"/>
        <v>3.4469740968753632E-2</v>
      </c>
      <c r="AZ203" s="1752">
        <f t="shared" si="548"/>
        <v>7.5627462583168562E-3</v>
      </c>
      <c r="BA203" s="1752">
        <f t="shared" si="548"/>
        <v>8.2575670387846703E-3</v>
      </c>
      <c r="BB203" s="1752">
        <f t="shared" si="548"/>
        <v>8.058849678076201E-3</v>
      </c>
      <c r="BC203" s="1752">
        <f t="shared" si="548"/>
        <v>1.3179243403262077E-2</v>
      </c>
      <c r="BD203" s="1753">
        <f t="shared" si="548"/>
        <v>3.697454961395482E-2</v>
      </c>
      <c r="BE203" s="1752">
        <f t="shared" si="548"/>
        <v>7.7908880483260881E-3</v>
      </c>
      <c r="BF203" s="1752">
        <f t="shared" si="548"/>
        <v>8.9165166516651673E-3</v>
      </c>
      <c r="BG203" s="1752">
        <f t="shared" si="548"/>
        <v>8.5418621259434561E-3</v>
      </c>
      <c r="BH203" s="1752">
        <f t="shared" si="548"/>
        <v>1.2314861041770677E-2</v>
      </c>
      <c r="BI203" s="1753">
        <f t="shared" si="548"/>
        <v>3.7466672250373409E-2</v>
      </c>
      <c r="BJ203" s="1752">
        <f t="shared" si="548"/>
        <v>7.0113694166815599E-3</v>
      </c>
      <c r="BK203" s="1752">
        <f t="shared" si="548"/>
        <v>7.6924129812890952E-3</v>
      </c>
      <c r="BL203" s="1752">
        <f t="shared" si="548"/>
        <v>7.5368651010376845E-3</v>
      </c>
      <c r="BM203" s="1752">
        <f t="shared" si="548"/>
        <v>1.1097845552721549E-2</v>
      </c>
      <c r="BN203" s="1753">
        <f t="shared" si="548"/>
        <v>3.3282451071253341E-2</v>
      </c>
      <c r="BO203" s="1752">
        <f t="shared" si="548"/>
        <v>6.6038625857491344E-3</v>
      </c>
      <c r="BP203" s="1752">
        <f t="shared" si="548"/>
        <v>7.6143839210041303E-3</v>
      </c>
      <c r="BQ203" s="1752">
        <f t="shared" ref="BQ203:CV203" si="549">BQ28/BQ202</f>
        <v>7.6474139665928757E-3</v>
      </c>
      <c r="BR203" s="1752">
        <f t="shared" si="549"/>
        <v>1.2347485929454342E-2</v>
      </c>
      <c r="BS203" s="1753">
        <f t="shared" si="549"/>
        <v>3.4066960117380286E-2</v>
      </c>
      <c r="BT203" s="1752">
        <f t="shared" si="549"/>
        <v>6.7001234924722146E-3</v>
      </c>
      <c r="BU203" s="1752">
        <f t="shared" si="549"/>
        <v>8.0524981045256086E-3</v>
      </c>
      <c r="BV203" s="1752">
        <f t="shared" si="549"/>
        <v>8.0790180083917546E-3</v>
      </c>
      <c r="BW203" s="1752">
        <f t="shared" si="549"/>
        <v>1.3132097319631037E-2</v>
      </c>
      <c r="BX203" s="1753">
        <f t="shared" si="549"/>
        <v>3.6355446029916395E-2</v>
      </c>
      <c r="BY203" s="1752">
        <f t="shared" si="549"/>
        <v>7.2669952844681331E-3</v>
      </c>
      <c r="BZ203" s="1752">
        <f t="shared" si="549"/>
        <v>9.2577727832182793E-3</v>
      </c>
      <c r="CA203" s="1752">
        <f t="shared" si="549"/>
        <v>8.8255622308469357E-3</v>
      </c>
      <c r="CB203" s="1752">
        <f t="shared" si="549"/>
        <v>1.467986106560063E-2</v>
      </c>
      <c r="CC203" s="1753">
        <f t="shared" si="549"/>
        <v>3.9673156249178949E-2</v>
      </c>
      <c r="CD203" s="1754">
        <f t="shared" si="549"/>
        <v>5.4051258178808804E-3</v>
      </c>
      <c r="CE203" s="1754">
        <f t="shared" si="549"/>
        <v>6.4297104058433207E-3</v>
      </c>
      <c r="CF203" s="1754">
        <f t="shared" si="549"/>
        <v>5.8388926591290318E-3</v>
      </c>
      <c r="CG203" s="1754">
        <f t="shared" si="549"/>
        <v>9.6928897718501269E-3</v>
      </c>
      <c r="CH203" s="1755">
        <f t="shared" si="549"/>
        <v>2.7285477495856178E-2</v>
      </c>
      <c r="CI203" s="1754">
        <f t="shared" si="549"/>
        <v>5.2372420532995874E-3</v>
      </c>
      <c r="CJ203" s="1754">
        <f t="shared" si="549"/>
        <v>6.2537522513508104E-3</v>
      </c>
      <c r="CK203" s="1754">
        <f t="shared" si="549"/>
        <v>5.6787755762836402E-3</v>
      </c>
      <c r="CL203" s="1754">
        <f t="shared" si="549"/>
        <v>8.7848811457256759E-3</v>
      </c>
      <c r="CM203" s="1755">
        <f t="shared" si="549"/>
        <v>2.5807727486218575E-2</v>
      </c>
      <c r="CN203" s="1754">
        <f t="shared" si="549"/>
        <v>5.4854104996073221E-3</v>
      </c>
      <c r="CO203" s="1754">
        <f t="shared" si="549"/>
        <v>6.0517629048461941E-3</v>
      </c>
      <c r="CP203" s="1754">
        <f t="shared" si="549"/>
        <v>5.6937799043062197E-3</v>
      </c>
      <c r="CQ203" s="1924">
        <f t="shared" si="549"/>
        <v>9.0507411630558719E-3</v>
      </c>
      <c r="CR203" s="1983">
        <f t="shared" si="549"/>
        <v>2.6335653778411475E-2</v>
      </c>
      <c r="CS203" s="2106">
        <f t="shared" si="549"/>
        <v>5.7202043266401451E-3</v>
      </c>
      <c r="CT203" s="2106">
        <f t="shared" si="549"/>
        <v>5.9567781803684288E-3</v>
      </c>
      <c r="CU203" s="2106">
        <f t="shared" si="549"/>
        <v>6.2949535455742982E-3</v>
      </c>
      <c r="CV203" s="516">
        <f t="shared" si="549"/>
        <v>8.3516939865496201E-3</v>
      </c>
      <c r="CW203" s="816">
        <f t="shared" ref="CW203:DQ203" si="550">CW28/CW202</f>
        <v>2.6217706821480405E-2</v>
      </c>
      <c r="CX203" s="516">
        <f t="shared" si="550"/>
        <v>5.4175762632439166E-3</v>
      </c>
      <c r="CY203" s="516">
        <f t="shared" si="550"/>
        <v>5.6257829404395858E-3</v>
      </c>
      <c r="CZ203" s="516">
        <f t="shared" si="550"/>
        <v>4.8673367744272392E-3</v>
      </c>
      <c r="DA203" s="516">
        <f t="shared" si="550"/>
        <v>6.7087079028579095E-3</v>
      </c>
      <c r="DB203" s="816">
        <f t="shared" si="550"/>
        <v>2.2510393312227494E-2</v>
      </c>
      <c r="DC203" s="516">
        <f t="shared" si="550"/>
        <v>4.6518857800347388E-3</v>
      </c>
      <c r="DD203" s="516">
        <f t="shared" si="550"/>
        <v>4.7422941157064784E-3</v>
      </c>
      <c r="DE203" s="516">
        <f t="shared" si="550"/>
        <v>4.1797100816963161E-3</v>
      </c>
      <c r="DF203" s="516">
        <f t="shared" si="550"/>
        <v>5.6900781098702469E-3</v>
      </c>
      <c r="DG203" s="816">
        <f t="shared" si="550"/>
        <v>1.9175173673396169E-2</v>
      </c>
      <c r="DH203" s="516">
        <f t="shared" si="550"/>
        <v>4.5156635474266262E-3</v>
      </c>
      <c r="DI203" s="516">
        <f t="shared" si="550"/>
        <v>4.5727703002514421E-3</v>
      </c>
      <c r="DJ203" s="516">
        <f t="shared" si="550"/>
        <v>4.0137002084358929E-3</v>
      </c>
      <c r="DK203" s="516">
        <f t="shared" si="550"/>
        <v>5.4633073013511842E-3</v>
      </c>
      <c r="DL203" s="816">
        <f t="shared" si="550"/>
        <v>1.848233291206668E-2</v>
      </c>
      <c r="DM203" s="516">
        <f t="shared" si="550"/>
        <v>4.5609178798211407E-3</v>
      </c>
      <c r="DN203" s="516">
        <f t="shared" si="550"/>
        <v>4.6200520199561933E-3</v>
      </c>
      <c r="DO203" s="516">
        <f t="shared" si="550"/>
        <v>4.0501642671274853E-3</v>
      </c>
      <c r="DP203" s="516">
        <f t="shared" si="550"/>
        <v>5.5108308076305939E-3</v>
      </c>
      <c r="DQ203" s="816">
        <f t="shared" si="550"/>
        <v>1.866004570099921E-2</v>
      </c>
      <c r="DR203" s="516">
        <f t="shared" ref="DR203:EA203" si="551">DR28/DR202</f>
        <v>4.6402771577927224E-3</v>
      </c>
      <c r="DS203" s="516">
        <f t="shared" si="551"/>
        <v>4.7280778374121282E-3</v>
      </c>
      <c r="DT203" s="516">
        <f t="shared" si="551"/>
        <v>4.1183959537572255E-3</v>
      </c>
      <c r="DU203" s="516">
        <f t="shared" si="551"/>
        <v>5.6043773690660536E-3</v>
      </c>
      <c r="DV203" s="816">
        <f t="shared" si="551"/>
        <v>1.9011231339338068E-2</v>
      </c>
      <c r="DW203" s="516">
        <f t="shared" si="551"/>
        <v>4.7738283185279782E-3</v>
      </c>
      <c r="DX203" s="516">
        <f t="shared" si="551"/>
        <v>4.8907131462261506E-3</v>
      </c>
      <c r="DY203" s="516">
        <f t="shared" si="551"/>
        <v>4.2331651083722908E-3</v>
      </c>
      <c r="DZ203" s="516">
        <f t="shared" si="551"/>
        <v>5.7632306141509864E-3</v>
      </c>
      <c r="EA203" s="816">
        <f t="shared" si="551"/>
        <v>1.9582484915621538E-2</v>
      </c>
      <c r="ED203" s="703"/>
      <c r="EE203" s="703"/>
      <c r="EF203" s="703"/>
      <c r="EG203" s="703"/>
      <c r="EH203" s="7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row>
    <row r="204" spans="1:259" s="340" customFormat="1" x14ac:dyDescent="0.2">
      <c r="A204" s="26" t="s">
        <v>19</v>
      </c>
      <c r="B204" s="1365"/>
      <c r="C204" s="1365"/>
      <c r="D204" s="1365"/>
      <c r="E204" s="1365"/>
      <c r="F204" s="1365"/>
      <c r="G204" s="1365"/>
      <c r="H204" s="1365"/>
      <c r="I204" s="1365"/>
      <c r="J204" s="1877"/>
      <c r="K204" s="1365"/>
      <c r="L204" s="1365"/>
      <c r="M204" s="1365"/>
      <c r="N204" s="1365"/>
      <c r="O204" s="1365"/>
      <c r="P204" s="1365"/>
      <c r="Q204" s="1365"/>
      <c r="R204" s="1365"/>
      <c r="S204" s="1365"/>
      <c r="T204" s="1365"/>
      <c r="U204" s="1365"/>
      <c r="V204" s="1365"/>
      <c r="W204" s="1365"/>
      <c r="X204" s="1365"/>
      <c r="Y204" s="1365"/>
      <c r="Z204" s="1365"/>
      <c r="AA204" s="1365"/>
      <c r="AB204" s="1365"/>
      <c r="AC204" s="1365"/>
      <c r="AD204" s="1365"/>
      <c r="AE204" s="1365"/>
      <c r="AF204" s="1365"/>
      <c r="AG204" s="1365"/>
      <c r="AH204" s="1365"/>
      <c r="AI204" s="1365"/>
      <c r="AJ204" s="1365"/>
      <c r="AK204" s="2300">
        <f t="shared" ref="AK204:AY204" si="552">AK203*1000000</f>
        <v>7135.6526713535159</v>
      </c>
      <c r="AL204" s="2300">
        <f t="shared" si="552"/>
        <v>7046.8131239365784</v>
      </c>
      <c r="AM204" s="2300">
        <f t="shared" si="552"/>
        <v>7523.3222991272951</v>
      </c>
      <c r="AN204" s="2300">
        <f t="shared" si="552"/>
        <v>10017.493234454196</v>
      </c>
      <c r="AO204" s="2301">
        <f t="shared" si="552"/>
        <v>31604.465327866397</v>
      </c>
      <c r="AP204" s="2300">
        <f t="shared" si="552"/>
        <v>7332.9671797764486</v>
      </c>
      <c r="AQ204" s="2300">
        <f t="shared" si="552"/>
        <v>8086.6126571779787</v>
      </c>
      <c r="AR204" s="2300">
        <f t="shared" si="552"/>
        <v>7800.6116388671389</v>
      </c>
      <c r="AS204" s="2300">
        <f t="shared" si="552"/>
        <v>10970.154726112782</v>
      </c>
      <c r="AT204" s="2301">
        <f t="shared" si="552"/>
        <v>34106.974552309141</v>
      </c>
      <c r="AU204" s="2300">
        <f t="shared" si="552"/>
        <v>7404.276406885394</v>
      </c>
      <c r="AV204" s="2300">
        <f t="shared" si="552"/>
        <v>7702.7441025865464</v>
      </c>
      <c r="AW204" s="2300">
        <f t="shared" si="552"/>
        <v>7913.6795689818809</v>
      </c>
      <c r="AX204" s="2300">
        <f t="shared" si="552"/>
        <v>11558.175666845751</v>
      </c>
      <c r="AY204" s="2301">
        <f t="shared" si="552"/>
        <v>34469.740968753635</v>
      </c>
      <c r="AZ204" s="2300">
        <f t="shared" ref="AZ204:BN204" si="553">AZ203*1000000</f>
        <v>7562.7462583168563</v>
      </c>
      <c r="BA204" s="2300">
        <f t="shared" si="553"/>
        <v>8257.5670387846694</v>
      </c>
      <c r="BB204" s="2300">
        <f t="shared" si="553"/>
        <v>8058.8496780762007</v>
      </c>
      <c r="BC204" s="2300">
        <f t="shared" si="553"/>
        <v>13179.243403262077</v>
      </c>
      <c r="BD204" s="2301">
        <f t="shared" si="553"/>
        <v>36974.54961395482</v>
      </c>
      <c r="BE204" s="2300">
        <f t="shared" si="553"/>
        <v>7790.8880483260882</v>
      </c>
      <c r="BF204" s="2300">
        <f t="shared" si="553"/>
        <v>8916.516651665168</v>
      </c>
      <c r="BG204" s="2300">
        <f t="shared" si="553"/>
        <v>8541.8621259434567</v>
      </c>
      <c r="BH204" s="2300">
        <f t="shared" si="553"/>
        <v>12314.861041770677</v>
      </c>
      <c r="BI204" s="2301">
        <f t="shared" si="553"/>
        <v>37466.672250373405</v>
      </c>
      <c r="BJ204" s="2300">
        <f t="shared" si="553"/>
        <v>7011.3694166815594</v>
      </c>
      <c r="BK204" s="2300">
        <f t="shared" si="553"/>
        <v>7692.4129812890951</v>
      </c>
      <c r="BL204" s="2300">
        <f t="shared" si="553"/>
        <v>7536.8651010376843</v>
      </c>
      <c r="BM204" s="2300">
        <f t="shared" si="553"/>
        <v>11097.84555272155</v>
      </c>
      <c r="BN204" s="2301">
        <f t="shared" si="553"/>
        <v>33282.451071253345</v>
      </c>
      <c r="BO204" s="2300">
        <f t="shared" ref="BO204:CT204" si="554">BO203*1000000</f>
        <v>6603.8625857491343</v>
      </c>
      <c r="BP204" s="2300">
        <f t="shared" si="554"/>
        <v>7614.3839210041306</v>
      </c>
      <c r="BQ204" s="2300">
        <f t="shared" si="554"/>
        <v>7647.413966592876</v>
      </c>
      <c r="BR204" s="2300">
        <f t="shared" si="554"/>
        <v>12347.485929454342</v>
      </c>
      <c r="BS204" s="2301">
        <f t="shared" si="554"/>
        <v>34066.960117380288</v>
      </c>
      <c r="BT204" s="2300">
        <f t="shared" si="554"/>
        <v>6700.1234924722148</v>
      </c>
      <c r="BU204" s="2300">
        <f t="shared" si="554"/>
        <v>8052.4981045256091</v>
      </c>
      <c r="BV204" s="2300">
        <f t="shared" si="554"/>
        <v>8079.0180083917548</v>
      </c>
      <c r="BW204" s="2300">
        <f t="shared" si="554"/>
        <v>13132.097319631037</v>
      </c>
      <c r="BX204" s="2301">
        <f t="shared" si="554"/>
        <v>36355.446029916398</v>
      </c>
      <c r="BY204" s="2300">
        <f t="shared" si="554"/>
        <v>7266.9952844681329</v>
      </c>
      <c r="BZ204" s="2300">
        <f t="shared" si="554"/>
        <v>9257.7727832182791</v>
      </c>
      <c r="CA204" s="2300">
        <f t="shared" si="554"/>
        <v>8825.5622308469356</v>
      </c>
      <c r="CB204" s="2300">
        <f t="shared" si="554"/>
        <v>14679.861065600629</v>
      </c>
      <c r="CC204" s="2301">
        <f t="shared" si="554"/>
        <v>39673.156249178952</v>
      </c>
      <c r="CD204" s="2302">
        <f t="shared" si="554"/>
        <v>5405.1258178808803</v>
      </c>
      <c r="CE204" s="2302">
        <f t="shared" si="554"/>
        <v>6429.7104058433206</v>
      </c>
      <c r="CF204" s="2302">
        <f t="shared" si="554"/>
        <v>5838.8926591290319</v>
      </c>
      <c r="CG204" s="2302">
        <f t="shared" si="554"/>
        <v>9692.8897718501266</v>
      </c>
      <c r="CH204" s="2303">
        <f t="shared" si="554"/>
        <v>27285.477495856179</v>
      </c>
      <c r="CI204" s="2302">
        <f t="shared" si="554"/>
        <v>5237.2420532995875</v>
      </c>
      <c r="CJ204" s="2302">
        <f t="shared" si="554"/>
        <v>6253.7522513508102</v>
      </c>
      <c r="CK204" s="2302">
        <f t="shared" si="554"/>
        <v>5678.7755762836405</v>
      </c>
      <c r="CL204" s="2302">
        <f t="shared" si="554"/>
        <v>8784.8811457256761</v>
      </c>
      <c r="CM204" s="2303">
        <f t="shared" si="554"/>
        <v>25807.727486218573</v>
      </c>
      <c r="CN204" s="2302">
        <f t="shared" si="554"/>
        <v>5485.410499607322</v>
      </c>
      <c r="CO204" s="2302">
        <f t="shared" si="554"/>
        <v>6051.762904846194</v>
      </c>
      <c r="CP204" s="2302">
        <f t="shared" si="554"/>
        <v>5693.7799043062196</v>
      </c>
      <c r="CQ204" s="1065">
        <f t="shared" si="554"/>
        <v>9050.7411630558727</v>
      </c>
      <c r="CR204" s="1063">
        <f t="shared" si="554"/>
        <v>26335.653778411473</v>
      </c>
      <c r="CS204" s="2304">
        <f t="shared" si="554"/>
        <v>5720.2043266401452</v>
      </c>
      <c r="CT204" s="2304">
        <f t="shared" si="554"/>
        <v>5956.7781803684284</v>
      </c>
      <c r="CU204" s="2304">
        <f t="shared" ref="CU204:DQ204" si="555">CU203*1000000</f>
        <v>6294.953545574298</v>
      </c>
      <c r="CV204" s="2305">
        <f t="shared" si="555"/>
        <v>8351.6939865496206</v>
      </c>
      <c r="CW204" s="2306">
        <f t="shared" si="555"/>
        <v>26217.706821480406</v>
      </c>
      <c r="CX204" s="2305">
        <f t="shared" si="555"/>
        <v>5417.5762632439164</v>
      </c>
      <c r="CY204" s="2305">
        <f t="shared" si="555"/>
        <v>5625.7829404395861</v>
      </c>
      <c r="CZ204" s="2305">
        <f t="shared" ref="CZ204:DG204" si="556">CZ203*1000000</f>
        <v>4867.3367744272391</v>
      </c>
      <c r="DA204" s="2305">
        <f t="shared" si="556"/>
        <v>6708.7079028579092</v>
      </c>
      <c r="DB204" s="2306">
        <f t="shared" si="556"/>
        <v>22510.393312227494</v>
      </c>
      <c r="DC204" s="2305">
        <f t="shared" si="556"/>
        <v>4651.8857800347387</v>
      </c>
      <c r="DD204" s="2305">
        <f t="shared" si="556"/>
        <v>4742.2941157064788</v>
      </c>
      <c r="DE204" s="2305">
        <f t="shared" si="556"/>
        <v>4179.7100816963157</v>
      </c>
      <c r="DF204" s="2305">
        <f t="shared" si="556"/>
        <v>5690.0781098702473</v>
      </c>
      <c r="DG204" s="2306">
        <f t="shared" si="556"/>
        <v>19175.17367339617</v>
      </c>
      <c r="DH204" s="2305">
        <f t="shared" si="555"/>
        <v>4515.6635474266259</v>
      </c>
      <c r="DI204" s="2305">
        <f t="shared" si="555"/>
        <v>4572.7703002514418</v>
      </c>
      <c r="DJ204" s="2305">
        <f t="shared" si="555"/>
        <v>4013.7002084358928</v>
      </c>
      <c r="DK204" s="2305">
        <f t="shared" si="555"/>
        <v>5463.3073013511839</v>
      </c>
      <c r="DL204" s="2306">
        <f t="shared" si="555"/>
        <v>18482.332912066679</v>
      </c>
      <c r="DM204" s="2305">
        <f t="shared" si="555"/>
        <v>4560.9178798211406</v>
      </c>
      <c r="DN204" s="2305">
        <f t="shared" si="555"/>
        <v>4620.0520199561934</v>
      </c>
      <c r="DO204" s="2305">
        <f t="shared" si="555"/>
        <v>4050.1642671274853</v>
      </c>
      <c r="DP204" s="2305">
        <f t="shared" si="555"/>
        <v>5510.8308076305939</v>
      </c>
      <c r="DQ204" s="2306">
        <f t="shared" si="555"/>
        <v>18660.04570099921</v>
      </c>
      <c r="DR204" s="2305">
        <f t="shared" ref="DR204:EA204" si="557">DR203*1000000</f>
        <v>4640.2771577927224</v>
      </c>
      <c r="DS204" s="2305">
        <f t="shared" si="557"/>
        <v>4728.0778374121282</v>
      </c>
      <c r="DT204" s="2305">
        <f t="shared" si="557"/>
        <v>4118.3959537572255</v>
      </c>
      <c r="DU204" s="2305">
        <f t="shared" si="557"/>
        <v>5604.3773690660537</v>
      </c>
      <c r="DV204" s="2306">
        <f t="shared" si="557"/>
        <v>19011.231339338068</v>
      </c>
      <c r="DW204" s="2305">
        <f t="shared" si="557"/>
        <v>4773.8283185279779</v>
      </c>
      <c r="DX204" s="2305">
        <f t="shared" si="557"/>
        <v>4890.7131462261505</v>
      </c>
      <c r="DY204" s="2305">
        <f t="shared" si="557"/>
        <v>4233.1651083722909</v>
      </c>
      <c r="DZ204" s="2305">
        <f t="shared" si="557"/>
        <v>5763.2306141509862</v>
      </c>
      <c r="EA204" s="2306">
        <f t="shared" si="557"/>
        <v>19582.484915621539</v>
      </c>
      <c r="ED204" s="2307"/>
      <c r="EE204" s="2307"/>
      <c r="EF204" s="2307"/>
      <c r="EG204" s="2307"/>
      <c r="EH204" s="2307"/>
      <c r="EK204"/>
      <c r="EL204"/>
      <c r="EM204"/>
      <c r="EN204"/>
      <c r="EO204"/>
      <c r="EP204"/>
      <c r="EQ204" s="855"/>
      <c r="ER204" s="855"/>
      <c r="ES204" s="855"/>
      <c r="ET204" s="855"/>
      <c r="EU204" s="855"/>
      <c r="EV204" s="855"/>
      <c r="EW204" s="855"/>
      <c r="EX204" s="855"/>
      <c r="EY204" s="855"/>
      <c r="EZ204" s="855"/>
      <c r="FA204" s="855"/>
      <c r="FB204" s="855"/>
      <c r="FC204" s="855"/>
      <c r="FD204" s="855"/>
      <c r="FE204" s="855"/>
      <c r="FF204" s="855"/>
      <c r="FG204" s="855"/>
      <c r="FH204" s="855"/>
      <c r="FI204" s="855"/>
      <c r="FJ204" s="855"/>
      <c r="FK204" s="855"/>
      <c r="FL204" s="855"/>
      <c r="FM204" s="855"/>
      <c r="FN204" s="855"/>
      <c r="FO204" s="855"/>
      <c r="FP204" s="855"/>
      <c r="FQ204" s="855"/>
      <c r="FR204" s="855"/>
      <c r="FS204" s="855"/>
      <c r="FT204" s="855"/>
      <c r="FU204" s="855"/>
      <c r="FV204" s="855"/>
      <c r="FW204" s="855"/>
      <c r="FX204" s="855"/>
      <c r="FY204" s="855"/>
      <c r="FZ204" s="855"/>
      <c r="GA204" s="855"/>
      <c r="GB204" s="855"/>
      <c r="GC204" s="855"/>
      <c r="GD204" s="855"/>
      <c r="GE204" s="855"/>
      <c r="GF204" s="855"/>
      <c r="GG204" s="855"/>
      <c r="GH204" s="855"/>
      <c r="GI204" s="855"/>
      <c r="GJ204" s="855"/>
      <c r="GK204" s="855"/>
      <c r="GL204" s="855"/>
      <c r="GM204" s="855"/>
      <c r="GN204" s="855"/>
      <c r="GO204" s="855"/>
      <c r="GP204" s="855"/>
      <c r="GQ204" s="855"/>
      <c r="GR204" s="855"/>
      <c r="GS204" s="855"/>
      <c r="GT204" s="855"/>
      <c r="GU204" s="855"/>
      <c r="GV204" s="855"/>
      <c r="GW204" s="855"/>
      <c r="GX204" s="855"/>
      <c r="GY204" s="855"/>
      <c r="GZ204" s="855"/>
      <c r="HA204" s="855"/>
      <c r="HB204" s="855"/>
      <c r="HC204" s="855"/>
      <c r="HD204" s="855"/>
      <c r="HE204" s="855"/>
      <c r="HF204" s="855"/>
      <c r="HG204" s="855"/>
      <c r="HH204" s="855"/>
      <c r="HI204" s="855"/>
      <c r="HJ204" s="855"/>
      <c r="HK204" s="855"/>
      <c r="HL204" s="855"/>
      <c r="HM204" s="855"/>
      <c r="HN204" s="855"/>
      <c r="HO204" s="855"/>
      <c r="HP204" s="855"/>
      <c r="HQ204" s="855"/>
      <c r="HR204" s="855"/>
      <c r="HS204" s="855"/>
      <c r="HT204" s="855"/>
      <c r="HU204" s="855"/>
      <c r="HV204" s="855"/>
      <c r="HW204" s="855"/>
      <c r="HX204" s="855"/>
      <c r="HY204" s="855"/>
      <c r="HZ204" s="855"/>
      <c r="IA204" s="855"/>
      <c r="IB204" s="855"/>
      <c r="IC204" s="855"/>
      <c r="ID204" s="855"/>
      <c r="IE204" s="855"/>
      <c r="IF204" s="855"/>
      <c r="IG204" s="855"/>
      <c r="IH204" s="855"/>
      <c r="II204" s="855"/>
      <c r="IJ204" s="855"/>
      <c r="IK204" s="855"/>
      <c r="IL204" s="855"/>
      <c r="IM204" s="855"/>
      <c r="IN204" s="855"/>
      <c r="IO204" s="855"/>
      <c r="IP204" s="855"/>
      <c r="IQ204" s="855"/>
      <c r="IR204" s="855"/>
      <c r="IS204" s="855"/>
      <c r="IT204" s="855"/>
      <c r="IU204" s="855"/>
      <c r="IV204" s="855"/>
      <c r="IW204" s="855"/>
      <c r="IX204" s="855"/>
      <c r="IY204" s="855"/>
    </row>
    <row r="205" spans="1:259" s="337" customFormat="1" x14ac:dyDescent="0.2">
      <c r="A205" s="813" t="s">
        <v>72</v>
      </c>
      <c r="B205" s="1511"/>
      <c r="C205" s="1511"/>
      <c r="D205" s="1511"/>
      <c r="E205" s="1511"/>
      <c r="F205" s="1511"/>
      <c r="G205" s="1511"/>
      <c r="H205" s="1511"/>
      <c r="I205" s="1511"/>
      <c r="J205" s="1512"/>
      <c r="K205" s="1511"/>
      <c r="L205" s="1511"/>
      <c r="M205" s="1511"/>
      <c r="N205" s="1511"/>
      <c r="O205" s="1511"/>
      <c r="P205" s="1511"/>
      <c r="Q205" s="1511"/>
      <c r="R205" s="1511"/>
      <c r="S205" s="1511"/>
      <c r="T205" s="1511"/>
      <c r="U205" s="1511"/>
      <c r="V205" s="1511"/>
      <c r="W205" s="1511"/>
      <c r="X205" s="1511"/>
      <c r="Y205" s="1511"/>
      <c r="Z205" s="1511"/>
      <c r="AA205" s="1511"/>
      <c r="AB205" s="1511"/>
      <c r="AC205" s="1511"/>
      <c r="AD205" s="1511"/>
      <c r="AE205" s="1511"/>
      <c r="AF205" s="1511"/>
      <c r="AG205" s="1511"/>
      <c r="AH205" s="1511"/>
      <c r="AI205" s="1511"/>
      <c r="AJ205" s="1511"/>
      <c r="AK205" s="1511"/>
      <c r="AL205" s="1511"/>
      <c r="AM205" s="1511"/>
      <c r="AN205" s="1511"/>
      <c r="AO205" s="1634"/>
      <c r="AP205" s="1511"/>
      <c r="AQ205" s="1511"/>
      <c r="AR205" s="1511"/>
      <c r="AS205" s="1511"/>
      <c r="AT205" s="1634">
        <f>AT204/AO204-1</f>
        <v>7.9182140829834546E-2</v>
      </c>
      <c r="AU205" s="1511"/>
      <c r="AV205" s="1511"/>
      <c r="AW205" s="1511"/>
      <c r="AX205" s="1511"/>
      <c r="AY205" s="1634">
        <f>AY204/AT204-1</f>
        <v>1.0636135899070309E-2</v>
      </c>
      <c r="AZ205" s="1511"/>
      <c r="BA205" s="1511"/>
      <c r="BB205" s="1511"/>
      <c r="BC205" s="1511"/>
      <c r="BD205" s="1634">
        <f>BD204/AY204-1</f>
        <v>7.2666883324471687E-2</v>
      </c>
      <c r="BE205" s="1511"/>
      <c r="BF205" s="1511"/>
      <c r="BG205" s="1511"/>
      <c r="BH205" s="1511"/>
      <c r="BI205" s="1634">
        <f>BI204/BD204-1</f>
        <v>1.3309766895249764E-2</v>
      </c>
      <c r="BJ205" s="1511"/>
      <c r="BK205" s="1511"/>
      <c r="BL205" s="1511"/>
      <c r="BM205" s="1511"/>
      <c r="BN205" s="1634">
        <f>BN204/BI204-1</f>
        <v>-0.11167848457847385</v>
      </c>
      <c r="BO205" s="1511"/>
      <c r="BP205" s="1511"/>
      <c r="BQ205" s="1511"/>
      <c r="BR205" s="1511"/>
      <c r="BS205" s="1634">
        <f>BS204/BN204-1</f>
        <v>2.3571252142680521E-2</v>
      </c>
      <c r="BT205" s="1511"/>
      <c r="BU205" s="1511"/>
      <c r="BV205" s="1511"/>
      <c r="BW205" s="1511"/>
      <c r="BX205" s="1634">
        <f>BX204/BS204-1</f>
        <v>6.7176111535956151E-2</v>
      </c>
      <c r="BY205" s="1511"/>
      <c r="BZ205" s="1511"/>
      <c r="CA205" s="1511"/>
      <c r="CB205" s="1511"/>
      <c r="CC205" s="1634">
        <f>CC204/BX204-1</f>
        <v>9.1257585356880444E-2</v>
      </c>
      <c r="CD205" s="1605"/>
      <c r="CE205" s="1605"/>
      <c r="CF205" s="1605"/>
      <c r="CG205" s="1605"/>
      <c r="CH205" s="1756">
        <f>CH204/CC204-1</f>
        <v>-0.31224333843060792</v>
      </c>
      <c r="CI205" s="1605"/>
      <c r="CJ205" s="1605"/>
      <c r="CK205" s="1605"/>
      <c r="CL205" s="1605"/>
      <c r="CM205" s="1756">
        <f>CM204/CH204-1</f>
        <v>-5.4158847315830538E-2</v>
      </c>
      <c r="CN205" s="1605"/>
      <c r="CO205" s="1605"/>
      <c r="CP205" s="1605"/>
      <c r="CQ205" s="1923"/>
      <c r="CR205" s="1984">
        <f>CR204/CM204-1</f>
        <v>2.0456132469424793E-2</v>
      </c>
      <c r="CS205" s="2104"/>
      <c r="CT205" s="2104"/>
      <c r="CU205" s="2104"/>
      <c r="CV205" s="814"/>
      <c r="CW205" s="817">
        <f>CW204/CR204-1</f>
        <v>-4.478603718118257E-3</v>
      </c>
      <c r="CX205" s="814"/>
      <c r="CY205" s="814"/>
      <c r="CZ205" s="814"/>
      <c r="DA205" s="814"/>
      <c r="DB205" s="817">
        <f>DB204/CW204-1</f>
        <v>-0.14140494950593763</v>
      </c>
      <c r="DC205" s="814"/>
      <c r="DD205" s="814"/>
      <c r="DE205" s="814"/>
      <c r="DF205" s="814"/>
      <c r="DG205" s="817">
        <f>DG204/DB204-1</f>
        <v>-0.14816354350501981</v>
      </c>
      <c r="DH205" s="814"/>
      <c r="DI205" s="814"/>
      <c r="DJ205" s="814"/>
      <c r="DK205" s="814"/>
      <c r="DL205" s="817">
        <f>DL204/DG204-1</f>
        <v>-3.6132176590960685E-2</v>
      </c>
      <c r="DM205" s="814"/>
      <c r="DN205" s="814"/>
      <c r="DO205" s="814"/>
      <c r="DP205" s="814"/>
      <c r="DQ205" s="817">
        <f>DQ204/DL204-1</f>
        <v>9.6152790764041374E-3</v>
      </c>
      <c r="DR205" s="814"/>
      <c r="DS205" s="814"/>
      <c r="DT205" s="814"/>
      <c r="DU205" s="814"/>
      <c r="DV205" s="817">
        <f>DV204/DQ204-1</f>
        <v>1.8820191759769012E-2</v>
      </c>
      <c r="DW205" s="814"/>
      <c r="DX205" s="814"/>
      <c r="DY205" s="814"/>
      <c r="DZ205" s="814"/>
      <c r="EA205" s="817">
        <f>EA204/DV204-1</f>
        <v>3.0048215504139053E-2</v>
      </c>
      <c r="ED205" s="703"/>
      <c r="EE205" s="703"/>
      <c r="EF205" s="703"/>
      <c r="EG205" s="703"/>
      <c r="EH205" s="703"/>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row>
    <row r="206" spans="1:259" s="337" customFormat="1" x14ac:dyDescent="0.2">
      <c r="B206" s="1358"/>
      <c r="C206" s="1358"/>
      <c r="D206" s="1358"/>
      <c r="E206" s="1358"/>
      <c r="F206" s="1358"/>
      <c r="G206" s="1358"/>
      <c r="H206" s="1358"/>
      <c r="I206" s="1358"/>
      <c r="J206" s="1675"/>
      <c r="K206" s="1358"/>
      <c r="L206" s="1358"/>
      <c r="M206" s="1358"/>
      <c r="N206" s="1358"/>
      <c r="O206" s="1358"/>
      <c r="P206" s="1358"/>
      <c r="Q206" s="1358"/>
      <c r="R206" s="1358"/>
      <c r="S206" s="1358"/>
      <c r="T206" s="1358"/>
      <c r="U206" s="1358"/>
      <c r="V206" s="1358"/>
      <c r="W206" s="1358"/>
      <c r="X206" s="1358"/>
      <c r="Y206" s="1358"/>
      <c r="Z206" s="1358"/>
      <c r="AA206" s="1358"/>
      <c r="AB206" s="1358"/>
      <c r="AC206" s="1358"/>
      <c r="AD206" s="1358"/>
      <c r="AE206" s="1358"/>
      <c r="AF206" s="1358"/>
      <c r="AG206" s="1358"/>
      <c r="AH206" s="1358"/>
      <c r="AI206" s="1358"/>
      <c r="AJ206" s="1358"/>
      <c r="AK206" s="1358"/>
      <c r="AL206" s="1358"/>
      <c r="AM206" s="1358"/>
      <c r="AN206" s="1358"/>
      <c r="AO206" s="1358"/>
      <c r="AP206" s="1358"/>
      <c r="AQ206" s="1358"/>
      <c r="AR206" s="1358"/>
      <c r="AS206" s="1358"/>
      <c r="AT206" s="1358"/>
      <c r="AU206" s="1358"/>
      <c r="AV206" s="1358"/>
      <c r="AW206" s="1358"/>
      <c r="AX206" s="1358"/>
      <c r="AY206" s="1358"/>
      <c r="AZ206" s="1358"/>
      <c r="BA206" s="1358"/>
      <c r="BB206" s="1358"/>
      <c r="BC206" s="1358"/>
      <c r="BD206" s="1358"/>
      <c r="BE206" s="1358"/>
      <c r="BF206" s="1358"/>
      <c r="BG206" s="1358"/>
      <c r="BH206" s="1358"/>
      <c r="BI206" s="1358"/>
      <c r="BJ206" s="1358"/>
      <c r="BK206" s="1358"/>
      <c r="BL206" s="1358"/>
      <c r="BM206" s="1358"/>
      <c r="BN206" s="1358"/>
      <c r="BO206" s="1358"/>
      <c r="BP206" s="1358"/>
      <c r="BQ206" s="1358"/>
      <c r="BR206" s="1358"/>
      <c r="BS206" s="1358"/>
      <c r="BT206" s="1358"/>
      <c r="BU206" s="1358"/>
      <c r="BV206" s="1358"/>
      <c r="BW206" s="1358"/>
      <c r="BX206" s="1358"/>
      <c r="BY206" s="1358"/>
      <c r="BZ206" s="1358"/>
      <c r="CA206" s="1358"/>
      <c r="CB206" s="1358"/>
      <c r="CC206" s="1358"/>
      <c r="CD206" s="1328"/>
      <c r="CE206" s="1328"/>
      <c r="CF206" s="1328"/>
      <c r="CG206" s="1328"/>
      <c r="CH206" s="1328"/>
      <c r="CI206" s="1328"/>
      <c r="CJ206" s="1328"/>
      <c r="CK206" s="1328"/>
      <c r="CL206" s="1328"/>
      <c r="CM206" s="1328"/>
      <c r="CN206" s="1328"/>
      <c r="CO206" s="1328"/>
      <c r="CP206" s="1328"/>
      <c r="CQ206" s="1058"/>
      <c r="CR206" s="1058"/>
      <c r="CS206" s="1119"/>
      <c r="CT206" s="1119"/>
      <c r="CU206" s="1119"/>
      <c r="ED206" s="703"/>
      <c r="EE206" s="703"/>
      <c r="EF206" s="703"/>
      <c r="EG206" s="703"/>
      <c r="EH206" s="703"/>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row>
    <row r="207" spans="1:259" s="337" customFormat="1" x14ac:dyDescent="0.2">
      <c r="A207" s="340" t="s">
        <v>74</v>
      </c>
      <c r="B207" s="1358"/>
      <c r="C207" s="1358"/>
      <c r="D207" s="1358"/>
      <c r="E207" s="1358"/>
      <c r="F207" s="1358"/>
      <c r="G207" s="1358"/>
      <c r="H207" s="1358"/>
      <c r="I207" s="1358"/>
      <c r="J207" s="1675"/>
      <c r="K207" s="1358"/>
      <c r="L207" s="1358"/>
      <c r="M207" s="1358"/>
      <c r="N207" s="1358"/>
      <c r="O207" s="1358"/>
      <c r="P207" s="1358"/>
      <c r="Q207" s="1358"/>
      <c r="R207" s="1358"/>
      <c r="S207" s="1358"/>
      <c r="T207" s="1358"/>
      <c r="U207" s="1358"/>
      <c r="V207" s="1358"/>
      <c r="W207" s="1358"/>
      <c r="X207" s="1358"/>
      <c r="Y207" s="1358"/>
      <c r="Z207" s="1358"/>
      <c r="AA207" s="1358"/>
      <c r="AB207" s="1358"/>
      <c r="AC207" s="1358"/>
      <c r="AD207" s="1358"/>
      <c r="AE207" s="1358"/>
      <c r="AF207" s="1358"/>
      <c r="AG207" s="1358"/>
      <c r="AH207" s="1358"/>
      <c r="AI207" s="1358"/>
      <c r="AJ207" s="1358"/>
      <c r="AK207" s="1358"/>
      <c r="AL207" s="1358"/>
      <c r="AM207" s="1358"/>
      <c r="AN207" s="1358"/>
      <c r="AO207" s="1358"/>
      <c r="AP207" s="1358"/>
      <c r="AQ207" s="1358"/>
      <c r="AR207" s="1358"/>
      <c r="AS207" s="1358"/>
      <c r="AT207" s="1358"/>
      <c r="AU207" s="1358"/>
      <c r="AV207" s="1358"/>
      <c r="AW207" s="1358"/>
      <c r="AX207" s="1358"/>
      <c r="AY207" s="1358"/>
      <c r="AZ207" s="1358"/>
      <c r="BA207" s="1358"/>
      <c r="BB207" s="1358"/>
      <c r="BC207" s="1358"/>
      <c r="BD207" s="1358"/>
      <c r="BE207" s="1358"/>
      <c r="BF207" s="1358"/>
      <c r="BG207" s="1358"/>
      <c r="BH207" s="1358"/>
      <c r="BI207" s="1358"/>
      <c r="BJ207" s="1358"/>
      <c r="BK207" s="1358"/>
      <c r="BL207" s="1358"/>
      <c r="BM207" s="1358"/>
      <c r="BN207" s="1358"/>
      <c r="BO207" s="1358"/>
      <c r="BP207" s="1358"/>
      <c r="BQ207" s="1358"/>
      <c r="BR207" s="1358"/>
      <c r="BS207" s="1358"/>
      <c r="BT207" s="1358"/>
      <c r="BU207" s="1358"/>
      <c r="BV207" s="1358"/>
      <c r="BW207" s="1358"/>
      <c r="BX207" s="1358"/>
      <c r="BY207" s="1358"/>
      <c r="BZ207" s="1358"/>
      <c r="CA207" s="1358"/>
      <c r="CB207" s="1358"/>
      <c r="CC207" s="1358"/>
      <c r="CD207" s="1328"/>
      <c r="CE207" s="1328"/>
      <c r="CF207" s="1328"/>
      <c r="CG207" s="1328"/>
      <c r="CH207" s="1328"/>
      <c r="CI207" s="1328"/>
      <c r="CJ207" s="1328"/>
      <c r="CK207" s="1328"/>
      <c r="CL207" s="1328"/>
      <c r="CM207" s="1328"/>
      <c r="CN207" s="1328"/>
      <c r="CO207" s="1328"/>
      <c r="CP207" s="1328"/>
      <c r="CQ207" s="1058"/>
      <c r="CR207" s="1058"/>
      <c r="CS207" s="1119"/>
      <c r="CT207" s="1119"/>
      <c r="CU207" s="1119"/>
      <c r="ED207" s="703"/>
      <c r="EE207" s="703"/>
      <c r="EF207" s="703"/>
      <c r="EG207" s="703"/>
      <c r="EH207" s="703"/>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row>
    <row r="208" spans="1:259" s="15" customFormat="1" x14ac:dyDescent="0.2">
      <c r="A208" s="13" t="s">
        <v>53</v>
      </c>
      <c r="B208" s="1853"/>
      <c r="C208" s="1853"/>
      <c r="D208" s="1853"/>
      <c r="E208" s="1853"/>
      <c r="F208" s="1853"/>
      <c r="G208" s="1853"/>
      <c r="H208" s="1853"/>
      <c r="I208" s="1853"/>
      <c r="J208" s="1854"/>
      <c r="K208" s="1853"/>
      <c r="L208" s="1853"/>
      <c r="M208" s="1853"/>
      <c r="N208" s="1853"/>
      <c r="O208" s="1853"/>
      <c r="P208" s="1853"/>
      <c r="Q208" s="1853"/>
      <c r="R208" s="1853"/>
      <c r="S208" s="1853"/>
      <c r="T208" s="1853"/>
      <c r="U208" s="1853"/>
      <c r="V208" s="1853"/>
      <c r="W208" s="1853"/>
      <c r="X208" s="1853"/>
      <c r="Y208" s="1853"/>
      <c r="Z208" s="1853"/>
      <c r="AA208" s="1853"/>
      <c r="AB208" s="1853"/>
      <c r="AC208" s="1853"/>
      <c r="AD208" s="1853"/>
      <c r="AE208" s="1853"/>
      <c r="AF208" s="1853"/>
      <c r="AG208" s="1853"/>
      <c r="AH208" s="1853"/>
      <c r="AI208" s="1853"/>
      <c r="AJ208" s="1853"/>
      <c r="AK208" s="1853"/>
      <c r="AL208" s="1853"/>
      <c r="AM208" s="1853"/>
      <c r="AN208" s="1853"/>
      <c r="AO208" s="1860">
        <f t="shared" ref="AO208:BT208" si="558">SUM(AO24:AO26)</f>
        <v>6833</v>
      </c>
      <c r="AP208" s="1856">
        <f t="shared" si="558"/>
        <v>1551</v>
      </c>
      <c r="AQ208" s="1856">
        <f t="shared" si="558"/>
        <v>1636</v>
      </c>
      <c r="AR208" s="1856">
        <f t="shared" si="558"/>
        <v>1681</v>
      </c>
      <c r="AS208" s="1856">
        <f t="shared" si="558"/>
        <v>2202</v>
      </c>
      <c r="AT208" s="1860">
        <f t="shared" si="558"/>
        <v>7070</v>
      </c>
      <c r="AU208" s="1856">
        <f t="shared" si="558"/>
        <v>1535</v>
      </c>
      <c r="AV208" s="1856">
        <f t="shared" si="558"/>
        <v>1611</v>
      </c>
      <c r="AW208" s="1856">
        <f t="shared" si="558"/>
        <v>1668</v>
      </c>
      <c r="AX208" s="1856">
        <f t="shared" si="558"/>
        <v>2280</v>
      </c>
      <c r="AY208" s="1860">
        <f t="shared" si="558"/>
        <v>7094</v>
      </c>
      <c r="AZ208" s="1856">
        <f t="shared" si="558"/>
        <v>1654</v>
      </c>
      <c r="BA208" s="1856">
        <f t="shared" si="558"/>
        <v>1763</v>
      </c>
      <c r="BB208" s="1856">
        <f t="shared" si="558"/>
        <v>1890</v>
      </c>
      <c r="BC208" s="1856">
        <f t="shared" si="558"/>
        <v>2466</v>
      </c>
      <c r="BD208" s="1860">
        <f t="shared" si="558"/>
        <v>7773</v>
      </c>
      <c r="BE208" s="1856">
        <f t="shared" si="558"/>
        <v>1786</v>
      </c>
      <c r="BF208" s="1856">
        <f t="shared" si="558"/>
        <v>2012</v>
      </c>
      <c r="BG208" s="1856">
        <f t="shared" si="558"/>
        <v>2124</v>
      </c>
      <c r="BH208" s="1856">
        <f t="shared" si="558"/>
        <v>2543</v>
      </c>
      <c r="BI208" s="1860">
        <f t="shared" si="558"/>
        <v>8465</v>
      </c>
      <c r="BJ208" s="1856">
        <f t="shared" si="558"/>
        <v>1610</v>
      </c>
      <c r="BK208" s="1856">
        <f t="shared" si="558"/>
        <v>1828</v>
      </c>
      <c r="BL208" s="1856">
        <f t="shared" si="558"/>
        <v>2007</v>
      </c>
      <c r="BM208" s="1856">
        <f t="shared" si="558"/>
        <v>2489</v>
      </c>
      <c r="BN208" s="1860">
        <f t="shared" si="558"/>
        <v>7934</v>
      </c>
      <c r="BO208" s="1856">
        <f t="shared" si="558"/>
        <v>1656</v>
      </c>
      <c r="BP208" s="1856">
        <f t="shared" si="558"/>
        <v>1854</v>
      </c>
      <c r="BQ208" s="1856">
        <f t="shared" si="558"/>
        <v>2017</v>
      </c>
      <c r="BR208" s="1856">
        <f t="shared" si="558"/>
        <v>2593</v>
      </c>
      <c r="BS208" s="1860">
        <f t="shared" si="558"/>
        <v>8120</v>
      </c>
      <c r="BT208" s="1856">
        <f t="shared" si="558"/>
        <v>1691</v>
      </c>
      <c r="BU208" s="1856">
        <f t="shared" ref="BU208:CZ208" si="559">SUM(BU24:BU26)</f>
        <v>2045</v>
      </c>
      <c r="BV208" s="1856">
        <f t="shared" si="559"/>
        <v>2360</v>
      </c>
      <c r="BW208" s="1856">
        <f t="shared" si="559"/>
        <v>3044</v>
      </c>
      <c r="BX208" s="1860">
        <f t="shared" si="559"/>
        <v>9140</v>
      </c>
      <c r="BY208" s="1856">
        <f t="shared" si="559"/>
        <v>1904</v>
      </c>
      <c r="BZ208" s="1856">
        <f t="shared" si="559"/>
        <v>2339</v>
      </c>
      <c r="CA208" s="1856">
        <f t="shared" si="559"/>
        <v>2543</v>
      </c>
      <c r="CB208" s="1856">
        <f t="shared" si="559"/>
        <v>3066</v>
      </c>
      <c r="CC208" s="1860">
        <f t="shared" si="559"/>
        <v>9852</v>
      </c>
      <c r="CD208" s="1857">
        <f t="shared" si="559"/>
        <v>821</v>
      </c>
      <c r="CE208" s="1857">
        <f t="shared" si="559"/>
        <v>887</v>
      </c>
      <c r="CF208" s="1857">
        <f t="shared" si="559"/>
        <v>878</v>
      </c>
      <c r="CG208" s="1857">
        <f t="shared" si="559"/>
        <v>1165</v>
      </c>
      <c r="CH208" s="1859">
        <f t="shared" si="559"/>
        <v>3751</v>
      </c>
      <c r="CI208" s="1857">
        <f t="shared" si="559"/>
        <v>812</v>
      </c>
      <c r="CJ208" s="1857">
        <f t="shared" si="559"/>
        <v>930</v>
      </c>
      <c r="CK208" s="1857">
        <f t="shared" si="559"/>
        <v>922</v>
      </c>
      <c r="CL208" s="1857">
        <f t="shared" si="559"/>
        <v>1205</v>
      </c>
      <c r="CM208" s="1859">
        <f t="shared" si="559"/>
        <v>3869</v>
      </c>
      <c r="CN208" s="1857">
        <f t="shared" si="559"/>
        <v>795</v>
      </c>
      <c r="CO208" s="1857">
        <f t="shared" si="559"/>
        <v>874</v>
      </c>
      <c r="CP208" s="1857">
        <f t="shared" si="559"/>
        <v>873</v>
      </c>
      <c r="CQ208" s="1918">
        <f t="shared" si="559"/>
        <v>1105</v>
      </c>
      <c r="CR208" s="1972">
        <f t="shared" si="559"/>
        <v>3647</v>
      </c>
      <c r="CS208" s="2099">
        <f t="shared" si="559"/>
        <v>805</v>
      </c>
      <c r="CT208" s="2099">
        <f t="shared" si="559"/>
        <v>839</v>
      </c>
      <c r="CU208" s="2099">
        <f t="shared" si="559"/>
        <v>831</v>
      </c>
      <c r="CV208" s="322">
        <f t="shared" si="559"/>
        <v>1014</v>
      </c>
      <c r="CW208" s="276">
        <f t="shared" si="559"/>
        <v>3489</v>
      </c>
      <c r="CX208" s="322">
        <f t="shared" si="559"/>
        <v>758</v>
      </c>
      <c r="CY208" s="322">
        <f t="shared" si="559"/>
        <v>748</v>
      </c>
      <c r="CZ208" s="322">
        <f t="shared" si="559"/>
        <v>717</v>
      </c>
      <c r="DA208" s="322">
        <f t="shared" ref="DA208:DQ208" si="560">SUM(DA24:DA26)</f>
        <v>731</v>
      </c>
      <c r="DB208" s="276">
        <f t="shared" si="560"/>
        <v>2954</v>
      </c>
      <c r="DC208" s="322">
        <f t="shared" si="560"/>
        <v>422.92960992140257</v>
      </c>
      <c r="DD208" s="322">
        <f t="shared" si="560"/>
        <v>383.08257073826564</v>
      </c>
      <c r="DE208" s="322">
        <f t="shared" si="560"/>
        <v>353.01914580524715</v>
      </c>
      <c r="DF208" s="322">
        <f t="shared" si="560"/>
        <v>429.4858965927379</v>
      </c>
      <c r="DG208" s="276">
        <f t="shared" si="560"/>
        <v>1588.5172230576532</v>
      </c>
      <c r="DH208" s="322">
        <f t="shared" si="560"/>
        <v>303.67413632407283</v>
      </c>
      <c r="DI208" s="322">
        <f t="shared" si="560"/>
        <v>285.68134126594424</v>
      </c>
      <c r="DJ208" s="322">
        <f t="shared" si="560"/>
        <v>269.71840523773733</v>
      </c>
      <c r="DK208" s="322">
        <f t="shared" si="560"/>
        <v>320.59575725351243</v>
      </c>
      <c r="DL208" s="276">
        <f t="shared" si="560"/>
        <v>1179.6696400812668</v>
      </c>
      <c r="DM208" s="322">
        <f t="shared" si="560"/>
        <v>228.7877250961638</v>
      </c>
      <c r="DN208" s="322">
        <f t="shared" si="560"/>
        <v>240.07983660537823</v>
      </c>
      <c r="DO208" s="322">
        <f t="shared" si="560"/>
        <v>253.39161601109737</v>
      </c>
      <c r="DP208" s="322">
        <f t="shared" si="560"/>
        <v>340.54219327355702</v>
      </c>
      <c r="DQ208" s="276">
        <f t="shared" si="560"/>
        <v>1062.8013709861964</v>
      </c>
      <c r="DR208" s="322">
        <f t="shared" ref="DR208:EA208" si="561">SUM(DR24:DR26)</f>
        <v>259.15324188910171</v>
      </c>
      <c r="DS208" s="322">
        <f t="shared" si="561"/>
        <v>271.25737247568298</v>
      </c>
      <c r="DT208" s="322">
        <f t="shared" si="561"/>
        <v>285.50001026970438</v>
      </c>
      <c r="DU208" s="322">
        <f t="shared" si="561"/>
        <v>382.88608498504192</v>
      </c>
      <c r="DV208" s="276">
        <f t="shared" si="561"/>
        <v>1198.7967096195312</v>
      </c>
      <c r="DW208" s="322">
        <f t="shared" si="561"/>
        <v>292.35051731472134</v>
      </c>
      <c r="DX208" s="322">
        <f t="shared" si="561"/>
        <v>308.75691704450747</v>
      </c>
      <c r="DY208" s="322">
        <f t="shared" si="561"/>
        <v>327.68612498888587</v>
      </c>
      <c r="DZ208" s="322">
        <f t="shared" si="561"/>
        <v>442.79607144008065</v>
      </c>
      <c r="EA208" s="276">
        <f t="shared" si="561"/>
        <v>1371.5896307881953</v>
      </c>
      <c r="EB208" s="62"/>
      <c r="EC208" s="37"/>
      <c r="ED208" s="818"/>
      <c r="EE208" s="818"/>
      <c r="EF208" s="818"/>
      <c r="EG208" s="818"/>
      <c r="EH208" s="132"/>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row>
    <row r="209" spans="1:259" s="15" customFormat="1" x14ac:dyDescent="0.2">
      <c r="A209" s="14" t="s">
        <v>54</v>
      </c>
      <c r="B209" s="1358"/>
      <c r="C209" s="1358"/>
      <c r="D209" s="1358"/>
      <c r="E209" s="1358"/>
      <c r="F209" s="1358"/>
      <c r="G209" s="1358"/>
      <c r="H209" s="1358"/>
      <c r="I209" s="1358"/>
      <c r="J209" s="1675"/>
      <c r="K209" s="1358"/>
      <c r="L209" s="1358"/>
      <c r="M209" s="1358"/>
      <c r="N209" s="1358"/>
      <c r="O209" s="1358"/>
      <c r="P209" s="1358"/>
      <c r="Q209" s="1358"/>
      <c r="R209" s="1358"/>
      <c r="S209" s="1358"/>
      <c r="T209" s="1358"/>
      <c r="U209" s="1358"/>
      <c r="V209" s="1358"/>
      <c r="W209" s="1358"/>
      <c r="X209" s="1358"/>
      <c r="Y209" s="1358"/>
      <c r="Z209" s="1358"/>
      <c r="AA209" s="1358"/>
      <c r="AB209" s="1358"/>
      <c r="AC209" s="1358"/>
      <c r="AD209" s="1358"/>
      <c r="AE209" s="1358"/>
      <c r="AF209" s="1358"/>
      <c r="AG209" s="1358"/>
      <c r="AH209" s="1358"/>
      <c r="AI209" s="1358"/>
      <c r="AJ209" s="1358"/>
      <c r="AK209" s="1358"/>
      <c r="AL209" s="1358"/>
      <c r="AM209" s="1358"/>
      <c r="AN209" s="1358"/>
      <c r="AO209" s="1706">
        <f t="shared" ref="AO209:BT209" si="562">AO28+AO30</f>
        <v>1082</v>
      </c>
      <c r="AP209" s="1359">
        <f t="shared" si="562"/>
        <v>255</v>
      </c>
      <c r="AQ209" s="1359">
        <f t="shared" si="562"/>
        <v>277</v>
      </c>
      <c r="AR209" s="1359">
        <f t="shared" si="562"/>
        <v>276</v>
      </c>
      <c r="AS209" s="1359">
        <f t="shared" si="562"/>
        <v>383</v>
      </c>
      <c r="AT209" s="1706">
        <f t="shared" si="562"/>
        <v>1191</v>
      </c>
      <c r="AU209" s="1359">
        <f t="shared" si="562"/>
        <v>262</v>
      </c>
      <c r="AV209" s="1359">
        <f t="shared" si="562"/>
        <v>273</v>
      </c>
      <c r="AW209" s="1359">
        <f t="shared" si="562"/>
        <v>278</v>
      </c>
      <c r="AX209" s="1359">
        <f t="shared" si="562"/>
        <v>409</v>
      </c>
      <c r="AY209" s="1706">
        <f t="shared" si="562"/>
        <v>1222</v>
      </c>
      <c r="AZ209" s="1359">
        <f t="shared" si="562"/>
        <v>270</v>
      </c>
      <c r="BA209" s="1359">
        <f t="shared" si="562"/>
        <v>297</v>
      </c>
      <c r="BB209" s="1359">
        <f t="shared" si="562"/>
        <v>293</v>
      </c>
      <c r="BC209" s="1359">
        <f t="shared" si="562"/>
        <v>473</v>
      </c>
      <c r="BD209" s="1706">
        <f t="shared" si="562"/>
        <v>1333</v>
      </c>
      <c r="BE209" s="1359">
        <f t="shared" si="562"/>
        <v>295</v>
      </c>
      <c r="BF209" s="1359">
        <f t="shared" si="562"/>
        <v>330</v>
      </c>
      <c r="BG209" s="1359">
        <f t="shared" si="562"/>
        <v>330</v>
      </c>
      <c r="BH209" s="1359">
        <f t="shared" si="562"/>
        <v>473</v>
      </c>
      <c r="BI209" s="1706">
        <f t="shared" si="562"/>
        <v>1428</v>
      </c>
      <c r="BJ209" s="1359">
        <f t="shared" si="562"/>
        <v>275</v>
      </c>
      <c r="BK209" s="1359">
        <f t="shared" si="562"/>
        <v>306</v>
      </c>
      <c r="BL209" s="1359">
        <f t="shared" si="562"/>
        <v>305</v>
      </c>
      <c r="BM209" s="1359">
        <f t="shared" si="562"/>
        <v>453</v>
      </c>
      <c r="BN209" s="1706">
        <f t="shared" si="562"/>
        <v>1339</v>
      </c>
      <c r="BO209" s="1359">
        <f t="shared" si="562"/>
        <v>268</v>
      </c>
      <c r="BP209" s="1359">
        <f t="shared" si="562"/>
        <v>307</v>
      </c>
      <c r="BQ209" s="1359">
        <f t="shared" si="562"/>
        <v>309</v>
      </c>
      <c r="BR209" s="1359">
        <f t="shared" si="562"/>
        <v>503</v>
      </c>
      <c r="BS209" s="1706">
        <f t="shared" si="562"/>
        <v>1387</v>
      </c>
      <c r="BT209" s="1359">
        <f t="shared" si="562"/>
        <v>285</v>
      </c>
      <c r="BU209" s="1359">
        <f t="shared" ref="BU209:CZ209" si="563">BU28+BU30</f>
        <v>341</v>
      </c>
      <c r="BV209" s="1359">
        <f t="shared" si="563"/>
        <v>351</v>
      </c>
      <c r="BW209" s="1359">
        <f t="shared" si="563"/>
        <v>540</v>
      </c>
      <c r="BX209" s="1706">
        <f t="shared" si="563"/>
        <v>1517</v>
      </c>
      <c r="BY209" s="1359">
        <f t="shared" si="563"/>
        <v>298</v>
      </c>
      <c r="BZ209" s="1359">
        <f t="shared" si="563"/>
        <v>372</v>
      </c>
      <c r="CA209" s="1359">
        <f t="shared" si="563"/>
        <v>364</v>
      </c>
      <c r="CB209" s="1359">
        <f t="shared" si="563"/>
        <v>609</v>
      </c>
      <c r="CC209" s="1706">
        <f t="shared" si="563"/>
        <v>1643</v>
      </c>
      <c r="CD209" s="1363">
        <f t="shared" si="563"/>
        <v>237</v>
      </c>
      <c r="CE209" s="1363">
        <f t="shared" si="563"/>
        <v>281</v>
      </c>
      <c r="CF209" s="1363">
        <f t="shared" si="563"/>
        <v>269</v>
      </c>
      <c r="CG209" s="1363">
        <f t="shared" si="563"/>
        <v>428</v>
      </c>
      <c r="CH209" s="1688">
        <f t="shared" si="563"/>
        <v>1215</v>
      </c>
      <c r="CI209" s="1363">
        <f t="shared" si="563"/>
        <v>239</v>
      </c>
      <c r="CJ209" s="1363">
        <f t="shared" si="563"/>
        <v>281</v>
      </c>
      <c r="CK209" s="1363">
        <f t="shared" si="563"/>
        <v>265</v>
      </c>
      <c r="CL209" s="1363">
        <f t="shared" si="563"/>
        <v>403</v>
      </c>
      <c r="CM209" s="1688">
        <f t="shared" si="563"/>
        <v>1188</v>
      </c>
      <c r="CN209" s="1363">
        <f t="shared" si="563"/>
        <v>257</v>
      </c>
      <c r="CO209" s="1363">
        <f t="shared" si="563"/>
        <v>295</v>
      </c>
      <c r="CP209" s="1363">
        <f t="shared" si="563"/>
        <v>307</v>
      </c>
      <c r="CQ209" s="1060">
        <f t="shared" si="563"/>
        <v>477</v>
      </c>
      <c r="CR209" s="1973">
        <f t="shared" si="563"/>
        <v>1336</v>
      </c>
      <c r="CS209" s="2062">
        <f t="shared" si="563"/>
        <v>294</v>
      </c>
      <c r="CT209" s="2062">
        <f t="shared" si="563"/>
        <v>308</v>
      </c>
      <c r="CU209" s="2062">
        <f t="shared" si="563"/>
        <v>310</v>
      </c>
      <c r="CV209" s="62">
        <f t="shared" si="563"/>
        <v>418</v>
      </c>
      <c r="CW209" s="792">
        <f t="shared" si="563"/>
        <v>1330</v>
      </c>
      <c r="CX209" s="62">
        <f t="shared" si="563"/>
        <v>283</v>
      </c>
      <c r="CY209" s="62">
        <f t="shared" si="563"/>
        <v>301</v>
      </c>
      <c r="CZ209" s="62">
        <f t="shared" si="563"/>
        <v>276</v>
      </c>
      <c r="DA209" s="62">
        <f t="shared" ref="DA209:DQ209" si="564">DA28+DA30</f>
        <v>376</v>
      </c>
      <c r="DB209" s="792">
        <f t="shared" si="564"/>
        <v>1236</v>
      </c>
      <c r="DC209" s="62">
        <f t="shared" si="564"/>
        <v>273.46998875615054</v>
      </c>
      <c r="DD209" s="62">
        <f t="shared" si="564"/>
        <v>275.02346881870966</v>
      </c>
      <c r="DE209" s="62">
        <f t="shared" si="564"/>
        <v>260.5622734230497</v>
      </c>
      <c r="DF209" s="62">
        <f t="shared" si="564"/>
        <v>343.88569656280282</v>
      </c>
      <c r="DG209" s="792">
        <f t="shared" si="564"/>
        <v>1152.9414275607128</v>
      </c>
      <c r="DH209" s="62">
        <f t="shared" si="564"/>
        <v>259.76484017738392</v>
      </c>
      <c r="DI209" s="62">
        <f t="shared" si="564"/>
        <v>259.53493388200229</v>
      </c>
      <c r="DJ209" s="62">
        <f t="shared" si="564"/>
        <v>244.66021469882401</v>
      </c>
      <c r="DK209" s="62">
        <f t="shared" si="564"/>
        <v>328.20682597327288</v>
      </c>
      <c r="DL209" s="792">
        <f t="shared" si="564"/>
        <v>1092.1668147314831</v>
      </c>
      <c r="DM209" s="62">
        <f t="shared" si="564"/>
        <v>271.64822466958015</v>
      </c>
      <c r="DN209" s="62">
        <f t="shared" si="564"/>
        <v>271.27539061791845</v>
      </c>
      <c r="DO209" s="62">
        <f t="shared" si="564"/>
        <v>255.36150579731063</v>
      </c>
      <c r="DP209" s="62">
        <f t="shared" si="564"/>
        <v>342.71641157295295</v>
      </c>
      <c r="DQ209" s="792">
        <f t="shared" si="564"/>
        <v>1141.0015326577623</v>
      </c>
      <c r="DR209" s="62">
        <f t="shared" ref="DR209:EA209" si="565">DR28+DR30</f>
        <v>285.6489542240331</v>
      </c>
      <c r="DS209" s="62">
        <f t="shared" si="565"/>
        <v>286.57840265155301</v>
      </c>
      <c r="DT209" s="62">
        <f t="shared" si="565"/>
        <v>267.96901113625734</v>
      </c>
      <c r="DU209" s="62">
        <f t="shared" si="565"/>
        <v>359.95568974486775</v>
      </c>
      <c r="DV209" s="792">
        <f t="shared" si="565"/>
        <v>1200.1520577567112</v>
      </c>
      <c r="DW209" s="62">
        <f t="shared" si="565"/>
        <v>303.01786150843873</v>
      </c>
      <c r="DX209" s="62">
        <f t="shared" si="565"/>
        <v>305.43000754332826</v>
      </c>
      <c r="DY209" s="62">
        <f t="shared" si="565"/>
        <v>283.53105818853243</v>
      </c>
      <c r="DZ209" s="62">
        <f t="shared" si="565"/>
        <v>381.41855396355027</v>
      </c>
      <c r="EA209" s="792">
        <f t="shared" si="565"/>
        <v>1273.3974812038496</v>
      </c>
      <c r="EC209" s="37"/>
      <c r="ED209" s="818"/>
      <c r="EE209" s="818"/>
      <c r="EF209" s="818"/>
      <c r="EG209" s="818"/>
      <c r="EH209" s="132"/>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row>
    <row r="210" spans="1:259" s="15" customFormat="1" x14ac:dyDescent="0.2">
      <c r="A210" s="14" t="s">
        <v>158</v>
      </c>
      <c r="B210" s="1358"/>
      <c r="C210" s="1358"/>
      <c r="D210" s="1358"/>
      <c r="E210" s="1358"/>
      <c r="F210" s="1358"/>
      <c r="G210" s="1358"/>
      <c r="H210" s="1358"/>
      <c r="I210" s="1358"/>
      <c r="J210" s="1675"/>
      <c r="K210" s="1358"/>
      <c r="L210" s="1358"/>
      <c r="M210" s="1358"/>
      <c r="N210" s="1358"/>
      <c r="O210" s="1358"/>
      <c r="P210" s="1358"/>
      <c r="Q210" s="1358"/>
      <c r="R210" s="1358"/>
      <c r="S210" s="1358"/>
      <c r="T210" s="1358"/>
      <c r="U210" s="1358"/>
      <c r="V210" s="1358"/>
      <c r="W210" s="1358"/>
      <c r="X210" s="1358"/>
      <c r="Y210" s="1358"/>
      <c r="Z210" s="1358"/>
      <c r="AA210" s="1358"/>
      <c r="AB210" s="1358"/>
      <c r="AC210" s="1358"/>
      <c r="AD210" s="1358"/>
      <c r="AE210" s="1358"/>
      <c r="AF210" s="1358"/>
      <c r="AG210" s="1358"/>
      <c r="AH210" s="1358"/>
      <c r="AI210" s="1358"/>
      <c r="AJ210" s="1358"/>
      <c r="AK210" s="1358"/>
      <c r="AL210" s="1358"/>
      <c r="AM210" s="1358"/>
      <c r="AN210" s="1358"/>
      <c r="AO210" s="1713">
        <f>AO182</f>
        <v>0.27650602409638553</v>
      </c>
      <c r="AP210" s="1518">
        <v>0.33</v>
      </c>
      <c r="AQ210" s="1518">
        <v>0.33</v>
      </c>
      <c r="AR210" s="1518">
        <v>0.33</v>
      </c>
      <c r="AS210" s="1518">
        <v>0.33</v>
      </c>
      <c r="AT210" s="1713">
        <f>AT182</f>
        <v>0.2578125</v>
      </c>
      <c r="AU210" s="1518">
        <v>0.33</v>
      </c>
      <c r="AV210" s="1518">
        <v>0.33</v>
      </c>
      <c r="AW210" s="1518">
        <v>0.33</v>
      </c>
      <c r="AX210" s="1518">
        <v>0.33</v>
      </c>
      <c r="AY210" s="1713">
        <f>AY182</f>
        <v>0.2563176895306859</v>
      </c>
      <c r="AZ210" s="1518">
        <v>0.33</v>
      </c>
      <c r="BA210" s="1518">
        <v>0.33</v>
      </c>
      <c r="BB210" s="1518">
        <v>0.33</v>
      </c>
      <c r="BC210" s="1518">
        <v>0.33</v>
      </c>
      <c r="BD210" s="1713">
        <f t="shared" ref="BD210:CI210" si="566">BD182</f>
        <v>0.23685536704182766</v>
      </c>
      <c r="BE210" s="1518">
        <f t="shared" si="566"/>
        <v>0.31367292225201071</v>
      </c>
      <c r="BF210" s="1518">
        <f t="shared" si="566"/>
        <v>0.14828897338403041</v>
      </c>
      <c r="BG210" s="1518">
        <f t="shared" si="566"/>
        <v>0.21703296703296704</v>
      </c>
      <c r="BH210" s="1518">
        <f t="shared" si="566"/>
        <v>0.2837370242214533</v>
      </c>
      <c r="BI210" s="1713">
        <f t="shared" si="566"/>
        <v>0.24592707525213345</v>
      </c>
      <c r="BJ210" s="1518">
        <f t="shared" si="566"/>
        <v>0.2651006711409396</v>
      </c>
      <c r="BK210" s="1518">
        <f t="shared" si="566"/>
        <v>0.12820512820512819</v>
      </c>
      <c r="BL210" s="1518">
        <f t="shared" si="566"/>
        <v>0.20560747663551401</v>
      </c>
      <c r="BM210" s="1518">
        <f t="shared" si="566"/>
        <v>0.31661442006269591</v>
      </c>
      <c r="BN210" s="1713">
        <f t="shared" si="566"/>
        <v>0.22421203438395415</v>
      </c>
      <c r="BO210" s="1518">
        <f t="shared" si="566"/>
        <v>0.24148606811145512</v>
      </c>
      <c r="BP210" s="1518">
        <f t="shared" si="566"/>
        <v>0.23746701846965698</v>
      </c>
      <c r="BQ210" s="1518">
        <f t="shared" si="566"/>
        <v>0.27470355731225299</v>
      </c>
      <c r="BR210" s="1518">
        <f t="shared" si="566"/>
        <v>0.28238341968911918</v>
      </c>
      <c r="BS210" s="1713">
        <f t="shared" si="566"/>
        <v>0.26097867001254704</v>
      </c>
      <c r="BT210" s="1518">
        <f t="shared" si="566"/>
        <v>0.25418994413407819</v>
      </c>
      <c r="BU210" s="1518">
        <f t="shared" si="566"/>
        <v>0.16145833333333334</v>
      </c>
      <c r="BV210" s="1518">
        <f t="shared" si="566"/>
        <v>0.14692982456140352</v>
      </c>
      <c r="BW210" s="1518">
        <f t="shared" si="566"/>
        <v>0.22559652928416485</v>
      </c>
      <c r="BX210" s="1713">
        <f t="shared" si="566"/>
        <v>0.19529837251356238</v>
      </c>
      <c r="BY210" s="1518">
        <f t="shared" si="566"/>
        <v>0.24177631578947367</v>
      </c>
      <c r="BZ210" s="1518">
        <f t="shared" si="566"/>
        <v>0.23448275862068965</v>
      </c>
      <c r="CA210" s="1518">
        <f t="shared" si="566"/>
        <v>0.2519561815336463</v>
      </c>
      <c r="CB210" s="1518">
        <f t="shared" si="566"/>
        <v>0.27429805615550756</v>
      </c>
      <c r="CC210" s="1713">
        <f t="shared" si="566"/>
        <v>0.25034965034965034</v>
      </c>
      <c r="CD210" s="1522">
        <f t="shared" si="566"/>
        <v>0.27400000000000002</v>
      </c>
      <c r="CE210" s="1522">
        <f t="shared" si="566"/>
        <v>0.27400000000000002</v>
      </c>
      <c r="CF210" s="1522">
        <f t="shared" si="566"/>
        <v>0.27400000000000002</v>
      </c>
      <c r="CG210" s="1565">
        <f t="shared" si="566"/>
        <v>0.27400000000000002</v>
      </c>
      <c r="CH210" s="1714">
        <f t="shared" si="566"/>
        <v>0.27365129007036748</v>
      </c>
      <c r="CI210" s="1565">
        <f t="shared" si="566"/>
        <v>0.18850803424194962</v>
      </c>
      <c r="CJ210" s="1565">
        <f t="shared" ref="CJ210:DQ210" si="567">CJ182</f>
        <v>0.22598630445413065</v>
      </c>
      <c r="CK210" s="1565">
        <f t="shared" si="567"/>
        <v>0.18876243428217984</v>
      </c>
      <c r="CL210" s="1565">
        <f t="shared" si="567"/>
        <v>0.26</v>
      </c>
      <c r="CM210" s="1714">
        <f t="shared" si="567"/>
        <v>0.26749271137026237</v>
      </c>
      <c r="CN210" s="1565">
        <f t="shared" si="567"/>
        <v>0.16355636917601724</v>
      </c>
      <c r="CO210" s="1565">
        <f t="shared" si="567"/>
        <v>0.31077710420315935</v>
      </c>
      <c r="CP210" s="1565">
        <f t="shared" si="567"/>
        <v>0.2823681502334639</v>
      </c>
      <c r="CQ210" s="1082">
        <f t="shared" si="567"/>
        <v>0.32580645161290323</v>
      </c>
      <c r="CR210" s="1978">
        <f t="shared" si="567"/>
        <v>0.2615194307890083</v>
      </c>
      <c r="CS210" s="2076">
        <f t="shared" si="567"/>
        <v>0.26623376623376621</v>
      </c>
      <c r="CT210" s="2076">
        <f t="shared" si="567"/>
        <v>0.26849315068493151</v>
      </c>
      <c r="CU210" s="2076">
        <f t="shared" si="567"/>
        <v>0.27666666666666667</v>
      </c>
      <c r="CV210" s="128">
        <f t="shared" si="567"/>
        <v>0.17158176943699732</v>
      </c>
      <c r="CW210" s="627">
        <f t="shared" si="567"/>
        <v>0.24294205052005943</v>
      </c>
      <c r="CX210" s="128">
        <f t="shared" si="567"/>
        <v>0.1930835734870317</v>
      </c>
      <c r="CY210" s="128">
        <f t="shared" si="567"/>
        <v>0.33762057877813506</v>
      </c>
      <c r="CZ210" s="128">
        <f t="shared" si="567"/>
        <v>0.20229007633587787</v>
      </c>
      <c r="DA210" s="128">
        <f t="shared" si="567"/>
        <v>0.60073260073260071</v>
      </c>
      <c r="DB210" s="627">
        <f t="shared" si="567"/>
        <v>0.41072999120492526</v>
      </c>
      <c r="DC210" s="128">
        <f t="shared" si="567"/>
        <v>0.19500000000000001</v>
      </c>
      <c r="DD210" s="128">
        <f t="shared" si="567"/>
        <v>0.19500000000000001</v>
      </c>
      <c r="DE210" s="128">
        <f t="shared" si="567"/>
        <v>0.19500000000000001</v>
      </c>
      <c r="DF210" s="128">
        <f t="shared" si="567"/>
        <v>0.19500000000000001</v>
      </c>
      <c r="DG210" s="627">
        <f t="shared" si="567"/>
        <v>0.19500000000000006</v>
      </c>
      <c r="DH210" s="128">
        <f t="shared" si="567"/>
        <v>0.2</v>
      </c>
      <c r="DI210" s="128">
        <f t="shared" si="567"/>
        <v>0.2</v>
      </c>
      <c r="DJ210" s="128">
        <f t="shared" si="567"/>
        <v>0.2</v>
      </c>
      <c r="DK210" s="128">
        <f t="shared" si="567"/>
        <v>0.2</v>
      </c>
      <c r="DL210" s="627">
        <f t="shared" si="567"/>
        <v>0.20000000000000004</v>
      </c>
      <c r="DM210" s="128">
        <f t="shared" si="567"/>
        <v>0.21</v>
      </c>
      <c r="DN210" s="128">
        <f t="shared" si="567"/>
        <v>0.21</v>
      </c>
      <c r="DO210" s="128">
        <f t="shared" si="567"/>
        <v>0.21</v>
      </c>
      <c r="DP210" s="128">
        <f t="shared" si="567"/>
        <v>0.21</v>
      </c>
      <c r="DQ210" s="627">
        <f t="shared" si="567"/>
        <v>0.20999999999999991</v>
      </c>
      <c r="DR210" s="128">
        <f t="shared" ref="DR210:EA210" si="568">DR182</f>
        <v>0.21</v>
      </c>
      <c r="DS210" s="128">
        <f t="shared" si="568"/>
        <v>0.21</v>
      </c>
      <c r="DT210" s="128">
        <f t="shared" si="568"/>
        <v>0.21</v>
      </c>
      <c r="DU210" s="128">
        <f t="shared" si="568"/>
        <v>0.21</v>
      </c>
      <c r="DV210" s="627">
        <f t="shared" si="568"/>
        <v>0.21</v>
      </c>
      <c r="DW210" s="128">
        <f t="shared" si="568"/>
        <v>0.21</v>
      </c>
      <c r="DX210" s="128">
        <f t="shared" si="568"/>
        <v>0.21</v>
      </c>
      <c r="DY210" s="128">
        <f t="shared" si="568"/>
        <v>0.21</v>
      </c>
      <c r="DZ210" s="128">
        <f t="shared" si="568"/>
        <v>0.21</v>
      </c>
      <c r="EA210" s="627">
        <f t="shared" si="568"/>
        <v>0.21000000000000005</v>
      </c>
      <c r="EC210" s="37"/>
      <c r="ED210" s="818"/>
      <c r="EE210" s="818"/>
      <c r="EF210" s="818"/>
      <c r="EG210" s="818"/>
      <c r="EH210" s="132"/>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row>
    <row r="211" spans="1:259" s="15" customFormat="1" x14ac:dyDescent="0.2">
      <c r="A211" s="14" t="s">
        <v>256</v>
      </c>
      <c r="B211" s="1358"/>
      <c r="C211" s="1358"/>
      <c r="D211" s="1358"/>
      <c r="E211" s="1358"/>
      <c r="F211" s="1358"/>
      <c r="G211" s="1358"/>
      <c r="H211" s="1358"/>
      <c r="I211" s="1358"/>
      <c r="J211" s="1675"/>
      <c r="K211" s="1358"/>
      <c r="L211" s="1358"/>
      <c r="M211" s="1358"/>
      <c r="N211" s="1358"/>
      <c r="O211" s="1358"/>
      <c r="P211" s="1358"/>
      <c r="Q211" s="1358"/>
      <c r="R211" s="1358"/>
      <c r="S211" s="1358"/>
      <c r="T211" s="1358"/>
      <c r="U211" s="1358"/>
      <c r="V211" s="1358"/>
      <c r="W211" s="1358"/>
      <c r="X211" s="1358"/>
      <c r="Y211" s="1358"/>
      <c r="Z211" s="1358"/>
      <c r="AA211" s="1358"/>
      <c r="AB211" s="1358"/>
      <c r="AC211" s="1358"/>
      <c r="AD211" s="1358"/>
      <c r="AE211" s="1358"/>
      <c r="AF211" s="1358"/>
      <c r="AG211" s="1358"/>
      <c r="AH211" s="1358"/>
      <c r="AI211" s="1358"/>
      <c r="AJ211" s="1358"/>
      <c r="AK211" s="1358"/>
      <c r="AL211" s="1358"/>
      <c r="AM211" s="1358"/>
      <c r="AN211" s="1358"/>
      <c r="AO211" s="1713" t="s">
        <v>52</v>
      </c>
      <c r="AP211" s="1518"/>
      <c r="AQ211" s="1518"/>
      <c r="AR211" s="1518"/>
      <c r="AS211" s="1518"/>
      <c r="AT211" s="1713" t="s">
        <v>52</v>
      </c>
      <c r="AU211" s="1518"/>
      <c r="AV211" s="1518"/>
      <c r="AW211" s="1518"/>
      <c r="AX211" s="1518"/>
      <c r="AY211" s="1713" t="s">
        <v>52</v>
      </c>
      <c r="AZ211" s="1518"/>
      <c r="BA211" s="1518"/>
      <c r="BB211" s="1518"/>
      <c r="BC211" s="1518"/>
      <c r="BD211" s="1713" t="s">
        <v>52</v>
      </c>
      <c r="BE211" s="1518"/>
      <c r="BF211" s="1518"/>
      <c r="BG211" s="1518"/>
      <c r="BH211" s="1518"/>
      <c r="BI211" s="1713" t="s">
        <v>52</v>
      </c>
      <c r="BJ211" s="1518"/>
      <c r="BK211" s="1518"/>
      <c r="BL211" s="1518"/>
      <c r="BM211" s="1518"/>
      <c r="BN211" s="1713" t="s">
        <v>52</v>
      </c>
      <c r="BO211" s="1518"/>
      <c r="BP211" s="1518"/>
      <c r="BQ211" s="1518"/>
      <c r="BR211" s="1518"/>
      <c r="BS211" s="1713" t="s">
        <v>52</v>
      </c>
      <c r="BT211" s="1518"/>
      <c r="BU211" s="1518"/>
      <c r="BV211" s="1518"/>
      <c r="BW211" s="1518"/>
      <c r="BX211" s="1713" t="s">
        <v>52</v>
      </c>
      <c r="BY211" s="1518"/>
      <c r="BZ211" s="1518"/>
      <c r="CA211" s="1518"/>
      <c r="CB211" s="1518"/>
      <c r="CC211" s="1713" t="s">
        <v>52</v>
      </c>
      <c r="CD211" s="1522"/>
      <c r="CE211" s="1522"/>
      <c r="CF211" s="1522"/>
      <c r="CG211" s="1522"/>
      <c r="CH211" s="1714" t="s">
        <v>52</v>
      </c>
      <c r="CI211" s="1522"/>
      <c r="CJ211" s="1522"/>
      <c r="CK211" s="1522"/>
      <c r="CL211" s="1522"/>
      <c r="CM211" s="1714" t="s">
        <v>52</v>
      </c>
      <c r="CN211" s="1522"/>
      <c r="CO211" s="1522"/>
      <c r="CP211" s="1522"/>
      <c r="CQ211" s="1071"/>
      <c r="CR211" s="1978" t="s">
        <v>52</v>
      </c>
      <c r="CS211" s="974"/>
      <c r="CT211" s="974"/>
      <c r="CU211" s="974"/>
      <c r="CV211" s="16"/>
      <c r="CW211" s="627" t="s">
        <v>52</v>
      </c>
      <c r="CX211" s="16"/>
      <c r="CY211" s="16"/>
      <c r="CZ211" s="16"/>
      <c r="DA211" s="16"/>
      <c r="DB211" s="627" t="s">
        <v>52</v>
      </c>
      <c r="DC211" s="16"/>
      <c r="DD211" s="16"/>
      <c r="DE211" s="16"/>
      <c r="DF211" s="16"/>
      <c r="DG211" s="627" t="s">
        <v>52</v>
      </c>
      <c r="DH211" s="16"/>
      <c r="DI211" s="16"/>
      <c r="DJ211" s="16"/>
      <c r="DK211" s="16"/>
      <c r="DL211" s="627" t="s">
        <v>52</v>
      </c>
      <c r="DM211" s="16"/>
      <c r="DN211" s="16"/>
      <c r="DO211" s="16"/>
      <c r="DP211" s="16"/>
      <c r="DQ211" s="627" t="s">
        <v>52</v>
      </c>
      <c r="DR211" s="16"/>
      <c r="DS211" s="16"/>
      <c r="DT211" s="16"/>
      <c r="DU211" s="16"/>
      <c r="DV211" s="627" t="s">
        <v>52</v>
      </c>
      <c r="DW211" s="16"/>
      <c r="DX211" s="16"/>
      <c r="DY211" s="16"/>
      <c r="DZ211" s="16"/>
      <c r="EA211" s="627" t="s">
        <v>52</v>
      </c>
      <c r="EC211" s="37"/>
      <c r="ED211" s="818"/>
      <c r="EE211" s="818"/>
      <c r="EF211" s="818"/>
      <c r="EG211" s="818"/>
      <c r="EH211" s="132"/>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row>
    <row r="212" spans="1:259" s="15" customFormat="1" x14ac:dyDescent="0.2">
      <c r="A212" s="14" t="s">
        <v>124</v>
      </c>
      <c r="B212" s="1358"/>
      <c r="C212" s="1358"/>
      <c r="D212" s="1358"/>
      <c r="E212" s="1358"/>
      <c r="F212" s="1358"/>
      <c r="G212" s="1358"/>
      <c r="H212" s="1358"/>
      <c r="I212" s="1358"/>
      <c r="J212" s="1675"/>
      <c r="K212" s="1358"/>
      <c r="L212" s="1358"/>
      <c r="M212" s="1358"/>
      <c r="N212" s="1358"/>
      <c r="O212" s="1358"/>
      <c r="P212" s="1358"/>
      <c r="Q212" s="1358"/>
      <c r="R212" s="1358"/>
      <c r="S212" s="1358"/>
      <c r="T212" s="1358"/>
      <c r="U212" s="1358"/>
      <c r="V212" s="1358"/>
      <c r="W212" s="1358"/>
      <c r="X212" s="1358"/>
      <c r="Y212" s="1358"/>
      <c r="Z212" s="1358"/>
      <c r="AA212" s="1358"/>
      <c r="AB212" s="1358"/>
      <c r="AC212" s="1358"/>
      <c r="AD212" s="1358"/>
      <c r="AE212" s="1358"/>
      <c r="AF212" s="1358"/>
      <c r="AG212" s="1358"/>
      <c r="AH212" s="1358"/>
      <c r="AI212" s="1358"/>
      <c r="AJ212" s="1358"/>
      <c r="AK212" s="1358"/>
      <c r="AL212" s="1358"/>
      <c r="AM212" s="1358"/>
      <c r="AN212" s="1358"/>
      <c r="AO212" s="1713"/>
      <c r="AP212" s="1518"/>
      <c r="AQ212" s="1518"/>
      <c r="AR212" s="1518"/>
      <c r="AS212" s="1518"/>
      <c r="AT212" s="1713"/>
      <c r="AU212" s="1518"/>
      <c r="AV212" s="1518"/>
      <c r="AW212" s="1518"/>
      <c r="AX212" s="1518"/>
      <c r="AY212" s="1713"/>
      <c r="AZ212" s="1518"/>
      <c r="BA212" s="1518"/>
      <c r="BB212" s="1518"/>
      <c r="BC212" s="1518"/>
      <c r="BD212" s="1713"/>
      <c r="BE212" s="1518"/>
      <c r="BF212" s="1518"/>
      <c r="BG212" s="1518"/>
      <c r="BH212" s="1518"/>
      <c r="BI212" s="1713"/>
      <c r="BJ212" s="1518"/>
      <c r="BK212" s="1518"/>
      <c r="BL212" s="1518"/>
      <c r="BM212" s="1518"/>
      <c r="BN212" s="1713"/>
      <c r="BO212" s="1518"/>
      <c r="BP212" s="1518"/>
      <c r="BQ212" s="1518"/>
      <c r="BR212" s="1518"/>
      <c r="BS212" s="1713"/>
      <c r="BT212" s="1518"/>
      <c r="BU212" s="1518"/>
      <c r="BV212" s="1518"/>
      <c r="BW212" s="1518"/>
      <c r="BX212" s="1713"/>
      <c r="BY212" s="1518"/>
      <c r="BZ212" s="1518"/>
      <c r="CA212" s="1518"/>
      <c r="CB212" s="1518"/>
      <c r="CC212" s="1713"/>
      <c r="CD212" s="1522"/>
      <c r="CE212" s="1522"/>
      <c r="CF212" s="1522"/>
      <c r="CG212" s="1522"/>
      <c r="CH212" s="1714"/>
      <c r="CI212" s="1522"/>
      <c r="CJ212" s="1522"/>
      <c r="CK212" s="1522"/>
      <c r="CL212" s="1522"/>
      <c r="CM212" s="1714"/>
      <c r="CN212" s="1522"/>
      <c r="CO212" s="1522"/>
      <c r="CP212" s="1522"/>
      <c r="CQ212" s="1071"/>
      <c r="CR212" s="1978"/>
      <c r="CS212" s="974"/>
      <c r="CT212" s="974"/>
      <c r="CU212" s="974"/>
      <c r="CV212" s="16"/>
      <c r="CW212" s="627"/>
      <c r="CX212" s="16"/>
      <c r="CY212" s="16"/>
      <c r="CZ212" s="16"/>
      <c r="DA212" s="16"/>
      <c r="DB212" s="627"/>
      <c r="DC212" s="16"/>
      <c r="DD212" s="16"/>
      <c r="DE212" s="16"/>
      <c r="DF212" s="16"/>
      <c r="DG212" s="627"/>
      <c r="DH212" s="16"/>
      <c r="DI212" s="16"/>
      <c r="DJ212" s="16"/>
      <c r="DK212" s="16"/>
      <c r="DL212" s="627"/>
      <c r="DM212" s="16"/>
      <c r="DN212" s="16"/>
      <c r="DO212" s="16"/>
      <c r="DP212" s="16"/>
      <c r="DQ212" s="627"/>
      <c r="DR212" s="16"/>
      <c r="DS212" s="16"/>
      <c r="DT212" s="16"/>
      <c r="DU212" s="16"/>
      <c r="DV212" s="627"/>
      <c r="DW212" s="16"/>
      <c r="DX212" s="16"/>
      <c r="DY212" s="16"/>
      <c r="DZ212" s="16"/>
      <c r="EA212" s="627"/>
      <c r="EC212" s="37"/>
      <c r="ED212" s="818"/>
      <c r="EE212" s="818"/>
      <c r="EF212" s="818"/>
      <c r="EG212" s="818"/>
      <c r="EH212" s="13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row>
    <row r="213" spans="1:259" s="15" customFormat="1" x14ac:dyDescent="0.2">
      <c r="A213" s="14" t="s">
        <v>608</v>
      </c>
      <c r="B213" s="1358"/>
      <c r="C213" s="1358"/>
      <c r="D213" s="1358"/>
      <c r="E213" s="1358"/>
      <c r="F213" s="1358"/>
      <c r="G213" s="1358"/>
      <c r="H213" s="1358"/>
      <c r="I213" s="1358"/>
      <c r="J213" s="1675"/>
      <c r="K213" s="1358"/>
      <c r="L213" s="1358"/>
      <c r="M213" s="1358"/>
      <c r="N213" s="1358"/>
      <c r="O213" s="1358"/>
      <c r="P213" s="1358"/>
      <c r="Q213" s="1358"/>
      <c r="R213" s="1358"/>
      <c r="S213" s="1358"/>
      <c r="T213" s="1358"/>
      <c r="U213" s="1358"/>
      <c r="V213" s="1358"/>
      <c r="W213" s="1358"/>
      <c r="X213" s="1358"/>
      <c r="Y213" s="1358"/>
      <c r="Z213" s="1358"/>
      <c r="AA213" s="1358"/>
      <c r="AB213" s="1358"/>
      <c r="AC213" s="1358"/>
      <c r="AD213" s="1358"/>
      <c r="AE213" s="1358"/>
      <c r="AF213" s="1358"/>
      <c r="AG213" s="1358"/>
      <c r="AH213" s="1358"/>
      <c r="AI213" s="1358"/>
      <c r="AJ213" s="1358"/>
      <c r="AK213" s="1358"/>
      <c r="AL213" s="1358"/>
      <c r="AM213" s="1358"/>
      <c r="AN213" s="1358"/>
      <c r="AO213" s="1706">
        <v>33627</v>
      </c>
      <c r="AP213" s="1359">
        <v>33740</v>
      </c>
      <c r="AQ213" s="1359">
        <v>33779</v>
      </c>
      <c r="AR213" s="1359">
        <v>33908</v>
      </c>
      <c r="AS213" s="1359">
        <v>34277</v>
      </c>
      <c r="AT213" s="1706">
        <v>34277</v>
      </c>
      <c r="AU213" s="1359">
        <v>34332</v>
      </c>
      <c r="AV213" s="1359">
        <v>34215</v>
      </c>
      <c r="AW213" s="1359">
        <v>34274</v>
      </c>
      <c r="AX213" s="1359">
        <v>34595</v>
      </c>
      <c r="AY213" s="1706">
        <v>34595</v>
      </c>
      <c r="AZ213" s="1359">
        <v>34692</v>
      </c>
      <c r="BA213" s="1359">
        <v>34820</v>
      </c>
      <c r="BB213" s="1359">
        <v>34917</v>
      </c>
      <c r="BC213" s="1359">
        <v>35345</v>
      </c>
      <c r="BD213" s="1706">
        <v>35345</v>
      </c>
      <c r="BE213" s="1359">
        <v>35507</v>
      </c>
      <c r="BF213" s="1359">
        <v>35597</v>
      </c>
      <c r="BG213" s="1359">
        <v>35816</v>
      </c>
      <c r="BH213" s="1359">
        <v>36292</v>
      </c>
      <c r="BI213" s="1706">
        <v>36292</v>
      </c>
      <c r="BJ213" s="1359">
        <v>36447</v>
      </c>
      <c r="BK213" s="1359">
        <v>36612</v>
      </c>
      <c r="BL213" s="1359">
        <v>36628</v>
      </c>
      <c r="BM213" s="1359">
        <v>37080</v>
      </c>
      <c r="BN213" s="1706">
        <v>37080</v>
      </c>
      <c r="BO213" s="1359">
        <v>37119</v>
      </c>
      <c r="BP213" s="1359">
        <v>37214</v>
      </c>
      <c r="BQ213" s="1359">
        <v>37321</v>
      </c>
      <c r="BR213" s="1359">
        <v>37836</v>
      </c>
      <c r="BS213" s="1706">
        <v>37890</v>
      </c>
      <c r="BT213" s="1359">
        <v>38228</v>
      </c>
      <c r="BU213" s="1359">
        <v>38270</v>
      </c>
      <c r="BV213" s="1359">
        <v>38472</v>
      </c>
      <c r="BW213" s="1359">
        <v>37525</v>
      </c>
      <c r="BX213" s="1706">
        <v>37587</v>
      </c>
      <c r="BY213" s="1359">
        <v>37272</v>
      </c>
      <c r="BZ213" s="1359">
        <v>37476</v>
      </c>
      <c r="CA213" s="1359">
        <v>37760</v>
      </c>
      <c r="CB213" s="1359">
        <v>38535</v>
      </c>
      <c r="CC213" s="1706">
        <v>38535</v>
      </c>
      <c r="CD213" s="1363">
        <v>38799</v>
      </c>
      <c r="CE213" s="1363">
        <v>38965</v>
      </c>
      <c r="CF213" s="1363">
        <v>39132</v>
      </c>
      <c r="CG213" s="1363">
        <v>39895</v>
      </c>
      <c r="CH213" s="1688">
        <v>39895</v>
      </c>
      <c r="CI213" s="1363">
        <v>39918</v>
      </c>
      <c r="CJ213" s="1363">
        <v>40034</v>
      </c>
      <c r="CK213" s="1363">
        <v>40265</v>
      </c>
      <c r="CL213" s="1363">
        <v>41011</v>
      </c>
      <c r="CM213" s="1688">
        <v>41011</v>
      </c>
      <c r="CN213" s="1363">
        <v>41754</v>
      </c>
      <c r="CO213" s="1363">
        <v>41858</v>
      </c>
      <c r="CP213" s="1363">
        <v>41742</v>
      </c>
      <c r="CQ213" s="1060">
        <v>42450</v>
      </c>
      <c r="CR213" s="1973">
        <v>42450</v>
      </c>
      <c r="CS213" s="2062">
        <v>42512</v>
      </c>
      <c r="CT213" s="2062">
        <v>42769</v>
      </c>
      <c r="CU213" s="2062">
        <v>43014</v>
      </c>
      <c r="CV213" s="62">
        <v>43675</v>
      </c>
      <c r="CW213" s="792">
        <v>43675</v>
      </c>
      <c r="CX213" s="62">
        <v>43818</v>
      </c>
      <c r="CY213" s="62">
        <v>43992</v>
      </c>
      <c r="CZ213" s="62">
        <v>44352</v>
      </c>
      <c r="DA213" s="62">
        <v>45084</v>
      </c>
      <c r="DB213" s="792">
        <v>45084</v>
      </c>
      <c r="DC213" s="62">
        <v>45303</v>
      </c>
      <c r="DD213" s="62">
        <v>45634</v>
      </c>
      <c r="DE213" s="62">
        <v>46047</v>
      </c>
      <c r="DF213" s="62">
        <v>46899</v>
      </c>
      <c r="DG213" s="792">
        <v>46899</v>
      </c>
      <c r="DH213" s="62">
        <v>47141</v>
      </c>
      <c r="DI213" s="62">
        <v>47513</v>
      </c>
      <c r="DJ213" s="62">
        <v>47960</v>
      </c>
      <c r="DK213" s="62">
        <v>48844</v>
      </c>
      <c r="DL213" s="792">
        <v>48844</v>
      </c>
      <c r="DM213" s="62">
        <v>49110</v>
      </c>
      <c r="DN213" s="62">
        <v>49506</v>
      </c>
      <c r="DO213" s="62">
        <v>50027</v>
      </c>
      <c r="DP213" s="62">
        <v>50935</v>
      </c>
      <c r="DQ213" s="792">
        <v>50935</v>
      </c>
      <c r="DR213" s="62">
        <v>51218</v>
      </c>
      <c r="DS213" s="62">
        <v>51631</v>
      </c>
      <c r="DT213" s="62">
        <v>52169</v>
      </c>
      <c r="DU213" s="62">
        <v>53094</v>
      </c>
      <c r="DV213" s="792">
        <v>53094</v>
      </c>
      <c r="DW213" s="62">
        <v>53399</v>
      </c>
      <c r="DX213" s="62">
        <v>53839</v>
      </c>
      <c r="DY213" s="62">
        <v>54399</v>
      </c>
      <c r="DZ213" s="62">
        <v>55346</v>
      </c>
      <c r="EA213" s="792">
        <v>55346</v>
      </c>
      <c r="EC213" s="37"/>
      <c r="ED213" s="818"/>
      <c r="EE213" s="818"/>
      <c r="EF213" s="818"/>
      <c r="EG213" s="818"/>
      <c r="EH213" s="132"/>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row>
    <row r="214" spans="1:259" s="15" customFormat="1" x14ac:dyDescent="0.2">
      <c r="A214" s="14" t="s">
        <v>609</v>
      </c>
      <c r="B214" s="1358"/>
      <c r="C214" s="1358"/>
      <c r="D214" s="1358"/>
      <c r="E214" s="1358"/>
      <c r="F214" s="1358"/>
      <c r="G214" s="1358"/>
      <c r="H214" s="1358"/>
      <c r="I214" s="1358"/>
      <c r="J214" s="1675"/>
      <c r="K214" s="1358"/>
      <c r="L214" s="1358"/>
      <c r="M214" s="1358"/>
      <c r="N214" s="1358"/>
      <c r="O214" s="1358"/>
      <c r="P214" s="1358"/>
      <c r="Q214" s="1358"/>
      <c r="R214" s="1358"/>
      <c r="S214" s="1358"/>
      <c r="T214" s="1358"/>
      <c r="U214" s="1358"/>
      <c r="V214" s="1358"/>
      <c r="W214" s="1358"/>
      <c r="X214" s="1358"/>
      <c r="Y214" s="1358"/>
      <c r="Z214" s="1358"/>
      <c r="AA214" s="1358"/>
      <c r="AB214" s="1358"/>
      <c r="AC214" s="1358"/>
      <c r="AD214" s="1358"/>
      <c r="AE214" s="1358"/>
      <c r="AF214" s="1358"/>
      <c r="AG214" s="1358"/>
      <c r="AH214" s="1358"/>
      <c r="AI214" s="1358"/>
      <c r="AJ214" s="1358"/>
      <c r="AK214" s="1358"/>
      <c r="AL214" s="1358"/>
      <c r="AM214" s="1358"/>
      <c r="AN214" s="1358"/>
      <c r="AO214" s="1706"/>
      <c r="AP214" s="1359">
        <f t="shared" ref="AP214:BN214" si="569">AP37+AP36-AP56</f>
        <v>-3</v>
      </c>
      <c r="AQ214" s="1359">
        <f t="shared" si="569"/>
        <v>-21</v>
      </c>
      <c r="AR214" s="1359">
        <f t="shared" si="569"/>
        <v>-20</v>
      </c>
      <c r="AS214" s="1359">
        <f t="shared" si="569"/>
        <v>-15</v>
      </c>
      <c r="AT214" s="1706">
        <f t="shared" si="569"/>
        <v>-59</v>
      </c>
      <c r="AU214" s="1359">
        <f t="shared" si="569"/>
        <v>6</v>
      </c>
      <c r="AV214" s="1359">
        <f t="shared" si="569"/>
        <v>-9</v>
      </c>
      <c r="AW214" s="1359">
        <f t="shared" si="569"/>
        <v>-12</v>
      </c>
      <c r="AX214" s="1359">
        <f t="shared" si="569"/>
        <v>-2</v>
      </c>
      <c r="AY214" s="1706">
        <f t="shared" si="569"/>
        <v>-17</v>
      </c>
      <c r="AZ214" s="1359">
        <f t="shared" si="569"/>
        <v>-17</v>
      </c>
      <c r="BA214" s="1359">
        <f t="shared" si="569"/>
        <v>-3</v>
      </c>
      <c r="BB214" s="1359">
        <f t="shared" si="569"/>
        <v>-20</v>
      </c>
      <c r="BC214" s="1359">
        <f t="shared" si="569"/>
        <v>-7</v>
      </c>
      <c r="BD214" s="1706">
        <f t="shared" si="569"/>
        <v>-47</v>
      </c>
      <c r="BE214" s="1359">
        <f t="shared" si="569"/>
        <v>-26</v>
      </c>
      <c r="BF214" s="1359">
        <f t="shared" si="569"/>
        <v>-7</v>
      </c>
      <c r="BG214" s="1359">
        <f t="shared" si="569"/>
        <v>-23</v>
      </c>
      <c r="BH214" s="1359">
        <f t="shared" si="569"/>
        <v>-22</v>
      </c>
      <c r="BI214" s="1706">
        <f t="shared" si="569"/>
        <v>-78</v>
      </c>
      <c r="BJ214" s="1359">
        <f t="shared" si="569"/>
        <v>-36</v>
      </c>
      <c r="BK214" s="1359">
        <f t="shared" si="569"/>
        <v>8</v>
      </c>
      <c r="BL214" s="1359">
        <f t="shared" si="569"/>
        <v>-7</v>
      </c>
      <c r="BM214" s="1359">
        <f t="shared" si="569"/>
        <v>26</v>
      </c>
      <c r="BN214" s="1706">
        <f t="shared" si="569"/>
        <v>-9</v>
      </c>
      <c r="BO214" s="1359">
        <f t="shared" ref="BO214:CL214" si="570">+BO149+BO37+BO36</f>
        <v>-2</v>
      </c>
      <c r="BP214" s="1359">
        <f t="shared" si="570"/>
        <v>-2</v>
      </c>
      <c r="BQ214" s="1359">
        <f t="shared" si="570"/>
        <v>-6</v>
      </c>
      <c r="BR214" s="1359">
        <f t="shared" si="570"/>
        <v>59</v>
      </c>
      <c r="BS214" s="1706">
        <f t="shared" si="570"/>
        <v>49</v>
      </c>
      <c r="BT214" s="1359">
        <f t="shared" si="570"/>
        <v>-17</v>
      </c>
      <c r="BU214" s="1359">
        <f t="shared" si="570"/>
        <v>5</v>
      </c>
      <c r="BV214" s="1359">
        <f t="shared" si="570"/>
        <v>63</v>
      </c>
      <c r="BW214" s="1359">
        <f t="shared" si="570"/>
        <v>-8</v>
      </c>
      <c r="BX214" s="1706">
        <f t="shared" si="570"/>
        <v>43</v>
      </c>
      <c r="BY214" s="1359">
        <f t="shared" si="570"/>
        <v>18</v>
      </c>
      <c r="BZ214" s="1359">
        <f t="shared" si="570"/>
        <v>0</v>
      </c>
      <c r="CA214" s="1359">
        <f t="shared" si="570"/>
        <v>-5</v>
      </c>
      <c r="CB214" s="1359">
        <f t="shared" si="570"/>
        <v>-41</v>
      </c>
      <c r="CC214" s="1706">
        <f t="shared" si="570"/>
        <v>-28</v>
      </c>
      <c r="CD214" s="1363">
        <f t="shared" si="570"/>
        <v>2</v>
      </c>
      <c r="CE214" s="1363">
        <f t="shared" si="570"/>
        <v>-8</v>
      </c>
      <c r="CF214" s="1363">
        <f t="shared" si="570"/>
        <v>-22</v>
      </c>
      <c r="CG214" s="1363">
        <f t="shared" si="570"/>
        <v>-8</v>
      </c>
      <c r="CH214" s="1688">
        <f t="shared" si="570"/>
        <v>-36</v>
      </c>
      <c r="CI214" s="1363">
        <f t="shared" si="570"/>
        <v>14.25</v>
      </c>
      <c r="CJ214" s="1363">
        <f t="shared" si="570"/>
        <v>24.25</v>
      </c>
      <c r="CK214" s="1363">
        <f t="shared" si="570"/>
        <v>-7.75</v>
      </c>
      <c r="CL214" s="1363">
        <f t="shared" si="570"/>
        <v>-10.65</v>
      </c>
      <c r="CM214" s="1688">
        <f>SUM(CI149:CL149)+CM37+CM36</f>
        <v>20.100000000000001</v>
      </c>
      <c r="CN214" s="1363">
        <f>+CN149+CN37+CN36</f>
        <v>-2.25</v>
      </c>
      <c r="CO214" s="1363">
        <f>+CO149+CO37+CO36</f>
        <v>2</v>
      </c>
      <c r="CP214" s="1363">
        <f>+CP149+CP37+CP36</f>
        <v>-8.75</v>
      </c>
      <c r="CQ214" s="1060">
        <f>+CQ149+CQ37+CQ36</f>
        <v>-28</v>
      </c>
      <c r="CR214" s="1973">
        <f>SUM(CN149:CQ149)+CR37+CR36</f>
        <v>-37</v>
      </c>
      <c r="CS214" s="2062">
        <f t="shared" ref="CS214:DQ214" si="571">+CS149+CS37+CS36</f>
        <v>-14</v>
      </c>
      <c r="CT214" s="2062">
        <f t="shared" si="571"/>
        <v>-13</v>
      </c>
      <c r="CU214" s="2062">
        <f t="shared" si="571"/>
        <v>-31</v>
      </c>
      <c r="CV214" s="62">
        <f t="shared" si="571"/>
        <v>-78</v>
      </c>
      <c r="CW214" s="792">
        <f t="shared" si="571"/>
        <v>-136</v>
      </c>
      <c r="CX214" s="62">
        <f t="shared" si="571"/>
        <v>-9</v>
      </c>
      <c r="CY214" s="62">
        <f t="shared" si="571"/>
        <v>-40</v>
      </c>
      <c r="CZ214" s="62">
        <f t="shared" si="571"/>
        <v>-10</v>
      </c>
      <c r="DA214" s="62">
        <f t="shared" si="571"/>
        <v>-13</v>
      </c>
      <c r="DB214" s="792">
        <f t="shared" si="571"/>
        <v>-72</v>
      </c>
      <c r="DC214" s="62">
        <f t="shared" si="571"/>
        <v>-8</v>
      </c>
      <c r="DD214" s="62">
        <f t="shared" si="571"/>
        <v>-8</v>
      </c>
      <c r="DE214" s="62">
        <f t="shared" si="571"/>
        <v>-9</v>
      </c>
      <c r="DF214" s="62">
        <f t="shared" si="571"/>
        <v>-8</v>
      </c>
      <c r="DG214" s="792">
        <f t="shared" si="571"/>
        <v>-33</v>
      </c>
      <c r="DH214" s="62">
        <f t="shared" si="571"/>
        <v>7</v>
      </c>
      <c r="DI214" s="62">
        <f t="shared" si="571"/>
        <v>7</v>
      </c>
      <c r="DJ214" s="62">
        <f t="shared" si="571"/>
        <v>6</v>
      </c>
      <c r="DK214" s="62">
        <f t="shared" si="571"/>
        <v>7</v>
      </c>
      <c r="DL214" s="792">
        <f t="shared" si="571"/>
        <v>27</v>
      </c>
      <c r="DM214" s="62">
        <f t="shared" si="571"/>
        <v>7</v>
      </c>
      <c r="DN214" s="62">
        <f t="shared" si="571"/>
        <v>7</v>
      </c>
      <c r="DO214" s="62">
        <f t="shared" si="571"/>
        <v>6</v>
      </c>
      <c r="DP214" s="62">
        <f t="shared" si="571"/>
        <v>7</v>
      </c>
      <c r="DQ214" s="792">
        <f t="shared" si="571"/>
        <v>27</v>
      </c>
      <c r="DR214" s="62">
        <f t="shared" ref="DR214:EA214" si="572">+DR149+DR37+DR36</f>
        <v>7</v>
      </c>
      <c r="DS214" s="62">
        <f t="shared" si="572"/>
        <v>7</v>
      </c>
      <c r="DT214" s="62">
        <f t="shared" si="572"/>
        <v>6</v>
      </c>
      <c r="DU214" s="62">
        <f t="shared" si="572"/>
        <v>7</v>
      </c>
      <c r="DV214" s="792">
        <f t="shared" si="572"/>
        <v>27</v>
      </c>
      <c r="DW214" s="62">
        <f t="shared" si="572"/>
        <v>7</v>
      </c>
      <c r="DX214" s="62">
        <f t="shared" si="572"/>
        <v>7</v>
      </c>
      <c r="DY214" s="62">
        <f t="shared" si="572"/>
        <v>6</v>
      </c>
      <c r="DZ214" s="62">
        <f t="shared" si="572"/>
        <v>7</v>
      </c>
      <c r="EA214" s="792">
        <f t="shared" si="572"/>
        <v>27</v>
      </c>
      <c r="EC214" s="37"/>
      <c r="ED214" s="818"/>
      <c r="EE214" s="818"/>
      <c r="EF214" s="818"/>
      <c r="EG214" s="818"/>
      <c r="EH214" s="132"/>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row>
    <row r="215" spans="1:259" s="15" customFormat="1" x14ac:dyDescent="0.2">
      <c r="A215" s="22" t="s">
        <v>34</v>
      </c>
      <c r="B215" s="1511"/>
      <c r="C215" s="1511"/>
      <c r="D215" s="1511"/>
      <c r="E215" s="1511"/>
      <c r="F215" s="1511"/>
      <c r="G215" s="1511"/>
      <c r="H215" s="1511"/>
      <c r="I215" s="1511"/>
      <c r="J215" s="1512"/>
      <c r="K215" s="1511"/>
      <c r="L215" s="1511"/>
      <c r="M215" s="1511"/>
      <c r="N215" s="1511"/>
      <c r="O215" s="1511"/>
      <c r="P215" s="1511"/>
      <c r="Q215" s="1511"/>
      <c r="R215" s="1511"/>
      <c r="S215" s="1511"/>
      <c r="T215" s="1511"/>
      <c r="U215" s="1511"/>
      <c r="V215" s="1511"/>
      <c r="W215" s="1511"/>
      <c r="X215" s="1511"/>
      <c r="Y215" s="1511"/>
      <c r="Z215" s="1511"/>
      <c r="AA215" s="1511"/>
      <c r="AB215" s="1511"/>
      <c r="AC215" s="1511"/>
      <c r="AD215" s="1511"/>
      <c r="AE215" s="1511"/>
      <c r="AF215" s="1511"/>
      <c r="AG215" s="1511"/>
      <c r="AH215" s="1511"/>
      <c r="AI215" s="1511"/>
      <c r="AJ215" s="1511"/>
      <c r="AK215" s="1511"/>
      <c r="AL215" s="1511"/>
      <c r="AM215" s="1511"/>
      <c r="AN215" s="1511"/>
      <c r="AO215" s="1757">
        <f>-AO167+CF!BS62+CF!BS27+CF!BS60</f>
        <v>-351</v>
      </c>
      <c r="AP215" s="1709">
        <f>AT215/4</f>
        <v>-218</v>
      </c>
      <c r="AQ215" s="1709">
        <f>AT215/4</f>
        <v>-218</v>
      </c>
      <c r="AR215" s="1709">
        <f>AT215/4</f>
        <v>-218</v>
      </c>
      <c r="AS215" s="1709">
        <f>AT215/4</f>
        <v>-218</v>
      </c>
      <c r="AT215" s="1757">
        <f>-AT167+CF!BX62+CF!BX27+CF!BX60</f>
        <v>-872</v>
      </c>
      <c r="AU215" s="1709">
        <f>(AY215/4)-67.5</f>
        <v>-260.75</v>
      </c>
      <c r="AV215" s="1709">
        <f>(AY215/4)+109.5</f>
        <v>-83.75</v>
      </c>
      <c r="AW215" s="1709">
        <f>(AY215/4)-78.5</f>
        <v>-271.75</v>
      </c>
      <c r="AX215" s="1709">
        <f>(AY215/4)+136.5</f>
        <v>-56.75</v>
      </c>
      <c r="AY215" s="1757">
        <f>-AY167+CF!CC62+CF!CC27+CF!CC60</f>
        <v>-773</v>
      </c>
      <c r="AZ215" s="1709">
        <f>-AZ167+CF!AZ62+CF!AZ27+CF!AZ60+59.4</f>
        <v>-133.6</v>
      </c>
      <c r="BA215" s="1709">
        <f>-BA167+CF!BA62+CF!BA27+CF!BA60</f>
        <v>-162</v>
      </c>
      <c r="BB215" s="1709">
        <f>-BB167+CF!BB62+CF!BB27+CF!BB60+27</f>
        <v>-231</v>
      </c>
      <c r="BC215" s="1709">
        <f>-BC167+CF!BC62+CF!BC27+CF!BC60-26</f>
        <v>-574</v>
      </c>
      <c r="BD215" s="1757">
        <f>-BD167+CF!CH62+CF!CH27+CF!CH60</f>
        <v>-1280</v>
      </c>
      <c r="BE215" s="1709">
        <f>-BE167+CF!BE62+CF!BE27+CF!BE60-8.5</f>
        <v>-966.5</v>
      </c>
      <c r="BF215" s="1709">
        <f>-BF167+CF!BF62+CF!BF27+CF!BF60</f>
        <v>64</v>
      </c>
      <c r="BG215" s="1709">
        <f>-BG167+CF!BG62+CF!BG27+CF!BG60</f>
        <v>-497</v>
      </c>
      <c r="BH215" s="1709">
        <f>-BH167+CF!BH62+CF!BH27+CF!BH60</f>
        <v>-57.728795000000005</v>
      </c>
      <c r="BI215" s="1757">
        <f>-BI167+CF!CM62+CF!CM27+CF!CM60</f>
        <v>-1502.728795</v>
      </c>
      <c r="BJ215" s="1709">
        <f>-BJ167+CF!BJ62+CF!BJ27+CF!BJ60</f>
        <v>42</v>
      </c>
      <c r="BK215" s="1709">
        <f>-BK167+CF!BK62+CF!BK27+CF!BK60</f>
        <v>104</v>
      </c>
      <c r="BL215" s="1709">
        <f>-BL167+CF!BL62+CF!BL27+CF!BL60</f>
        <v>32</v>
      </c>
      <c r="BM215" s="1709">
        <f>-BM167+CF!BM62+CF!BM27+CF!BM60</f>
        <v>50</v>
      </c>
      <c r="BN215" s="1757">
        <f>-BN167+CF!CR62+CF!CR27+CF!CR60</f>
        <v>102</v>
      </c>
      <c r="BO215" s="1709">
        <f>-BO167+CF!BO62+CF!BO27+CF!BO60</f>
        <v>-93</v>
      </c>
      <c r="BP215" s="1709">
        <f>-BP167+CF!BP62+CF!BP27+CF!BP60</f>
        <v>-63</v>
      </c>
      <c r="BQ215" s="1709">
        <f>-BQ167+CF!BQ62+CF!BQ27+CF!BQ60</f>
        <v>20</v>
      </c>
      <c r="BR215" s="1709">
        <f>-BR167+CF!BR62+CF!BR27+CF!BR60</f>
        <v>-17</v>
      </c>
      <c r="BS215" s="1757">
        <f>-BS167+CF!CW62+CF!CW27+CF!CW60</f>
        <v>-208</v>
      </c>
      <c r="BT215" s="1709">
        <f>-BT167+CF!BT62+CF!BT27+CF!BT60</f>
        <v>-122</v>
      </c>
      <c r="BU215" s="1709">
        <f>-BU167+CF!BU62+CF!BU27+CF!BU60</f>
        <v>-127</v>
      </c>
      <c r="BV215" s="1709">
        <f>-BV167+CF!BV62+CF!BV27+CF!BV60</f>
        <v>-210</v>
      </c>
      <c r="BW215" s="1709">
        <f>-BW167+CF!BW62+CF!BW27+CF!BW60</f>
        <v>-109</v>
      </c>
      <c r="BX215" s="1757">
        <f>-BX167+CF!DB62+CF!DB27+CF!DB60</f>
        <v>-687</v>
      </c>
      <c r="BY215" s="1709">
        <f>-BY167+CF!BY62+CF!BY27+CF!BY60</f>
        <v>-23</v>
      </c>
      <c r="BZ215" s="1709">
        <f>-BZ167+CF!BZ62+CF!BZ27+CF!BZ60</f>
        <v>-175</v>
      </c>
      <c r="CA215" s="1709">
        <f>-CA167+CF!CA62+CF!CA27+CF!CA60</f>
        <v>-376</v>
      </c>
      <c r="CB215" s="1709">
        <f>-CB167+CF!CB62+CF!CB27+CF!CB60</f>
        <v>-181</v>
      </c>
      <c r="CC215" s="1757">
        <f>-CC167+CF!DG62+CF!DG27+CF!DG60</f>
        <v>-900</v>
      </c>
      <c r="CD215" s="1710">
        <f>-CD167+CF!CD62+CF!CD27+CF!CD60</f>
        <v>-53</v>
      </c>
      <c r="CE215" s="1710">
        <f>-CE167+CF!CE62+CF!CE27+CF!CE60</f>
        <v>-200</v>
      </c>
      <c r="CF215" s="1710">
        <f>-CF167+CF!CF62+CF!CF27+CF!CF60</f>
        <v>-161</v>
      </c>
      <c r="CG215" s="1710">
        <f>-CG167+CF!CG62+CF!CG27+CF!CG60</f>
        <v>-206</v>
      </c>
      <c r="CH215" s="1712">
        <f>-CH167+CF!DL62+CF!DL27+CF!DL60</f>
        <v>-685</v>
      </c>
      <c r="CI215" s="1710">
        <f>-CI167+CF!CI62+CF!CI27+CF!CI60</f>
        <v>-88</v>
      </c>
      <c r="CJ215" s="1710">
        <f>-CJ167+CF!CJ62+CF!CJ27+CF!CJ60</f>
        <v>-146</v>
      </c>
      <c r="CK215" s="1710">
        <f>-CK167+CF!CK62+CF!CK27+CF!CK60</f>
        <v>-190</v>
      </c>
      <c r="CL215" s="1710">
        <f>-CL167+CF!CL62+CF!CL27+CF!CL60</f>
        <v>-270</v>
      </c>
      <c r="CM215" s="1712">
        <f>-CM167+CF!DQ62+CF!DQ27+CF!DQ60</f>
        <v>-755</v>
      </c>
      <c r="CN215" s="1710">
        <f>-CN167+CF!DR62+CF!DR27+CF!DR60</f>
        <v>16.25</v>
      </c>
      <c r="CO215" s="1710">
        <f>-CO167+CF!DS62+CF!DS27+CF!DS60</f>
        <v>16.25</v>
      </c>
      <c r="CP215" s="1710">
        <f>-CP167+CF!DT62+CF!DT27+CF!DT60</f>
        <v>16.25</v>
      </c>
      <c r="CQ215" s="1917">
        <f>-CQ167+CF!DU62+CF!DU27+CF!DU60</f>
        <v>-813.75</v>
      </c>
      <c r="CR215" s="1977">
        <f>-CR167+CF!DV62+CF!DV27+CF!DV60</f>
        <v>-765</v>
      </c>
      <c r="CS215" s="2098">
        <f>-CS167+CF!DW62+CF!DW27+CF!DW60</f>
        <v>-908.75</v>
      </c>
      <c r="CT215" s="2098">
        <f>-CT167+CF!DX62+CF!DX27+CF!DX60</f>
        <v>-617.75</v>
      </c>
      <c r="CU215" s="2098">
        <f>-CU167+CF!DY62+CF!DY27+CF!DY60</f>
        <v>-2076.75</v>
      </c>
      <c r="CV215" s="333">
        <f>-CV167+CF!DZ62+CF!DZ27+CF!DZ60</f>
        <v>-1733.75</v>
      </c>
      <c r="CW215" s="804">
        <f>-CW167+CF!EA62+CF!EA27+CF!EA60</f>
        <v>-5337</v>
      </c>
      <c r="CX215" s="333">
        <f>-CX167+CF!EB62+CF!EB27+CF!EB60</f>
        <v>-461</v>
      </c>
      <c r="CY215" s="333">
        <f>-CY167+CF!EC62+CF!EC27+CF!EC60</f>
        <v>-395</v>
      </c>
      <c r="CZ215" s="333">
        <f>-CZ167+CF!ED62+CF!ED27+CF!ED60</f>
        <v>-492</v>
      </c>
      <c r="DA215" s="333">
        <f>-DA167+CF!EE62+CF!EE27+CF!EE60</f>
        <v>-612</v>
      </c>
      <c r="DB215" s="804">
        <f>-DB167+CF!EF62+CF!EF27+CF!EF60</f>
        <v>-1960</v>
      </c>
      <c r="DC215" s="333">
        <f>-DC167+CF!EG62+CF!EG27+CF!EG60</f>
        <v>-550</v>
      </c>
      <c r="DD215" s="333">
        <f>-DD167+CF!EH62+CF!EH27+CF!EH60</f>
        <v>-550</v>
      </c>
      <c r="DE215" s="333"/>
      <c r="DF215" s="333">
        <f>-DF167+CF!EJ62+CF!EJ27+CF!EJ60</f>
        <v>-550</v>
      </c>
      <c r="DG215" s="804"/>
      <c r="DH215" s="333">
        <f>-DH167+CF!EL62+CF!EL27+CF!EL60</f>
        <v>-375</v>
      </c>
      <c r="DI215" s="333">
        <f>-DI167+CF!EM62+CF!EM27+CF!EM60</f>
        <v>-375</v>
      </c>
      <c r="DJ215" s="333">
        <f>-DJ167+CF!EN62+CF!EN27+CF!EN60</f>
        <v>-375</v>
      </c>
      <c r="DK215" s="333">
        <f>-DK167+CF!EO62+CF!EO27+CF!EO60</f>
        <v>-375</v>
      </c>
      <c r="DL215" s="804">
        <f>-DL167+CF!EP62+CF!EP27+CF!EP60</f>
        <v>-1500</v>
      </c>
      <c r="DM215" s="333">
        <f>-DM167+CF!EQ62+CF!EQ27+CF!EQ60</f>
        <v>-200</v>
      </c>
      <c r="DN215" s="333">
        <f>-DN167+CF!ER62+CF!ER27+CF!ER60</f>
        <v>-200</v>
      </c>
      <c r="DO215" s="333">
        <f>-DO167+CF!ES62+CF!ES27+CF!ES60</f>
        <v>-200</v>
      </c>
      <c r="DP215" s="333">
        <f>-DP167+CF!ET62+CF!ET27+CF!ET60</f>
        <v>-200</v>
      </c>
      <c r="DQ215" s="804">
        <f>-DQ167+CF!EU62+CF!EU27+CF!EU60</f>
        <v>-800</v>
      </c>
      <c r="DR215" s="333">
        <f>-DR167+CF!EV62+CF!EV27+CF!EV60</f>
        <v>-200</v>
      </c>
      <c r="DS215" s="333">
        <f>-DS167+CF!EW62+CF!EW27+CF!EW60</f>
        <v>-200</v>
      </c>
      <c r="DT215" s="333">
        <f>-DT167+CF!EX62+CF!EX27+CF!EX60</f>
        <v>-200</v>
      </c>
      <c r="DU215" s="333">
        <f>-DU167+CF!EY62+CF!EY27+CF!EY60</f>
        <v>-200</v>
      </c>
      <c r="DV215" s="804">
        <f>-DV167+CF!EZ62+CF!EZ27+CF!EZ60</f>
        <v>-800</v>
      </c>
      <c r="DW215" s="333">
        <f>-DW167+CF!FA62+CF!FA27+CF!FA60</f>
        <v>-200</v>
      </c>
      <c r="DX215" s="333">
        <f>-DX167+CF!FB62+CF!FB27+CF!FB60</f>
        <v>-200</v>
      </c>
      <c r="DY215" s="333">
        <f>-DY167+CF!FC62+CF!FC27+CF!FC60</f>
        <v>-200</v>
      </c>
      <c r="DZ215" s="333">
        <f>-DZ167+CF!FD62+CF!FD27+CF!FD60</f>
        <v>-200</v>
      </c>
      <c r="EA215" s="804">
        <f>-EA167+CF!FE62+CF!FE27+CF!FE60</f>
        <v>-800</v>
      </c>
      <c r="EC215" s="37"/>
      <c r="ED215" s="818"/>
      <c r="EE215" s="818"/>
      <c r="EF215" s="818"/>
      <c r="EG215" s="818"/>
      <c r="EH215" s="132"/>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row>
    <row r="216" spans="1:259" s="649" customFormat="1" x14ac:dyDescent="0.2">
      <c r="B216" s="1758"/>
      <c r="C216" s="1758"/>
      <c r="D216" s="1758"/>
      <c r="E216" s="1758"/>
      <c r="F216" s="1758"/>
      <c r="G216" s="1758"/>
      <c r="H216" s="1758"/>
      <c r="I216" s="1758"/>
      <c r="J216" s="1758"/>
      <c r="K216" s="1758"/>
      <c r="L216" s="1758"/>
      <c r="M216" s="1758"/>
      <c r="N216" s="1758"/>
      <c r="O216" s="1758"/>
      <c r="P216" s="1758"/>
      <c r="Q216" s="1758"/>
      <c r="R216" s="1758"/>
      <c r="S216" s="1758"/>
      <c r="T216" s="1758"/>
      <c r="U216" s="1758"/>
      <c r="V216" s="1758"/>
      <c r="W216" s="1758"/>
      <c r="X216" s="1758"/>
      <c r="Y216" s="1758"/>
      <c r="Z216" s="1758"/>
      <c r="AA216" s="1758"/>
      <c r="AB216" s="1758"/>
      <c r="AC216" s="1758"/>
      <c r="AD216" s="1758"/>
      <c r="AE216" s="1758"/>
      <c r="AF216" s="1758"/>
      <c r="AG216" s="1758"/>
      <c r="AH216" s="1758"/>
      <c r="AI216" s="1758"/>
      <c r="AJ216" s="1758"/>
      <c r="AK216" s="1758"/>
      <c r="AL216" s="1758"/>
      <c r="AM216" s="1758"/>
      <c r="AN216" s="1758"/>
      <c r="AO216" s="1758"/>
      <c r="AP216" s="1758"/>
      <c r="AQ216" s="1758"/>
      <c r="AR216" s="1758"/>
      <c r="AS216" s="1758"/>
      <c r="AT216" s="1758"/>
      <c r="AU216" s="1758"/>
      <c r="AV216" s="1758"/>
      <c r="AW216" s="1758"/>
      <c r="AX216" s="1758"/>
      <c r="AY216" s="1758"/>
      <c r="AZ216" s="1758"/>
      <c r="BA216" s="1758"/>
      <c r="BB216" s="1758"/>
      <c r="BC216" s="1758"/>
      <c r="BD216" s="1758"/>
      <c r="BE216" s="1758"/>
      <c r="BF216" s="1758"/>
      <c r="BG216" s="1758"/>
      <c r="BH216" s="1758"/>
      <c r="BI216" s="1759"/>
      <c r="BJ216" s="1758"/>
      <c r="BK216" s="1758"/>
      <c r="BL216" s="1758"/>
      <c r="BM216" s="1758"/>
      <c r="BN216" s="1759"/>
      <c r="BO216" s="1758"/>
      <c r="BP216" s="1758"/>
      <c r="BQ216" s="1758"/>
      <c r="BR216" s="1758"/>
      <c r="BS216" s="1758"/>
      <c r="BT216" s="1758"/>
      <c r="BU216" s="1758"/>
      <c r="BV216" s="1758"/>
      <c r="BW216" s="1758"/>
      <c r="BX216" s="1758"/>
      <c r="BY216" s="1758"/>
      <c r="BZ216" s="1758"/>
      <c r="CA216" s="1758"/>
      <c r="CB216" s="1758"/>
      <c r="CC216" s="1758"/>
      <c r="CD216" s="1760"/>
      <c r="CE216" s="1760"/>
      <c r="CF216" s="1760"/>
      <c r="CG216" s="1760"/>
      <c r="CH216" s="1760"/>
      <c r="CI216" s="1760"/>
      <c r="CJ216" s="1760"/>
      <c r="CK216" s="1760"/>
      <c r="CL216" s="1760"/>
      <c r="CM216" s="1760"/>
      <c r="CN216" s="1760"/>
      <c r="CO216" s="1760"/>
      <c r="CP216" s="1760"/>
      <c r="CQ216" s="1127"/>
      <c r="CR216" s="1127"/>
      <c r="CS216" s="2107"/>
      <c r="CT216" s="2107"/>
      <c r="CU216" s="2107"/>
      <c r="CV216" s="737"/>
      <c r="CW216" s="737"/>
      <c r="CX216" s="737"/>
      <c r="CY216" s="737"/>
      <c r="CZ216" s="737"/>
      <c r="DA216" s="737"/>
      <c r="DB216" s="737"/>
      <c r="ED216" s="819"/>
      <c r="EE216" s="819"/>
      <c r="EF216" s="819"/>
      <c r="EG216" s="819"/>
      <c r="EH216" s="819"/>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row>
    <row r="217" spans="1:259" s="15" customFormat="1" ht="13.5" customHeight="1" x14ac:dyDescent="0.2">
      <c r="A217" s="142" t="s">
        <v>321</v>
      </c>
      <c r="B217" s="1853"/>
      <c r="C217" s="1853"/>
      <c r="D217" s="1853"/>
      <c r="E217" s="1853"/>
      <c r="F217" s="1853"/>
      <c r="G217" s="1853"/>
      <c r="H217" s="1853"/>
      <c r="I217" s="1853"/>
      <c r="J217" s="1854"/>
      <c r="K217" s="1853"/>
      <c r="L217" s="1853"/>
      <c r="M217" s="1853"/>
      <c r="N217" s="1853"/>
      <c r="O217" s="1853"/>
      <c r="P217" s="1853"/>
      <c r="Q217" s="1853"/>
      <c r="R217" s="1853"/>
      <c r="S217" s="1853"/>
      <c r="T217" s="1853"/>
      <c r="U217" s="1853"/>
      <c r="V217" s="1853"/>
      <c r="W217" s="1853"/>
      <c r="X217" s="1853"/>
      <c r="Y217" s="1853"/>
      <c r="Z217" s="1853"/>
      <c r="AA217" s="1853"/>
      <c r="AB217" s="1853"/>
      <c r="AC217" s="1853"/>
      <c r="AD217" s="1853"/>
      <c r="AE217" s="1853"/>
      <c r="AF217" s="1853"/>
      <c r="AG217" s="1853"/>
      <c r="AH217" s="1853"/>
      <c r="AI217" s="1853"/>
      <c r="AJ217" s="1862"/>
      <c r="AK217" s="1853"/>
      <c r="AL217" s="1853"/>
      <c r="AM217" s="1853"/>
      <c r="AN217" s="1853"/>
      <c r="AO217" s="1853"/>
      <c r="AP217" s="1853"/>
      <c r="AQ217" s="1853"/>
      <c r="AR217" s="1853"/>
      <c r="AS217" s="1853"/>
      <c r="AT217" s="1853"/>
      <c r="AU217" s="1853"/>
      <c r="AV217" s="1853"/>
      <c r="AW217" s="1853"/>
      <c r="AX217" s="1853"/>
      <c r="AY217" s="1853"/>
      <c r="AZ217" s="1853"/>
      <c r="BA217" s="1853"/>
      <c r="BB217" s="1853"/>
      <c r="BC217" s="1853"/>
      <c r="BD217" s="1853"/>
      <c r="BE217" s="1853"/>
      <c r="BF217" s="1853"/>
      <c r="BG217" s="1853"/>
      <c r="BH217" s="1853"/>
      <c r="BI217" s="1853"/>
      <c r="BJ217" s="1853"/>
      <c r="BK217" s="1853"/>
      <c r="BL217" s="1853"/>
      <c r="BM217" s="1853"/>
      <c r="BN217" s="1853"/>
      <c r="BO217" s="1853"/>
      <c r="BP217" s="1853"/>
      <c r="BQ217" s="1853"/>
      <c r="BR217" s="1853"/>
      <c r="BS217" s="1853"/>
      <c r="BT217" s="1853"/>
      <c r="BU217" s="1853"/>
      <c r="BV217" s="1853"/>
      <c r="BW217" s="1853"/>
      <c r="BX217" s="1863"/>
      <c r="BY217" s="1853"/>
      <c r="BZ217" s="1853"/>
      <c r="CA217" s="1853"/>
      <c r="CB217" s="1853"/>
      <c r="CC217" s="1864"/>
      <c r="CD217" s="1865"/>
      <c r="CE217" s="1865"/>
      <c r="CF217" s="1865"/>
      <c r="CG217" s="1865"/>
      <c r="CH217" s="1866"/>
      <c r="CI217" s="1865"/>
      <c r="CJ217" s="1865"/>
      <c r="CK217" s="1865"/>
      <c r="CL217" s="1865"/>
      <c r="CM217" s="1866"/>
      <c r="CN217" s="1865"/>
      <c r="CO217" s="1865"/>
      <c r="CP217" s="1865"/>
      <c r="CQ217" s="1925"/>
      <c r="CR217" s="1985"/>
      <c r="CS217" s="2108"/>
      <c r="CT217" s="2108"/>
      <c r="CU217" s="2108"/>
      <c r="CV217" s="114"/>
      <c r="CW217" s="113"/>
      <c r="CX217" s="114"/>
      <c r="CY217" s="114"/>
      <c r="CZ217" s="114"/>
      <c r="DA217" s="114"/>
      <c r="DB217" s="113"/>
      <c r="DC217" s="114"/>
      <c r="DD217" s="114"/>
      <c r="DE217" s="114"/>
      <c r="DF217" s="114"/>
      <c r="DG217" s="113"/>
      <c r="DH217" s="114"/>
      <c r="DI217" s="114"/>
      <c r="DJ217" s="114"/>
      <c r="DK217" s="114"/>
      <c r="DL217" s="113"/>
      <c r="DM217" s="114"/>
      <c r="DN217" s="114"/>
      <c r="DO217" s="114"/>
      <c r="DP217" s="114"/>
      <c r="DQ217" s="113"/>
      <c r="DR217" s="114"/>
      <c r="DS217" s="114"/>
      <c r="DT217" s="114"/>
      <c r="DU217" s="114"/>
      <c r="DV217" s="113"/>
      <c r="DW217" s="114"/>
      <c r="DX217" s="114"/>
      <c r="DY217" s="114"/>
      <c r="DZ217" s="114"/>
      <c r="EA217" s="113"/>
      <c r="EB217" s="11"/>
      <c r="EC217" s="33"/>
      <c r="ED217" s="321"/>
      <c r="EE217" s="321"/>
      <c r="EF217" s="321"/>
      <c r="EG217" s="321"/>
      <c r="EH217" s="148"/>
      <c r="EI217" s="11"/>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row>
    <row r="218" spans="1:259" s="15" customFormat="1" ht="9.75" customHeight="1" x14ac:dyDescent="0.2">
      <c r="A218" s="14" t="s">
        <v>110</v>
      </c>
      <c r="B218" s="1358"/>
      <c r="C218" s="1358"/>
      <c r="D218" s="1358"/>
      <c r="E218" s="1358"/>
      <c r="F218" s="1358"/>
      <c r="G218" s="1358"/>
      <c r="H218" s="1358"/>
      <c r="I218" s="1358"/>
      <c r="J218" s="1675"/>
      <c r="K218" s="1358"/>
      <c r="L218" s="1359">
        <f>L22+J22+I22+H22</f>
        <v>8363.7999999999993</v>
      </c>
      <c r="M218" s="1359">
        <f>M22+L22+J22+I22</f>
        <v>8248.7999999999993</v>
      </c>
      <c r="N218" s="1359">
        <f>N22+M22+L22+J22</f>
        <v>8040</v>
      </c>
      <c r="O218" s="1359">
        <f>O22+N22+M22+L22</f>
        <v>7822</v>
      </c>
      <c r="P218" s="1359">
        <f>O218</f>
        <v>7822</v>
      </c>
      <c r="Q218" s="1359">
        <f>Q22+O22+N22+M22</f>
        <v>7606</v>
      </c>
      <c r="R218" s="1359">
        <f>R22+Q22+O22+N22</f>
        <v>7376</v>
      </c>
      <c r="S218" s="1359">
        <f>S22+R22+Q22+O22</f>
        <v>7222</v>
      </c>
      <c r="T218" s="1359">
        <f>T22+S22+R22+Q22</f>
        <v>7093</v>
      </c>
      <c r="U218" s="1359">
        <f>T218</f>
        <v>7093</v>
      </c>
      <c r="V218" s="1359">
        <f>V22+T22+S22+R22</f>
        <v>7002</v>
      </c>
      <c r="W218" s="1359">
        <f>W22+V22+T22+S22</f>
        <v>6951</v>
      </c>
      <c r="X218" s="1359">
        <f>X22+W22+V22+T22</f>
        <v>6933</v>
      </c>
      <c r="Y218" s="1359">
        <f>Y22+X22+W22+V22</f>
        <v>6953</v>
      </c>
      <c r="Z218" s="1359">
        <f>Y218</f>
        <v>6953</v>
      </c>
      <c r="AA218" s="1359">
        <f>AA22+Y22+X22+W22</f>
        <v>7061</v>
      </c>
      <c r="AB218" s="1359">
        <f>AB22+AA22+Y22+X22</f>
        <v>7223</v>
      </c>
      <c r="AC218" s="1359">
        <f>AC22+AB22+AA22+Y22</f>
        <v>7498</v>
      </c>
      <c r="AD218" s="1359">
        <f>AD22+AC22+AB22+AA22</f>
        <v>7757</v>
      </c>
      <c r="AE218" s="1359">
        <f>AD218</f>
        <v>7757</v>
      </c>
      <c r="AF218" s="1359">
        <f>AF22+AD22+AC22+AB22</f>
        <v>7945</v>
      </c>
      <c r="AG218" s="1359">
        <f>AG22+AF22+AD22+AC22</f>
        <v>8114</v>
      </c>
      <c r="AH218" s="1359">
        <f>AH22+AG22+AF22+AD22</f>
        <v>8188</v>
      </c>
      <c r="AI218" s="1359">
        <f>AI22+AH22+AG22+AF22</f>
        <v>8380</v>
      </c>
      <c r="AJ218" s="1359">
        <f t="shared" ref="AJ218:AJ224" si="573">AI218</f>
        <v>8380</v>
      </c>
      <c r="AK218" s="1359">
        <f>AK22+AI22+AH22+AG22</f>
        <v>8548</v>
      </c>
      <c r="AL218" s="1359">
        <f>AL22+AK22+AI22+AH22</f>
        <v>8689</v>
      </c>
      <c r="AM218" s="1359">
        <f>AM22+AL22+AK22+AI22</f>
        <v>8879</v>
      </c>
      <c r="AN218" s="1359">
        <f>AN22+AM22+AL22+AK22</f>
        <v>9011</v>
      </c>
      <c r="AO218" s="1359">
        <f t="shared" ref="AO218:AO224" si="574">AN218</f>
        <v>9011</v>
      </c>
      <c r="AP218" s="1359">
        <f>AP22+AN22+AM22+AL22</f>
        <v>9095</v>
      </c>
      <c r="AQ218" s="1359">
        <f>AQ22+AP22+AN22+AM22</f>
        <v>9171</v>
      </c>
      <c r="AR218" s="1359">
        <f>AR22+AQ22+AP22+AN22</f>
        <v>9235</v>
      </c>
      <c r="AS218" s="1359">
        <f>AS22+AR22+AQ22+AP22</f>
        <v>9349</v>
      </c>
      <c r="AT218" s="1359">
        <f t="shared" ref="AT218:AT224" si="575">AS218</f>
        <v>9349</v>
      </c>
      <c r="AU218" s="1359">
        <f>AU22+AS22+AR22+AQ22</f>
        <v>9380</v>
      </c>
      <c r="AV218" s="1359">
        <f>AV22+AU22+AS22+AR22</f>
        <v>9409</v>
      </c>
      <c r="AW218" s="1359">
        <f>AW22+AV22+AU22+AS22</f>
        <v>9444</v>
      </c>
      <c r="AX218" s="1359">
        <f>AX22+AW22+AV22+AU22</f>
        <v>9561</v>
      </c>
      <c r="AY218" s="1359">
        <f t="shared" ref="AY218:AY224" si="576">AX218</f>
        <v>9561</v>
      </c>
      <c r="AZ218" s="1359">
        <f>AZ22+AX22+AW22+AV22</f>
        <v>9699</v>
      </c>
      <c r="BA218" s="1359">
        <f>BA22+AZ22+AX22+AW22</f>
        <v>9884</v>
      </c>
      <c r="BB218" s="1359">
        <f>BB22+BA22+AZ22+AX22</f>
        <v>10170</v>
      </c>
      <c r="BC218" s="1359">
        <f>BC22+BB22+BA22+AZ22</f>
        <v>10416</v>
      </c>
      <c r="BD218" s="1359">
        <f t="shared" ref="BD218:BD224" si="577">BC218</f>
        <v>10416</v>
      </c>
      <c r="BE218" s="1359">
        <f>BE22+BC22+BB22+BA22</f>
        <v>10606</v>
      </c>
      <c r="BF218" s="1359">
        <f>BF22+BE22+BC22+BB22</f>
        <v>10892</v>
      </c>
      <c r="BG218" s="1359">
        <f>BG22+BF22+BE22+BC22</f>
        <v>11170</v>
      </c>
      <c r="BH218" s="1359">
        <f>BH22+BG22+BF22+BE22</f>
        <v>11291</v>
      </c>
      <c r="BI218" s="1359">
        <f t="shared" ref="BI218:BI224" si="578">BH218</f>
        <v>11291</v>
      </c>
      <c r="BJ218" s="1359">
        <f>BJ22+BH22+BG22+BF22</f>
        <v>11095</v>
      </c>
      <c r="BK218" s="1359">
        <f>BK22+BJ22+BH22+BG22</f>
        <v>10918</v>
      </c>
      <c r="BL218" s="1359">
        <f>BL22+BK22+BJ22+BH22</f>
        <v>10854</v>
      </c>
      <c r="BM218" s="1359">
        <f>BM22+BL22+BK22+BJ22</f>
        <v>10836</v>
      </c>
      <c r="BN218" s="1359">
        <f t="shared" ref="BN218:BN224" si="579">BM218</f>
        <v>10836</v>
      </c>
      <c r="BO218" s="1359">
        <f>BO22+BM22+BL22+BK22</f>
        <v>10964</v>
      </c>
      <c r="BP218" s="1359">
        <f>BP22+BO22+BM22+BL22</f>
        <v>11062</v>
      </c>
      <c r="BQ218" s="1359">
        <f>BQ22+BP22+BO22+BM22</f>
        <v>11146</v>
      </c>
      <c r="BR218" s="1359">
        <f>BR22+BQ22+BP22+BO22</f>
        <v>11343</v>
      </c>
      <c r="BS218" s="1359">
        <f t="shared" ref="BS218:BS224" si="580">BR218</f>
        <v>11343</v>
      </c>
      <c r="BT218" s="1359">
        <f>BT22+BR22+BQ22+BP22</f>
        <v>11423</v>
      </c>
      <c r="BU218" s="1359">
        <f>BU22+BT22+BR22+BQ22</f>
        <v>11665</v>
      </c>
      <c r="BV218" s="1359">
        <f>BV22+BU22+BT22+BR22</f>
        <v>12077</v>
      </c>
      <c r="BW218" s="1359">
        <f>BW22+BV22+BU22+BT22</f>
        <v>12626</v>
      </c>
      <c r="BX218" s="1809">
        <f t="shared" ref="BX218:BX224" si="581">BW218</f>
        <v>12626</v>
      </c>
      <c r="BY218" s="1359">
        <f>BY22+BW22+BV22+BU22</f>
        <v>12944</v>
      </c>
      <c r="BZ218" s="1359">
        <f>BZ22+BY22+BW22+BV22</f>
        <v>13296</v>
      </c>
      <c r="CA218" s="1359">
        <f>CA22+BZ22+BY22+BW22</f>
        <v>13591</v>
      </c>
      <c r="CB218" s="1359">
        <f>CB22+CA22+BZ22+BY22</f>
        <v>13633</v>
      </c>
      <c r="CC218" s="1375">
        <f t="shared" ref="CC218:CC224" si="582">CB218</f>
        <v>13633</v>
      </c>
      <c r="CD218" s="1363">
        <f>CD22+CB22+CA22+BZ22</f>
        <v>12311.326499999999</v>
      </c>
      <c r="CE218" s="1363">
        <f>CE22+CD22+CB22+CA22</f>
        <v>10644.034</v>
      </c>
      <c r="CF218" s="1363">
        <f>CF22+CE22+CD22+CB22</f>
        <v>8575.5715</v>
      </c>
      <c r="CG218" s="1363">
        <f>CG22+CF22+CE22+CD22</f>
        <v>6417</v>
      </c>
      <c r="CH218" s="1723">
        <f t="shared" ref="CH218:CH224" si="583">CG218</f>
        <v>6417</v>
      </c>
      <c r="CI218" s="1363">
        <f>CI22+CG22+CF22+CE22</f>
        <v>6387.1124999999993</v>
      </c>
      <c r="CJ218" s="1363">
        <f>CJ22+CI22+CG22+CF22</f>
        <v>6437.4079999999994</v>
      </c>
      <c r="CK218" s="1363">
        <f>CK22+CJ22+CI22+CG22</f>
        <v>6511.4755000000005</v>
      </c>
      <c r="CL218" s="1363">
        <f>CL22+CK22+CJ22+CI22</f>
        <v>6587</v>
      </c>
      <c r="CM218" s="1723">
        <f t="shared" ref="CM218:CM224" si="584">CL218</f>
        <v>6587</v>
      </c>
      <c r="CN218" s="1363">
        <f>CN22+CL22+CK22+CJ22</f>
        <v>6671.883499999999</v>
      </c>
      <c r="CO218" s="1363">
        <f>CO22+CN22+CL22+CK22</f>
        <v>6651.3964999999989</v>
      </c>
      <c r="CP218" s="1363">
        <f>CP22+CO22+CN22+CL22</f>
        <v>6596.2340000000004</v>
      </c>
      <c r="CQ218" s="1060">
        <f>CQ22+CP22+CO22+CN22</f>
        <v>6421.2810000000009</v>
      </c>
      <c r="CR218" s="1061">
        <f t="shared" ref="CR218:CR224" si="585">CQ218</f>
        <v>6421.2810000000009</v>
      </c>
      <c r="CS218" s="2062">
        <f>CS22+CQ22+CP22+CO22</f>
        <v>6387.9585000000006</v>
      </c>
      <c r="CT218" s="2062">
        <f>CT22+CS22+CQ22+CP22</f>
        <v>6367.4425000000001</v>
      </c>
      <c r="CU218" s="2062">
        <f>CU22+CT22+CS22+CQ22</f>
        <v>6365</v>
      </c>
      <c r="CV218" s="62">
        <f>CV22+CU22+CT22+CS22</f>
        <v>6357</v>
      </c>
      <c r="CW218" s="60">
        <f t="shared" ref="CW218:CW224" si="586">CV218</f>
        <v>6357</v>
      </c>
      <c r="CX218" s="62">
        <f>CX22+CV22+CU22+CT22</f>
        <v>6331</v>
      </c>
      <c r="CY218" s="62">
        <f>CY22+CX22+CV22+CU22</f>
        <v>6269</v>
      </c>
      <c r="CZ218" s="62">
        <f>CZ22+CY22+CX22+CV22</f>
        <v>6188</v>
      </c>
      <c r="DA218" s="62">
        <f>DA22+CZ22+CY22+CX22</f>
        <v>5878</v>
      </c>
      <c r="DB218" s="60">
        <f t="shared" ref="DB218:DB224" si="587">DA218</f>
        <v>5878</v>
      </c>
      <c r="DC218" s="62">
        <f>DC22+DA22+CZ22+CY22</f>
        <v>5547.3862816089795</v>
      </c>
      <c r="DD218" s="62">
        <f>DD22+DC22+DA22+CZ22</f>
        <v>5167.5310041068315</v>
      </c>
      <c r="DE218" s="62">
        <f>DE22+DD22+DC22+DA22</f>
        <v>4788.2222136213049</v>
      </c>
      <c r="DF218" s="62">
        <f>DF22+DE22+DD22+DC22</f>
        <v>4498.3857399919498</v>
      </c>
      <c r="DG218" s="60">
        <f t="shared" ref="DG218:DG224" si="588">DF218</f>
        <v>4498.3857399919498</v>
      </c>
      <c r="DH218" s="62">
        <f>DH22+DF22+DE22+DD22</f>
        <v>4406.2086066484935</v>
      </c>
      <c r="DI218" s="62">
        <f>DI22+DH22+DF22+DE22</f>
        <v>4335.5422783128752</v>
      </c>
      <c r="DJ218" s="62">
        <f>DJ22+DI22+DH22+DF22</f>
        <v>4283.440016466272</v>
      </c>
      <c r="DK218" s="62">
        <f>DK22+DJ22+DI22+DH22</f>
        <v>4215.6678976554686</v>
      </c>
      <c r="DL218" s="60">
        <f t="shared" ref="DL218:DL224" si="589">DK218</f>
        <v>4215.6678976554686</v>
      </c>
      <c r="DM218" s="62">
        <f>DM22+DK22+DJ22+DI22</f>
        <v>4170.6054899768569</v>
      </c>
      <c r="DN218" s="62">
        <f>DN22+DM22+DK22+DJ22</f>
        <v>4160.2928983960728</v>
      </c>
      <c r="DO218" s="62">
        <f>DO22+DN22+DM22+DK22</f>
        <v>4187.0136666894341</v>
      </c>
      <c r="DP218" s="62">
        <f>DP22+DO22+DN22+DM22</f>
        <v>4267.6254081571005</v>
      </c>
      <c r="DQ218" s="60">
        <f t="shared" ref="DQ218:DQ224" si="590">DP218</f>
        <v>4267.6254081571005</v>
      </c>
      <c r="DR218" s="62">
        <f>DR22+DP22+DO22+DN22</f>
        <v>4348.3949869464777</v>
      </c>
      <c r="DS218" s="62">
        <f>DS22+DR22+DP22+DO22</f>
        <v>4432.5154963004079</v>
      </c>
      <c r="DT218" s="62">
        <f>DT22+DS22+DR22+DP22</f>
        <v>4519.4118136799061</v>
      </c>
      <c r="DU218" s="62">
        <f>DU22+DT22+DS22+DR22</f>
        <v>4629.5234808662608</v>
      </c>
      <c r="DV218" s="60">
        <f t="shared" ref="DV218:DV224" si="591">DU218</f>
        <v>4629.5234808662608</v>
      </c>
      <c r="DW218" s="62">
        <f>DW22+DU22+DT22+DS22</f>
        <v>4716.7723810903844</v>
      </c>
      <c r="DX218" s="62">
        <f>DX22+DW22+DU22+DT22</f>
        <v>4811.8028472675342</v>
      </c>
      <c r="DY218" s="62">
        <f>DY22+DX22+DW22+DU22</f>
        <v>4914.2737825894164</v>
      </c>
      <c r="DZ218" s="62">
        <f>DZ22+DY22+DX22+DW22</f>
        <v>5049.6053400663313</v>
      </c>
      <c r="EA218" s="60">
        <f t="shared" ref="EA218:EA224" si="592">DZ218</f>
        <v>5049.6053400663313</v>
      </c>
      <c r="EB218" s="11"/>
      <c r="EC218" s="33"/>
      <c r="ED218" s="321"/>
      <c r="EE218" s="321"/>
      <c r="EF218" s="321"/>
      <c r="EG218" s="321"/>
      <c r="EH218" s="148"/>
      <c r="EI218" s="11"/>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row>
    <row r="219" spans="1:259" s="15" customFormat="1" x14ac:dyDescent="0.2">
      <c r="A219" s="14" t="s">
        <v>111</v>
      </c>
      <c r="B219" s="1358"/>
      <c r="C219" s="1358"/>
      <c r="D219" s="1358"/>
      <c r="E219" s="1358"/>
      <c r="F219" s="1358"/>
      <c r="G219" s="1358"/>
      <c r="H219" s="1358"/>
      <c r="I219" s="1358"/>
      <c r="J219" s="1675"/>
      <c r="K219" s="1358"/>
      <c r="L219" s="1359">
        <f>L38+J38+I38+H38</f>
        <v>830.4</v>
      </c>
      <c r="M219" s="1359">
        <f>M38+L38+J38+I38</f>
        <v>855.4</v>
      </c>
      <c r="N219" s="1359">
        <f>N38+M38+L38+J38</f>
        <v>867.6</v>
      </c>
      <c r="O219" s="1359">
        <f>O38+N38+M38+L38</f>
        <v>892</v>
      </c>
      <c r="P219" s="1359">
        <f>O219</f>
        <v>892</v>
      </c>
      <c r="Q219" s="1359">
        <f>Q38+O38+N38+M38</f>
        <v>889</v>
      </c>
      <c r="R219" s="1359">
        <f>R38+Q38+O38+N38</f>
        <v>901</v>
      </c>
      <c r="S219" s="1359">
        <f>S38+R38+Q38+O38</f>
        <v>889</v>
      </c>
      <c r="T219" s="1359">
        <f>T38+S38+R38+Q38</f>
        <v>887</v>
      </c>
      <c r="U219" s="1359">
        <f>T219</f>
        <v>887</v>
      </c>
      <c r="V219" s="1359">
        <f>V38+T38+S38+R38</f>
        <v>868</v>
      </c>
      <c r="W219" s="1359">
        <f>W38+V38+T38+S38</f>
        <v>835</v>
      </c>
      <c r="X219" s="1359">
        <f>X38+W38+V38+T38</f>
        <v>837</v>
      </c>
      <c r="Y219" s="1359">
        <f>Y38+X38+W38+V38</f>
        <v>889</v>
      </c>
      <c r="Z219" s="1359">
        <f>Y219</f>
        <v>889</v>
      </c>
      <c r="AA219" s="1359">
        <f>AA38+Y38+X38+W38</f>
        <v>924</v>
      </c>
      <c r="AB219" s="1359">
        <f>AB38+AA38+Y38+X38</f>
        <v>963</v>
      </c>
      <c r="AC219" s="1359">
        <f>AC38+AB38+AA38+Y38</f>
        <v>995</v>
      </c>
      <c r="AD219" s="1359">
        <f>AD38+AC38+AB38+AA38</f>
        <v>1003</v>
      </c>
      <c r="AE219" s="1359">
        <f>AD219</f>
        <v>1003</v>
      </c>
      <c r="AF219" s="1359">
        <f>AF38+AD38+AC38+AB38</f>
        <v>1005</v>
      </c>
      <c r="AG219" s="1359">
        <f>AG38+AF38+AD38+AC38</f>
        <v>1030</v>
      </c>
      <c r="AH219" s="1359">
        <f>AH38+AG38+AF38+AD38</f>
        <v>1049</v>
      </c>
      <c r="AI219" s="1359">
        <f>AI38+AH38+AG38+AF38</f>
        <v>1075</v>
      </c>
      <c r="AJ219" s="1359">
        <f t="shared" si="573"/>
        <v>1075</v>
      </c>
      <c r="AK219" s="1359">
        <f>AK38+AI38+AH38+AG38</f>
        <v>1101</v>
      </c>
      <c r="AL219" s="1359">
        <f>AL38+AK38+AI38+AH38</f>
        <v>1105</v>
      </c>
      <c r="AM219" s="1359">
        <f>AM38+AL38+AK38+AI38</f>
        <v>1123</v>
      </c>
      <c r="AN219" s="1359">
        <f>AN38+AM38+AL38+AK38</f>
        <v>1125</v>
      </c>
      <c r="AO219" s="1359">
        <f t="shared" si="574"/>
        <v>1125</v>
      </c>
      <c r="AP219" s="1359">
        <f>AP38+AN38+AM38+AL38</f>
        <v>1133</v>
      </c>
      <c r="AQ219" s="1359">
        <f>AQ38+AP38+AN38+AM38</f>
        <v>1133</v>
      </c>
      <c r="AR219" s="1359">
        <f>AR38+AQ38+AP38+AN38</f>
        <v>1150</v>
      </c>
      <c r="AS219" s="1359">
        <f>AS38+AR38+AQ38+AP38</f>
        <v>1151</v>
      </c>
      <c r="AT219" s="1359">
        <f t="shared" si="575"/>
        <v>1151</v>
      </c>
      <c r="AU219" s="1359">
        <f>AU38+AS38+AR38+AQ38</f>
        <v>1182</v>
      </c>
      <c r="AV219" s="1359">
        <f>AV38+AU38+AS38+AR38</f>
        <v>1228</v>
      </c>
      <c r="AW219" s="1359">
        <f>AW38+AV38+AU38+AS38</f>
        <v>1264</v>
      </c>
      <c r="AX219" s="1359">
        <f>AX38+AW38+AV38+AU38</f>
        <v>1262</v>
      </c>
      <c r="AY219" s="1359">
        <f t="shared" si="576"/>
        <v>1262</v>
      </c>
      <c r="AZ219" s="1359">
        <f>AZ38+AX38+AW38+AV38</f>
        <v>1296</v>
      </c>
      <c r="BA219" s="1359">
        <f>BA38+AZ38+AX38+AW38</f>
        <v>1299</v>
      </c>
      <c r="BB219" s="1359">
        <f>BB38+BA38+AZ38+AX38</f>
        <v>1356</v>
      </c>
      <c r="BC219" s="1359">
        <f>BC38+BB38+BA38+AZ38</f>
        <v>1357</v>
      </c>
      <c r="BD219" s="1359">
        <f t="shared" si="577"/>
        <v>1357</v>
      </c>
      <c r="BE219" s="1359">
        <f>BE38+BC38+BB38+BA38</f>
        <v>1467</v>
      </c>
      <c r="BF219" s="1359">
        <f>BF38+BE38+BC38+BB38</f>
        <v>1472</v>
      </c>
      <c r="BG219" s="1359">
        <f>BG38+BF38+BE38+BC38</f>
        <v>1482</v>
      </c>
      <c r="BH219" s="1359">
        <f>BH38+BG38+BF38+BE38</f>
        <v>1515</v>
      </c>
      <c r="BI219" s="1359">
        <f t="shared" si="578"/>
        <v>1515</v>
      </c>
      <c r="BJ219" s="1359">
        <f>BJ38+BH38+BG38+BF38</f>
        <v>1440</v>
      </c>
      <c r="BK219" s="1359">
        <f>BK38+BJ38+BH38+BG38</f>
        <v>1519</v>
      </c>
      <c r="BL219" s="1359">
        <f>BL38+BK38+BJ38+BH38</f>
        <v>1578</v>
      </c>
      <c r="BM219" s="1359">
        <f>BM38+BL38+BK38+BJ38</f>
        <v>1590</v>
      </c>
      <c r="BN219" s="1359">
        <f t="shared" si="579"/>
        <v>1590</v>
      </c>
      <c r="BO219" s="1359">
        <f>BO38+BM38+BL38+BK38</f>
        <v>1603</v>
      </c>
      <c r="BP219" s="1359">
        <f>BP38+BO38+BM38+BL38</f>
        <v>1630</v>
      </c>
      <c r="BQ219" s="1359">
        <f>BQ38+BP38+BO38+BM38</f>
        <v>1704</v>
      </c>
      <c r="BR219" s="1359">
        <f>BR38+BQ38+BP38+BO38</f>
        <v>1769</v>
      </c>
      <c r="BS219" s="1359">
        <f t="shared" si="580"/>
        <v>1769</v>
      </c>
      <c r="BT219" s="1359">
        <f>BT38+BR38+BQ38+BP38</f>
        <v>1806</v>
      </c>
      <c r="BU219" s="1359">
        <f>BU38+BT38+BR38+BQ38</f>
        <v>1804</v>
      </c>
      <c r="BV219" s="1359">
        <f>BV38+BU38+BT38+BR38</f>
        <v>1748</v>
      </c>
      <c r="BW219" s="1359">
        <f>BW38+BV38+BU38+BT38</f>
        <v>1815</v>
      </c>
      <c r="BX219" s="1809">
        <f t="shared" si="581"/>
        <v>1815</v>
      </c>
      <c r="BY219" s="1359">
        <f>BY38+BW38+BV38+BU38</f>
        <v>2059</v>
      </c>
      <c r="BZ219" s="1359">
        <f>BZ38+BY38+BW38+BV38</f>
        <v>2113</v>
      </c>
      <c r="CA219" s="1359">
        <f>CA38+BZ38+BY38+BW38</f>
        <v>2296</v>
      </c>
      <c r="CB219" s="1359">
        <f>CB38+CA38+BZ38+BY38</f>
        <v>2294</v>
      </c>
      <c r="CC219" s="1375">
        <f t="shared" si="582"/>
        <v>2294</v>
      </c>
      <c r="CD219" s="1363">
        <f>CD38+CB38+CA38+BZ38</f>
        <v>2027.3265000000001</v>
      </c>
      <c r="CE219" s="1363">
        <f>CE38+CD38+CB38+CA38</f>
        <v>1908.0340000000001</v>
      </c>
      <c r="CF219" s="1363">
        <f>CF38+CE38+CD38+CB38</f>
        <v>1626.5715</v>
      </c>
      <c r="CG219" s="1363">
        <f>CG38+CF38+CE38+CD38</f>
        <v>1531</v>
      </c>
      <c r="CH219" s="1723">
        <f t="shared" si="583"/>
        <v>1531</v>
      </c>
      <c r="CI219" s="1363">
        <f>CI38+CG38+CF38+CE38</f>
        <v>1480.8624999999997</v>
      </c>
      <c r="CJ219" s="1363">
        <f>CJ38+CI38+CG38+CF38</f>
        <v>1443.9079999999997</v>
      </c>
      <c r="CK219" s="1363">
        <f>CK38+CJ38+CI38+CG38</f>
        <v>1457.7254999999998</v>
      </c>
      <c r="CL219" s="1363">
        <f>CL38+CK38+CJ38+CI38</f>
        <v>1515.9999999999998</v>
      </c>
      <c r="CM219" s="1723">
        <f t="shared" si="584"/>
        <v>1515.9999999999998</v>
      </c>
      <c r="CN219" s="1363">
        <f>CN38+CL38+CK38+CJ38</f>
        <v>1614.3834999999999</v>
      </c>
      <c r="CO219" s="1363">
        <f>CO38+CN38+CL38+CK38</f>
        <v>1580.3965000000001</v>
      </c>
      <c r="CP219" s="1363">
        <f>CP38+CO38+CN38+CL38</f>
        <v>1502.9840000000002</v>
      </c>
      <c r="CQ219" s="1060">
        <f>CQ38+CP38+CO38+CN38</f>
        <v>1383.2810000000002</v>
      </c>
      <c r="CR219" s="1061">
        <f t="shared" si="585"/>
        <v>1383.2810000000002</v>
      </c>
      <c r="CS219" s="2062">
        <f>CS38+CQ38+CP38+CO38</f>
        <v>1305.7085000000002</v>
      </c>
      <c r="CT219" s="2062">
        <f>CT38+CS38+CQ38+CP38</f>
        <v>1438.9425000000001</v>
      </c>
      <c r="CU219" s="2062">
        <f>CU38+CT38+CS38+CQ38</f>
        <v>1510</v>
      </c>
      <c r="CV219" s="62">
        <f>CV38+CU38+CT38+CS38</f>
        <v>1683</v>
      </c>
      <c r="CW219" s="60">
        <f t="shared" si="586"/>
        <v>1683</v>
      </c>
      <c r="CX219" s="62">
        <f>CX38+CV38+CU38+CT38</f>
        <v>1818</v>
      </c>
      <c r="CY219" s="62">
        <f>CY38+CX38+CV38+CU38</f>
        <v>1821</v>
      </c>
      <c r="CZ219" s="62">
        <f>CZ38+CY38+CX38+CV38</f>
        <v>2067</v>
      </c>
      <c r="DA219" s="62">
        <f>DA38+CZ38+CY38+CX38</f>
        <v>2761</v>
      </c>
      <c r="DB219" s="60">
        <f t="shared" si="587"/>
        <v>2761</v>
      </c>
      <c r="DC219" s="62">
        <f>DC38+DA38+CZ38+CY38</f>
        <v>2659.9866829314269</v>
      </c>
      <c r="DD219" s="62">
        <f>DD38+DC38+DA38+CZ38</f>
        <v>2644.0253658723032</v>
      </c>
      <c r="DE219" s="62">
        <f>DE38+DD38+DC38+DA38</f>
        <v>2438.1351561584797</v>
      </c>
      <c r="DF219" s="62">
        <f>DF38+DE38+DD38+DC38</f>
        <v>1729.9270893735843</v>
      </c>
      <c r="DG219" s="60">
        <f t="shared" si="588"/>
        <v>1729.9270893735843</v>
      </c>
      <c r="DH219" s="62">
        <f>DH38+DF38+DE38+DD38</f>
        <v>1770.710578206224</v>
      </c>
      <c r="DI219" s="62">
        <f>DI38+DH38+DF38+DE38</f>
        <v>1812.9340142796345</v>
      </c>
      <c r="DJ219" s="62">
        <f>DJ38+DI38+DH38+DF38</f>
        <v>1860.034551724767</v>
      </c>
      <c r="DK219" s="62">
        <f>DK38+DJ38+DI38+DH38</f>
        <v>1916.8314428427188</v>
      </c>
      <c r="DL219" s="60">
        <f t="shared" si="589"/>
        <v>1916.8314428427188</v>
      </c>
      <c r="DM219" s="62">
        <f>DM38+DK38+DJ38+DI38</f>
        <v>1934.7720618998201</v>
      </c>
      <c r="DN219" s="62">
        <f>DN38+DM38+DK38+DJ38</f>
        <v>1958.3205182436859</v>
      </c>
      <c r="DO219" s="62">
        <f>DO38+DN38+DM38+DK38</f>
        <v>1990.6667846651999</v>
      </c>
      <c r="DP219" s="62">
        <f>DP38+DO38+DN38+DM38</f>
        <v>2036.8225045131417</v>
      </c>
      <c r="DQ219" s="60">
        <f t="shared" si="590"/>
        <v>2036.8225045131417</v>
      </c>
      <c r="DR219" s="62">
        <f>DR38+DP38+DO38+DN38</f>
        <v>2073.2258369551282</v>
      </c>
      <c r="DS219" s="62">
        <f>DS38+DR38+DP38+DO38</f>
        <v>2110.8657984051197</v>
      </c>
      <c r="DT219" s="62">
        <f>DT38+DS38+DR38+DP38</f>
        <v>2153.0462161870637</v>
      </c>
      <c r="DU219" s="62">
        <f>DU38+DT38+DS38+DR38</f>
        <v>2203.5747134900193</v>
      </c>
      <c r="DV219" s="60">
        <f t="shared" si="591"/>
        <v>2203.5747134900193</v>
      </c>
      <c r="DW219" s="62">
        <f>DW38+DU38+DT38+DS38</f>
        <v>2240.2574310041168</v>
      </c>
      <c r="DX219" s="62">
        <f>DX38+DW38+DU38+DT38</f>
        <v>2278.9367477206674</v>
      </c>
      <c r="DY219" s="62">
        <f>DY38+DX38+DW38+DU38</f>
        <v>2323.6595212710931</v>
      </c>
      <c r="DZ219" s="62">
        <f>DZ38+DY38+DX38+DW38</f>
        <v>2377.6182280742873</v>
      </c>
      <c r="EA219" s="60">
        <f t="shared" si="592"/>
        <v>2377.6182280742873</v>
      </c>
      <c r="EB219" s="11"/>
      <c r="EC219" s="33"/>
      <c r="ED219" s="321"/>
      <c r="EE219" s="321"/>
      <c r="EF219" s="321"/>
      <c r="EG219" s="321"/>
      <c r="EH219" s="148"/>
      <c r="EI219" s="11"/>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row>
    <row r="220" spans="1:259" s="15" customFormat="1" x14ac:dyDescent="0.2">
      <c r="A220" s="14" t="s">
        <v>115</v>
      </c>
      <c r="B220" s="1358"/>
      <c r="C220" s="1358"/>
      <c r="D220" s="1358"/>
      <c r="E220" s="1358"/>
      <c r="F220" s="1358"/>
      <c r="G220" s="1358"/>
      <c r="H220" s="1358"/>
      <c r="I220" s="1358"/>
      <c r="J220" s="1675"/>
      <c r="K220" s="1358"/>
      <c r="L220" s="1359">
        <f>L43+J43+I43+H43</f>
        <v>255</v>
      </c>
      <c r="M220" s="1359">
        <f>M43+L43+J43+I43</f>
        <v>239</v>
      </c>
      <c r="N220" s="1359">
        <f>N43+M43+L43+J43</f>
        <v>219</v>
      </c>
      <c r="O220" s="1359">
        <f>O43+N43+M43+L43</f>
        <v>202</v>
      </c>
      <c r="P220" s="1359">
        <f>O220</f>
        <v>202</v>
      </c>
      <c r="Q220" s="1359">
        <f>Q43+O43+N43+M43</f>
        <v>191</v>
      </c>
      <c r="R220" s="1359">
        <f>R43+Q43+O43+N43</f>
        <v>181</v>
      </c>
      <c r="S220" s="1359">
        <f>S43+R43+Q43+O43</f>
        <v>178</v>
      </c>
      <c r="T220" s="1359">
        <f>T43+S43+R43+Q43</f>
        <v>176</v>
      </c>
      <c r="U220" s="1359">
        <f>T220</f>
        <v>176</v>
      </c>
      <c r="V220" s="1359">
        <f>V43+T43+S43+R43</f>
        <v>174</v>
      </c>
      <c r="W220" s="1359">
        <f>W43+V43+T43+S43</f>
        <v>170</v>
      </c>
      <c r="X220" s="1359">
        <f>X43+W43+V43+T43</f>
        <v>167</v>
      </c>
      <c r="Y220" s="1359">
        <f>Y43+X43+W43+V43</f>
        <v>158</v>
      </c>
      <c r="Z220" s="1359">
        <f>Y220</f>
        <v>158</v>
      </c>
      <c r="AA220" s="1359">
        <f>AA43+Y43+X43+W43</f>
        <v>153</v>
      </c>
      <c r="AB220" s="1359">
        <f>AB43+AA43+Y43+X43</f>
        <v>149</v>
      </c>
      <c r="AC220" s="1359">
        <f>AC43+AB43+AA43+Y43</f>
        <v>158</v>
      </c>
      <c r="AD220" s="1359">
        <f>AD43+AC43+AB43+AA43</f>
        <v>172</v>
      </c>
      <c r="AE220" s="1359">
        <f>AD220</f>
        <v>172</v>
      </c>
      <c r="AF220" s="1359">
        <f>AF43+AD43+AC43+AB43</f>
        <v>180</v>
      </c>
      <c r="AG220" s="1359">
        <f>AG43+AF43+AD43+AC43</f>
        <v>189</v>
      </c>
      <c r="AH220" s="1359">
        <f>AH43+AG43+AF43+AD43</f>
        <v>183</v>
      </c>
      <c r="AI220" s="1359">
        <f>AI43+AH43+AG43+AF43</f>
        <v>173</v>
      </c>
      <c r="AJ220" s="1359">
        <f t="shared" si="573"/>
        <v>173</v>
      </c>
      <c r="AK220" s="1359">
        <f>AK43+AI43+AH43+AG43</f>
        <v>166</v>
      </c>
      <c r="AL220" s="1359">
        <f>AL43+AK43+AI43+AH43</f>
        <v>156</v>
      </c>
      <c r="AM220" s="1359">
        <f>AM43+AL43+AK43+AI43</f>
        <v>146</v>
      </c>
      <c r="AN220" s="1359">
        <f>AN43+AM43+AL43+AK43</f>
        <v>129</v>
      </c>
      <c r="AO220" s="1359">
        <f t="shared" si="574"/>
        <v>129</v>
      </c>
      <c r="AP220" s="1359">
        <f>AP43+AN43+AM43+AL43</f>
        <v>122</v>
      </c>
      <c r="AQ220" s="1359">
        <f>AQ43+AP43+AN43+AM43</f>
        <v>120</v>
      </c>
      <c r="AR220" s="1359">
        <f>AR43+AQ43+AP43+AN43</f>
        <v>119</v>
      </c>
      <c r="AS220" s="1359">
        <f>AS43+AR43+AQ43+AP43</f>
        <v>127</v>
      </c>
      <c r="AT220" s="1359">
        <f t="shared" si="575"/>
        <v>127</v>
      </c>
      <c r="AU220" s="1359">
        <f>AU43+AS43+AR43+AQ43</f>
        <v>134</v>
      </c>
      <c r="AV220" s="1359">
        <f>AV43+AU43+AS43+AR43</f>
        <v>140</v>
      </c>
      <c r="AW220" s="1359">
        <f>AW43+AV43+AU43+AS43</f>
        <v>146</v>
      </c>
      <c r="AX220" s="1359">
        <f>AX43+AW43+AV43+AU43</f>
        <v>154</v>
      </c>
      <c r="AY220" s="1359">
        <f t="shared" si="576"/>
        <v>154</v>
      </c>
      <c r="AZ220" s="1359">
        <f>AZ43+AX43+AW43+AV43</f>
        <v>155.4</v>
      </c>
      <c r="BA220" s="1359">
        <f>BA43+AZ43+AX43+AW43</f>
        <v>157.4</v>
      </c>
      <c r="BB220" s="1359">
        <f>BB43+BA43+AZ43+AX43</f>
        <v>161.4</v>
      </c>
      <c r="BC220" s="1359">
        <f>BC43+BB43+BA43+AZ43</f>
        <v>166.4</v>
      </c>
      <c r="BD220" s="1359">
        <f t="shared" si="577"/>
        <v>166.4</v>
      </c>
      <c r="BE220" s="1359">
        <f>BE43+BC43+BB43+BA43</f>
        <v>183</v>
      </c>
      <c r="BF220" s="1359">
        <f>BF43+BE43+BC43+BB43</f>
        <v>197</v>
      </c>
      <c r="BG220" s="1359">
        <f>BG43+BF43+BE43+BC43</f>
        <v>206</v>
      </c>
      <c r="BH220" s="1359">
        <f>BH43+BG43+BF43+BE43</f>
        <v>226</v>
      </c>
      <c r="BI220" s="1359">
        <f t="shared" si="578"/>
        <v>226</v>
      </c>
      <c r="BJ220" s="1359">
        <f>BJ43+BH43+BG43+BF43</f>
        <v>226</v>
      </c>
      <c r="BK220" s="1359">
        <f>BK43+BJ43+BH43+BG43</f>
        <v>217</v>
      </c>
      <c r="BL220" s="1359">
        <f>BL43+BK43+BJ43+BH43</f>
        <v>212</v>
      </c>
      <c r="BM220" s="1359">
        <f>BM43+BL43+BK43+BJ43</f>
        <v>194</v>
      </c>
      <c r="BN220" s="1359">
        <f t="shared" si="579"/>
        <v>194</v>
      </c>
      <c r="BO220" s="1359">
        <f>BO43+BM43+BL43+BK43</f>
        <v>182</v>
      </c>
      <c r="BP220" s="1359">
        <f>BP43+BO43+BM43+BL43</f>
        <v>181</v>
      </c>
      <c r="BQ220" s="1359">
        <f>BQ43+BP43+BO43+BM43</f>
        <v>177</v>
      </c>
      <c r="BR220" s="1359">
        <f>BR43+BQ43+BP43+BO43</f>
        <v>175</v>
      </c>
      <c r="BS220" s="1359">
        <f t="shared" si="580"/>
        <v>175</v>
      </c>
      <c r="BT220" s="1359">
        <f>BT43+BR43+BQ43+BP43</f>
        <v>177</v>
      </c>
      <c r="BU220" s="1359">
        <f>BU43+BT43+BR43+BQ43</f>
        <v>170</v>
      </c>
      <c r="BV220" s="1359">
        <f>BV43+BU43+BT43+BR43</f>
        <v>164</v>
      </c>
      <c r="BW220" s="1359">
        <f>BW43+BV43+BU43+BT43</f>
        <v>156</v>
      </c>
      <c r="BX220" s="1809">
        <f t="shared" si="581"/>
        <v>156</v>
      </c>
      <c r="BY220" s="1359">
        <f>BY43+BW43+BV43+BU43</f>
        <v>150</v>
      </c>
      <c r="BZ220" s="1359">
        <f>BZ43+BY43+BW43+BV43</f>
        <v>153</v>
      </c>
      <c r="CA220" s="1359">
        <f>CA43+BZ43+BY43+BW43</f>
        <v>153</v>
      </c>
      <c r="CB220" s="1359">
        <f>CB43+CA43+BZ43+BY43</f>
        <v>149</v>
      </c>
      <c r="CC220" s="1375">
        <f t="shared" si="582"/>
        <v>149</v>
      </c>
      <c r="CD220" s="1363">
        <f>CD43+CB43+CA43+BZ43</f>
        <v>143</v>
      </c>
      <c r="CE220" s="1363">
        <f>CE43+CD43+CB43+CA43</f>
        <v>137</v>
      </c>
      <c r="CF220" s="1363">
        <f>CF43+CE43+CD43+CB43</f>
        <v>136</v>
      </c>
      <c r="CG220" s="1363">
        <f>CG43+CF43+CE43+CD43</f>
        <v>252</v>
      </c>
      <c r="CH220" s="1723">
        <f t="shared" si="583"/>
        <v>252</v>
      </c>
      <c r="CI220" s="1363">
        <f>CI43+CG43+CF43+CE43</f>
        <v>257.5</v>
      </c>
      <c r="CJ220" s="1363">
        <f>CJ43+CI43+CG43+CF43</f>
        <v>258</v>
      </c>
      <c r="CK220" s="1363">
        <f>CK43+CJ43+CI43+CG43</f>
        <v>258.5</v>
      </c>
      <c r="CL220" s="1363">
        <f>CL43+CK43+CJ43+CI43</f>
        <v>144</v>
      </c>
      <c r="CM220" s="1723">
        <f t="shared" si="584"/>
        <v>144</v>
      </c>
      <c r="CN220" s="1363">
        <f>CN43+CL43+CK43+CJ43</f>
        <v>143.5</v>
      </c>
      <c r="CO220" s="1363">
        <f>CO43+CN43+CL43+CK43</f>
        <v>146</v>
      </c>
      <c r="CP220" s="1363">
        <f>CP43+CO43+CN43+CL43</f>
        <v>146.5</v>
      </c>
      <c r="CQ220" s="1060">
        <f>CQ43+CP43+CO43+CN43</f>
        <v>141</v>
      </c>
      <c r="CR220" s="1061">
        <f t="shared" si="585"/>
        <v>141</v>
      </c>
      <c r="CS220" s="2062">
        <f>CS43+CQ43+CP43+CO43</f>
        <v>147</v>
      </c>
      <c r="CT220" s="2062">
        <f>CT43+CS43+CQ43+CP43</f>
        <v>163</v>
      </c>
      <c r="CU220" s="2062">
        <f>CU43+CT43+CS43+CQ43</f>
        <v>229</v>
      </c>
      <c r="CV220" s="62">
        <f>CV43+CU43+CT43+CS43</f>
        <v>305</v>
      </c>
      <c r="CW220" s="60">
        <f t="shared" si="586"/>
        <v>305</v>
      </c>
      <c r="CX220" s="62">
        <f>CX43+CV43+CU43+CT43</f>
        <v>372</v>
      </c>
      <c r="CY220" s="62">
        <f>CY43+CX43+CV43+CU43</f>
        <v>425</v>
      </c>
      <c r="CZ220" s="62">
        <f>CZ43+CY43+CX43+CV43</f>
        <v>436</v>
      </c>
      <c r="DA220" s="62">
        <f>DA43+CZ43+CY43+CX43</f>
        <v>440</v>
      </c>
      <c r="DB220" s="60">
        <f t="shared" si="587"/>
        <v>440</v>
      </c>
      <c r="DC220" s="62">
        <f>DC43+DA43+CZ43+CY43</f>
        <v>439.47648219178086</v>
      </c>
      <c r="DD220" s="62">
        <f>DD43+DC43+DA43+CZ43</f>
        <v>443.24601205479451</v>
      </c>
      <c r="DE220" s="62">
        <f>DE43+DD43+DC43+DA43</f>
        <v>442.01554191780826</v>
      </c>
      <c r="DF220" s="62">
        <f>DF43+DE43+DD43+DC43</f>
        <v>432.96935232876717</v>
      </c>
      <c r="DG220" s="60">
        <f t="shared" si="588"/>
        <v>432.96935232876717</v>
      </c>
      <c r="DH220" s="62">
        <f>DH43+DF43+DE43+DD43</f>
        <v>431.07811945205481</v>
      </c>
      <c r="DI220" s="62">
        <f>DI43+DH43+DF43+DE43</f>
        <v>431.07811945205481</v>
      </c>
      <c r="DJ220" s="62">
        <f>DJ43+DI43+DH43+DF43</f>
        <v>431.07811945205481</v>
      </c>
      <c r="DK220" s="62">
        <f>DK43+DJ43+DI43+DH43</f>
        <v>430.07620164383559</v>
      </c>
      <c r="DL220" s="60">
        <f t="shared" si="589"/>
        <v>430.07620164383559</v>
      </c>
      <c r="DM220" s="62">
        <f>DM43+DK43+DJ43+DI43</f>
        <v>429.09606465753427</v>
      </c>
      <c r="DN220" s="62">
        <f>DN43+DM43+DK43+DJ43</f>
        <v>428.10503726027395</v>
      </c>
      <c r="DO220" s="62">
        <f>DO43+DN43+DM43+DK43</f>
        <v>427.44908931506848</v>
      </c>
      <c r="DP220" s="62">
        <f>DP43+DO43+DN43+DM43</f>
        <v>427.78785095890413</v>
      </c>
      <c r="DQ220" s="60">
        <f t="shared" si="590"/>
        <v>427.78785095890413</v>
      </c>
      <c r="DR220" s="62">
        <f>DR43+DP43+DO43+DN43</f>
        <v>428.11924821917813</v>
      </c>
      <c r="DS220" s="62">
        <f>DS43+DR43+DP43+DO43</f>
        <v>428.45432767123293</v>
      </c>
      <c r="DT220" s="62">
        <f>DT43+DS43+DR43+DP43</f>
        <v>428.45432767123287</v>
      </c>
      <c r="DU220" s="62">
        <f>DU43+DT43+DS43+DR43</f>
        <v>428.45432767123293</v>
      </c>
      <c r="DV220" s="60">
        <f t="shared" si="591"/>
        <v>428.45432767123293</v>
      </c>
      <c r="DW220" s="62">
        <f>DW43+DU43+DT43+DS43</f>
        <v>428.45432767123293</v>
      </c>
      <c r="DX220" s="62">
        <f>DX43+DW43+DU43+DT43</f>
        <v>428.45432767123293</v>
      </c>
      <c r="DY220" s="62">
        <f>DY43+DX43+DW43+DU43</f>
        <v>428.45432767123287</v>
      </c>
      <c r="DZ220" s="62">
        <f>DZ43+DY43+DX43+DW43</f>
        <v>428.45432767123293</v>
      </c>
      <c r="EA220" s="60">
        <f t="shared" si="592"/>
        <v>428.45432767123293</v>
      </c>
      <c r="EB220" s="11"/>
      <c r="EC220" s="33"/>
      <c r="ED220" s="321"/>
      <c r="EE220" s="321"/>
      <c r="EF220" s="321"/>
      <c r="EG220" s="321"/>
      <c r="EH220" s="148"/>
      <c r="EI220" s="11"/>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row>
    <row r="221" spans="1:259" s="15" customFormat="1" x14ac:dyDescent="0.2">
      <c r="A221" s="14" t="s">
        <v>109</v>
      </c>
      <c r="B221" s="1358"/>
      <c r="C221" s="1358"/>
      <c r="D221" s="1358"/>
      <c r="E221" s="1358"/>
      <c r="F221" s="1358"/>
      <c r="G221" s="1358"/>
      <c r="H221" s="1358"/>
      <c r="I221" s="1358"/>
      <c r="J221" s="1675"/>
      <c r="K221" s="1358"/>
      <c r="L221" s="1359">
        <f>L41+J41+I41+H41</f>
        <v>297</v>
      </c>
      <c r="M221" s="1359">
        <f>M41+L41+J41+I41</f>
        <v>601</v>
      </c>
      <c r="N221" s="1359">
        <f>N41+M41+L41+J41</f>
        <v>912</v>
      </c>
      <c r="O221" s="1359">
        <f>O41+N41+M41+L41</f>
        <v>1313</v>
      </c>
      <c r="P221" s="1359">
        <f>O221</f>
        <v>1313</v>
      </c>
      <c r="Q221" s="1359">
        <f>Q41+O41+N41+M41</f>
        <v>1301</v>
      </c>
      <c r="R221" s="1359">
        <f>R41+Q41+O41+N41</f>
        <v>1376</v>
      </c>
      <c r="S221" s="1359">
        <f>S41+R41+Q41+O41</f>
        <v>1459</v>
      </c>
      <c r="T221" s="1359">
        <f>T41+S41+R41+Q41</f>
        <v>1445</v>
      </c>
      <c r="U221" s="1359">
        <f>T221</f>
        <v>1445</v>
      </c>
      <c r="V221" s="1359">
        <f>V41+T41+S41+R41</f>
        <v>1415</v>
      </c>
      <c r="W221" s="1359">
        <f>W41+V41+T41+S41</f>
        <v>1310</v>
      </c>
      <c r="X221" s="1359">
        <f>X41+W41+V41+T41</f>
        <v>1223</v>
      </c>
      <c r="Y221" s="1359">
        <f>Y41+X41+W41+V41</f>
        <v>1233</v>
      </c>
      <c r="Z221" s="1359">
        <f>Y221</f>
        <v>1233</v>
      </c>
      <c r="AA221" s="1359">
        <f>AA41+Y41+X41+W41</f>
        <v>1260</v>
      </c>
      <c r="AB221" s="1359">
        <f>AB41+AA41+Y41+X41</f>
        <v>1289</v>
      </c>
      <c r="AC221" s="1359">
        <f>AC41+AB41+AA41+Y41</f>
        <v>1318</v>
      </c>
      <c r="AD221" s="1359">
        <f>AD41+AC41+AB41+AA41</f>
        <v>1346</v>
      </c>
      <c r="AE221" s="1359">
        <f>AD221</f>
        <v>1346</v>
      </c>
      <c r="AF221" s="1359">
        <f>AF41+AD41+AC41+AB41</f>
        <v>1368</v>
      </c>
      <c r="AG221" s="1359">
        <f>AG41+AF41+AD41+AC41</f>
        <v>1453</v>
      </c>
      <c r="AH221" s="1359">
        <f>AH41+AG41+AF41+AD41</f>
        <v>1486</v>
      </c>
      <c r="AI221" s="1359">
        <f>AI41+AH41+AG41+AF41</f>
        <v>1492</v>
      </c>
      <c r="AJ221" s="1359">
        <f t="shared" si="573"/>
        <v>1492</v>
      </c>
      <c r="AK221" s="1359">
        <f>AK41+AI41+AH41+AG41</f>
        <v>1526</v>
      </c>
      <c r="AL221" s="1359">
        <f>AL41+AK41+AI41+AH41</f>
        <v>1485</v>
      </c>
      <c r="AM221" s="1359">
        <f>AM41+AL41+AK41+AI41</f>
        <v>1514</v>
      </c>
      <c r="AN221" s="1359">
        <f>AN41+AM41+AL41+AK41</f>
        <v>1543</v>
      </c>
      <c r="AO221" s="1359">
        <f t="shared" si="574"/>
        <v>1543</v>
      </c>
      <c r="AP221" s="1359">
        <f>AP41+AN41+AM41+AL41</f>
        <v>1553</v>
      </c>
      <c r="AQ221" s="1359">
        <f>AQ41+AP41+AN41+AM41</f>
        <v>1578</v>
      </c>
      <c r="AR221" s="1359">
        <f>AR41+AQ41+AP41+AN41</f>
        <v>1597</v>
      </c>
      <c r="AS221" s="1359">
        <f>AS41+AR41+AQ41+AP41</f>
        <v>1616</v>
      </c>
      <c r="AT221" s="1359">
        <f t="shared" si="575"/>
        <v>1616</v>
      </c>
      <c r="AU221" s="1359">
        <f>AU41+AS41+AR41+AQ41</f>
        <v>1649</v>
      </c>
      <c r="AV221" s="1359">
        <f>AV41+AU41+AS41+AR41</f>
        <v>1695</v>
      </c>
      <c r="AW221" s="1359">
        <f>AW41+AV41+AU41+AS41</f>
        <v>1731</v>
      </c>
      <c r="AX221" s="1359">
        <f>AX41+AW41+AV41+AU41</f>
        <v>1741</v>
      </c>
      <c r="AY221" s="1359">
        <f t="shared" si="576"/>
        <v>1741</v>
      </c>
      <c r="AZ221" s="1359">
        <f>AZ41+AX41+AW41+AV41</f>
        <v>1788</v>
      </c>
      <c r="BA221" s="1359">
        <f>BA41+AZ41+AX41+AW41</f>
        <v>1801</v>
      </c>
      <c r="BB221" s="1359">
        <f>BB41+BA41+AZ41+AX41</f>
        <v>1878</v>
      </c>
      <c r="BC221" s="1359">
        <f>BC41+BB41+BA41+AZ41</f>
        <v>1899</v>
      </c>
      <c r="BD221" s="1359">
        <f t="shared" si="577"/>
        <v>1899</v>
      </c>
      <c r="BE221" s="1359">
        <f>BE41+BC41+BB41+BA41</f>
        <v>1949</v>
      </c>
      <c r="BF221" s="1359">
        <f>BF41+BE41+BC41+BB41</f>
        <v>1966</v>
      </c>
      <c r="BG221" s="1359">
        <f>BG41+BF41+BE41+BC41</f>
        <v>1986</v>
      </c>
      <c r="BH221" s="1359">
        <f>BH41+BG41+BF41+BE41</f>
        <v>2032</v>
      </c>
      <c r="BI221" s="1359">
        <f t="shared" si="578"/>
        <v>2032</v>
      </c>
      <c r="BJ221" s="1359">
        <f>BJ41+BH41+BG41+BF41</f>
        <v>2039</v>
      </c>
      <c r="BK221" s="1359">
        <f>BK41+BJ41+BH41+BG41</f>
        <v>2054</v>
      </c>
      <c r="BL221" s="1359">
        <f>BL41+BK41+BJ41+BH41</f>
        <v>2116</v>
      </c>
      <c r="BM221" s="1359">
        <f>BM41+BL41+BK41+BJ41</f>
        <v>2152</v>
      </c>
      <c r="BN221" s="1359">
        <f t="shared" si="579"/>
        <v>2152</v>
      </c>
      <c r="BO221" s="1359">
        <f>BO41+BM41+BL41+BK41</f>
        <v>2209</v>
      </c>
      <c r="BP221" s="1359">
        <f>BP41+BO41+BM41+BL41</f>
        <v>2298</v>
      </c>
      <c r="BQ221" s="1359">
        <f>BQ41+BP41+BO41+BM41</f>
        <v>2355</v>
      </c>
      <c r="BR221" s="1359">
        <f>BR41+BQ41+BP41+BO41</f>
        <v>2376</v>
      </c>
      <c r="BS221" s="1359">
        <f t="shared" si="580"/>
        <v>2376</v>
      </c>
      <c r="BT221" s="1359">
        <f>BT41+BR41+BQ41+BP41</f>
        <v>2423</v>
      </c>
      <c r="BU221" s="1359">
        <f>BU41+BT41+BR41+BQ41</f>
        <v>2442</v>
      </c>
      <c r="BV221" s="1359">
        <f>BV41+BU41+BT41+BR41</f>
        <v>2430</v>
      </c>
      <c r="BW221" s="1359">
        <f>BW41+BV41+BU41+BT41</f>
        <v>2554</v>
      </c>
      <c r="BX221" s="1809">
        <f t="shared" si="581"/>
        <v>2554</v>
      </c>
      <c r="BY221" s="1359">
        <f>BY41+BW41+BV41+BU41</f>
        <v>2626</v>
      </c>
      <c r="BZ221" s="1359">
        <f>BZ41+BY41+BW41+BV41</f>
        <v>2653</v>
      </c>
      <c r="CA221" s="1359">
        <f>CA41+BZ41+BY41+BW41</f>
        <v>2813</v>
      </c>
      <c r="CB221" s="1359">
        <f>CB41+CA41+BZ41+BY41</f>
        <v>2811</v>
      </c>
      <c r="CC221" s="1375">
        <f t="shared" si="582"/>
        <v>2811</v>
      </c>
      <c r="CD221" s="1363">
        <f>CD41+CB41+CA41+BZ41</f>
        <v>2641.3265000000001</v>
      </c>
      <c r="CE221" s="1363">
        <f>CE41+CD41+CB41+CA41</f>
        <v>2554.0340000000001</v>
      </c>
      <c r="CF221" s="1363">
        <f>CF41+CE41+CD41+CB41</f>
        <v>2285.5715</v>
      </c>
      <c r="CG221" s="1363">
        <f>CG41+CF41+CE41+CD41</f>
        <v>2208</v>
      </c>
      <c r="CH221" s="1723">
        <f t="shared" si="583"/>
        <v>2208</v>
      </c>
      <c r="CI221" s="1363">
        <f>CI41+CG41+CF41+CE41</f>
        <v>2182.8624999999997</v>
      </c>
      <c r="CJ221" s="1363">
        <f>CJ41+CI41+CG41+CF41</f>
        <v>2167.9079999999994</v>
      </c>
      <c r="CK221" s="1363">
        <f>CK41+CJ41+CI41+CG41</f>
        <v>2195.7254999999996</v>
      </c>
      <c r="CL221" s="1363">
        <f>CL41+CK41+CJ41+CI41</f>
        <v>2248.8999999999996</v>
      </c>
      <c r="CM221" s="1723">
        <f t="shared" si="584"/>
        <v>2248.8999999999996</v>
      </c>
      <c r="CN221" s="1363">
        <f>CN41+CL41+CK41+CJ41</f>
        <v>2269.2005013386879</v>
      </c>
      <c r="CO221" s="1363">
        <f>CO41+CN41+CL41+CK41</f>
        <v>2136.8212657295853</v>
      </c>
      <c r="CP221" s="1363">
        <f>CP41+CO41+CN41+CL41</f>
        <v>1963.5680696117806</v>
      </c>
      <c r="CQ221" s="1060">
        <f>CQ41+CP41+CO41+CN41</f>
        <v>1705.2810000000004</v>
      </c>
      <c r="CR221" s="1061">
        <f t="shared" si="585"/>
        <v>1705.2810000000004</v>
      </c>
      <c r="CS221" s="2062">
        <f>CS41+CQ41+CP41+CO41</f>
        <v>1623.638799283689</v>
      </c>
      <c r="CT221" s="2062">
        <f>CT41+CS41+CQ41+CP41</f>
        <v>1763.4177342704152</v>
      </c>
      <c r="CU221" s="2062">
        <f>CU41+CT41+CS41+CQ41</f>
        <v>1816.4851299829511</v>
      </c>
      <c r="CV221" s="62">
        <f>CV41+CU41+CT41+CS41</f>
        <v>1997</v>
      </c>
      <c r="CW221" s="60">
        <f t="shared" si="586"/>
        <v>1997</v>
      </c>
      <c r="CX221" s="62">
        <f>CX41+CV41+CU41+CT41</f>
        <v>2146.1526993776233</v>
      </c>
      <c r="CY221" s="62">
        <f>CY41+CX41+CV41+CU41</f>
        <v>2127</v>
      </c>
      <c r="CZ221" s="62">
        <f>CZ41+CY41+CX41+CV41</f>
        <v>2373.8308004052687</v>
      </c>
      <c r="DA221" s="62">
        <f>DA41+CZ41+CY41+CX41</f>
        <v>3014</v>
      </c>
      <c r="DB221" s="60">
        <f t="shared" si="587"/>
        <v>3014</v>
      </c>
      <c r="DC221" s="62">
        <f>DC41+DA41+CZ41+CY41</f>
        <v>2886.4421341957859</v>
      </c>
      <c r="DD221" s="62">
        <f>DD41+DC41+DA41+CZ41</f>
        <v>2853.5473296490659</v>
      </c>
      <c r="DE221" s="62">
        <f>DE41+DD41+DC41+DA41</f>
        <v>2619.3578562206767</v>
      </c>
      <c r="DF221" s="62">
        <f>DF41+DE41+DD41+DC41</f>
        <v>1898.2005128587534</v>
      </c>
      <c r="DG221" s="60">
        <f t="shared" si="588"/>
        <v>1898.2005128587534</v>
      </c>
      <c r="DH221" s="62">
        <f>DH41+DF41+DE41+DD41</f>
        <v>1930.3258706163274</v>
      </c>
      <c r="DI221" s="62">
        <f>DI41+DH41+DF41+DE41</f>
        <v>1959.394537973013</v>
      </c>
      <c r="DJ221" s="62">
        <f>DJ41+DI41+DH41+DF41</f>
        <v>2009.9549523010865</v>
      </c>
      <c r="DK221" s="62">
        <f>DK41+DJ41+DI41+DH41</f>
        <v>2064.3798192606605</v>
      </c>
      <c r="DL221" s="60">
        <f t="shared" si="589"/>
        <v>2064.3798192606605</v>
      </c>
      <c r="DM221" s="62">
        <f>DM41+DK41+DJ41+DI41</f>
        <v>2075.9975203460754</v>
      </c>
      <c r="DN221" s="62">
        <f>DN41+DM41+DK41+DJ41</f>
        <v>2096.2235385768695</v>
      </c>
      <c r="DO221" s="62">
        <f>DO41+DN41+DM41+DK41</f>
        <v>2115.0666958651941</v>
      </c>
      <c r="DP221" s="62">
        <f>DP41+DO41+DN41+DM41</f>
        <v>2157.5438109193665</v>
      </c>
      <c r="DQ221" s="60">
        <f t="shared" si="590"/>
        <v>2157.5438109193665</v>
      </c>
      <c r="DR221" s="62">
        <f>DR41+DP41+DO41+DN41</f>
        <v>2196.3702307250342</v>
      </c>
      <c r="DS221" s="62">
        <f>DS41+DR41+DP41+DO41</f>
        <v>2236.7020484743516</v>
      </c>
      <c r="DT221" s="62">
        <f>DT41+DS41+DR41+DP41</f>
        <v>2280.707288921265</v>
      </c>
      <c r="DU221" s="62">
        <f>DU41+DT41+DS41+DR41</f>
        <v>2334.5391362398113</v>
      </c>
      <c r="DV221" s="60">
        <f t="shared" si="591"/>
        <v>2334.5391362398113</v>
      </c>
      <c r="DW221" s="62">
        <f>DW41+DU41+DT41+DS41</f>
        <v>2373.8393207606323</v>
      </c>
      <c r="DX221" s="62">
        <f>DX41+DW41+DU41+DT41</f>
        <v>2415.5596123948517</v>
      </c>
      <c r="DY221" s="62">
        <f>DY41+DX41+DW41+DU41</f>
        <v>2462.4342755870366</v>
      </c>
      <c r="DZ221" s="62">
        <f>DZ41+DY41+DX41+DW41</f>
        <v>2520.4529291145391</v>
      </c>
      <c r="EA221" s="60">
        <f t="shared" si="592"/>
        <v>2520.4529291145391</v>
      </c>
      <c r="EB221" s="11"/>
      <c r="EC221" s="33"/>
      <c r="ED221" s="321"/>
      <c r="EE221" s="321"/>
      <c r="EF221" s="321"/>
      <c r="EG221" s="321"/>
      <c r="EH221" s="148"/>
      <c r="EI221" s="1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row>
    <row r="222" spans="1:259" s="15" customFormat="1" x14ac:dyDescent="0.2">
      <c r="A222" s="14" t="s">
        <v>112</v>
      </c>
      <c r="B222" s="1358"/>
      <c r="C222" s="1358"/>
      <c r="D222" s="1358"/>
      <c r="E222" s="1358"/>
      <c r="F222" s="1358"/>
      <c r="G222" s="1358"/>
      <c r="H222" s="1358"/>
      <c r="I222" s="1358"/>
      <c r="J222" s="1675"/>
      <c r="K222" s="1358"/>
      <c r="L222" s="1359"/>
      <c r="M222" s="1359"/>
      <c r="N222" s="1359"/>
      <c r="O222" s="1359"/>
      <c r="P222" s="1359"/>
      <c r="Q222" s="1359"/>
      <c r="R222" s="1359"/>
      <c r="S222" s="1359"/>
      <c r="T222" s="1359"/>
      <c r="U222" s="1359"/>
      <c r="V222" s="1359"/>
      <c r="W222" s="1359"/>
      <c r="X222" s="1359"/>
      <c r="Y222" s="1359"/>
      <c r="Z222" s="1359"/>
      <c r="AA222" s="1359"/>
      <c r="AB222" s="1359"/>
      <c r="AC222" s="1359"/>
      <c r="AD222" s="1359"/>
      <c r="AE222" s="1359"/>
      <c r="AF222" s="1359">
        <f>AF42+AD42+AC42+AB42</f>
        <v>1368</v>
      </c>
      <c r="AG222" s="1359">
        <f>AG42+AF42+AD42+AC42</f>
        <v>1453</v>
      </c>
      <c r="AH222" s="1359">
        <f>AH42+AG42+AF42+AD42</f>
        <v>1486</v>
      </c>
      <c r="AI222" s="1359">
        <f>AI42+AH42+AG42+AF42</f>
        <v>1492</v>
      </c>
      <c r="AJ222" s="1359">
        <f t="shared" si="573"/>
        <v>1492</v>
      </c>
      <c r="AK222" s="1359">
        <f>AK42+AI42+AH42+AG42</f>
        <v>1526</v>
      </c>
      <c r="AL222" s="1359">
        <f>AL42+AK42+AI42+AH42</f>
        <v>1485</v>
      </c>
      <c r="AM222" s="1359">
        <f>AM42+AL42+AK42+AI42</f>
        <v>1514</v>
      </c>
      <c r="AN222" s="1359">
        <f>AN42+AM42+AL42+AK42</f>
        <v>1543</v>
      </c>
      <c r="AO222" s="1359">
        <f t="shared" si="574"/>
        <v>1543</v>
      </c>
      <c r="AP222" s="1359">
        <f>AP42+AN42+AM42+AL42</f>
        <v>1553</v>
      </c>
      <c r="AQ222" s="1359">
        <f>AQ42+AP42+AN42+AM42</f>
        <v>1578</v>
      </c>
      <c r="AR222" s="1359">
        <f>AR42+AQ42+AP42+AN42</f>
        <v>1597</v>
      </c>
      <c r="AS222" s="1359">
        <f>AS42+AR42+AQ42+AP42</f>
        <v>1616</v>
      </c>
      <c r="AT222" s="1359">
        <f t="shared" si="575"/>
        <v>1616</v>
      </c>
      <c r="AU222" s="1359">
        <f>AU42+AS42+AR42+AQ42</f>
        <v>1649</v>
      </c>
      <c r="AV222" s="1359">
        <f>AV42+AU42+AS42+AR42</f>
        <v>1695</v>
      </c>
      <c r="AW222" s="1359">
        <f>AW42+AV42+AU42+AS42</f>
        <v>1731</v>
      </c>
      <c r="AX222" s="1359">
        <f>AX42+AW42+AV42+AU42</f>
        <v>1741</v>
      </c>
      <c r="AY222" s="1359">
        <f t="shared" si="576"/>
        <v>1741</v>
      </c>
      <c r="AZ222" s="1359">
        <f>AZ42+AX42+AW42+AV42</f>
        <v>1788</v>
      </c>
      <c r="BA222" s="1359">
        <f>BA42+AZ42+AX42+AW42</f>
        <v>1801</v>
      </c>
      <c r="BB222" s="1359">
        <f>BB42+BA42+AZ42+AX42</f>
        <v>1878</v>
      </c>
      <c r="BC222" s="1359">
        <f>BC42+BB42+BA42+AZ42</f>
        <v>1899</v>
      </c>
      <c r="BD222" s="1359">
        <f t="shared" si="577"/>
        <v>1899</v>
      </c>
      <c r="BE222" s="1359">
        <f>BE42+BC42+BB42+BA42</f>
        <v>1949</v>
      </c>
      <c r="BF222" s="1359">
        <f>BF42+BE42+BC42+BB42</f>
        <v>1966</v>
      </c>
      <c r="BG222" s="1359">
        <f>BG42+BF42+BE42+BC42</f>
        <v>1986</v>
      </c>
      <c r="BH222" s="1359">
        <f>BH42+BG42+BF42+BE42</f>
        <v>2032</v>
      </c>
      <c r="BI222" s="1359">
        <f t="shared" si="578"/>
        <v>2032</v>
      </c>
      <c r="BJ222" s="1359">
        <f>BJ42+BH42+BG42+BF42</f>
        <v>2039</v>
      </c>
      <c r="BK222" s="1359">
        <f>BK42+BJ42+BH42+BG42</f>
        <v>2054</v>
      </c>
      <c r="BL222" s="1359">
        <f>BL42+BK42+BJ42+BH42</f>
        <v>2116</v>
      </c>
      <c r="BM222" s="1359">
        <f>BM42+BL42+BK42+BJ42</f>
        <v>2152</v>
      </c>
      <c r="BN222" s="1359">
        <f t="shared" si="579"/>
        <v>2152</v>
      </c>
      <c r="BO222" s="1359">
        <f>BO42+BM42+BL42+BK42</f>
        <v>2209</v>
      </c>
      <c r="BP222" s="1359">
        <f>BP42+BO42+BM42+BL42</f>
        <v>2298</v>
      </c>
      <c r="BQ222" s="1359">
        <f>BQ42+BP42+BO42+BM42</f>
        <v>2355</v>
      </c>
      <c r="BR222" s="1359">
        <f>BR42+BQ42+BP42+BO42</f>
        <v>2376</v>
      </c>
      <c r="BS222" s="1359">
        <f t="shared" si="580"/>
        <v>2376</v>
      </c>
      <c r="BT222" s="1359">
        <f>BT42+BR42+BQ42+BP42</f>
        <v>2423</v>
      </c>
      <c r="BU222" s="1359">
        <f>BU42+BT42+BR42+BQ42</f>
        <v>2442</v>
      </c>
      <c r="BV222" s="1359">
        <f>BV42+BU42+BT42+BR42</f>
        <v>2430</v>
      </c>
      <c r="BW222" s="1359">
        <f>BW42+BV42+BU42+BT42</f>
        <v>2554</v>
      </c>
      <c r="BX222" s="1809">
        <f t="shared" si="581"/>
        <v>2554</v>
      </c>
      <c r="BY222" s="1359">
        <f>BY42+BW42+BV42+BU42</f>
        <v>2626</v>
      </c>
      <c r="BZ222" s="1359">
        <f>BZ42+BY42+BW42+BV42</f>
        <v>2653</v>
      </c>
      <c r="CA222" s="1359">
        <f>CA42+BZ42+BY42+BW42</f>
        <v>2813</v>
      </c>
      <c r="CB222" s="1359">
        <f>CB42+CA42+BZ42+BY42</f>
        <v>2811</v>
      </c>
      <c r="CC222" s="1375">
        <f t="shared" si="582"/>
        <v>2811</v>
      </c>
      <c r="CD222" s="1363">
        <f>CD42+CB42+CA42+BZ42</f>
        <v>2641.3265000000001</v>
      </c>
      <c r="CE222" s="1363">
        <f>CE42+CD42+CB42+CA42</f>
        <v>2554.0340000000001</v>
      </c>
      <c r="CF222" s="1363">
        <f>CF42+CE42+CD42+CB42</f>
        <v>2285.5715</v>
      </c>
      <c r="CG222" s="1363">
        <f>CG42+CF42+CE42+CD42</f>
        <v>2208</v>
      </c>
      <c r="CH222" s="1723">
        <f t="shared" si="583"/>
        <v>2208</v>
      </c>
      <c r="CI222" s="1363">
        <f>CI42+CG42+CF42+CE42</f>
        <v>2182.8624999999997</v>
      </c>
      <c r="CJ222" s="1363">
        <f>CJ42+CI42+CG42+CF42</f>
        <v>2167.9079999999994</v>
      </c>
      <c r="CK222" s="1363">
        <f>CK42+CJ42+CI42+CG42</f>
        <v>2195.7254999999996</v>
      </c>
      <c r="CL222" s="1363">
        <f>CL42+CK42+CJ42+CI42</f>
        <v>2248.8999999999996</v>
      </c>
      <c r="CM222" s="1723">
        <f t="shared" si="584"/>
        <v>2248.8999999999996</v>
      </c>
      <c r="CN222" s="1363">
        <f>CN42+CL42+CK42+CJ42</f>
        <v>2252.7005013386879</v>
      </c>
      <c r="CO222" s="1363">
        <f>CO42+CN42+CL42+CK42</f>
        <v>2196.5712657295853</v>
      </c>
      <c r="CP222" s="1363">
        <f>CP42+CO42+CN42+CL42</f>
        <v>2029.0680696117806</v>
      </c>
      <c r="CQ222" s="1060">
        <f>CQ42+CP42+CO42+CN42</f>
        <v>1831.7810000000004</v>
      </c>
      <c r="CR222" s="1061">
        <f t="shared" si="585"/>
        <v>1831.7810000000004</v>
      </c>
      <c r="CS222" s="2062">
        <f>CS42+CQ42+CP42+CO42</f>
        <v>1775.638799283689</v>
      </c>
      <c r="CT222" s="2062">
        <f>CT42+CS42+CQ42+CP42</f>
        <v>1799.1677342704152</v>
      </c>
      <c r="CU222" s="2062">
        <f>CU42+CT42+CS42+CQ42</f>
        <v>1856.4851299829511</v>
      </c>
      <c r="CV222" s="62">
        <f>CV42+CU42+CT42+CS42</f>
        <v>1962</v>
      </c>
      <c r="CW222" s="60">
        <f t="shared" si="586"/>
        <v>1962</v>
      </c>
      <c r="CX222" s="62">
        <f>CX42+CV42+CU42+CT42</f>
        <v>2003.1526993776233</v>
      </c>
      <c r="CY222" s="62">
        <f>CY42+CX42+CV42+CU42</f>
        <v>2044</v>
      </c>
      <c r="CZ222" s="62">
        <f>CZ42+CY42+CX42+CV42</f>
        <v>2090.8308004052687</v>
      </c>
      <c r="DA222" s="62">
        <f>DA42+CZ42+CY42+CX42</f>
        <v>2013</v>
      </c>
      <c r="DB222" s="60">
        <f t="shared" si="587"/>
        <v>2013</v>
      </c>
      <c r="DC222" s="62">
        <f>DC42+DA42+CZ42+CY42</f>
        <v>1999.4421341957859</v>
      </c>
      <c r="DD222" s="62">
        <f>DD42+DC42+DA42+CZ42</f>
        <v>1961.5473296490659</v>
      </c>
      <c r="DE222" s="62">
        <f>DE42+DD42+DC42+DA42</f>
        <v>1932.3578562206767</v>
      </c>
      <c r="DF222" s="62">
        <f>DF42+DE42+DD42+DC42</f>
        <v>1958.2005128587534</v>
      </c>
      <c r="DG222" s="60">
        <f t="shared" si="588"/>
        <v>1958.2005128587534</v>
      </c>
      <c r="DH222" s="62">
        <f>DH42+DF42+DE42+DD42</f>
        <v>1975.3258706163274</v>
      </c>
      <c r="DI222" s="62">
        <f>DI42+DH42+DF42+DE42</f>
        <v>1989.394537973013</v>
      </c>
      <c r="DJ222" s="62">
        <f>DJ42+DI42+DH42+DF42</f>
        <v>2024.9549523010865</v>
      </c>
      <c r="DK222" s="62">
        <f>DK42+DJ42+DI42+DH42</f>
        <v>2064.3798192606605</v>
      </c>
      <c r="DL222" s="60">
        <f t="shared" si="589"/>
        <v>2064.3798192606605</v>
      </c>
      <c r="DM222" s="62">
        <f>DM42+DK42+DJ42+DI42</f>
        <v>2075.9975203460754</v>
      </c>
      <c r="DN222" s="62">
        <f>DN42+DM42+DK42+DJ42</f>
        <v>2096.2235385768695</v>
      </c>
      <c r="DO222" s="62">
        <f>DO42+DN42+DM42+DK42</f>
        <v>2115.0666958651941</v>
      </c>
      <c r="DP222" s="62">
        <f>DP42+DO42+DN42+DM42</f>
        <v>2157.5438109193665</v>
      </c>
      <c r="DQ222" s="60">
        <f t="shared" si="590"/>
        <v>2157.5438109193665</v>
      </c>
      <c r="DR222" s="62">
        <f>DR42+DP42+DO42+DN42</f>
        <v>2196.3702307250342</v>
      </c>
      <c r="DS222" s="62">
        <f>DS42+DR42+DP42+DO42</f>
        <v>2236.7020484743516</v>
      </c>
      <c r="DT222" s="62">
        <f>DT42+DS42+DR42+DP42</f>
        <v>2280.707288921265</v>
      </c>
      <c r="DU222" s="62">
        <f>DU42+DT42+DS42+DR42</f>
        <v>2334.5391362398113</v>
      </c>
      <c r="DV222" s="60">
        <f t="shared" si="591"/>
        <v>2334.5391362398113</v>
      </c>
      <c r="DW222" s="62">
        <f>DW42+DU42+DT42+DS42</f>
        <v>2373.8393207606323</v>
      </c>
      <c r="DX222" s="62">
        <f>DX42+DW42+DU42+DT42</f>
        <v>2415.5596123948517</v>
      </c>
      <c r="DY222" s="62">
        <f>DY42+DX42+DW42+DU42</f>
        <v>2462.4342755870366</v>
      </c>
      <c r="DZ222" s="62">
        <f>DZ42+DY42+DX42+DW42</f>
        <v>2520.4529291145391</v>
      </c>
      <c r="EA222" s="60">
        <f t="shared" si="592"/>
        <v>2520.4529291145391</v>
      </c>
      <c r="EB222" s="11"/>
      <c r="EC222" s="33"/>
      <c r="ED222" s="321"/>
      <c r="EE222" s="321"/>
      <c r="EF222" s="321"/>
      <c r="EG222" s="321"/>
      <c r="EH222" s="148"/>
      <c r="EI222" s="11"/>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row>
    <row r="223" spans="1:259" s="15" customFormat="1" x14ac:dyDescent="0.2">
      <c r="A223" s="14" t="s">
        <v>113</v>
      </c>
      <c r="B223" s="1358"/>
      <c r="C223" s="1358"/>
      <c r="D223" s="1358"/>
      <c r="E223" s="1358"/>
      <c r="F223" s="1358"/>
      <c r="G223" s="1358"/>
      <c r="H223" s="1358"/>
      <c r="I223" s="1358"/>
      <c r="J223" s="1675"/>
      <c r="K223" s="1358"/>
      <c r="L223" s="1427">
        <f>L59+J59+I59+H59</f>
        <v>0.48040387556910669</v>
      </c>
      <c r="M223" s="1427">
        <f>M59+L59+J59+I59</f>
        <v>0.56627365589762446</v>
      </c>
      <c r="N223" s="1427">
        <f>N59+M59+L59+J59</f>
        <v>0.59589149029252886</v>
      </c>
      <c r="O223" s="1427">
        <f>O59+N59+M59+L59</f>
        <v>0.65472604644829757</v>
      </c>
      <c r="P223" s="1427">
        <f>O223</f>
        <v>0.65472604644829757</v>
      </c>
      <c r="Q223" s="1427">
        <f>Q59+O59+N59+M59</f>
        <v>0.6790699648391495</v>
      </c>
      <c r="R223" s="1427">
        <f>R59+Q59+O59+N59</f>
        <v>0.71989427414042173</v>
      </c>
      <c r="S223" s="1427">
        <f>S59+R59+Q59+O59</f>
        <v>0.7378734120421071</v>
      </c>
      <c r="T223" s="1427">
        <f>T59+S59+R59+Q59</f>
        <v>0.74471624213334475</v>
      </c>
      <c r="U223" s="1427">
        <f>T223</f>
        <v>0.74471624213334475</v>
      </c>
      <c r="V223" s="1427">
        <f>V59+T59+S59+R59</f>
        <v>0.73293016275203904</v>
      </c>
      <c r="W223" s="1427">
        <f>W59+V59+T59+S59</f>
        <v>0.72589863678948152</v>
      </c>
      <c r="X223" s="1427">
        <f>X59+W59+V59+T59</f>
        <v>0.73716786490086827</v>
      </c>
      <c r="Y223" s="1427">
        <f>Y59+X59+W59+V59</f>
        <v>0.80402466252689664</v>
      </c>
      <c r="Z223" s="1427">
        <f>Y223</f>
        <v>0.80402466252689664</v>
      </c>
      <c r="AA223" s="1427">
        <f>AA59+Y59+X59+W59</f>
        <v>0.84403473828971409</v>
      </c>
      <c r="AB223" s="1427">
        <f>AB59+AA59+Y59+X59</f>
        <v>0.87454616545513431</v>
      </c>
      <c r="AC223" s="1427">
        <f>AC59+AB59+AA59+Y59</f>
        <v>0.89983230987544927</v>
      </c>
      <c r="AD223" s="1427">
        <f>AD59+AC59+AB59+AA59</f>
        <v>0.9076879531498514</v>
      </c>
      <c r="AE223" s="1427">
        <f>AD223</f>
        <v>0.9076879531498514</v>
      </c>
      <c r="AF223" s="1427">
        <f>AF59+AD59+AC59+AB59</f>
        <v>0.91474634262281906</v>
      </c>
      <c r="AG223" s="1427">
        <f>AG59+AF59+AD59+AC59</f>
        <v>0.94015596808897794</v>
      </c>
      <c r="AH223" s="1427">
        <f>AH59+AG59+AF59+AD59</f>
        <v>0.98097976384451613</v>
      </c>
      <c r="AI223" s="1427">
        <f>AI59+AH59+AG59+AF59</f>
        <v>1.0263288478836594</v>
      </c>
      <c r="AJ223" s="1427">
        <f t="shared" si="573"/>
        <v>1.0263288478836594</v>
      </c>
      <c r="AK223" s="1427">
        <f>AK59+AI59+AH59+AG59</f>
        <v>1.0643962611823663</v>
      </c>
      <c r="AL223" s="1427">
        <f>AL59+AK59+AI59+AH59</f>
        <v>1.1027658018811359</v>
      </c>
      <c r="AM223" s="1427">
        <f>AM59+AL59+AK59+AI59</f>
        <v>1.1356861842168011</v>
      </c>
      <c r="AN223" s="1427">
        <f>AN59+AM59+AL59+AK59</f>
        <v>1.1793714679751761</v>
      </c>
      <c r="AO223" s="1427">
        <f t="shared" si="574"/>
        <v>1.1793714679751761</v>
      </c>
      <c r="AP223" s="1427">
        <f>AP59+AN59+AM59+AL59</f>
        <v>1.1982293195713798</v>
      </c>
      <c r="AQ223" s="1427">
        <f>AQ59+AP59+AN59+AM59</f>
        <v>1.2160749235223138</v>
      </c>
      <c r="AR223" s="1427">
        <f>AR59+AQ59+AP59+AN59</f>
        <v>1.2433331477494014</v>
      </c>
      <c r="AS223" s="1427">
        <f>AS59+AR59+AQ59+AP59</f>
        <v>1.2604452801843664</v>
      </c>
      <c r="AT223" s="1427">
        <f t="shared" si="575"/>
        <v>1.2604452801843664</v>
      </c>
      <c r="AU223" s="1427">
        <f>AU59+AS59+AR59+AQ59</f>
        <v>1.3060033405450584</v>
      </c>
      <c r="AV223" s="1427">
        <f>AV59+AU59+AS59+AR59</f>
        <v>1.3529383644662478</v>
      </c>
      <c r="AW223" s="1427">
        <f>AW59+AV59+AU59+AS59</f>
        <v>1.4375639065882164</v>
      </c>
      <c r="AX223" s="1427">
        <f>AX59+AW59+AV59+AU59</f>
        <v>1.4712684498029596</v>
      </c>
      <c r="AY223" s="1427">
        <f t="shared" si="576"/>
        <v>1.4712684498029596</v>
      </c>
      <c r="AZ223" s="1427">
        <f>AZ59+AX59+AW59+AV59</f>
        <v>1.5260656526001626</v>
      </c>
      <c r="BA223" s="1427">
        <f>BA59+AZ59+AX59+AW59</f>
        <v>1.5756535048124887</v>
      </c>
      <c r="BB223" s="1427">
        <f>BB59+BA59+AZ59+AX59</f>
        <v>1.6595668355210975</v>
      </c>
      <c r="BC223" s="1427">
        <f>BC59+BB59+BA59+AZ59</f>
        <v>1.6798006484707377</v>
      </c>
      <c r="BD223" s="1427">
        <f t="shared" si="577"/>
        <v>1.6798006484707377</v>
      </c>
      <c r="BE223" s="1427">
        <f>BE59+BC59+BB59+BA59</f>
        <v>1.7474435056135951</v>
      </c>
      <c r="BF223" s="1427">
        <f>BF59+BE59+BC59+BB59</f>
        <v>1.8111486288292244</v>
      </c>
      <c r="BG223" s="1427">
        <f>BG59+BF59+BE59+BC59</f>
        <v>1.8911282847254089</v>
      </c>
      <c r="BH223" s="1427">
        <f>BH59+BG59+BF59+BE59</f>
        <v>1.9150061552890831</v>
      </c>
      <c r="BI223" s="1427">
        <f t="shared" si="578"/>
        <v>1.9150061552890831</v>
      </c>
      <c r="BJ223" s="1427">
        <f>BJ59+BH59+BG59+BF59</f>
        <v>1.973442630087771</v>
      </c>
      <c r="BK223" s="1427">
        <f>BK59+BJ59+BH59+BG59</f>
        <v>2.015407053921547</v>
      </c>
      <c r="BL223" s="1427">
        <f>BL59+BK59+BJ59+BH59</f>
        <v>2.1373825402781588</v>
      </c>
      <c r="BM223" s="1427">
        <f>BM59+BL59+BK59+BJ59</f>
        <v>2.1687881748691238</v>
      </c>
      <c r="BN223" s="1427">
        <f t="shared" si="579"/>
        <v>2.1687881748691238</v>
      </c>
      <c r="BO223" s="1427">
        <f>BO59+BM59+BL59+BK59</f>
        <v>2.2639047192162387</v>
      </c>
      <c r="BP223" s="1427">
        <f>BP59+BO59+BM59+BL59</f>
        <v>2.3484536082474223</v>
      </c>
      <c r="BQ223" s="1427">
        <f>BQ59+BP59+BO59+BM59</f>
        <v>2.3829598704950161</v>
      </c>
      <c r="BR223" s="1427">
        <f>BR59+BQ59+BP59+BO59</f>
        <v>2.4086189882911961</v>
      </c>
      <c r="BS223" s="1427">
        <f t="shared" si="580"/>
        <v>2.4086189882911961</v>
      </c>
      <c r="BT223" s="1427">
        <f>BT59+BR59+BQ59+BP59</f>
        <v>2.4629951284634419</v>
      </c>
      <c r="BU223" s="1427">
        <f>BU59+BT59+BR59+BQ59</f>
        <v>2.5427088542877581</v>
      </c>
      <c r="BV223" s="1427">
        <f>BV59+BU59+BT59+BR59</f>
        <v>2.4828473398807889</v>
      </c>
      <c r="BW223" s="1427">
        <f>BW59+BV59+BU59+BT59</f>
        <v>2.7128323898859441</v>
      </c>
      <c r="BX223" s="1867">
        <f t="shared" si="581"/>
        <v>2.7128323898859441</v>
      </c>
      <c r="BY223" s="1427">
        <f>BY59+BW59+BV59+BU59</f>
        <v>2.8028335951823613</v>
      </c>
      <c r="BZ223" s="1427">
        <f>BZ59+BY59+BW59+BV59</f>
        <v>2.8062468009969388</v>
      </c>
      <c r="CA223" s="1427">
        <f>CA59+BZ59+BY59+BW59</f>
        <v>3.1199779049822807</v>
      </c>
      <c r="CB223" s="1427">
        <f>CB59+CA59+BZ59+BY59</f>
        <v>3.100182710658784</v>
      </c>
      <c r="CC223" s="1429">
        <f t="shared" si="582"/>
        <v>3.100182710658784</v>
      </c>
      <c r="CD223" s="1761">
        <f>CD59+CB59+CA59+BZ59</f>
        <v>2.9012310781487738</v>
      </c>
      <c r="CE223" s="1761">
        <f>CE59+CD59+CB59+CA59</f>
        <v>2.7314014617649454</v>
      </c>
      <c r="CF223" s="1761">
        <f>CF59+CE59+CD59+CB59</f>
        <v>2.2502337818870086</v>
      </c>
      <c r="CG223" s="1761">
        <f>CG59+CF59+CE59+CD59</f>
        <v>2.0817259560929577</v>
      </c>
      <c r="CH223" s="1762">
        <f t="shared" si="583"/>
        <v>2.0817259560929577</v>
      </c>
      <c r="CI223" s="1761">
        <f>CI59+CG59+CF59+CE59</f>
        <v>2.0797709166045233</v>
      </c>
      <c r="CJ223" s="1761">
        <f>CJ59+CI59+CG59+CF59</f>
        <v>2.0663835221606051</v>
      </c>
      <c r="CK223" s="1761">
        <f>CK59+CJ59+CI59+CG59</f>
        <v>2.2189027077757553</v>
      </c>
      <c r="CL223" s="1761">
        <f>CL59+CK59+CJ59+CI59</f>
        <v>2.2236720685427693</v>
      </c>
      <c r="CM223" s="1762">
        <f t="shared" si="584"/>
        <v>2.2236720685427693</v>
      </c>
      <c r="CN223" s="1761">
        <f>CN59+CL59+CK59+CJ59</f>
        <v>2.4394985232681967</v>
      </c>
      <c r="CO223" s="1761">
        <f>CO59+CN59+CL59+CK59</f>
        <v>2.5093711678795354</v>
      </c>
      <c r="CP223" s="1761">
        <f>CP59+CO59+CN59+CL59</f>
        <v>2.3670644590578824</v>
      </c>
      <c r="CQ223" s="1926">
        <f>CQ59+CP59+CO59+CN59</f>
        <v>2.2828082586642848</v>
      </c>
      <c r="CR223" s="1986">
        <f t="shared" si="585"/>
        <v>2.2828082586642848</v>
      </c>
      <c r="CS223" s="2065">
        <f>CS59+CQ59+CP59+CO59</f>
        <v>2.1037594347025457</v>
      </c>
      <c r="CT223" s="2065">
        <f>CT59+CS59+CQ59+CP59</f>
        <v>2.1163889919977343</v>
      </c>
      <c r="CU223" s="2065">
        <f>CU59+CT59+CS59+CQ59</f>
        <v>2.1599627318768535</v>
      </c>
      <c r="CV223" s="30">
        <f>CV59+CU59+CT59+CS59</f>
        <v>2.4777120154392018</v>
      </c>
      <c r="CW223" s="411">
        <f t="shared" si="586"/>
        <v>2.4777120154392018</v>
      </c>
      <c r="CX223" s="30">
        <f>CX59+CV59+CU59+CT59</f>
        <v>2.5753667360155377</v>
      </c>
      <c r="CY223" s="30">
        <f>CY59+CX59+CV59+CU59</f>
        <v>2.6902822640494612</v>
      </c>
      <c r="CZ223" s="30">
        <f>CZ59+CY59+CX59+CV59</f>
        <v>2.8138093555257764</v>
      </c>
      <c r="DA223" s="30">
        <f>DA59+CZ59+CY59+CX59</f>
        <v>2.9719439978820179</v>
      </c>
      <c r="DB223" s="411">
        <f t="shared" si="587"/>
        <v>2.9719439978820179</v>
      </c>
      <c r="DC223" s="30">
        <f>DC59+DA59+CZ59+CY59</f>
        <v>3.0039442245109917</v>
      </c>
      <c r="DD223" s="30">
        <f>DD59+DC59+DA59+CZ59</f>
        <v>3.0714491811550952</v>
      </c>
      <c r="DE223" s="30">
        <f>DE59+DD59+DC59+DA59</f>
        <v>3.2299364517148437</v>
      </c>
      <c r="DF223" s="30">
        <f>DF59+DE59+DD59+DC59</f>
        <v>3.2757864589374406</v>
      </c>
      <c r="DG223" s="411">
        <f t="shared" si="588"/>
        <v>3.2757864589374406</v>
      </c>
      <c r="DH223" s="30">
        <f>DH59+DF59+DE59+DD59</f>
        <v>3.386375156025772</v>
      </c>
      <c r="DI223" s="30">
        <f>DI59+DH59+DF59+DE59</f>
        <v>3.4950904701426215</v>
      </c>
      <c r="DJ223" s="30">
        <f>DJ59+DI59+DH59+DF59</f>
        <v>3.6162842269468136</v>
      </c>
      <c r="DK223" s="30">
        <f>DK59+DJ59+DI59+DH59</f>
        <v>3.7656877907244626</v>
      </c>
      <c r="DL223" s="411">
        <f t="shared" si="589"/>
        <v>3.7656877907244626</v>
      </c>
      <c r="DM223" s="30">
        <f>DM59+DK59+DJ59+DI59</f>
        <v>3.8339880737995911</v>
      </c>
      <c r="DN223" s="30">
        <f>DN59+DM59+DK59+DJ59</f>
        <v>3.912696368627798</v>
      </c>
      <c r="DO223" s="30">
        <f>DO59+DN59+DM59+DK59</f>
        <v>4.0090850137692522</v>
      </c>
      <c r="DP223" s="30">
        <f>DP59+DO59+DN59+DM59</f>
        <v>4.1330267083506094</v>
      </c>
      <c r="DQ223" s="411">
        <f t="shared" si="590"/>
        <v>4.1330267083506094</v>
      </c>
      <c r="DR223" s="30">
        <f>DR59+DP59+DO59+DN59</f>
        <v>4.238299569291776</v>
      </c>
      <c r="DS223" s="30">
        <f>DS59+DR59+DP59+DO59</f>
        <v>4.347851468298316</v>
      </c>
      <c r="DT223" s="30">
        <f>DT59+DS59+DR59+DP59</f>
        <v>4.4719006732148872</v>
      </c>
      <c r="DU223" s="30">
        <f>DU59+DT59+DS59+DR59</f>
        <v>4.620053271125478</v>
      </c>
      <c r="DV223" s="411">
        <f t="shared" si="591"/>
        <v>4.620053271125478</v>
      </c>
      <c r="DW223" s="30">
        <f>DW59+DU59+DT59+DS59</f>
        <v>4.7277417070117629</v>
      </c>
      <c r="DX223" s="30">
        <f>DX59+DW59+DU59+DT59</f>
        <v>4.8416371490363925</v>
      </c>
      <c r="DY223" s="30">
        <f>DY59+DX59+DW59+DU59</f>
        <v>4.9731642255361477</v>
      </c>
      <c r="DZ223" s="30">
        <f>DZ59+DY59+DX59+DW59</f>
        <v>5.1311973236536703</v>
      </c>
      <c r="EA223" s="411">
        <f t="shared" si="592"/>
        <v>5.1311973236536703</v>
      </c>
      <c r="EB223" s="11"/>
      <c r="EC223" s="33"/>
      <c r="ED223" s="321"/>
      <c r="EE223" s="321"/>
      <c r="EF223" s="321"/>
      <c r="EG223" s="321"/>
      <c r="EH223" s="148"/>
      <c r="EI223" s="11"/>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row>
    <row r="224" spans="1:259" s="15" customFormat="1" x14ac:dyDescent="0.2">
      <c r="A224" s="14" t="s">
        <v>114</v>
      </c>
      <c r="B224" s="1358"/>
      <c r="C224" s="1358"/>
      <c r="D224" s="1358"/>
      <c r="E224" s="1358"/>
      <c r="F224" s="1358"/>
      <c r="G224" s="1358"/>
      <c r="H224" s="1358"/>
      <c r="I224" s="1358"/>
      <c r="J224" s="1675"/>
      <c r="K224" s="1358"/>
      <c r="L224" s="1359">
        <f>L28+J28+I28+H28</f>
        <v>922.9</v>
      </c>
      <c r="M224" s="1359">
        <f>M28+L28+J28+I28</f>
        <v>937.9</v>
      </c>
      <c r="N224" s="1359">
        <f>N28+M28+L28+J28</f>
        <v>931.4</v>
      </c>
      <c r="O224" s="1359">
        <f>O28+N28+M28+L28</f>
        <v>922</v>
      </c>
      <c r="P224" s="1359">
        <f>O224</f>
        <v>922</v>
      </c>
      <c r="Q224" s="1359">
        <f>Q28+O28+N28+M28</f>
        <v>888</v>
      </c>
      <c r="R224" s="1359">
        <f>R28+Q28+O28+N28</f>
        <v>855</v>
      </c>
      <c r="S224" s="1359">
        <f>S28+R28+Q28+O28</f>
        <v>848</v>
      </c>
      <c r="T224" s="1359">
        <f>T28+S28+R28+Q28</f>
        <v>854</v>
      </c>
      <c r="U224" s="1359">
        <f>T224</f>
        <v>854</v>
      </c>
      <c r="V224" s="1359">
        <f>V28+T28+S28+R28</f>
        <v>853</v>
      </c>
      <c r="W224" s="1359">
        <f>W28+V28+T28+S28</f>
        <v>856</v>
      </c>
      <c r="X224" s="1359">
        <f>X28+W28+V28+T28</f>
        <v>839</v>
      </c>
      <c r="Y224" s="1359">
        <f>Y28+X28+W28+V28</f>
        <v>797</v>
      </c>
      <c r="Z224" s="1359">
        <f>Y224</f>
        <v>797</v>
      </c>
      <c r="AA224" s="1359">
        <f>AA28+Y28+X28+W28</f>
        <v>806</v>
      </c>
      <c r="AB224" s="1359">
        <f>AB28+AA28+Y28+X28</f>
        <v>831</v>
      </c>
      <c r="AC224" s="1359">
        <f>AC28+AB28+AA28+Y28</f>
        <v>873</v>
      </c>
      <c r="AD224" s="1359">
        <f>AD28+AC28+AB28+AA28</f>
        <v>913</v>
      </c>
      <c r="AE224" s="1359">
        <f>AD224</f>
        <v>913</v>
      </c>
      <c r="AF224" s="1359">
        <f>AF28+AD28+AC28+AB28</f>
        <v>934</v>
      </c>
      <c r="AG224" s="1359">
        <f>AG28+AF28+AD28+AC28</f>
        <v>927</v>
      </c>
      <c r="AH224" s="1359">
        <f>AH28+AG28+AF28+AD28</f>
        <v>920</v>
      </c>
      <c r="AI224" s="1359">
        <f>AI28+AH28+AG28+AF28</f>
        <v>945</v>
      </c>
      <c r="AJ224" s="1359">
        <f t="shared" si="573"/>
        <v>945</v>
      </c>
      <c r="AK224" s="1359">
        <f>AK28+AI28+AH28+AG28</f>
        <v>979</v>
      </c>
      <c r="AL224" s="1359">
        <f>AL28+AK28+AI28+AH28</f>
        <v>1005</v>
      </c>
      <c r="AM224" s="1359">
        <f>AM28+AL28+AK28+AI28</f>
        <v>1043</v>
      </c>
      <c r="AN224" s="1359">
        <f>AN28+AM28+AL28+AK28</f>
        <v>1056</v>
      </c>
      <c r="AO224" s="1359">
        <f t="shared" si="574"/>
        <v>1056</v>
      </c>
      <c r="AP224" s="1359">
        <f>AP28+AN28+AM28+AL28</f>
        <v>1066</v>
      </c>
      <c r="AQ224" s="1359">
        <f>AQ28+AP28+AN28+AM28</f>
        <v>1105</v>
      </c>
      <c r="AR224" s="1359">
        <f>AR28+AQ28+AP28+AN28</f>
        <v>1119</v>
      </c>
      <c r="AS224" s="1359">
        <f>AS28+AR28+AQ28+AP28</f>
        <v>1158</v>
      </c>
      <c r="AT224" s="1359">
        <f t="shared" si="575"/>
        <v>1158</v>
      </c>
      <c r="AU224" s="1359">
        <f>AU28+AS28+AR28+AQ28</f>
        <v>1165</v>
      </c>
      <c r="AV224" s="1359">
        <f>AV28+AU28+AS28+AR28</f>
        <v>1156</v>
      </c>
      <c r="AW224" s="1359">
        <f>AW28+AV28+AU28+AS28</f>
        <v>1163</v>
      </c>
      <c r="AX224" s="1359">
        <f>AX28+AW28+AV28+AU28</f>
        <v>1187</v>
      </c>
      <c r="AY224" s="1359">
        <f t="shared" si="576"/>
        <v>1187</v>
      </c>
      <c r="AZ224" s="1359">
        <f>AZ28+AX28+AW28+AV28</f>
        <v>1195</v>
      </c>
      <c r="BA224" s="1359">
        <f>BA28+AZ28+AX28+AW28</f>
        <v>1218</v>
      </c>
      <c r="BB224" s="1359">
        <f>BB28+BA28+AZ28+AX28</f>
        <v>1228</v>
      </c>
      <c r="BC224" s="1359">
        <f>BC28+BB28+BA28+AZ28</f>
        <v>1293</v>
      </c>
      <c r="BD224" s="1359">
        <f t="shared" si="577"/>
        <v>1293</v>
      </c>
      <c r="BE224" s="1359">
        <f>BE28+BC28+BB28+BA28</f>
        <v>1307</v>
      </c>
      <c r="BF224" s="1359">
        <f>BF28+BE28+BC28+BB28</f>
        <v>1337</v>
      </c>
      <c r="BG224" s="1359">
        <f>BG28+BF28+BE28+BC28</f>
        <v>1361</v>
      </c>
      <c r="BH224" s="1359">
        <f>BH28+BG28+BF28+BE28</f>
        <v>1342</v>
      </c>
      <c r="BI224" s="1359">
        <f t="shared" si="578"/>
        <v>1342</v>
      </c>
      <c r="BJ224" s="1359">
        <f>BJ28+BH28+BG28+BF28</f>
        <v>1321</v>
      </c>
      <c r="BK224" s="1359">
        <f>BK28+BJ28+BH28+BG28</f>
        <v>1285</v>
      </c>
      <c r="BL224" s="1359">
        <f>BL28+BK28+BJ28+BH28</f>
        <v>1256</v>
      </c>
      <c r="BM224" s="1359">
        <f>BM28+BL28+BK28+BJ28</f>
        <v>1221</v>
      </c>
      <c r="BN224" s="1359">
        <f t="shared" si="579"/>
        <v>1221</v>
      </c>
      <c r="BO224" s="1359">
        <f>BO28+BM28+BL28+BK28</f>
        <v>1211</v>
      </c>
      <c r="BP224" s="1359">
        <f>BP28+BO28+BM28+BL28</f>
        <v>1213</v>
      </c>
      <c r="BQ224" s="1359">
        <f>BQ28+BP28+BO28+BM28</f>
        <v>1222</v>
      </c>
      <c r="BR224" s="1359">
        <f>BR28+BQ28+BP28+BO28</f>
        <v>1277</v>
      </c>
      <c r="BS224" s="1375">
        <f t="shared" si="580"/>
        <v>1277</v>
      </c>
      <c r="BT224" s="1359">
        <f>BT28+BR28+BQ28+BP28</f>
        <v>1287</v>
      </c>
      <c r="BU224" s="1359">
        <f>BU28+BT28+BR28+BQ28</f>
        <v>1312</v>
      </c>
      <c r="BV224" s="1359">
        <f>BV28+BU28+BT28+BR28</f>
        <v>1337</v>
      </c>
      <c r="BW224" s="1359">
        <f>BW28+BV28+BU28+BT28</f>
        <v>1372</v>
      </c>
      <c r="BX224" s="1375">
        <f t="shared" si="581"/>
        <v>1372</v>
      </c>
      <c r="BY224" s="1359">
        <f>BY28+BW28+BV28+BU28</f>
        <v>1389</v>
      </c>
      <c r="BZ224" s="1359">
        <f>BZ28+BY28+BW28+BV28</f>
        <v>1427</v>
      </c>
      <c r="CA224" s="1359">
        <f>CA28+BZ28+BY28+BW28</f>
        <v>1449</v>
      </c>
      <c r="CB224" s="1359">
        <f>CB28+CA28+BZ28+BY28</f>
        <v>1510</v>
      </c>
      <c r="CC224" s="1375">
        <f t="shared" si="582"/>
        <v>1510</v>
      </c>
      <c r="CD224" s="1363">
        <f>CD28+CB28+CA28+BZ28</f>
        <v>1447</v>
      </c>
      <c r="CE224" s="1363">
        <f>CE28+CD28+CB28+CA28</f>
        <v>1351</v>
      </c>
      <c r="CF224" s="1363">
        <f>CF28+CE28+CD28+CB28</f>
        <v>1247</v>
      </c>
      <c r="CG224" s="1363">
        <f>CG28+CF28+CE28+CD28</f>
        <v>1070</v>
      </c>
      <c r="CH224" s="1723">
        <f t="shared" si="583"/>
        <v>1070</v>
      </c>
      <c r="CI224" s="1363">
        <f>CI28+CG28+CF28+CE28</f>
        <v>1070</v>
      </c>
      <c r="CJ224" s="1363">
        <f>CJ28+CI28+CG28+CF28</f>
        <v>1070</v>
      </c>
      <c r="CK224" s="1363">
        <f>CK28+CJ28+CI28+CG28</f>
        <v>1070</v>
      </c>
      <c r="CL224" s="1363">
        <f>CL28+CK28+CJ28+CI28</f>
        <v>1044</v>
      </c>
      <c r="CM224" s="1723">
        <f t="shared" si="584"/>
        <v>1044</v>
      </c>
      <c r="CN224" s="1363">
        <f>CN28+CL28+CK28+CJ28</f>
        <v>1062</v>
      </c>
      <c r="CO224" s="1363">
        <f>CO28+CN28+CL28+CK28</f>
        <v>1065</v>
      </c>
      <c r="CP224" s="1363">
        <f>CP28+CO28+CN28+CL28</f>
        <v>1075</v>
      </c>
      <c r="CQ224" s="1060">
        <f>CQ28+CP28+CO28+CN28</f>
        <v>1099</v>
      </c>
      <c r="CR224" s="1061">
        <f t="shared" si="585"/>
        <v>1099</v>
      </c>
      <c r="CS224" s="2062">
        <f>CS28+CQ28+CP28+CO28</f>
        <v>1115</v>
      </c>
      <c r="CT224" s="2062">
        <f>CT28+CS28+CQ28+CP28</f>
        <v>1116</v>
      </c>
      <c r="CU224" s="2062">
        <f>CU28+CT28+CS28+CQ28</f>
        <v>1148</v>
      </c>
      <c r="CV224" s="62">
        <f>CV28+CU28+CT28+CS28</f>
        <v>1129</v>
      </c>
      <c r="CW224" s="60">
        <f t="shared" si="586"/>
        <v>1129</v>
      </c>
      <c r="CX224" s="62">
        <f>CX28+CV28+CU28+CT28</f>
        <v>1123</v>
      </c>
      <c r="CY224" s="62">
        <f>CY28+CX28+CV28+CU28</f>
        <v>1116</v>
      </c>
      <c r="CZ224" s="62">
        <f>CZ28+CY28+CX28+CV28</f>
        <v>1061</v>
      </c>
      <c r="DA224" s="62">
        <f>DA28+CZ28+CY28+CX28</f>
        <v>999</v>
      </c>
      <c r="DB224" s="60">
        <f t="shared" si="587"/>
        <v>999</v>
      </c>
      <c r="DC224" s="62">
        <f>DC28+DA28+CZ28+CY28</f>
        <v>972.23500000000001</v>
      </c>
      <c r="DD224" s="62">
        <f>DD28+DC28+DA28+CZ28</f>
        <v>940.86</v>
      </c>
      <c r="DE224" s="62">
        <f>DE28+DD28+DC28+DA28</f>
        <v>917.46</v>
      </c>
      <c r="DF224" s="62">
        <f>DF28+DE28+DD28+DC28</f>
        <v>881.89499999999998</v>
      </c>
      <c r="DG224" s="60">
        <f t="shared" si="588"/>
        <v>881.89499999999998</v>
      </c>
      <c r="DH224" s="62">
        <f>DH28+DF28+DE28+DD28</f>
        <v>883.98649999999998</v>
      </c>
      <c r="DI224" s="62">
        <f>DI28+DH28+DF28+DE28</f>
        <v>884.77699999999993</v>
      </c>
      <c r="DJ224" s="62">
        <f>DJ28+DI28+DH28+DF28</f>
        <v>884.77700000000004</v>
      </c>
      <c r="DK224" s="62">
        <f>DK28+DJ28+DI28+DH28</f>
        <v>884.77699999999993</v>
      </c>
      <c r="DL224" s="60">
        <f t="shared" si="589"/>
        <v>884.77699999999993</v>
      </c>
      <c r="DM224" s="62">
        <f>DM28+DK28+DJ28+DI28</f>
        <v>895.83057499999995</v>
      </c>
      <c r="DN224" s="62">
        <f>DN28+DM28+DK28+DJ28</f>
        <v>907.22059999999999</v>
      </c>
      <c r="DO224" s="62">
        <f>DO28+DN28+DM28+DK28</f>
        <v>917.18309999999997</v>
      </c>
      <c r="DP224" s="62">
        <f>DP28+DO28+DN28+DM28</f>
        <v>930.94034999999997</v>
      </c>
      <c r="DQ224" s="60">
        <f t="shared" si="590"/>
        <v>930.94034999999997</v>
      </c>
      <c r="DR224" s="62">
        <f>DR28+DP28+DO28+DN28</f>
        <v>944.56939124999997</v>
      </c>
      <c r="DS224" s="62">
        <f>DS28+DR28+DP28+DO28</f>
        <v>959.90290499999992</v>
      </c>
      <c r="DT224" s="62">
        <f>DT28+DS28+DR28+DP28</f>
        <v>972.08515499999999</v>
      </c>
      <c r="DU224" s="62">
        <f>DU28+DT28+DS28+DR28</f>
        <v>988.85969249999994</v>
      </c>
      <c r="DV224" s="60">
        <f t="shared" si="591"/>
        <v>988.85969249999994</v>
      </c>
      <c r="DW224" s="62">
        <f>DW28+DU28+DT28+DS28</f>
        <v>1006.0402258124999</v>
      </c>
      <c r="DX224" s="62">
        <f>DX28+DW28+DU28+DT28</f>
        <v>1025.13633525</v>
      </c>
      <c r="DY224" s="62">
        <f>DY28+DX28+DW28+DU28</f>
        <v>1040.4862477500001</v>
      </c>
      <c r="DZ224" s="62">
        <f>DZ28+DY28+DX28+DW28</f>
        <v>1061.7623321249998</v>
      </c>
      <c r="EA224" s="60">
        <f t="shared" si="592"/>
        <v>1061.7623321249998</v>
      </c>
      <c r="EB224" s="11"/>
      <c r="EC224" s="33"/>
      <c r="ED224" s="321"/>
      <c r="EE224" s="321"/>
      <c r="EF224" s="321"/>
      <c r="EG224" s="321"/>
      <c r="EH224" s="148"/>
      <c r="EI224" s="11"/>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row>
    <row r="225" spans="1:259" s="15" customFormat="1" x14ac:dyDescent="0.2">
      <c r="A225" s="14" t="s">
        <v>566</v>
      </c>
      <c r="B225" s="1358"/>
      <c r="C225" s="1358"/>
      <c r="D225" s="1358"/>
      <c r="E225" s="1358"/>
      <c r="F225" s="1358"/>
      <c r="G225" s="1358"/>
      <c r="H225" s="1358"/>
      <c r="I225" s="1358"/>
      <c r="J225" s="1675"/>
      <c r="K225" s="1358"/>
      <c r="L225" s="1518">
        <f t="shared" ref="L225:AQ225" si="593">L224/L218</f>
        <v>0.11034458021473494</v>
      </c>
      <c r="M225" s="1518">
        <f t="shared" si="593"/>
        <v>0.11370138686839298</v>
      </c>
      <c r="N225" s="1518">
        <f t="shared" si="593"/>
        <v>0.1158457711442786</v>
      </c>
      <c r="O225" s="1518">
        <f t="shared" si="593"/>
        <v>0.11787266683712605</v>
      </c>
      <c r="P225" s="1518">
        <f t="shared" si="593"/>
        <v>0.11787266683712605</v>
      </c>
      <c r="Q225" s="1518">
        <f t="shared" si="593"/>
        <v>0.1167499342624244</v>
      </c>
      <c r="R225" s="1518">
        <f t="shared" si="593"/>
        <v>0.11591648590021691</v>
      </c>
      <c r="S225" s="1518">
        <f t="shared" si="593"/>
        <v>0.11741899750761561</v>
      </c>
      <c r="T225" s="1518">
        <f t="shared" si="593"/>
        <v>0.12040039475539265</v>
      </c>
      <c r="U225" s="1518">
        <f t="shared" si="593"/>
        <v>0.12040039475539265</v>
      </c>
      <c r="V225" s="1518">
        <f t="shared" si="593"/>
        <v>0.12182233647529277</v>
      </c>
      <c r="W225" s="1518">
        <f t="shared" si="593"/>
        <v>0.12314774852539204</v>
      </c>
      <c r="X225" s="1518">
        <f t="shared" si="593"/>
        <v>0.12101543343429973</v>
      </c>
      <c r="Y225" s="1518">
        <f t="shared" si="593"/>
        <v>0.11462677980727744</v>
      </c>
      <c r="Z225" s="1518">
        <f t="shared" si="593"/>
        <v>0.11462677980727744</v>
      </c>
      <c r="AA225" s="1518">
        <f t="shared" si="593"/>
        <v>0.11414813765755559</v>
      </c>
      <c r="AB225" s="1518">
        <f t="shared" si="593"/>
        <v>0.11504914855323273</v>
      </c>
      <c r="AC225" s="1518">
        <f t="shared" si="593"/>
        <v>0.1164310482795412</v>
      </c>
      <c r="AD225" s="1518">
        <f t="shared" si="593"/>
        <v>0.11770014180739977</v>
      </c>
      <c r="AE225" s="1518">
        <f t="shared" si="593"/>
        <v>0.11770014180739977</v>
      </c>
      <c r="AF225" s="1518">
        <f t="shared" si="593"/>
        <v>0.11755821271239773</v>
      </c>
      <c r="AG225" s="1518">
        <f t="shared" si="593"/>
        <v>0.11424698052748336</v>
      </c>
      <c r="AH225" s="1518">
        <f t="shared" si="593"/>
        <v>0.11235955056179775</v>
      </c>
      <c r="AI225" s="1518">
        <f t="shared" si="593"/>
        <v>0.11276849642004773</v>
      </c>
      <c r="AJ225" s="1518">
        <f t="shared" si="593"/>
        <v>0.11276849642004773</v>
      </c>
      <c r="AK225" s="1518">
        <f t="shared" si="593"/>
        <v>0.11452971455311184</v>
      </c>
      <c r="AL225" s="1518">
        <f t="shared" si="593"/>
        <v>0.11566348256416159</v>
      </c>
      <c r="AM225" s="1518">
        <f t="shared" si="593"/>
        <v>0.11746818335398131</v>
      </c>
      <c r="AN225" s="1518">
        <f t="shared" si="593"/>
        <v>0.11719010098768172</v>
      </c>
      <c r="AO225" s="1518">
        <f t="shared" si="593"/>
        <v>0.11719010098768172</v>
      </c>
      <c r="AP225" s="1518">
        <f t="shared" si="593"/>
        <v>0.11720725673446949</v>
      </c>
      <c r="AQ225" s="1518">
        <f t="shared" si="593"/>
        <v>0.12048849634718133</v>
      </c>
      <c r="AR225" s="1518">
        <f t="shared" ref="AR225:BW225" si="594">AR224/AR218</f>
        <v>0.12116946399566865</v>
      </c>
      <c r="AS225" s="1518">
        <f t="shared" si="594"/>
        <v>0.12386351481441865</v>
      </c>
      <c r="AT225" s="1518">
        <f t="shared" si="594"/>
        <v>0.12386351481441865</v>
      </c>
      <c r="AU225" s="1518">
        <f t="shared" si="594"/>
        <v>0.1242004264392324</v>
      </c>
      <c r="AV225" s="1518">
        <f t="shared" si="594"/>
        <v>0.12286109044531832</v>
      </c>
      <c r="AW225" s="1518">
        <f t="shared" si="594"/>
        <v>0.12314697162219398</v>
      </c>
      <c r="AX225" s="1518">
        <f t="shared" si="594"/>
        <v>0.12415019349440436</v>
      </c>
      <c r="AY225" s="1518">
        <f t="shared" si="594"/>
        <v>0.12415019349440436</v>
      </c>
      <c r="AZ225" s="1518">
        <f t="shared" si="594"/>
        <v>0.12320857820393855</v>
      </c>
      <c r="BA225" s="1518">
        <f t="shared" si="594"/>
        <v>0.12322946175637393</v>
      </c>
      <c r="BB225" s="1518">
        <f t="shared" si="594"/>
        <v>0.12074729596853491</v>
      </c>
      <c r="BC225" s="1518">
        <f t="shared" si="594"/>
        <v>0.12413594470046083</v>
      </c>
      <c r="BD225" s="1518">
        <f t="shared" si="594"/>
        <v>0.12413594470046083</v>
      </c>
      <c r="BE225" s="1518">
        <f t="shared" si="594"/>
        <v>0.12323213275504431</v>
      </c>
      <c r="BF225" s="1518">
        <f t="shared" si="594"/>
        <v>0.12275064267352186</v>
      </c>
      <c r="BG225" s="1518">
        <f t="shared" si="594"/>
        <v>0.12184422560429722</v>
      </c>
      <c r="BH225" s="1518">
        <f t="shared" si="594"/>
        <v>0.11885572579930918</v>
      </c>
      <c r="BI225" s="1518">
        <f t="shared" si="594"/>
        <v>0.11885572579930918</v>
      </c>
      <c r="BJ225" s="1518">
        <f t="shared" si="594"/>
        <v>0.11906264082920234</v>
      </c>
      <c r="BK225" s="1518">
        <f t="shared" si="594"/>
        <v>0.11769554863528119</v>
      </c>
      <c r="BL225" s="1518">
        <f t="shared" si="594"/>
        <v>0.11571770775750875</v>
      </c>
      <c r="BM225" s="1518">
        <f t="shared" si="594"/>
        <v>0.11267995570321152</v>
      </c>
      <c r="BN225" s="1518">
        <f t="shared" si="594"/>
        <v>0.11267995570321152</v>
      </c>
      <c r="BO225" s="1518">
        <f t="shared" si="594"/>
        <v>0.11045238963881795</v>
      </c>
      <c r="BP225" s="1518">
        <f t="shared" si="594"/>
        <v>0.10965467365756644</v>
      </c>
      <c r="BQ225" s="1518">
        <f t="shared" si="594"/>
        <v>0.10963574376457923</v>
      </c>
      <c r="BR225" s="1518">
        <f t="shared" si="594"/>
        <v>0.11258044609009962</v>
      </c>
      <c r="BS225" s="1519">
        <f t="shared" si="594"/>
        <v>0.11258044609009962</v>
      </c>
      <c r="BT225" s="1518">
        <f t="shared" si="594"/>
        <v>0.1126674253698678</v>
      </c>
      <c r="BU225" s="1518">
        <f t="shared" si="594"/>
        <v>0.11247321045863695</v>
      </c>
      <c r="BV225" s="1518">
        <f t="shared" si="594"/>
        <v>0.11070630123375011</v>
      </c>
      <c r="BW225" s="1518">
        <f t="shared" si="594"/>
        <v>0.10866466022493268</v>
      </c>
      <c r="BX225" s="1519">
        <f t="shared" ref="BX225:CW225" si="595">BX224/BX218</f>
        <v>0.10866466022493268</v>
      </c>
      <c r="BY225" s="1518">
        <f t="shared" si="595"/>
        <v>0.10730840543881336</v>
      </c>
      <c r="BZ225" s="1518">
        <f t="shared" si="595"/>
        <v>0.10732551143200962</v>
      </c>
      <c r="CA225" s="1518">
        <f t="shared" si="595"/>
        <v>0.10661467147376941</v>
      </c>
      <c r="CB225" s="1518">
        <f t="shared" si="595"/>
        <v>0.11076065429472604</v>
      </c>
      <c r="CC225" s="1519">
        <f t="shared" si="595"/>
        <v>0.11076065429472604</v>
      </c>
      <c r="CD225" s="1522">
        <f t="shared" si="595"/>
        <v>0.11753404476763735</v>
      </c>
      <c r="CE225" s="1522">
        <f t="shared" si="595"/>
        <v>0.12692556224453999</v>
      </c>
      <c r="CF225" s="1522">
        <f t="shared" si="595"/>
        <v>0.14541304914780315</v>
      </c>
      <c r="CG225" s="1522">
        <f t="shared" si="595"/>
        <v>0.16674458469689887</v>
      </c>
      <c r="CH225" s="1541">
        <f t="shared" si="595"/>
        <v>0.16674458469689887</v>
      </c>
      <c r="CI225" s="1522">
        <f t="shared" si="595"/>
        <v>0.16752484005879029</v>
      </c>
      <c r="CJ225" s="1522">
        <f t="shared" si="595"/>
        <v>0.16621596766897487</v>
      </c>
      <c r="CK225" s="1522">
        <f t="shared" si="595"/>
        <v>0.16432527466316965</v>
      </c>
      <c r="CL225" s="1522">
        <f t="shared" si="595"/>
        <v>0.15849400333991195</v>
      </c>
      <c r="CM225" s="1541">
        <f t="shared" si="595"/>
        <v>0.15849400333991195</v>
      </c>
      <c r="CN225" s="1522">
        <f t="shared" si="595"/>
        <v>0.15917544123784538</v>
      </c>
      <c r="CO225" s="1522">
        <f t="shared" si="595"/>
        <v>0.16011675142205101</v>
      </c>
      <c r="CP225" s="1522">
        <f t="shared" si="595"/>
        <v>0.16297178056448572</v>
      </c>
      <c r="CQ225" s="1071">
        <f t="shared" si="595"/>
        <v>0.17114965066939133</v>
      </c>
      <c r="CR225" s="1126">
        <f t="shared" si="595"/>
        <v>0.17114965066939133</v>
      </c>
      <c r="CS225" s="974">
        <f t="shared" si="595"/>
        <v>0.17454715775000729</v>
      </c>
      <c r="CT225" s="974">
        <f t="shared" si="595"/>
        <v>0.17526660036584546</v>
      </c>
      <c r="CU225" s="974">
        <f t="shared" si="595"/>
        <v>0.18036135113904164</v>
      </c>
      <c r="CV225" s="16">
        <f t="shared" si="595"/>
        <v>0.17759949661790153</v>
      </c>
      <c r="CW225" s="100">
        <f t="shared" si="595"/>
        <v>0.17759949661790153</v>
      </c>
      <c r="CX225" s="16">
        <f t="shared" ref="CX225:DG225" si="596">CX224/CX218</f>
        <v>0.17738114042015479</v>
      </c>
      <c r="CY225" s="16">
        <f t="shared" si="596"/>
        <v>0.17801882277875258</v>
      </c>
      <c r="CZ225" s="16">
        <f t="shared" si="596"/>
        <v>0.17146089204912734</v>
      </c>
      <c r="DA225" s="16">
        <f t="shared" si="596"/>
        <v>0.16995576726777817</v>
      </c>
      <c r="DB225" s="100">
        <f t="shared" si="596"/>
        <v>0.16995576726777817</v>
      </c>
      <c r="DC225" s="16">
        <f t="shared" si="596"/>
        <v>0.17526001447261938</v>
      </c>
      <c r="DD225" s="16">
        <f t="shared" si="596"/>
        <v>0.18207147654310407</v>
      </c>
      <c r="DE225" s="16">
        <f t="shared" si="596"/>
        <v>0.19160764874070668</v>
      </c>
      <c r="DF225" s="16">
        <f t="shared" si="596"/>
        <v>0.19604699351585136</v>
      </c>
      <c r="DG225" s="100">
        <f t="shared" si="596"/>
        <v>0.19604699351585136</v>
      </c>
      <c r="DH225" s="16">
        <f t="shared" ref="DH225:DQ225" si="597">DH224/DH218</f>
        <v>0.20062293434454276</v>
      </c>
      <c r="DI225" s="16">
        <f t="shared" si="597"/>
        <v>0.20407527898546993</v>
      </c>
      <c r="DJ225" s="16">
        <f t="shared" si="597"/>
        <v>0.20655757909501868</v>
      </c>
      <c r="DK225" s="16">
        <f t="shared" si="597"/>
        <v>0.20987824977675923</v>
      </c>
      <c r="DL225" s="100">
        <f t="shared" si="597"/>
        <v>0.20987824977675923</v>
      </c>
      <c r="DM225" s="16">
        <f t="shared" si="597"/>
        <v>0.21479628729040276</v>
      </c>
      <c r="DN225" s="16">
        <f t="shared" si="597"/>
        <v>0.21806652131386298</v>
      </c>
      <c r="DO225" s="16">
        <f t="shared" si="597"/>
        <v>0.21905424080576108</v>
      </c>
      <c r="DP225" s="16">
        <f t="shared" si="597"/>
        <v>0.21814012734590271</v>
      </c>
      <c r="DQ225" s="100">
        <f t="shared" si="597"/>
        <v>0.21814012734590271</v>
      </c>
      <c r="DR225" s="16">
        <f t="shared" ref="DR225:EA225" si="598">DR224/DR218</f>
        <v>0.21722253707069372</v>
      </c>
      <c r="DS225" s="16">
        <f t="shared" si="598"/>
        <v>0.21655940194708431</v>
      </c>
      <c r="DT225" s="16">
        <f t="shared" si="598"/>
        <v>0.21509107713034123</v>
      </c>
      <c r="DU225" s="16">
        <f t="shared" si="598"/>
        <v>0.21359859099687897</v>
      </c>
      <c r="DV225" s="100">
        <f t="shared" si="598"/>
        <v>0.21359859099687897</v>
      </c>
      <c r="DW225" s="16">
        <f t="shared" si="598"/>
        <v>0.21328996706428557</v>
      </c>
      <c r="DX225" s="16">
        <f t="shared" si="598"/>
        <v>0.21304620488184411</v>
      </c>
      <c r="DY225" s="16">
        <f t="shared" si="598"/>
        <v>0.21172736680571136</v>
      </c>
      <c r="DZ225" s="16">
        <f t="shared" si="598"/>
        <v>0.21026639917785189</v>
      </c>
      <c r="EA225" s="100">
        <f t="shared" si="598"/>
        <v>0.21026639917785189</v>
      </c>
      <c r="EC225" s="33"/>
      <c r="ED225" s="321"/>
      <c r="EE225" s="321"/>
      <c r="EF225" s="321"/>
      <c r="EG225" s="321"/>
      <c r="EH225" s="132"/>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row>
    <row r="226" spans="1:259" s="15" customFormat="1" x14ac:dyDescent="0.2">
      <c r="A226" s="14"/>
      <c r="B226" s="1358"/>
      <c r="C226" s="1358"/>
      <c r="D226" s="1358"/>
      <c r="E226" s="1358"/>
      <c r="F226" s="1358"/>
      <c r="G226" s="1358"/>
      <c r="H226" s="1358"/>
      <c r="I226" s="1358"/>
      <c r="J226" s="1675"/>
      <c r="K226" s="1358"/>
      <c r="L226" s="1518"/>
      <c r="M226" s="1518"/>
      <c r="N226" s="1518"/>
      <c r="O226" s="1518"/>
      <c r="P226" s="1518"/>
      <c r="Q226" s="1518"/>
      <c r="R226" s="1518"/>
      <c r="S226" s="1518"/>
      <c r="T226" s="1518"/>
      <c r="U226" s="1518"/>
      <c r="V226" s="1518"/>
      <c r="W226" s="1518"/>
      <c r="X226" s="1518"/>
      <c r="Y226" s="1518"/>
      <c r="Z226" s="1518"/>
      <c r="AA226" s="1518"/>
      <c r="AB226" s="1518"/>
      <c r="AC226" s="1518"/>
      <c r="AD226" s="1518"/>
      <c r="AE226" s="1518"/>
      <c r="AF226" s="1518"/>
      <c r="AG226" s="1518"/>
      <c r="AH226" s="1518"/>
      <c r="AI226" s="1518"/>
      <c r="AJ226" s="1518"/>
      <c r="AK226" s="1518"/>
      <c r="AL226" s="1518"/>
      <c r="AM226" s="1518"/>
      <c r="AN226" s="1518"/>
      <c r="AO226" s="1518"/>
      <c r="AP226" s="1518"/>
      <c r="AQ226" s="1518"/>
      <c r="AR226" s="1518"/>
      <c r="AS226" s="1518"/>
      <c r="AT226" s="1518"/>
      <c r="AU226" s="1518"/>
      <c r="AV226" s="1518"/>
      <c r="AW226" s="1518"/>
      <c r="AX226" s="1518"/>
      <c r="AY226" s="1518"/>
      <c r="AZ226" s="1518"/>
      <c r="BA226" s="1518"/>
      <c r="BB226" s="1518"/>
      <c r="BC226" s="1518"/>
      <c r="BD226" s="1518"/>
      <c r="BE226" s="1518"/>
      <c r="BF226" s="1518"/>
      <c r="BG226" s="1518"/>
      <c r="BH226" s="1518"/>
      <c r="BI226" s="1518"/>
      <c r="BJ226" s="1518"/>
      <c r="BK226" s="1518"/>
      <c r="BL226" s="1518"/>
      <c r="BM226" s="1518"/>
      <c r="BN226" s="1518"/>
      <c r="BO226" s="1518"/>
      <c r="BP226" s="1518"/>
      <c r="BQ226" s="1518"/>
      <c r="BR226" s="1518"/>
      <c r="BS226" s="1519"/>
      <c r="BT226" s="1518"/>
      <c r="BU226" s="1518"/>
      <c r="BV226" s="1518"/>
      <c r="BW226" s="1518"/>
      <c r="BX226" s="1519"/>
      <c r="BY226" s="1518"/>
      <c r="BZ226" s="1518"/>
      <c r="CA226" s="1518"/>
      <c r="CB226" s="1518"/>
      <c r="CC226" s="1519"/>
      <c r="CD226" s="1522"/>
      <c r="CE226" s="1522"/>
      <c r="CF226" s="1522"/>
      <c r="CG226" s="1522"/>
      <c r="CH226" s="1541"/>
      <c r="CI226" s="1522"/>
      <c r="CJ226" s="1522"/>
      <c r="CK226" s="1522"/>
      <c r="CL226" s="1522"/>
      <c r="CM226" s="1541"/>
      <c r="CN226" s="1522"/>
      <c r="CO226" s="1522"/>
      <c r="CP226" s="1522"/>
      <c r="CQ226" s="1071"/>
      <c r="CR226" s="1126"/>
      <c r="CS226" s="974"/>
      <c r="CT226" s="974"/>
      <c r="CU226" s="974"/>
      <c r="CV226" s="16"/>
      <c r="CW226" s="100"/>
      <c r="CX226" s="16"/>
      <c r="CY226" s="16"/>
      <c r="CZ226" s="16"/>
      <c r="DA226" s="16"/>
      <c r="DB226" s="100"/>
      <c r="DC226" s="16"/>
      <c r="DD226" s="16"/>
      <c r="DE226" s="16"/>
      <c r="DF226" s="16"/>
      <c r="DG226" s="100"/>
      <c r="DH226" s="16"/>
      <c r="DI226" s="16"/>
      <c r="DJ226" s="16"/>
      <c r="DK226" s="16"/>
      <c r="DL226" s="100"/>
      <c r="DM226" s="16"/>
      <c r="DN226" s="16"/>
      <c r="DO226" s="16"/>
      <c r="DP226" s="16"/>
      <c r="DQ226" s="100"/>
      <c r="DR226" s="16"/>
      <c r="DS226" s="16"/>
      <c r="DT226" s="16"/>
      <c r="DU226" s="16"/>
      <c r="DV226" s="100"/>
      <c r="DW226" s="16"/>
      <c r="DX226" s="16"/>
      <c r="DY226" s="16"/>
      <c r="DZ226" s="16"/>
      <c r="EA226" s="100"/>
      <c r="EC226" s="33"/>
      <c r="ED226" s="321"/>
      <c r="EE226" s="321"/>
      <c r="EF226" s="321"/>
      <c r="EG226" s="321"/>
      <c r="EH226" s="132"/>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row>
    <row r="227" spans="1:259" s="15" customFormat="1" x14ac:dyDescent="0.2">
      <c r="A227" s="174" t="s">
        <v>116</v>
      </c>
      <c r="B227" s="1358"/>
      <c r="C227" s="1358"/>
      <c r="D227" s="1358"/>
      <c r="E227" s="1358"/>
      <c r="F227" s="1358"/>
      <c r="G227" s="1358"/>
      <c r="H227" s="1358"/>
      <c r="I227" s="1358"/>
      <c r="J227" s="1675"/>
      <c r="K227" s="1358"/>
      <c r="L227" s="1518"/>
      <c r="M227" s="1518"/>
      <c r="N227" s="1518"/>
      <c r="O227" s="1518"/>
      <c r="P227" s="1518"/>
      <c r="Q227" s="1518"/>
      <c r="R227" s="1518"/>
      <c r="S227" s="1518"/>
      <c r="T227" s="1518"/>
      <c r="U227" s="1518"/>
      <c r="V227" s="1518"/>
      <c r="W227" s="1518"/>
      <c r="X227" s="1518"/>
      <c r="Y227" s="1518"/>
      <c r="Z227" s="1518"/>
      <c r="AA227" s="1518"/>
      <c r="AB227" s="1518"/>
      <c r="AC227" s="1518"/>
      <c r="AD227" s="1518"/>
      <c r="AE227" s="1518"/>
      <c r="AF227" s="1763">
        <f>('IS '!AF22/'IS '!AJ22)*AJ227</f>
        <v>80.20835322195704</v>
      </c>
      <c r="AG227" s="1763">
        <f>('IS '!AG22/'IS '!AJ22)*AJ227</f>
        <v>86.17279236276849</v>
      </c>
      <c r="AH227" s="1763">
        <f>('IS '!AH22/'IS '!AJ22)*AJ227</f>
        <v>88.531861575178993</v>
      </c>
      <c r="AI227" s="1763">
        <f>('IS '!AI22/'IS '!AJ22)*AJ227</f>
        <v>118.08699284009546</v>
      </c>
      <c r="AJ227" s="1764">
        <v>373</v>
      </c>
      <c r="AK227" s="1868">
        <f>('IS '!AK22/'IS '!AO22)*AO227</f>
        <v>92.914215958273218</v>
      </c>
      <c r="AL227" s="1763">
        <f>('IS '!AL22/'IS '!AO22)*AO227</f>
        <v>97.960825657529682</v>
      </c>
      <c r="AM227" s="1763">
        <f>('IS '!AM22/'IS '!AO22)*AO227</f>
        <v>102.77161247364332</v>
      </c>
      <c r="AN227" s="1763">
        <f>('IS '!AN22/'IS '!AO22)*AO227</f>
        <v>131.35334591055377</v>
      </c>
      <c r="AO227" s="1764">
        <v>425</v>
      </c>
      <c r="AP227" s="1868">
        <f>('IS '!AP22/'IS '!AT22)*AT227</f>
        <v>94.691838699326127</v>
      </c>
      <c r="AQ227" s="1763">
        <f>('IS '!AQ22/'IS '!AT22)*AT227</f>
        <v>99.255856241309232</v>
      </c>
      <c r="AR227" s="1763">
        <f>('IS '!AR22/'IS '!AT22)*AT227</f>
        <v>103.4049630976575</v>
      </c>
      <c r="AS227" s="1763">
        <f>('IS '!AS22/'IS '!AT22)*AT227</f>
        <v>133.64734196170713</v>
      </c>
      <c r="AT227" s="1764">
        <v>431</v>
      </c>
      <c r="AU227" s="1868">
        <f>('IS '!AU22/'IS '!AY22)*AY227</f>
        <v>103.36680263570756</v>
      </c>
      <c r="AV227" s="1763">
        <f>('IS '!AV22/'IS '!AY22)*AY227</f>
        <v>108.1757138374647</v>
      </c>
      <c r="AW227" s="1763">
        <f>('IS '!AW22/'IS '!AY22)*AY227</f>
        <v>112.93504863508001</v>
      </c>
      <c r="AX227" s="1763">
        <f>('IS '!AX22/'IS '!AY22)*AY227</f>
        <v>149.52243489174774</v>
      </c>
      <c r="AY227" s="1764">
        <v>474</v>
      </c>
      <c r="AZ227" s="1868">
        <f>('IS '!AZ22/'IS '!BD22)*BD227</f>
        <v>118.4490207373272</v>
      </c>
      <c r="BA227" s="1763">
        <f>('IS '!BA22/'IS '!BD22)*BD227</f>
        <v>126.12183179723503</v>
      </c>
      <c r="BB227" s="1763">
        <f>('IS '!BB22/'IS '!BD22)*BD227</f>
        <v>136.61866359447006</v>
      </c>
      <c r="BC227" s="1763">
        <f>('IS '!BC22/'IS '!BD22)*BD227</f>
        <v>173.81048387096774</v>
      </c>
      <c r="BD227" s="1764">
        <v>555</v>
      </c>
      <c r="BE227" s="1868">
        <f>('IS '!BE22/'IS '!BI22)*BI227</f>
        <v>137.62926224426533</v>
      </c>
      <c r="BF227" s="1763">
        <f>('IS '!BF22/'IS '!BI22)*BI227</f>
        <v>151.31804091754495</v>
      </c>
      <c r="BG227" s="1763">
        <f>('IS '!BG22/'IS '!BI22)*BI227</f>
        <v>162.09795412275264</v>
      </c>
      <c r="BH227" s="1763">
        <f>('IS '!BH22/'IS '!BI22)*BI227</f>
        <v>192.95474271543708</v>
      </c>
      <c r="BI227" s="1764">
        <v>644</v>
      </c>
      <c r="BJ227" s="1868">
        <f>('IS '!BJ22/'IS '!BN22)*BN227</f>
        <v>135.85160575858251</v>
      </c>
      <c r="BK227" s="1763">
        <f>('IS '!BK22/'IS '!BN22)*BN227</f>
        <v>151.72240679217424</v>
      </c>
      <c r="BL227" s="1763">
        <f>('IS '!BL22/'IS '!BN22)*BN227</f>
        <v>170.22812846068661</v>
      </c>
      <c r="BM227" s="1763">
        <f>('IS '!BM22/'IS '!BN22)*BN227</f>
        <v>206.19785898855667</v>
      </c>
      <c r="BN227" s="1764">
        <v>664</v>
      </c>
      <c r="BO227" s="1868">
        <f>('IS '!BO22/'IS '!BS22)*BS227</f>
        <v>149.46971700608304</v>
      </c>
      <c r="BP227" s="1763">
        <f>('IS '!BP22/'IS '!BS22)*BS227</f>
        <v>164.06612007405448</v>
      </c>
      <c r="BQ227" s="1763">
        <f>('IS '!BQ22/'IS '!BS22)*BS227</f>
        <v>182.42316847394869</v>
      </c>
      <c r="BR227" s="1763">
        <f>('IS '!BR22/'IS '!BS22)*BS227</f>
        <v>227.04099444591378</v>
      </c>
      <c r="BS227" s="1764">
        <v>723</v>
      </c>
      <c r="BT227" s="1763">
        <f>('IS '!BT22/'IS '!BX22)*BX227</f>
        <v>164.79090765087915</v>
      </c>
      <c r="BU227" s="1763">
        <f>('IS '!BU22/'IS '!BX22)*BX227</f>
        <v>191.36131791541263</v>
      </c>
      <c r="BV227" s="1763">
        <f>('IS '!BV22/'IS '!BX22)*BX227</f>
        <v>222.4847140820529</v>
      </c>
      <c r="BW227" s="1763">
        <f>('IS '!BW22/'IS '!BX22)*BX227</f>
        <v>279.36306035165535</v>
      </c>
      <c r="BX227" s="1764">
        <v>858</v>
      </c>
      <c r="BY227" s="1763">
        <f>('IS '!BY22/'IS '!CC22)*CC227</f>
        <v>171.22372185139</v>
      </c>
      <c r="BZ227" s="1763">
        <f>('IS '!BZ22/'IS '!CC22)*CC227</f>
        <v>197.75309909777744</v>
      </c>
      <c r="CA227" s="1763">
        <f>('IS '!CA22/'IS '!CC22)*CC227</f>
        <v>222.7843468055454</v>
      </c>
      <c r="CB227" s="1763">
        <f>('IS '!CB22/'IS '!CC22)*CC227</f>
        <v>259.2388322452872</v>
      </c>
      <c r="CC227" s="1764">
        <f>1011-160</f>
        <v>851</v>
      </c>
      <c r="CD227" s="1765">
        <f>('IS '!CD22/'IS '!CH22)*CH227</f>
        <v>197.57257877512859</v>
      </c>
      <c r="CE227" s="1765">
        <f>('IS '!CE22/'IS '!CH22)*CH227</f>
        <v>208.60699548075422</v>
      </c>
      <c r="CF227" s="1765">
        <f>('IS '!CF22/'IS '!CH22)*CH227</f>
        <v>208.58336450054543</v>
      </c>
      <c r="CG227" s="1765">
        <f>('IS '!CG22/'IS '!CH22)*CH227</f>
        <v>277.23706124357176</v>
      </c>
      <c r="CH227" s="1766">
        <f>1052-160</f>
        <v>892</v>
      </c>
      <c r="CI227" s="1765">
        <f>('IS '!CI22/'IS '!CM22)*CM227</f>
        <v>191.38359404888413</v>
      </c>
      <c r="CJ227" s="1765">
        <f>('IS '!CJ22/'IS '!CM22)*CM227</f>
        <v>213.33060847123122</v>
      </c>
      <c r="CK227" s="1765">
        <f>('IS '!CK22/'IS '!CM22)*CM227</f>
        <v>216.57691361773189</v>
      </c>
      <c r="CL227" s="1765">
        <f>('IS '!CL22/'IS '!CM22)*CM227</f>
        <v>284.70888386215273</v>
      </c>
      <c r="CM227" s="1766">
        <f>1068-162</f>
        <v>906</v>
      </c>
      <c r="CN227" s="1765">
        <f>('IS '!CN22/'IS '!CR22)*CR227</f>
        <v>58.627279743714688</v>
      </c>
      <c r="CO227" s="1765">
        <f>('IS '!CO22/'IS '!CR22)*CR227</f>
        <v>60.779395886895465</v>
      </c>
      <c r="CP227" s="1765">
        <f>('IS '!CP22/'IS '!CR22)*CR227</f>
        <v>60.339648350539406</v>
      </c>
      <c r="CQ227" s="1927">
        <f>('IS '!CQ22/'IS '!CR22)*CR227</f>
        <v>75.253676018850456</v>
      </c>
      <c r="CR227" s="1987">
        <v>255</v>
      </c>
      <c r="CS227" s="2109">
        <f>('IS '!CS22/'IS '!CW22)*CW227</f>
        <v>54.932515337423311</v>
      </c>
      <c r="CT227" s="2109">
        <f>('IS '!CT22/'IS '!CW22)*CW227</f>
        <v>57.483089507629387</v>
      </c>
      <c r="CU227" s="2109">
        <f>('IS '!CU22/'IS '!CW22)*CW227</f>
        <v>57.74956740600912</v>
      </c>
      <c r="CV227" s="560">
        <f>('IS '!CV22/'IS '!CW22)*CW227</f>
        <v>71.834827748938181</v>
      </c>
      <c r="CW227" s="561">
        <v>242</v>
      </c>
      <c r="CX227" s="560">
        <f>('IS '!CX22/'IS '!DB22)*DB227</f>
        <v>58.338550527390268</v>
      </c>
      <c r="CY227" s="560">
        <f>('IS '!CY22/'IS '!DB22)*DB227</f>
        <v>59.614834977883632</v>
      </c>
      <c r="CZ227" s="560">
        <f>('IS '!CZ22/'IS '!DB22)*DB227</f>
        <v>59.120789384144267</v>
      </c>
      <c r="DA227" s="560">
        <f>('IS '!DA22/'IS '!DB22)*DB227</f>
        <v>64.92582511058184</v>
      </c>
      <c r="DB227" s="561">
        <f>CW227*(1+DB229)</f>
        <v>242</v>
      </c>
      <c r="DC227" s="560">
        <f>('IS '!DC22/'IS '!DG22)*DG227</f>
        <v>58.444405470181749</v>
      </c>
      <c r="DD227" s="560">
        <f>('IS '!DD22/'IS '!DG22)*DG227</f>
        <v>57.463062926422751</v>
      </c>
      <c r="DE227" s="560">
        <f>('IS '!DE22/'IS '!DG22)*DG227</f>
        <v>56.846897416796516</v>
      </c>
      <c r="DF227" s="560">
        <f>('IS '!DF22/'IS '!DG22)*DG227</f>
        <v>69.245634186599005</v>
      </c>
      <c r="DG227" s="561">
        <f>DB227*(1+DG229)</f>
        <v>242</v>
      </c>
      <c r="DH227" s="560">
        <f>('IS '!DH22/'IS '!DL22)*DL227</f>
        <v>57.07247812714678</v>
      </c>
      <c r="DI227" s="560">
        <f>('IS '!DI22/'IS '!DL22)*DL227</f>
        <v>57.260148865499779</v>
      </c>
      <c r="DJ227" s="560">
        <f>('IS '!DJ22/'IS '!DL22)*DL227</f>
        <v>57.66832948839015</v>
      </c>
      <c r="DK227" s="560">
        <f>('IS '!DK22/'IS '!DL22)*DL227</f>
        <v>69.99904351896329</v>
      </c>
      <c r="DL227" s="561">
        <f>DG227*(1+DL229)</f>
        <v>242</v>
      </c>
      <c r="DM227" s="560">
        <f>('IS '!DM22/'IS '!DQ22)*DQ227</f>
        <v>53.822322545694504</v>
      </c>
      <c r="DN227" s="560">
        <f>('IS '!DN22/'IS '!DQ22)*DQ227</f>
        <v>55.978231774534571</v>
      </c>
      <c r="DO227" s="560">
        <f>('IS '!DO22/'IS '!DQ22)*DQ227</f>
        <v>58.481456874255834</v>
      </c>
      <c r="DP227" s="560">
        <f>('IS '!DP22/'IS '!DQ22)*DQ227</f>
        <v>73.717988805515091</v>
      </c>
      <c r="DQ227" s="561">
        <f>DL227*(1+DQ229)</f>
        <v>242</v>
      </c>
      <c r="DR227" s="560">
        <f>('IS '!DR22/'IS '!DV22)*DV227</f>
        <v>53.837020228791445</v>
      </c>
      <c r="DS227" s="560">
        <f>('IS '!DS22/'IS '!DV22)*DV227</f>
        <v>55.999562062886831</v>
      </c>
      <c r="DT227" s="560">
        <f>('IS '!DT22/'IS '!DV22)*DV227</f>
        <v>58.452205974732713</v>
      </c>
      <c r="DU227" s="560">
        <f>('IS '!DU22/'IS '!DV22)*DV227</f>
        <v>73.711211733588996</v>
      </c>
      <c r="DV227" s="561">
        <f>DQ227*(1+DV229)</f>
        <v>242</v>
      </c>
      <c r="DW227" s="560">
        <f>('IS '!DW22/'IS '!EA22)*EA227</f>
        <v>53.539626354195086</v>
      </c>
      <c r="DX227" s="560">
        <f>('IS '!DX22/'IS '!EA22)*EA227</f>
        <v>55.895192058618356</v>
      </c>
      <c r="DY227" s="560">
        <f>('IS '!DY22/'IS '!EA22)*EA227</f>
        <v>58.500379043973247</v>
      </c>
      <c r="DZ227" s="560">
        <f>('IS '!DZ22/'IS '!EA22)*EA227</f>
        <v>74.064802543213347</v>
      </c>
      <c r="EA227" s="561">
        <f>DV227*(1+EA229)</f>
        <v>242</v>
      </c>
      <c r="EC227" s="33"/>
      <c r="ED227" s="321"/>
      <c r="EE227" s="321"/>
      <c r="EF227" s="321"/>
      <c r="EG227" s="321"/>
      <c r="EH227" s="132"/>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row>
    <row r="228" spans="1:259" s="15" customFormat="1" x14ac:dyDescent="0.2">
      <c r="A228" s="559" t="s">
        <v>372</v>
      </c>
      <c r="B228" s="1358"/>
      <c r="C228" s="1358"/>
      <c r="D228" s="1358"/>
      <c r="E228" s="1358"/>
      <c r="F228" s="1358"/>
      <c r="G228" s="1358"/>
      <c r="H228" s="1358"/>
      <c r="I228" s="1358"/>
      <c r="J228" s="1675"/>
      <c r="K228" s="1358"/>
      <c r="L228" s="1518"/>
      <c r="M228" s="1518"/>
      <c r="N228" s="1518"/>
      <c r="O228" s="1518"/>
      <c r="P228" s="1518"/>
      <c r="Q228" s="1518"/>
      <c r="R228" s="1518"/>
      <c r="S228" s="1518"/>
      <c r="T228" s="1518"/>
      <c r="U228" s="1518"/>
      <c r="V228" s="1518"/>
      <c r="W228" s="1518"/>
      <c r="X228" s="1518"/>
      <c r="Y228" s="1518"/>
      <c r="Z228" s="1518"/>
      <c r="AA228" s="1518"/>
      <c r="AB228" s="1518"/>
      <c r="AC228" s="1518"/>
      <c r="AD228" s="1518"/>
      <c r="AE228" s="1518"/>
      <c r="AF228" s="1545"/>
      <c r="AG228" s="1545"/>
      <c r="AH228" s="1545"/>
      <c r="AI228" s="1357">
        <f>SUM(AF227,AG227,AH227,AI227)</f>
        <v>373</v>
      </c>
      <c r="AJ228" s="1357">
        <f>SUM(AF227,AG227,AH227,AI227)</f>
        <v>373</v>
      </c>
      <c r="AK228" s="1357">
        <f>SUM(AG227,AH227,AI227,AK227)</f>
        <v>385.70586273631613</v>
      </c>
      <c r="AL228" s="1357">
        <f>SUM(AI227,AK227,AL227,AM227)</f>
        <v>411.73364692954164</v>
      </c>
      <c r="AM228" s="1357">
        <f>SUM(AI227,AK227,AL227,AM227)</f>
        <v>411.73364692954164</v>
      </c>
      <c r="AN228" s="1357">
        <f>SUM(AK227,AL227,AM227,AN227)</f>
        <v>425</v>
      </c>
      <c r="AO228" s="1357">
        <f>SUM(AK227,AL227,AM227,AN227)</f>
        <v>425</v>
      </c>
      <c r="AP228" s="1357">
        <f>SUM(AL227,AM227,AN227,AP227)</f>
        <v>426.77762274105294</v>
      </c>
      <c r="AQ228" s="1357">
        <f>SUM(AN227,AP227,AQ227,AR227)</f>
        <v>428.70600394884661</v>
      </c>
      <c r="AR228" s="1357">
        <f>SUM(AN227,AP227,AQ227,AR227)</f>
        <v>428.70600394884661</v>
      </c>
      <c r="AS228" s="1357">
        <f>SUM(AP227,AQ227,AR227,AS227)</f>
        <v>431</v>
      </c>
      <c r="AT228" s="1357">
        <f>SUM(AP227,AQ227,AR227,AS227)</f>
        <v>431</v>
      </c>
      <c r="AU228" s="1357">
        <f>SUM(AQ227,AR227,AS227,AU227)</f>
        <v>439.67496393638146</v>
      </c>
      <c r="AV228" s="1357">
        <f>SUM(AS227,AU227,AV227,AW227)</f>
        <v>458.12490706995942</v>
      </c>
      <c r="AW228" s="1357">
        <f>SUM(AS227,AU227,AV227,AW227)</f>
        <v>458.12490706995942</v>
      </c>
      <c r="AX228" s="1357">
        <f>SUM(AU227,AV227,AW227,AX227)</f>
        <v>474</v>
      </c>
      <c r="AY228" s="1357">
        <f>SUM(AU227,AV227,AW227,AX227)</f>
        <v>474</v>
      </c>
      <c r="AZ228" s="1357">
        <f>SUM(AV227,AW227,AX227,AZ227)</f>
        <v>489.08221810161962</v>
      </c>
      <c r="BA228" s="1357">
        <f>SUM(AX227,AZ227,BA227,BB227)</f>
        <v>530.71195102078002</v>
      </c>
      <c r="BB228" s="1357">
        <f>SUM(AX227,AZ227,BA227,BB227)</f>
        <v>530.71195102078002</v>
      </c>
      <c r="BC228" s="1357">
        <f>SUM(AZ227,BA227,BB227,BC227)</f>
        <v>555</v>
      </c>
      <c r="BD228" s="1357">
        <f>SUM(AZ227,BA227,BB227,BC227)</f>
        <v>555</v>
      </c>
      <c r="BE228" s="1357">
        <f>SUM(BA227,BB227,BC227,BE227)</f>
        <v>574.18024150693816</v>
      </c>
      <c r="BF228" s="1357">
        <f>SUM(BC227,BE227,BF227,BG227)</f>
        <v>624.85574115553072</v>
      </c>
      <c r="BG228" s="1357">
        <f>SUM(BC227,BE227,BF227,BG227)</f>
        <v>624.85574115553072</v>
      </c>
      <c r="BH228" s="1357">
        <f>SUM(BE227,BF227,BG227,BH227)</f>
        <v>644</v>
      </c>
      <c r="BI228" s="1357">
        <f>SUM(BE227,BF227,BG227,BH227)</f>
        <v>644</v>
      </c>
      <c r="BJ228" s="1357">
        <f>SUM(BF227,BG227,BH227,BJ227)</f>
        <v>642.22234351431723</v>
      </c>
      <c r="BK228" s="1357">
        <f>SUM(BH227,BJ227,BK227,BL227)</f>
        <v>650.75688372688046</v>
      </c>
      <c r="BL228" s="1357">
        <f>SUM(BH227,BJ227,BK227,BL227)</f>
        <v>650.75688372688046</v>
      </c>
      <c r="BM228" s="1357">
        <f>SUM(BJ227,BK227,BL227,BM227)</f>
        <v>664</v>
      </c>
      <c r="BN228" s="1357">
        <f>SUM(BJ227,BK227,BL227,BM227)</f>
        <v>664</v>
      </c>
      <c r="BO228" s="1357">
        <f>SUM(BK227,BL227,BM227,BO227)</f>
        <v>677.61811124750056</v>
      </c>
      <c r="BP228" s="1357">
        <f>SUM(BM227,BO227,BP227,BQ227)</f>
        <v>702.15686454264278</v>
      </c>
      <c r="BQ228" s="1357">
        <f>SUM(BM227,BO227,BP227,BQ227)</f>
        <v>702.15686454264278</v>
      </c>
      <c r="BR228" s="1357">
        <f>SUM(BO227,BP227,BQ227,BR227)</f>
        <v>723</v>
      </c>
      <c r="BS228" s="1418">
        <f>SUM(BO227,BP227,BQ227,BR227)</f>
        <v>723</v>
      </c>
      <c r="BT228" s="1357">
        <f>SUM(BP227,BQ227,BR227,BT227)</f>
        <v>738.32119064479605</v>
      </c>
      <c r="BU228" s="1357">
        <f>SUM(BR227,BT227,BU227,BV227)</f>
        <v>805.67793409425849</v>
      </c>
      <c r="BV228" s="1357">
        <f>SUM(BR227,BT227,BU227,BV227)</f>
        <v>805.67793409425849</v>
      </c>
      <c r="BW228" s="1357">
        <f>SUM(BT227,BU227,BV227,BW227)</f>
        <v>858</v>
      </c>
      <c r="BX228" s="1418">
        <f>SUM(BT227,BU227,BV227,BW227)</f>
        <v>858</v>
      </c>
      <c r="BY228" s="1357">
        <f>SUM(BU227,BV227,BW227,BY227)</f>
        <v>864.43281420051085</v>
      </c>
      <c r="BZ228" s="1357">
        <f>SUM(BW227,BY227,BZ227,CA227)</f>
        <v>871.12422810636815</v>
      </c>
      <c r="CA228" s="1357">
        <f>SUM(BW227,BY227,BZ227,CA227)</f>
        <v>871.12422810636815</v>
      </c>
      <c r="CB228" s="1357">
        <f>SUM(BY227,BZ227,CA227,CB227)</f>
        <v>851</v>
      </c>
      <c r="CC228" s="1418">
        <f>SUM(BY227,BZ227,CA227,CB227)</f>
        <v>851</v>
      </c>
      <c r="CD228" s="1400">
        <f>SUM(BZ227,CA227,CB227,CD227)</f>
        <v>877.34885692373859</v>
      </c>
      <c r="CE228" s="1400">
        <f>SUM(CB227,CD227,CE227,CF227)</f>
        <v>874.0017710017155</v>
      </c>
      <c r="CF228" s="1400">
        <f>SUM(CB227,CD227,CE227,CF227)</f>
        <v>874.0017710017155</v>
      </c>
      <c r="CG228" s="1400">
        <f>SUM(CD227,CE227,CF227,CG227)</f>
        <v>892</v>
      </c>
      <c r="CH228" s="1659">
        <f>SUM(CD227,CE227,CF227,CG227)</f>
        <v>892</v>
      </c>
      <c r="CI228" s="1400">
        <f>SUM(CE227,CF227,CG227,CI227)</f>
        <v>885.81101527375552</v>
      </c>
      <c r="CJ228" s="1400">
        <f>SUM(CG227,CI227,CJ227,CK227)</f>
        <v>898.52817738141903</v>
      </c>
      <c r="CK228" s="1400">
        <f>SUM(CG227,CI227,CJ227,CK227)</f>
        <v>898.52817738141903</v>
      </c>
      <c r="CL228" s="1400">
        <f>SUM(CI227,CJ227,CK227,CL227)</f>
        <v>906</v>
      </c>
      <c r="CM228" s="1659">
        <f>SUM(CI227,CJ227,CK227,CL227)</f>
        <v>906</v>
      </c>
      <c r="CN228" s="1400">
        <f>SUM(CJ227,CK227,CL227,CN227)</f>
        <v>773.24368569483056</v>
      </c>
      <c r="CO228" s="1400">
        <f>SUM(CL227,CN227,CO227,CP227)</f>
        <v>464.45520784330228</v>
      </c>
      <c r="CP228" s="1400">
        <f>SUM(CL227,CN227,CO227,CP227)</f>
        <v>464.45520784330228</v>
      </c>
      <c r="CQ228" s="1072">
        <f>SUM(CN227,CO227,CP227,CQ227)</f>
        <v>255</v>
      </c>
      <c r="CR228" s="1967">
        <f>SUM(CN227,CO227,CP227,CQ227)</f>
        <v>255</v>
      </c>
      <c r="CS228" s="975">
        <f>SUM(CO227,CP227,CQ227,CS227)</f>
        <v>251.30523559370863</v>
      </c>
      <c r="CT228" s="975">
        <f>SUM(CQ227,CS227,CT227,CU227)</f>
        <v>245.41884826991225</v>
      </c>
      <c r="CU228" s="975">
        <f>SUM(CQ227,CS227,CT227,CU227)</f>
        <v>245.41884826991225</v>
      </c>
      <c r="CV228" s="71">
        <f>SUM(CS227,CT227,CU227,CV227)</f>
        <v>242</v>
      </c>
      <c r="CW228" s="82">
        <f>SUM(CS227,CT227,CU227,CV227)</f>
        <v>242</v>
      </c>
      <c r="CX228" s="71">
        <f>SUM(CT227,CU227,CV227,CX227)</f>
        <v>245.40603518996699</v>
      </c>
      <c r="CY228" s="71">
        <f>SUM(CV227,CX227,CY227,CZ227)</f>
        <v>248.90900263835633</v>
      </c>
      <c r="CZ228" s="71">
        <f>SUM(CV227,CX227,CY227,CZ227)</f>
        <v>248.90900263835633</v>
      </c>
      <c r="DA228" s="71">
        <f>SUM(CX227,CY227,CZ227,DA227)</f>
        <v>242</v>
      </c>
      <c r="DB228" s="82">
        <f>SUM(CX227,CY227,CZ227,DA227)</f>
        <v>242</v>
      </c>
      <c r="DC228" s="71">
        <f>SUM(CY227,CZ227,DA227,DC227)</f>
        <v>242.10585494279147</v>
      </c>
      <c r="DD228" s="71">
        <f>SUM(DA227,DC227,DD227,DE227)</f>
        <v>237.68019092398285</v>
      </c>
      <c r="DE228" s="71">
        <f>SUM(DA227,DC227,DD227,DE227)</f>
        <v>237.68019092398285</v>
      </c>
      <c r="DF228" s="71">
        <f>SUM(DC227,DD227,DE227,DF227)</f>
        <v>242.00000000000003</v>
      </c>
      <c r="DG228" s="82">
        <f>SUM(DC227,DD227,DE227,DF227)</f>
        <v>242.00000000000003</v>
      </c>
      <c r="DH228" s="71">
        <f>SUM(DD227,DE227,DF227,DH227)</f>
        <v>240.62807265696506</v>
      </c>
      <c r="DI228" s="71">
        <f>SUM(DF227,DH227,DI227,DJ227)</f>
        <v>241.24659066763573</v>
      </c>
      <c r="DJ228" s="71">
        <f>SUM(DF227,DH227,DI227,DJ227)</f>
        <v>241.24659066763573</v>
      </c>
      <c r="DK228" s="71">
        <f>SUM(DH227,DI227,DJ227,DK227)</f>
        <v>242</v>
      </c>
      <c r="DL228" s="82">
        <f>SUM(DH227,DI227,DJ227,DK227)</f>
        <v>242</v>
      </c>
      <c r="DM228" s="71">
        <f>SUM(DI227,DJ227,DK227,DM227)</f>
        <v>238.74984441854772</v>
      </c>
      <c r="DN228" s="71">
        <f>SUM(DK227,DM227,DN227,DO227)</f>
        <v>238.28105471344819</v>
      </c>
      <c r="DO228" s="71">
        <f>SUM(DK227,DM227,DN227,DO227)</f>
        <v>238.28105471344819</v>
      </c>
      <c r="DP228" s="71">
        <f>SUM(DM227,DN227,DO227,DP227)</f>
        <v>242</v>
      </c>
      <c r="DQ228" s="82">
        <f>SUM(DM227,DN227,DO227,DP227)</f>
        <v>242</v>
      </c>
      <c r="DR228" s="71">
        <f>SUM(DN227,DO227,DP227,DR227)</f>
        <v>242.01469768309693</v>
      </c>
      <c r="DS228" s="71">
        <f>SUM(DP227,DR227,DS227,DT227)</f>
        <v>242.00677707192608</v>
      </c>
      <c r="DT228" s="71">
        <f>SUM(DP227,DR227,DS227,DT227)</f>
        <v>242.00677707192608</v>
      </c>
      <c r="DU228" s="71">
        <f>SUM(DR227,DS227,DT227,DU227)</f>
        <v>242</v>
      </c>
      <c r="DV228" s="82">
        <f>SUM(DR227,DS227,DT227,DU227)</f>
        <v>242</v>
      </c>
      <c r="DW228" s="71">
        <f>SUM(DS227,DT227,DU227,DW227)</f>
        <v>241.70260612540363</v>
      </c>
      <c r="DX228" s="71">
        <f>SUM(DU227,DW227,DX227,DY227)</f>
        <v>241.64640919037569</v>
      </c>
      <c r="DY228" s="71">
        <f>SUM(DU227,DW227,DX227,DY227)</f>
        <v>241.64640919037569</v>
      </c>
      <c r="DZ228" s="71">
        <f>SUM(DW227,DX227,DY227,DZ227)</f>
        <v>242.00000000000003</v>
      </c>
      <c r="EA228" s="82">
        <f>SUM(DW227,DX227,DY227,DZ227)</f>
        <v>242.00000000000003</v>
      </c>
      <c r="EC228" s="33"/>
      <c r="ED228" s="321"/>
      <c r="EE228" s="321"/>
      <c r="EF228" s="321"/>
      <c r="EG228" s="321"/>
      <c r="EH228" s="132"/>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row>
    <row r="229" spans="1:259" s="15" customFormat="1" x14ac:dyDescent="0.2">
      <c r="A229" s="559" t="s">
        <v>381</v>
      </c>
      <c r="B229" s="1358"/>
      <c r="C229" s="1358"/>
      <c r="D229" s="1358"/>
      <c r="E229" s="1358"/>
      <c r="F229" s="1358"/>
      <c r="G229" s="1358"/>
      <c r="H229" s="1358"/>
      <c r="I229" s="1358"/>
      <c r="J229" s="1675"/>
      <c r="K229" s="1358"/>
      <c r="L229" s="1518"/>
      <c r="M229" s="1518"/>
      <c r="N229" s="1518"/>
      <c r="O229" s="1518"/>
      <c r="P229" s="1518"/>
      <c r="Q229" s="1518"/>
      <c r="R229" s="1518"/>
      <c r="S229" s="1518"/>
      <c r="T229" s="1518"/>
      <c r="U229" s="1518"/>
      <c r="V229" s="1518"/>
      <c r="W229" s="1518"/>
      <c r="X229" s="1518"/>
      <c r="Y229" s="1518"/>
      <c r="Z229" s="1518"/>
      <c r="AA229" s="1518"/>
      <c r="AB229" s="1518"/>
      <c r="AC229" s="1518"/>
      <c r="AD229" s="1518"/>
      <c r="AE229" s="1518"/>
      <c r="AF229" s="1763"/>
      <c r="AG229" s="1763"/>
      <c r="AH229" s="1763"/>
      <c r="AI229" s="1763"/>
      <c r="AJ229" s="1764"/>
      <c r="AK229" s="1763"/>
      <c r="AL229" s="1763"/>
      <c r="AM229" s="1763"/>
      <c r="AN229" s="1763"/>
      <c r="AO229" s="1713">
        <f>AO227/AJ227-1</f>
        <v>0.13941018766756041</v>
      </c>
      <c r="AP229" s="1763"/>
      <c r="AQ229" s="1763"/>
      <c r="AR229" s="1763"/>
      <c r="AS229" s="1763"/>
      <c r="AT229" s="1713">
        <f>AT227/AO227-1</f>
        <v>1.4117647058823568E-2</v>
      </c>
      <c r="AU229" s="1763"/>
      <c r="AV229" s="1763"/>
      <c r="AW229" s="1763"/>
      <c r="AX229" s="1763"/>
      <c r="AY229" s="1713">
        <f>AY227/AT227-1</f>
        <v>9.9767981438515063E-2</v>
      </c>
      <c r="AZ229" s="1763"/>
      <c r="BA229" s="1763"/>
      <c r="BB229" s="1763"/>
      <c r="BC229" s="1763"/>
      <c r="BD229" s="1713">
        <f>BD227/AY227-1</f>
        <v>0.17088607594936711</v>
      </c>
      <c r="BE229" s="1763"/>
      <c r="BF229" s="1763"/>
      <c r="BG229" s="1763"/>
      <c r="BH229" s="1763"/>
      <c r="BI229" s="1713">
        <f>BI227/BD227-1</f>
        <v>0.16036036036036028</v>
      </c>
      <c r="BJ229" s="1763"/>
      <c r="BK229" s="1763"/>
      <c r="BL229" s="1763"/>
      <c r="BM229" s="1763"/>
      <c r="BN229" s="1713">
        <f>BN227/BI227-1</f>
        <v>3.105590062111796E-2</v>
      </c>
      <c r="BO229" s="1763"/>
      <c r="BP229" s="1763"/>
      <c r="BQ229" s="1763"/>
      <c r="BR229" s="1763"/>
      <c r="BS229" s="1713">
        <f>BS227/BN227-1</f>
        <v>8.8855421686746983E-2</v>
      </c>
      <c r="BT229" s="1763"/>
      <c r="BU229" s="1763"/>
      <c r="BV229" s="1763"/>
      <c r="BW229" s="1763"/>
      <c r="BX229" s="1713">
        <f>BX227/BS227-1</f>
        <v>0.18672199170124482</v>
      </c>
      <c r="BY229" s="1763"/>
      <c r="BZ229" s="1763"/>
      <c r="CA229" s="1763"/>
      <c r="CB229" s="1763"/>
      <c r="CC229" s="1713">
        <f>CC227/BX227-1</f>
        <v>-8.1585081585081598E-3</v>
      </c>
      <c r="CD229" s="1765"/>
      <c r="CE229" s="1765"/>
      <c r="CF229" s="1765"/>
      <c r="CG229" s="1765"/>
      <c r="CH229" s="1698">
        <v>0.15</v>
      </c>
      <c r="CI229" s="1765"/>
      <c r="CJ229" s="1765"/>
      <c r="CK229" s="1765"/>
      <c r="CL229" s="1765"/>
      <c r="CM229" s="1698">
        <v>0.15</v>
      </c>
      <c r="CN229" s="1765"/>
      <c r="CO229" s="1765"/>
      <c r="CP229" s="1765"/>
      <c r="CQ229" s="1927"/>
      <c r="CR229" s="1975"/>
      <c r="CS229" s="2109"/>
      <c r="CT229" s="2109"/>
      <c r="CU229" s="2109"/>
      <c r="CV229" s="560"/>
      <c r="CW229" s="627">
        <f>CW227/CR227-1</f>
        <v>-5.0980392156862786E-2</v>
      </c>
      <c r="CX229" s="560"/>
      <c r="CY229" s="560"/>
      <c r="CZ229" s="560"/>
      <c r="DA229" s="560"/>
      <c r="DB229" s="627">
        <v>0</v>
      </c>
      <c r="DC229" s="560"/>
      <c r="DD229" s="560"/>
      <c r="DE229" s="560"/>
      <c r="DF229" s="560"/>
      <c r="DG229" s="718">
        <f>DB229</f>
        <v>0</v>
      </c>
      <c r="DH229" s="560"/>
      <c r="DI229" s="560"/>
      <c r="DJ229" s="560"/>
      <c r="DK229" s="560"/>
      <c r="DL229" s="718">
        <f>DG229</f>
        <v>0</v>
      </c>
      <c r="DM229" s="560"/>
      <c r="DN229" s="560"/>
      <c r="DO229" s="560"/>
      <c r="DP229" s="560"/>
      <c r="DQ229" s="718">
        <f>DL229</f>
        <v>0</v>
      </c>
      <c r="DR229" s="560"/>
      <c r="DS229" s="560"/>
      <c r="DT229" s="560"/>
      <c r="DU229" s="560"/>
      <c r="DV229" s="718">
        <f>DQ229</f>
        <v>0</v>
      </c>
      <c r="DW229" s="560"/>
      <c r="DX229" s="560"/>
      <c r="DY229" s="560"/>
      <c r="DZ229" s="560"/>
      <c r="EA229" s="718">
        <f>DV229</f>
        <v>0</v>
      </c>
      <c r="EC229" s="33"/>
      <c r="ED229" s="321"/>
      <c r="EE229" s="321"/>
      <c r="EF229" s="321"/>
      <c r="EG229" s="321"/>
      <c r="EH229" s="132"/>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row>
    <row r="230" spans="1:259" s="15" customFormat="1" x14ac:dyDescent="0.2">
      <c r="A230" s="559" t="s">
        <v>139</v>
      </c>
      <c r="B230" s="1358"/>
      <c r="C230" s="1358"/>
      <c r="D230" s="1358"/>
      <c r="E230" s="1358"/>
      <c r="F230" s="1358"/>
      <c r="G230" s="1358"/>
      <c r="H230" s="1358"/>
      <c r="I230" s="1358"/>
      <c r="J230" s="1675"/>
      <c r="K230" s="1358"/>
      <c r="L230" s="1518"/>
      <c r="M230" s="1518"/>
      <c r="N230" s="1518"/>
      <c r="O230" s="1518"/>
      <c r="P230" s="1518"/>
      <c r="Q230" s="1518"/>
      <c r="R230" s="1518"/>
      <c r="S230" s="1518"/>
      <c r="T230" s="1518"/>
      <c r="U230" s="1518"/>
      <c r="V230" s="1518"/>
      <c r="W230" s="1518"/>
      <c r="X230" s="1518"/>
      <c r="Y230" s="1518"/>
      <c r="Z230" s="1518"/>
      <c r="AA230" s="1518"/>
      <c r="AB230" s="1518"/>
      <c r="AC230" s="1518"/>
      <c r="AD230" s="1518"/>
      <c r="AE230" s="1518"/>
      <c r="AF230" s="1545">
        <f>AF227/'IS '!AF22</f>
        <v>4.4510739856801908E-2</v>
      </c>
      <c r="AG230" s="1545">
        <f>AG227/'IS '!AG22</f>
        <v>4.4510739856801908E-2</v>
      </c>
      <c r="AH230" s="1545">
        <f>AH227/'IS '!AH22</f>
        <v>4.4510739856801908E-2</v>
      </c>
      <c r="AI230" s="1545">
        <f>AI227/'IS '!AI22</f>
        <v>4.4510739856801908E-2</v>
      </c>
      <c r="AJ230" s="1544">
        <f>AJ227/'IS '!AJ22</f>
        <v>4.4510739856801908E-2</v>
      </c>
      <c r="AK230" s="1545">
        <f>AK227/'IS '!AK22</f>
        <v>4.7164576628565082E-2</v>
      </c>
      <c r="AL230" s="1545">
        <f>AL227/'IS '!AL22</f>
        <v>4.7164576628565089E-2</v>
      </c>
      <c r="AM230" s="1545">
        <f>AM227/'IS '!AM22</f>
        <v>4.7164576628565082E-2</v>
      </c>
      <c r="AN230" s="1545">
        <f>AN227/'IS '!AN22</f>
        <v>4.7164576628565089E-2</v>
      </c>
      <c r="AO230" s="1544">
        <f>AO227/'IS '!AO22</f>
        <v>4.7164576628565089E-2</v>
      </c>
      <c r="AP230" s="1545">
        <f>AP227/'IS '!AP22</f>
        <v>4.6101187292758583E-2</v>
      </c>
      <c r="AQ230" s="1545">
        <f>AQ227/'IS '!AQ22</f>
        <v>4.6101187292758583E-2</v>
      </c>
      <c r="AR230" s="1545">
        <f>AR227/'IS '!AR22</f>
        <v>4.6101187292758583E-2</v>
      </c>
      <c r="AS230" s="1545">
        <f>AS227/'IS '!AS22</f>
        <v>4.6101187292758583E-2</v>
      </c>
      <c r="AT230" s="1544">
        <f>AT227/'IS '!AT22</f>
        <v>4.6101187292758583E-2</v>
      </c>
      <c r="AU230" s="1545">
        <f>AU227/'IS '!AU22</f>
        <v>4.9576404141826166E-2</v>
      </c>
      <c r="AV230" s="1545">
        <f>AV227/'IS '!AV22</f>
        <v>4.9576404141826166E-2</v>
      </c>
      <c r="AW230" s="1545">
        <f>AW227/'IS '!AW22</f>
        <v>4.9576404141826166E-2</v>
      </c>
      <c r="AX230" s="1545">
        <f>AX227/'IS '!AX22</f>
        <v>4.9576404141826173E-2</v>
      </c>
      <c r="AY230" s="1544">
        <f>AY227/'IS '!AY22</f>
        <v>4.9576404141826166E-2</v>
      </c>
      <c r="AZ230" s="1545">
        <f>AZ227/'IS '!AZ22</f>
        <v>5.3283410138248853E-2</v>
      </c>
      <c r="BA230" s="1545">
        <f>BA227/'IS '!BA22</f>
        <v>5.3283410138248853E-2</v>
      </c>
      <c r="BB230" s="1545">
        <f>BB227/'IS '!BB22</f>
        <v>5.3283410138248853E-2</v>
      </c>
      <c r="BC230" s="1545">
        <f>BC227/'IS '!BC22</f>
        <v>5.3283410138248846E-2</v>
      </c>
      <c r="BD230" s="1544">
        <f>BD227/'IS '!BD22</f>
        <v>5.3283410138248846E-2</v>
      </c>
      <c r="BE230" s="1545">
        <f>BE227/'IS '!BE22</f>
        <v>5.7036577805331674E-2</v>
      </c>
      <c r="BF230" s="1545">
        <f>BF227/'IS '!BF22</f>
        <v>5.7036577805331681E-2</v>
      </c>
      <c r="BG230" s="1545">
        <f>BG227/'IS '!BG22</f>
        <v>5.7036577805331681E-2</v>
      </c>
      <c r="BH230" s="1545">
        <f>BH227/'IS '!BH22</f>
        <v>5.7036577805331681E-2</v>
      </c>
      <c r="BI230" s="1544">
        <f>BI227/'IS '!BI22</f>
        <v>5.7036577805331681E-2</v>
      </c>
      <c r="BJ230" s="1545">
        <f>BJ227/'IS '!BJ22</f>
        <v>6.1277224067921743E-2</v>
      </c>
      <c r="BK230" s="1545">
        <f>BK227/'IS '!BK22</f>
        <v>6.1277224067921743E-2</v>
      </c>
      <c r="BL230" s="1545">
        <f>BL227/'IS '!BL22</f>
        <v>6.1277224067921743E-2</v>
      </c>
      <c r="BM230" s="1545">
        <f>BM227/'IS '!BM22</f>
        <v>6.1277224067921743E-2</v>
      </c>
      <c r="BN230" s="1544">
        <f>BN227/'IS '!BN22</f>
        <v>6.1277224067921743E-2</v>
      </c>
      <c r="BO230" s="1545">
        <f>BO227/'IS '!BO22</f>
        <v>6.3739751388521559E-2</v>
      </c>
      <c r="BP230" s="1545">
        <f>BP227/'IS '!BP22</f>
        <v>6.3739751388521559E-2</v>
      </c>
      <c r="BQ230" s="1545">
        <f>BQ227/'IS '!BQ22</f>
        <v>6.3739751388521559E-2</v>
      </c>
      <c r="BR230" s="1545">
        <f>BR227/'IS '!BR22</f>
        <v>6.3739751388521559E-2</v>
      </c>
      <c r="BS230" s="1544">
        <f>BS227/'IS '!BS22</f>
        <v>6.3739751388521559E-2</v>
      </c>
      <c r="BT230" s="1545">
        <f>BT227/'IS '!BT22</f>
        <v>6.7955013464280067E-2</v>
      </c>
      <c r="BU230" s="1545">
        <f>BU227/'IS '!BU22</f>
        <v>6.7955013464280054E-2</v>
      </c>
      <c r="BV230" s="1545">
        <f>BV227/'IS '!BV22</f>
        <v>6.7955013464280054E-2</v>
      </c>
      <c r="BW230" s="1545">
        <f>BW227/'IS '!BW22</f>
        <v>6.7955013464280067E-2</v>
      </c>
      <c r="BX230" s="1544">
        <f>BX227/'IS '!BX22</f>
        <v>6.7955013464280054E-2</v>
      </c>
      <c r="BY230" s="1545">
        <f>BY227/'IS '!BY22</f>
        <v>6.242206410914692E-2</v>
      </c>
      <c r="BZ230" s="1545">
        <f>BZ227/'IS '!BZ22</f>
        <v>6.242206410914692E-2</v>
      </c>
      <c r="CA230" s="1545">
        <f>CA227/'IS '!CA22</f>
        <v>6.2422064109146934E-2</v>
      </c>
      <c r="CB230" s="1545">
        <f>CB227/'IS '!CB22</f>
        <v>6.2422064109146927E-2</v>
      </c>
      <c r="CC230" s="1544">
        <f>CC227/'IS '!CC22</f>
        <v>6.242206410914692E-2</v>
      </c>
      <c r="CD230" s="1549">
        <f>CD227/'IS '!CD22</f>
        <v>0.13900576593423719</v>
      </c>
      <c r="CE230" s="1549">
        <f>CE227/'IS '!CE22</f>
        <v>0.13900576593423716</v>
      </c>
      <c r="CF230" s="1549">
        <f>CF227/'IS '!CF22</f>
        <v>0.13900576593423719</v>
      </c>
      <c r="CG230" s="1549">
        <f>CG227/'IS '!CG22</f>
        <v>0.13900576593423719</v>
      </c>
      <c r="CH230" s="1551">
        <f>CH227/'IS '!CH22</f>
        <v>0.13900576593423719</v>
      </c>
      <c r="CI230" s="1549">
        <f>CI227/'IS '!CI22</f>
        <v>0.13754364657659024</v>
      </c>
      <c r="CJ230" s="1549">
        <f>CJ227/'IS '!CJ22</f>
        <v>0.13754364657659027</v>
      </c>
      <c r="CK230" s="1549">
        <f>CK227/'IS '!CK22</f>
        <v>0.13754364657659024</v>
      </c>
      <c r="CL230" s="1549">
        <f>CL227/'IS '!CL22</f>
        <v>0.13754364657659027</v>
      </c>
      <c r="CM230" s="1551">
        <f>CM227/'IS '!CM22</f>
        <v>0.13754364657659027</v>
      </c>
      <c r="CN230" s="1549">
        <f>CN227/'IS '!CN22</f>
        <v>3.9711702384617652E-2</v>
      </c>
      <c r="CO230" s="1549">
        <f>CO227/'IS '!CO22</f>
        <v>3.9711702384617645E-2</v>
      </c>
      <c r="CP230" s="1549">
        <f>CP227/'IS '!CP22</f>
        <v>3.9711702384617652E-2</v>
      </c>
      <c r="CQ230" s="1131">
        <f>CQ227/'IS '!CQ22</f>
        <v>3.9711702384617652E-2</v>
      </c>
      <c r="CR230" s="1129">
        <f>CR227/'IS '!CR22</f>
        <v>3.9711702384617652E-2</v>
      </c>
      <c r="CS230" s="2075">
        <f>CS227/'IS '!CS22</f>
        <v>3.8068271197105555E-2</v>
      </c>
      <c r="CT230" s="2075">
        <f>CT227/'IS '!CT22</f>
        <v>3.8068271197105555E-2</v>
      </c>
      <c r="CU230" s="2075">
        <f>CU227/'IS '!CU22</f>
        <v>3.8068271197105548E-2</v>
      </c>
      <c r="CV230" s="153">
        <f>CV227/'IS '!CV22</f>
        <v>3.8068271197105555E-2</v>
      </c>
      <c r="CW230" s="152">
        <f>CW227/'IS '!CW22</f>
        <v>3.8068271197105555E-2</v>
      </c>
      <c r="CX230" s="153">
        <f>CX227/'IS '!CX22</f>
        <v>4.1170466144947258E-2</v>
      </c>
      <c r="CY230" s="153">
        <f>CY227/'IS '!CY22</f>
        <v>4.1170466144947258E-2</v>
      </c>
      <c r="CZ230" s="153">
        <f>CZ227/'IS '!CZ22</f>
        <v>4.1170466144947258E-2</v>
      </c>
      <c r="DA230" s="153">
        <f>DA227/'IS '!DA22</f>
        <v>4.1170466144947265E-2</v>
      </c>
      <c r="DB230" s="152">
        <f>DB227/'IS '!DB22</f>
        <v>4.1170466144947258E-2</v>
      </c>
      <c r="DC230" s="153">
        <f>DC227/'IS '!DC22</f>
        <v>5.3797076104112197E-2</v>
      </c>
      <c r="DD230" s="153">
        <f>DD227/'IS '!DD22</f>
        <v>5.3797076104112204E-2</v>
      </c>
      <c r="DE230" s="153">
        <f>DE227/'IS '!DE22</f>
        <v>5.3797076104112204E-2</v>
      </c>
      <c r="DF230" s="153">
        <f>DF227/'IS '!DF22</f>
        <v>5.3797076104112197E-2</v>
      </c>
      <c r="DG230" s="152">
        <f>DG227/'IS '!DG22</f>
        <v>5.3797076104112197E-2</v>
      </c>
      <c r="DH230" s="153">
        <f>DH227/'IS '!DH22</f>
        <v>5.7404901399986365E-2</v>
      </c>
      <c r="DI230" s="153">
        <f>DI227/'IS '!DI22</f>
        <v>5.7404901399986372E-2</v>
      </c>
      <c r="DJ230" s="153">
        <f>DJ227/'IS '!DJ22</f>
        <v>5.7404901399986372E-2</v>
      </c>
      <c r="DK230" s="153">
        <f>DK227/'IS '!DK22</f>
        <v>5.7404901399986372E-2</v>
      </c>
      <c r="DL230" s="152">
        <f>DL227/'IS '!DL22</f>
        <v>5.7404901399986372E-2</v>
      </c>
      <c r="DM230" s="153">
        <f>DM227/'IS '!DM22</f>
        <v>5.6706007874412642E-2</v>
      </c>
      <c r="DN230" s="153">
        <f>DN227/'IS '!DN22</f>
        <v>5.6706007874412642E-2</v>
      </c>
      <c r="DO230" s="153">
        <f>DO227/'IS '!DO22</f>
        <v>5.6706007874412635E-2</v>
      </c>
      <c r="DP230" s="153">
        <f>DP227/'IS '!DP22</f>
        <v>5.6706007874412642E-2</v>
      </c>
      <c r="DQ230" s="152">
        <f>DQ227/'IS '!DQ22</f>
        <v>5.6706007874412642E-2</v>
      </c>
      <c r="DR230" s="153">
        <f>DR227/'IS '!DR22</f>
        <v>5.2273198526842285E-2</v>
      </c>
      <c r="DS230" s="153">
        <f>DS227/'IS '!DS22</f>
        <v>5.2273198526842278E-2</v>
      </c>
      <c r="DT230" s="153">
        <f>DT227/'IS '!DT22</f>
        <v>5.2273198526842278E-2</v>
      </c>
      <c r="DU230" s="153">
        <f>DU227/'IS '!DU22</f>
        <v>5.2273198526842278E-2</v>
      </c>
      <c r="DV230" s="152">
        <f>DV227/'IS '!DV22</f>
        <v>5.2273198526842278E-2</v>
      </c>
      <c r="DW230" s="153">
        <f>DW227/'IS '!DW22</f>
        <v>4.792453740490165E-2</v>
      </c>
      <c r="DX230" s="153">
        <f>DX227/'IS '!DX22</f>
        <v>4.792453740490165E-2</v>
      </c>
      <c r="DY230" s="153">
        <f>DY227/'IS '!DY22</f>
        <v>4.792453740490165E-2</v>
      </c>
      <c r="DZ230" s="153">
        <f>DZ227/'IS '!DZ22</f>
        <v>4.792453740490165E-2</v>
      </c>
      <c r="EA230" s="152">
        <f>EA227/'IS '!EA22</f>
        <v>4.792453740490165E-2</v>
      </c>
      <c r="EC230" s="33"/>
      <c r="ED230" s="321"/>
      <c r="EE230" s="321"/>
      <c r="EF230" s="321"/>
      <c r="EG230" s="321"/>
      <c r="EH230" s="132"/>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row>
    <row r="231" spans="1:259" s="15" customFormat="1" x14ac:dyDescent="0.2">
      <c r="A231" s="174" t="s">
        <v>118</v>
      </c>
      <c r="B231" s="1358"/>
      <c r="C231" s="1358"/>
      <c r="D231" s="1358"/>
      <c r="E231" s="1358"/>
      <c r="F231" s="1358"/>
      <c r="G231" s="1358"/>
      <c r="H231" s="1358"/>
      <c r="I231" s="1358"/>
      <c r="J231" s="1675"/>
      <c r="K231" s="1358"/>
      <c r="L231" s="1518"/>
      <c r="M231" s="1518"/>
      <c r="N231" s="1518"/>
      <c r="O231" s="1518"/>
      <c r="P231" s="1518"/>
      <c r="Q231" s="1518"/>
      <c r="R231" s="1518"/>
      <c r="S231" s="1518"/>
      <c r="T231" s="1518"/>
      <c r="U231" s="1518"/>
      <c r="V231" s="1518"/>
      <c r="W231" s="1518"/>
      <c r="X231" s="1518"/>
      <c r="Y231" s="1518"/>
      <c r="Z231" s="1518"/>
      <c r="AA231" s="1518"/>
      <c r="AB231" s="1518"/>
      <c r="AC231" s="1518"/>
      <c r="AD231" s="1518"/>
      <c r="AE231" s="1518"/>
      <c r="AF231" s="1357">
        <f t="shared" ref="AF231:BK231" si="599">AF42+AF227</f>
        <v>384.20835322195705</v>
      </c>
      <c r="AG231" s="1357">
        <f t="shared" si="599"/>
        <v>474.17279236276852</v>
      </c>
      <c r="AH231" s="1357">
        <f t="shared" si="599"/>
        <v>457.53186157517899</v>
      </c>
      <c r="AI231" s="1357">
        <f t="shared" si="599"/>
        <v>549.08699284009549</v>
      </c>
      <c r="AJ231" s="1357">
        <f t="shared" si="599"/>
        <v>1865</v>
      </c>
      <c r="AK231" s="1357">
        <f t="shared" si="599"/>
        <v>430.91421595827319</v>
      </c>
      <c r="AL231" s="1357">
        <f t="shared" si="599"/>
        <v>444.96082565752965</v>
      </c>
      <c r="AM231" s="1357">
        <f t="shared" si="599"/>
        <v>500.7716124736433</v>
      </c>
      <c r="AN231" s="1357">
        <f t="shared" si="599"/>
        <v>591.3533459105538</v>
      </c>
      <c r="AO231" s="1357">
        <f t="shared" si="599"/>
        <v>1968</v>
      </c>
      <c r="AP231" s="1357">
        <f t="shared" si="599"/>
        <v>442.69183869932613</v>
      </c>
      <c r="AQ231" s="1357">
        <f t="shared" si="599"/>
        <v>471.25585624130923</v>
      </c>
      <c r="AR231" s="1357">
        <f t="shared" si="599"/>
        <v>520.40496309765751</v>
      </c>
      <c r="AS231" s="1357">
        <f t="shared" si="599"/>
        <v>612.64734196170707</v>
      </c>
      <c r="AT231" s="1357">
        <f t="shared" si="599"/>
        <v>2047</v>
      </c>
      <c r="AU231" s="1357">
        <f t="shared" si="599"/>
        <v>484.36680263570759</v>
      </c>
      <c r="AV231" s="1357">
        <f t="shared" si="599"/>
        <v>526.17571383746474</v>
      </c>
      <c r="AW231" s="1357">
        <f t="shared" si="599"/>
        <v>565.93504863507997</v>
      </c>
      <c r="AX231" s="1357">
        <f t="shared" si="599"/>
        <v>638.52243489174771</v>
      </c>
      <c r="AY231" s="1357">
        <f t="shared" si="599"/>
        <v>2215</v>
      </c>
      <c r="AZ231" s="1357">
        <f t="shared" si="599"/>
        <v>546.44902073732715</v>
      </c>
      <c r="BA231" s="1357">
        <f t="shared" si="599"/>
        <v>557.12183179723502</v>
      </c>
      <c r="BB231" s="1357">
        <f t="shared" si="599"/>
        <v>666.61866359447004</v>
      </c>
      <c r="BC231" s="1357">
        <f t="shared" si="599"/>
        <v>683.8104838709678</v>
      </c>
      <c r="BD231" s="1357">
        <f t="shared" si="599"/>
        <v>2454</v>
      </c>
      <c r="BE231" s="1357">
        <f t="shared" si="599"/>
        <v>615.62926224426531</v>
      </c>
      <c r="BF231" s="1357">
        <f t="shared" si="599"/>
        <v>599.31804091754498</v>
      </c>
      <c r="BG231" s="1357">
        <f t="shared" si="599"/>
        <v>712.09795412275264</v>
      </c>
      <c r="BH231" s="1357">
        <f t="shared" si="599"/>
        <v>748.95474271543708</v>
      </c>
      <c r="BI231" s="1357">
        <f t="shared" si="599"/>
        <v>2676</v>
      </c>
      <c r="BJ231" s="1357">
        <f t="shared" si="599"/>
        <v>620.85160575858254</v>
      </c>
      <c r="BK231" s="1357">
        <f t="shared" si="599"/>
        <v>614.7224067921743</v>
      </c>
      <c r="BL231" s="1357">
        <f t="shared" ref="BL231:CQ231" si="600">BL42+BL227</f>
        <v>782.22812846068655</v>
      </c>
      <c r="BM231" s="1357">
        <f t="shared" si="600"/>
        <v>798.19785898855662</v>
      </c>
      <c r="BN231" s="1357">
        <f t="shared" si="600"/>
        <v>2816</v>
      </c>
      <c r="BO231" s="1357">
        <f t="shared" si="600"/>
        <v>691.4697170060831</v>
      </c>
      <c r="BP231" s="1357">
        <f t="shared" si="600"/>
        <v>716.06612007405442</v>
      </c>
      <c r="BQ231" s="1357">
        <f t="shared" si="600"/>
        <v>851.42316847394864</v>
      </c>
      <c r="BR231" s="1357">
        <f t="shared" si="600"/>
        <v>840.04099444591384</v>
      </c>
      <c r="BS231" s="1418">
        <f t="shared" si="600"/>
        <v>3099</v>
      </c>
      <c r="BT231" s="1357">
        <f t="shared" si="600"/>
        <v>753.79090765087915</v>
      </c>
      <c r="BU231" s="1357">
        <f t="shared" si="600"/>
        <v>762.36131791541266</v>
      </c>
      <c r="BV231" s="1357">
        <f t="shared" si="600"/>
        <v>879.48471408205296</v>
      </c>
      <c r="BW231" s="1357">
        <f t="shared" si="600"/>
        <v>1016.3630603516553</v>
      </c>
      <c r="BX231" s="1418">
        <f t="shared" si="600"/>
        <v>3412</v>
      </c>
      <c r="BY231" s="1357">
        <f t="shared" si="600"/>
        <v>832.22372185139</v>
      </c>
      <c r="BZ231" s="1357">
        <f t="shared" si="600"/>
        <v>795.75309909777741</v>
      </c>
      <c r="CA231" s="1357">
        <f t="shared" si="600"/>
        <v>1039.7843468055453</v>
      </c>
      <c r="CB231" s="1357">
        <f t="shared" si="600"/>
        <v>994.2388322452872</v>
      </c>
      <c r="CC231" s="1418">
        <f t="shared" si="600"/>
        <v>3662</v>
      </c>
      <c r="CD231" s="1400">
        <f t="shared" si="600"/>
        <v>688.89907877512871</v>
      </c>
      <c r="CE231" s="1400">
        <f t="shared" si="600"/>
        <v>719.3144954807542</v>
      </c>
      <c r="CF231" s="1400">
        <f t="shared" si="600"/>
        <v>757.12086450054539</v>
      </c>
      <c r="CG231" s="1400">
        <f t="shared" si="600"/>
        <v>934.6655612435718</v>
      </c>
      <c r="CH231" s="1659">
        <f t="shared" si="600"/>
        <v>3100</v>
      </c>
      <c r="CI231" s="1400">
        <f t="shared" si="600"/>
        <v>657.57259404888396</v>
      </c>
      <c r="CJ231" s="1400">
        <f t="shared" si="600"/>
        <v>709.08360847123117</v>
      </c>
      <c r="CK231" s="1400">
        <f t="shared" si="600"/>
        <v>792.93191361773188</v>
      </c>
      <c r="CL231" s="1400">
        <f t="shared" si="600"/>
        <v>995.31188386215263</v>
      </c>
      <c r="CM231" s="1659">
        <f t="shared" si="600"/>
        <v>3154.8999999999996</v>
      </c>
      <c r="CN231" s="1400">
        <f t="shared" si="600"/>
        <v>528.61678108240278</v>
      </c>
      <c r="CO231" s="1400">
        <f t="shared" si="600"/>
        <v>500.40316027779249</v>
      </c>
      <c r="CP231" s="1400">
        <f t="shared" si="600"/>
        <v>469.19145223273495</v>
      </c>
      <c r="CQ231" s="1072">
        <f t="shared" si="600"/>
        <v>588.56960640707007</v>
      </c>
      <c r="CR231" s="1967">
        <f t="shared" ref="CR231:DQ231" si="601">CR42+CR227</f>
        <v>2139.2809999999999</v>
      </c>
      <c r="CS231" s="975">
        <f t="shared" si="601"/>
        <v>468.77981595979992</v>
      </c>
      <c r="CT231" s="975">
        <f t="shared" si="601"/>
        <v>520.63578888525274</v>
      </c>
      <c r="CU231" s="975">
        <f t="shared" si="601"/>
        <v>523.91876700074056</v>
      </c>
      <c r="CV231" s="71">
        <f t="shared" si="601"/>
        <v>690.66562815420673</v>
      </c>
      <c r="CW231" s="82">
        <f t="shared" si="601"/>
        <v>2204</v>
      </c>
      <c r="CX231" s="71">
        <f t="shared" si="601"/>
        <v>513.33855052739023</v>
      </c>
      <c r="CY231" s="71">
        <f t="shared" si="601"/>
        <v>563.61483497788367</v>
      </c>
      <c r="CZ231" s="71">
        <f t="shared" si="601"/>
        <v>572.12078938414425</v>
      </c>
      <c r="DA231" s="71">
        <f t="shared" si="601"/>
        <v>605.92582511058185</v>
      </c>
      <c r="DB231" s="82">
        <f t="shared" si="601"/>
        <v>2255</v>
      </c>
      <c r="DC231" s="71">
        <f t="shared" si="601"/>
        <v>499.88653966596758</v>
      </c>
      <c r="DD231" s="71">
        <f t="shared" si="601"/>
        <v>523.56825837970268</v>
      </c>
      <c r="DE231" s="71">
        <f t="shared" si="601"/>
        <v>540.65742398840746</v>
      </c>
      <c r="DF231" s="71">
        <f t="shared" si="601"/>
        <v>636.08829082467582</v>
      </c>
      <c r="DG231" s="82">
        <f t="shared" si="601"/>
        <v>2200.2005128587534</v>
      </c>
      <c r="DH231" s="71">
        <f t="shared" si="601"/>
        <v>515.6399700805066</v>
      </c>
      <c r="DI231" s="71">
        <f t="shared" si="601"/>
        <v>537.43401167546529</v>
      </c>
      <c r="DJ231" s="71">
        <f t="shared" si="601"/>
        <v>577.03927038807444</v>
      </c>
      <c r="DK231" s="71">
        <f t="shared" si="601"/>
        <v>676.26656711661383</v>
      </c>
      <c r="DL231" s="82">
        <f t="shared" si="601"/>
        <v>2306.37981926066</v>
      </c>
      <c r="DM231" s="71">
        <f t="shared" si="601"/>
        <v>524.0075155844695</v>
      </c>
      <c r="DN231" s="71">
        <f t="shared" si="601"/>
        <v>556.37811281529412</v>
      </c>
      <c r="DO231" s="71">
        <f t="shared" si="601"/>
        <v>596.69555506226482</v>
      </c>
      <c r="DP231" s="71">
        <f t="shared" si="601"/>
        <v>722.46262745733827</v>
      </c>
      <c r="DQ231" s="82">
        <f t="shared" si="601"/>
        <v>2399.5438109193665</v>
      </c>
      <c r="DR231" s="71">
        <f t="shared" ref="DR231:EA231" si="602">DR42+DR227</f>
        <v>562.84863307323417</v>
      </c>
      <c r="DS231" s="71">
        <f t="shared" si="602"/>
        <v>596.73126085296371</v>
      </c>
      <c r="DT231" s="71">
        <f t="shared" si="602"/>
        <v>640.67154460965492</v>
      </c>
      <c r="DU231" s="71">
        <f t="shared" si="602"/>
        <v>776.28769770395866</v>
      </c>
      <c r="DV231" s="82">
        <f t="shared" si="602"/>
        <v>2576.5391362398113</v>
      </c>
      <c r="DW231" s="71">
        <f t="shared" si="602"/>
        <v>601.85142371945881</v>
      </c>
      <c r="DX231" s="71">
        <f t="shared" si="602"/>
        <v>638.34718248291438</v>
      </c>
      <c r="DY231" s="71">
        <f t="shared" si="602"/>
        <v>687.59438087108072</v>
      </c>
      <c r="DZ231" s="71">
        <f t="shared" si="602"/>
        <v>834.65994204108483</v>
      </c>
      <c r="EA231" s="82">
        <f t="shared" si="602"/>
        <v>2762.4529291145391</v>
      </c>
      <c r="EC231" s="33"/>
      <c r="ED231" s="321"/>
      <c r="EE231" s="321"/>
      <c r="EF231" s="321"/>
      <c r="EG231" s="321"/>
      <c r="EH231" s="132"/>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row>
    <row r="232" spans="1:259" s="15" customFormat="1" x14ac:dyDescent="0.2">
      <c r="A232" s="242" t="s">
        <v>371</v>
      </c>
      <c r="B232" s="1511"/>
      <c r="C232" s="1511"/>
      <c r="D232" s="1511"/>
      <c r="E232" s="1511"/>
      <c r="F232" s="1511"/>
      <c r="G232" s="1511"/>
      <c r="H232" s="1511"/>
      <c r="I232" s="1511"/>
      <c r="J232" s="1512"/>
      <c r="K232" s="1511"/>
      <c r="L232" s="1513"/>
      <c r="M232" s="1513"/>
      <c r="N232" s="1513"/>
      <c r="O232" s="1513"/>
      <c r="P232" s="1513"/>
      <c r="Q232" s="1513"/>
      <c r="R232" s="1513"/>
      <c r="S232" s="1513"/>
      <c r="T232" s="1513"/>
      <c r="U232" s="1513"/>
      <c r="V232" s="1513"/>
      <c r="W232" s="1513"/>
      <c r="X232" s="1513"/>
      <c r="Y232" s="1513"/>
      <c r="Z232" s="1513"/>
      <c r="AA232" s="1513"/>
      <c r="AB232" s="1513"/>
      <c r="AC232" s="1513"/>
      <c r="AD232" s="1513"/>
      <c r="AE232" s="1513"/>
      <c r="AF232" s="1513"/>
      <c r="AG232" s="1513"/>
      <c r="AH232" s="1513"/>
      <c r="AI232" s="1632">
        <f>SUM(AF231,AG231,AH231,AI231)</f>
        <v>1865</v>
      </c>
      <c r="AJ232" s="1632">
        <f>SUM(AF231,AG231,AH231,AI231)</f>
        <v>1865</v>
      </c>
      <c r="AK232" s="1632">
        <f>SUM(AG231,AH231,AI231,AK231)</f>
        <v>1911.7058627363162</v>
      </c>
      <c r="AL232" s="1632">
        <f>SUM(AI231,AK231,AL231,AM231)</f>
        <v>1925.7336469295417</v>
      </c>
      <c r="AM232" s="1632">
        <f>SUM(AI231,AK231,AL231,AM231)</f>
        <v>1925.7336469295417</v>
      </c>
      <c r="AN232" s="1632">
        <f>SUM(AK231,AL231,AM231,AN231)</f>
        <v>1968</v>
      </c>
      <c r="AO232" s="1632">
        <f>SUM(AK231,AL231,AM231,AN231)</f>
        <v>1968</v>
      </c>
      <c r="AP232" s="1632">
        <f>SUM(AL231,AM231,AN231,AP231)</f>
        <v>1979.7776227410529</v>
      </c>
      <c r="AQ232" s="1632">
        <f>SUM(AN231,AP231,AQ231,AR231)</f>
        <v>2025.7060039488465</v>
      </c>
      <c r="AR232" s="1632">
        <f>SUM(AN231,AP231,AQ231,AR231)</f>
        <v>2025.7060039488465</v>
      </c>
      <c r="AS232" s="1632">
        <f>SUM(AP231,AQ231,AR231,AS231)</f>
        <v>2046.9999999999998</v>
      </c>
      <c r="AT232" s="1632">
        <f>SUM(AP231,AQ231,AR231,AS231)</f>
        <v>2046.9999999999998</v>
      </c>
      <c r="AU232" s="1632">
        <f>SUM(AQ231,AR231,AS231,AU231)</f>
        <v>2088.6749639363816</v>
      </c>
      <c r="AV232" s="1632">
        <f>SUM(AS231,AU231,AV231,AW231)</f>
        <v>2189.1249070699591</v>
      </c>
      <c r="AW232" s="1632">
        <f>SUM(AS231,AU231,AV231,AW231)</f>
        <v>2189.1249070699591</v>
      </c>
      <c r="AX232" s="1632">
        <f>SUM(AU231,AV231,AW231,AX231)</f>
        <v>2215</v>
      </c>
      <c r="AY232" s="1632">
        <f>SUM(AU231,AV231,AW231,AX231)</f>
        <v>2215</v>
      </c>
      <c r="AZ232" s="1632">
        <f>SUM(AV231,AW231,AX231,AZ231)</f>
        <v>2277.0822181016192</v>
      </c>
      <c r="BA232" s="1632">
        <f>SUM(AX231,AZ231,BA231,BB231)</f>
        <v>2408.7119510207799</v>
      </c>
      <c r="BB232" s="1632">
        <f>SUM(AX231,AZ231,BA231,BB231)</f>
        <v>2408.7119510207799</v>
      </c>
      <c r="BC232" s="1632">
        <f>SUM(AZ231,BA231,BB231,BC231)</f>
        <v>2454</v>
      </c>
      <c r="BD232" s="1632">
        <f>SUM(AZ231,BA231,BB231,BC231)</f>
        <v>2454</v>
      </c>
      <c r="BE232" s="1632">
        <f>SUM(BA231,BB231,BC231,BE231)</f>
        <v>2523.1802415069383</v>
      </c>
      <c r="BF232" s="1632">
        <f>SUM(BC231,BE231,BF231,BG231)</f>
        <v>2610.8557411555307</v>
      </c>
      <c r="BG232" s="1632">
        <f>SUM(BC231,BE231,BF231,BG231)</f>
        <v>2610.8557411555307</v>
      </c>
      <c r="BH232" s="1632">
        <f>SUM(BE231,BF231,BG231,BH231)</f>
        <v>2676</v>
      </c>
      <c r="BI232" s="1632">
        <f>SUM(BE231,BF231,BG231,BH231)</f>
        <v>2676</v>
      </c>
      <c r="BJ232" s="1632">
        <f>SUM(BF231,BG231,BH231,BJ231)</f>
        <v>2681.2223435143173</v>
      </c>
      <c r="BK232" s="1632">
        <f>SUM(BH231,BJ231,BK231,BL231)</f>
        <v>2766.7568837268805</v>
      </c>
      <c r="BL232" s="1632">
        <f>SUM(BH231,BJ231,BK231,BL231)</f>
        <v>2766.7568837268805</v>
      </c>
      <c r="BM232" s="1632">
        <f>SUM(BJ231,BK231,BL231,BM231)</f>
        <v>2816</v>
      </c>
      <c r="BN232" s="1632">
        <f>SUM(BJ231,BK231,BL231,BM231)</f>
        <v>2816</v>
      </c>
      <c r="BO232" s="1632">
        <f>SUM(BK231,BL231,BM231,BO231)</f>
        <v>2886.6181112475006</v>
      </c>
      <c r="BP232" s="1632">
        <f>SUM(BM231,BO231,BP231,BQ231)</f>
        <v>3057.1568645426432</v>
      </c>
      <c r="BQ232" s="1632">
        <f>SUM(BM231,BO231,BP231,BQ231)</f>
        <v>3057.1568645426432</v>
      </c>
      <c r="BR232" s="1632">
        <f>SUM(BO231,BP231,BQ231,BR231)</f>
        <v>3099</v>
      </c>
      <c r="BS232" s="1767">
        <f>SUM(BO231,BP231,BQ231,BR231)</f>
        <v>3099</v>
      </c>
      <c r="BT232" s="1632">
        <f>SUM(BP231,BQ231,BR231,BT231)</f>
        <v>3161.3211906447959</v>
      </c>
      <c r="BU232" s="1632">
        <f>SUM(BR231,BT231,BU231,BV231)</f>
        <v>3235.6779340942585</v>
      </c>
      <c r="BV232" s="1632">
        <f>SUM(BR231,BT231,BU231,BV231)</f>
        <v>3235.6779340942585</v>
      </c>
      <c r="BW232" s="1632">
        <f>SUM(BT231,BU231,BV231,BW231)</f>
        <v>3412</v>
      </c>
      <c r="BX232" s="1767">
        <f>SUM(BT231,BU231,BV231,BW231)</f>
        <v>3412</v>
      </c>
      <c r="BY232" s="1632">
        <f>SUM(BU231,BV231,BW231,BY231)</f>
        <v>3490.4328142005111</v>
      </c>
      <c r="BZ232" s="1632">
        <f>SUM(BW231,BY231,BZ231,CA231)</f>
        <v>3684.1242281063683</v>
      </c>
      <c r="CA232" s="1632">
        <f>SUM(BW231,BY231,BZ231,CA231)</f>
        <v>3684.1242281063683</v>
      </c>
      <c r="CB232" s="1632">
        <f>SUM(BY231,BZ231,CA231,CB231)</f>
        <v>3662</v>
      </c>
      <c r="CC232" s="1767">
        <f>SUM(BY231,BZ231,CA231,CB231)</f>
        <v>3662</v>
      </c>
      <c r="CD232" s="1768">
        <f>SUM(BZ231,CA231,CB231,CD231)</f>
        <v>3518.6753569237385</v>
      </c>
      <c r="CE232" s="1768">
        <f>SUM(CB231,CD231,CE231,CF231)</f>
        <v>3159.5732710017155</v>
      </c>
      <c r="CF232" s="1768">
        <f>SUM(CB231,CD231,CE231,CF231)</f>
        <v>3159.5732710017155</v>
      </c>
      <c r="CG232" s="1768">
        <f>SUM(CD231,CE231,CF231,CG231)</f>
        <v>3100</v>
      </c>
      <c r="CH232" s="1769">
        <f>SUM(CD231,CE231,CF231,CG231)</f>
        <v>3100</v>
      </c>
      <c r="CI232" s="1768">
        <f>SUM(CE231,CF231,CG231,CI231)</f>
        <v>3068.6735152737556</v>
      </c>
      <c r="CJ232" s="1768">
        <f>SUM(CG231,CI231,CJ231,CK231)</f>
        <v>3094.253677381419</v>
      </c>
      <c r="CK232" s="1768">
        <f>SUM(CG231,CI231,CJ231,CK231)</f>
        <v>3094.253677381419</v>
      </c>
      <c r="CL232" s="1768">
        <f>SUM(CI231,CJ231,CK231,CL231)</f>
        <v>3154.8999999999996</v>
      </c>
      <c r="CM232" s="1769">
        <f>SUM(CI231,CJ231,CK231,CL231)</f>
        <v>3154.8999999999996</v>
      </c>
      <c r="CN232" s="1768">
        <f>SUM(CJ231,CK231,CL231,CN231)</f>
        <v>3025.9441870335186</v>
      </c>
      <c r="CO232" s="1768">
        <f>SUM(CL231,CN231,CO231,CP231)</f>
        <v>2493.5232774550827</v>
      </c>
      <c r="CP232" s="1768">
        <f>SUM(CL231,CN231,CO231,CP231)</f>
        <v>2493.5232774550827</v>
      </c>
      <c r="CQ232" s="1928">
        <f>SUM(CN231,CO231,CP231,CQ231)</f>
        <v>2086.7810000000004</v>
      </c>
      <c r="CR232" s="1988">
        <f>SUM(CN231,CO231,CP231,CQ231)</f>
        <v>2086.7810000000004</v>
      </c>
      <c r="CS232" s="2110">
        <f>SUM(CO231,CP231,CQ231,CS231)</f>
        <v>2026.9440348773974</v>
      </c>
      <c r="CT232" s="2110">
        <f>SUM(CQ231,CS231,CT231,CU231)</f>
        <v>2101.903978252863</v>
      </c>
      <c r="CU232" s="2110">
        <f>SUM(CQ231,CS231,CT231,CU231)</f>
        <v>2101.903978252863</v>
      </c>
      <c r="CV232" s="320">
        <f>SUM(CS231,CT231,CU231,CV231)</f>
        <v>2204</v>
      </c>
      <c r="CW232" s="159">
        <f>SUM(CS231,CT231,CU231,CV231)</f>
        <v>2204</v>
      </c>
      <c r="CX232" s="320">
        <f>SUM(CT231,CU231,CV231,CX231)</f>
        <v>2248.5587345675904</v>
      </c>
      <c r="CY232" s="320">
        <f>SUM(CV231,CX231,CY231,CZ231)</f>
        <v>2339.7398030436248</v>
      </c>
      <c r="CZ232" s="320">
        <f>SUM(CV231,CX231,CY231,CZ231)</f>
        <v>2339.7398030436248</v>
      </c>
      <c r="DA232" s="320">
        <f>SUM(CX231,CY231,CZ231,DA231)</f>
        <v>2255</v>
      </c>
      <c r="DB232" s="159">
        <f>SUM(CX231,CY231,CZ231,DA231)</f>
        <v>2255</v>
      </c>
      <c r="DC232" s="320">
        <f>SUM(CY231,CZ231,DA231,DC231)</f>
        <v>2241.5479891385776</v>
      </c>
      <c r="DD232" s="320">
        <f>SUM(DA231,DC231,DD231,DE231)</f>
        <v>2170.0380471446597</v>
      </c>
      <c r="DE232" s="320">
        <f>SUM(DA231,DC231,DD231,DE231)</f>
        <v>2170.0380471446597</v>
      </c>
      <c r="DF232" s="320">
        <f>SUM(DC231,DD231,DE231,DF231)</f>
        <v>2200.2005128587534</v>
      </c>
      <c r="DG232" s="159">
        <f>SUM(DC231,DD231,DE231,DF231)</f>
        <v>2200.2005128587534</v>
      </c>
      <c r="DH232" s="320">
        <f>SUM(DD231,DE231,DF231,DH231)</f>
        <v>2215.9539432732927</v>
      </c>
      <c r="DI232" s="320">
        <f>SUM(DF231,DH231,DI231,DJ231)</f>
        <v>2266.2015429687222</v>
      </c>
      <c r="DJ232" s="320">
        <f>SUM(DF231,DH231,DI231,DJ231)</f>
        <v>2266.2015429687222</v>
      </c>
      <c r="DK232" s="320">
        <f>SUM(DH231,DI231,DJ231,DK231)</f>
        <v>2306.37981926066</v>
      </c>
      <c r="DL232" s="159">
        <f>SUM(DH231,DI231,DJ231,DK231)</f>
        <v>2306.37981926066</v>
      </c>
      <c r="DM232" s="320">
        <f>SUM(DI231,DJ231,DK231,DM231)</f>
        <v>2314.7473647646229</v>
      </c>
      <c r="DN232" s="320">
        <f>SUM(DK231,DM231,DN231,DO231)</f>
        <v>2353.3477505786423</v>
      </c>
      <c r="DO232" s="320">
        <f>SUM(DK231,DM231,DN231,DO231)</f>
        <v>2353.3477505786423</v>
      </c>
      <c r="DP232" s="320">
        <f>SUM(DM231,DN231,DO231,DP231)</f>
        <v>2399.5438109193669</v>
      </c>
      <c r="DQ232" s="159">
        <f>SUM(DM231,DN231,DO231,DP231)</f>
        <v>2399.5438109193669</v>
      </c>
      <c r="DR232" s="320">
        <f>SUM(DN231,DO231,DP231,DR231)</f>
        <v>2438.3849284081316</v>
      </c>
      <c r="DS232" s="320">
        <f>SUM(DP231,DR231,DS231,DT231)</f>
        <v>2522.7140659931911</v>
      </c>
      <c r="DT232" s="320">
        <f>SUM(DP231,DR231,DS231,DT231)</f>
        <v>2522.7140659931911</v>
      </c>
      <c r="DU232" s="320">
        <f>SUM(DR231,DS231,DT231,DU231)</f>
        <v>2576.5391362398113</v>
      </c>
      <c r="DV232" s="159">
        <f>SUM(DR231,DS231,DT231,DU231)</f>
        <v>2576.5391362398113</v>
      </c>
      <c r="DW232" s="320">
        <f>SUM(DS231,DT231,DU231,DW231)</f>
        <v>2615.541926886036</v>
      </c>
      <c r="DX232" s="320">
        <f>SUM(DU231,DW231,DX231,DY231)</f>
        <v>2704.0806847774124</v>
      </c>
      <c r="DY232" s="320">
        <f>SUM(DU231,DW231,DX231,DY231)</f>
        <v>2704.0806847774124</v>
      </c>
      <c r="DZ232" s="320">
        <f>SUM(DW231,DX231,DY231,DZ231)</f>
        <v>2762.4529291145386</v>
      </c>
      <c r="EA232" s="159">
        <f>SUM(DW231,DX231,DY231,DZ231)</f>
        <v>2762.4529291145386</v>
      </c>
      <c r="EB232" s="156"/>
      <c r="EC232" s="156"/>
      <c r="ED232" s="156"/>
      <c r="EE232" s="156"/>
      <c r="EF232" s="321"/>
      <c r="EG232" s="156"/>
      <c r="EH232" s="1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row>
    <row r="233" spans="1:259" s="15" customFormat="1" x14ac:dyDescent="0.2">
      <c r="J233" s="116"/>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929"/>
      <c r="CO233" s="705"/>
      <c r="CP233" s="33"/>
      <c r="CQ233" s="1018"/>
      <c r="CR233" s="1018"/>
      <c r="CS233" s="1249"/>
      <c r="CT233" s="1249"/>
      <c r="CU233" s="1249"/>
      <c r="CV233" s="33"/>
      <c r="CW233" s="33"/>
      <c r="CX233" s="705"/>
      <c r="CY233" s="705"/>
      <c r="CZ233" s="705"/>
      <c r="DA233" s="705"/>
      <c r="DB233" s="705"/>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C233" s="33"/>
      <c r="ED233" s="321"/>
      <c r="EE233" s="321"/>
      <c r="EF233" s="321"/>
      <c r="EG233" s="321"/>
      <c r="EH233" s="132"/>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row>
  </sheetData>
  <phoneticPr fontId="9" type="noConversion"/>
  <printOptions horizontalCentered="1" verticalCentered="1"/>
  <pageMargins left="0" right="0" top="0" bottom="0" header="0" footer="0"/>
  <pageSetup paperSize="5" scale="56"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FA279"/>
  <sheetViews>
    <sheetView showGridLines="0" zoomScaleNormal="100" workbookViewId="0">
      <pane xSplit="1" ySplit="9" topLeftCell="CT100" activePane="bottomRight" state="frozen"/>
      <selection activeCell="E25" sqref="E25"/>
      <selection pane="topRight" activeCell="E25" sqref="E25"/>
      <selection pane="bottomLeft" activeCell="E25" sqref="E25"/>
      <selection pane="bottomRight" activeCell="DJ124" sqref="DJ124"/>
    </sheetView>
  </sheetViews>
  <sheetFormatPr defaultRowHeight="12.75" outlineLevelRow="1" outlineLevelCol="3" x14ac:dyDescent="0.2"/>
  <cols>
    <col min="1" max="1" width="35.85546875" customWidth="1"/>
    <col min="2" max="67" width="8.5703125" hidden="1" customWidth="1" outlineLevel="1"/>
    <col min="68" max="68" width="8.5703125" hidden="1" customWidth="1" outlineLevel="1" collapsed="1"/>
    <col min="69" max="72" width="8.5703125" hidden="1" customWidth="1" outlineLevel="1"/>
    <col min="73" max="73" width="8.5703125" hidden="1" customWidth="1" outlineLevel="2" collapsed="1"/>
    <col min="74" max="77" width="8.5703125" hidden="1" customWidth="1" outlineLevel="3"/>
    <col min="78" max="78" width="8.5703125" hidden="1" customWidth="1" outlineLevel="2" collapsed="1"/>
    <col min="79" max="81" width="8.5703125" hidden="1" customWidth="1" outlineLevel="3"/>
    <col min="82" max="82" width="8.5703125" style="555" hidden="1" customWidth="1" outlineLevel="3"/>
    <col min="83" max="83" width="8.5703125" style="555" hidden="1" customWidth="1" outlineLevel="2" collapsed="1"/>
    <col min="84" max="87" width="8.5703125" hidden="1" customWidth="1" outlineLevel="3"/>
    <col min="88" max="88" width="8.5703125" hidden="1" customWidth="1" outlineLevel="2" collapsed="1"/>
    <col min="89" max="90" width="8.5703125" hidden="1" customWidth="1" outlineLevel="2"/>
    <col min="91" max="93" width="8.5703125" style="844" hidden="1" customWidth="1" outlineLevel="2"/>
    <col min="94" max="94" width="8.5703125" style="853" hidden="1" customWidth="1" outlineLevel="2"/>
    <col min="95" max="97" width="8.5703125" style="844" hidden="1" customWidth="1" outlineLevel="2"/>
    <col min="98" max="98" width="8.5703125" style="844" customWidth="1" collapsed="1"/>
    <col min="99" max="102" width="8.5703125" style="844" hidden="1" customWidth="1" outlineLevel="1"/>
    <col min="103" max="103" width="8.5703125" style="844" customWidth="1" collapsed="1"/>
    <col min="104" max="104" width="8.5703125" style="844" customWidth="1" outlineLevel="1"/>
    <col min="105" max="106" width="8.5703125" customWidth="1" outlineLevel="1"/>
    <col min="107" max="107" width="8.5703125" style="844" customWidth="1" outlineLevel="1"/>
    <col min="108" max="108" width="8.5703125" style="844" customWidth="1"/>
    <col min="109" max="112" width="8.5703125" style="1234" customWidth="1" outlineLevel="1"/>
    <col min="113" max="113" width="8.5703125" style="1234" customWidth="1"/>
    <col min="114" max="117" width="8.5703125" customWidth="1" outlineLevel="2"/>
    <col min="118" max="118" width="8.5703125" customWidth="1" outlineLevel="1"/>
    <col min="119" max="122" width="8.5703125" hidden="1" customWidth="1" outlineLevel="2"/>
    <col min="123" max="123" width="8.5703125" customWidth="1" outlineLevel="1" collapsed="1"/>
    <col min="124" max="127" width="8.5703125" style="2152" hidden="1" customWidth="1" outlineLevel="2"/>
    <col min="128" max="128" width="8.5703125" style="2152" customWidth="1" outlineLevel="1" collapsed="1"/>
    <col min="129" max="132" width="8.5703125" style="2152" hidden="1" customWidth="1" outlineLevel="2"/>
    <col min="133" max="133" width="8.5703125" style="2152" customWidth="1" outlineLevel="1" collapsed="1"/>
    <col min="134" max="135" width="8.5703125" customWidth="1"/>
    <col min="136" max="136" width="57.5703125" bestFit="1" customWidth="1"/>
    <col min="137" max="137" width="12.42578125" bestFit="1" customWidth="1"/>
    <col min="138" max="138" width="27.5703125" customWidth="1"/>
    <col min="139" max="139" width="11.28515625" bestFit="1" customWidth="1"/>
    <col min="140" max="140" width="18" bestFit="1" customWidth="1"/>
    <col min="141" max="141" width="10.140625" bestFit="1" customWidth="1"/>
  </cols>
  <sheetData>
    <row r="1" spans="1:157" s="114" customFormat="1" ht="51" customHeight="1" x14ac:dyDescent="0.2">
      <c r="A1" s="142"/>
      <c r="B1" s="163"/>
      <c r="C1" s="163"/>
      <c r="D1" s="163"/>
      <c r="E1" s="163"/>
      <c r="F1" s="163"/>
      <c r="G1" s="163"/>
      <c r="H1" s="163"/>
      <c r="I1" s="163"/>
      <c r="J1" s="163"/>
      <c r="K1" s="163"/>
      <c r="L1" s="163"/>
      <c r="M1" s="164"/>
      <c r="N1" s="164"/>
      <c r="O1" s="164"/>
      <c r="P1" s="164"/>
      <c r="Q1" s="164"/>
      <c r="V1" s="165"/>
      <c r="AR1" s="166"/>
      <c r="AS1" s="166"/>
      <c r="AT1" s="166"/>
      <c r="AU1" s="166"/>
      <c r="CP1" s="865"/>
      <c r="CT1" s="2206"/>
      <c r="CW1" s="1236"/>
      <c r="CX1" s="1236"/>
      <c r="CY1" s="1236"/>
      <c r="CZ1" s="1236"/>
      <c r="DA1" s="1236"/>
      <c r="DB1" s="1236"/>
      <c r="DC1" s="1236"/>
      <c r="DD1" s="1236"/>
      <c r="DE1" s="1236"/>
      <c r="DF1" s="1236"/>
      <c r="DG1" s="1236"/>
      <c r="DH1" s="1236"/>
      <c r="DI1" s="1236"/>
      <c r="DJ1" s="1236">
        <f>DJ53-DI53</f>
        <v>0</v>
      </c>
      <c r="DK1" s="1236">
        <f t="shared" ref="DK1:DS1" si="0">DK53-DJ53</f>
        <v>0</v>
      </c>
      <c r="DL1" s="1236">
        <f t="shared" si="0"/>
        <v>0</v>
      </c>
      <c r="DM1" s="1236">
        <f t="shared" si="0"/>
        <v>0</v>
      </c>
      <c r="DN1" s="1236">
        <f t="shared" si="0"/>
        <v>0</v>
      </c>
      <c r="DO1" s="1236">
        <f t="shared" si="0"/>
        <v>0</v>
      </c>
      <c r="DP1" s="1236">
        <f t="shared" si="0"/>
        <v>0</v>
      </c>
      <c r="DQ1" s="1236">
        <f t="shared" si="0"/>
        <v>0</v>
      </c>
      <c r="DR1" s="1236">
        <f t="shared" si="0"/>
        <v>0</v>
      </c>
      <c r="DS1" s="1236">
        <f t="shared" si="0"/>
        <v>0</v>
      </c>
      <c r="DT1" s="1236">
        <f t="shared" ref="DT1" si="1">DT53-DS53</f>
        <v>0</v>
      </c>
      <c r="DU1" s="1236">
        <f t="shared" ref="DU1" si="2">DU53-DT53</f>
        <v>0</v>
      </c>
      <c r="DV1" s="1236">
        <f t="shared" ref="DV1" si="3">DV53-DU53</f>
        <v>0</v>
      </c>
      <c r="DW1" s="1236">
        <f t="shared" ref="DW1" si="4">DW53-DV53</f>
        <v>0</v>
      </c>
      <c r="DX1" s="1236">
        <f t="shared" ref="DX1" si="5">DX53-DW53</f>
        <v>0</v>
      </c>
      <c r="DY1" s="1236">
        <f t="shared" ref="DY1" si="6">DY53-DX53</f>
        <v>0</v>
      </c>
      <c r="DZ1" s="1236">
        <f t="shared" ref="DZ1" si="7">DZ53-DY53</f>
        <v>0</v>
      </c>
      <c r="EA1" s="1236">
        <f t="shared" ref="EA1" si="8">EA53-DZ53</f>
        <v>4.5474735088646412E-12</v>
      </c>
      <c r="EB1" s="1236">
        <f t="shared" ref="EB1" si="9">EB53-EA53</f>
        <v>-4.5474735088646412E-12</v>
      </c>
      <c r="EC1" s="1236">
        <f t="shared" ref="EC1" si="10">EC53-EB53</f>
        <v>0</v>
      </c>
      <c r="EF1"/>
      <c r="EG1"/>
      <c r="EH1"/>
      <c r="EI1"/>
      <c r="EJ1"/>
      <c r="EK1"/>
      <c r="EL1"/>
      <c r="EM1"/>
      <c r="EN1"/>
      <c r="EO1"/>
      <c r="EP1"/>
      <c r="EQ1"/>
      <c r="ER1"/>
      <c r="ES1"/>
      <c r="ET1"/>
      <c r="EU1"/>
      <c r="EV1"/>
      <c r="EW1"/>
      <c r="EX1"/>
      <c r="EY1"/>
      <c r="EZ1"/>
      <c r="FA1"/>
    </row>
    <row r="2" spans="1:157" s="15" customFormat="1" x14ac:dyDescent="0.2">
      <c r="A2" s="11" t="s">
        <v>340</v>
      </c>
      <c r="M2" s="118"/>
      <c r="N2" s="118"/>
      <c r="O2" s="118"/>
      <c r="P2" s="118"/>
      <c r="Q2" s="118"/>
      <c r="V2" s="116"/>
      <c r="AR2" s="119"/>
      <c r="AS2" s="119"/>
      <c r="AT2" s="119"/>
      <c r="AU2" s="119"/>
      <c r="AV2" s="62"/>
      <c r="BA2" s="290"/>
      <c r="CP2" s="851"/>
      <c r="CT2" s="62"/>
      <c r="CU2" s="291"/>
      <c r="CV2" s="291"/>
      <c r="CW2" s="291"/>
      <c r="CX2" s="291"/>
      <c r="CZ2" s="291"/>
      <c r="DA2" s="291"/>
      <c r="DB2" s="291"/>
      <c r="DC2" s="291"/>
      <c r="DD2" s="291"/>
      <c r="DE2" s="291"/>
      <c r="DF2" s="291"/>
      <c r="DG2" s="291"/>
      <c r="DH2" s="291"/>
      <c r="DI2" s="291"/>
      <c r="EF2"/>
      <c r="EG2"/>
      <c r="EH2"/>
      <c r="EI2"/>
      <c r="EJ2"/>
      <c r="EK2"/>
      <c r="EL2"/>
      <c r="EM2"/>
      <c r="EN2"/>
      <c r="EO2"/>
      <c r="EP2"/>
      <c r="EQ2"/>
      <c r="ER2"/>
      <c r="ES2"/>
      <c r="ET2"/>
      <c r="EU2"/>
      <c r="EV2"/>
      <c r="EW2"/>
      <c r="EX2"/>
      <c r="EY2"/>
      <c r="EZ2"/>
      <c r="FA2"/>
    </row>
    <row r="3" spans="1:157" s="15" customFormat="1" x14ac:dyDescent="0.2">
      <c r="A3" s="693"/>
      <c r="M3" s="118"/>
      <c r="N3" s="118"/>
      <c r="O3" s="118"/>
      <c r="P3" s="118"/>
      <c r="Q3" s="118"/>
      <c r="V3" s="116"/>
      <c r="AR3" s="119"/>
      <c r="AS3" s="119"/>
      <c r="AT3" s="119"/>
      <c r="AU3" s="119"/>
      <c r="BA3" s="381"/>
      <c r="CP3" s="851"/>
      <c r="CU3" s="62"/>
      <c r="CV3" s="62"/>
      <c r="CW3" s="62"/>
      <c r="CZ3" s="290"/>
      <c r="DA3" s="290"/>
      <c r="DB3" s="290"/>
      <c r="DC3" s="290"/>
      <c r="DD3" s="290"/>
      <c r="DE3" s="290"/>
      <c r="DF3" s="290"/>
      <c r="DG3" s="290"/>
      <c r="DH3" s="290"/>
      <c r="DI3" s="290"/>
      <c r="EF3"/>
      <c r="EG3"/>
      <c r="EH3"/>
      <c r="EI3"/>
      <c r="EJ3"/>
      <c r="EK3"/>
      <c r="EL3"/>
      <c r="EM3"/>
      <c r="EN3"/>
      <c r="EO3"/>
      <c r="EP3"/>
      <c r="EQ3"/>
      <c r="ER3"/>
      <c r="ES3"/>
      <c r="ET3"/>
      <c r="EU3"/>
      <c r="EV3"/>
      <c r="EW3"/>
      <c r="EX3"/>
      <c r="EY3"/>
      <c r="EZ3"/>
      <c r="FA3"/>
    </row>
    <row r="4" spans="1:157" hidden="1" outlineLevel="1" x14ac:dyDescent="0.2">
      <c r="CD4"/>
      <c r="CE4"/>
      <c r="CM4"/>
      <c r="CN4"/>
      <c r="CO4"/>
      <c r="CP4"/>
      <c r="CQ4"/>
      <c r="CR4"/>
      <c r="CS4"/>
      <c r="CT4"/>
      <c r="CU4"/>
      <c r="CV4"/>
      <c r="CW4"/>
      <c r="CX4"/>
      <c r="CY4"/>
      <c r="CZ4"/>
      <c r="DC4"/>
      <c r="DD4"/>
      <c r="DE4"/>
      <c r="DF4"/>
      <c r="DG4"/>
      <c r="DH4"/>
      <c r="DI4"/>
      <c r="DT4"/>
      <c r="DU4"/>
      <c r="DV4"/>
      <c r="DW4"/>
      <c r="DX4"/>
      <c r="DY4"/>
      <c r="DZ4"/>
      <c r="EA4"/>
      <c r="EB4"/>
      <c r="EC4"/>
    </row>
    <row r="5" spans="1:157" s="1239" customFormat="1" hidden="1" outlineLevel="1" x14ac:dyDescent="0.2">
      <c r="A5" s="1238"/>
      <c r="M5" s="1240"/>
      <c r="N5" s="1240"/>
      <c r="O5" s="1240"/>
      <c r="P5" s="1240"/>
      <c r="Q5" s="1240"/>
      <c r="V5" s="1241"/>
      <c r="AR5" s="1242"/>
      <c r="AS5" s="1242"/>
      <c r="AT5" s="1242"/>
      <c r="AU5" s="1242"/>
      <c r="AV5" s="1242"/>
      <c r="AW5" s="1242"/>
      <c r="AX5" s="1242"/>
      <c r="AY5" s="1242"/>
      <c r="AZ5" s="1242"/>
      <c r="BA5" s="1242"/>
      <c r="BB5" s="1242"/>
      <c r="BC5" s="1242"/>
      <c r="BD5" s="1242"/>
      <c r="BE5" s="1242"/>
      <c r="BF5" s="1242"/>
      <c r="BG5" s="1242"/>
      <c r="BH5" s="1242"/>
      <c r="BI5" s="1242"/>
      <c r="BJ5" s="1242"/>
      <c r="BK5" s="1242"/>
      <c r="BL5" s="1242"/>
      <c r="BM5" s="1242"/>
      <c r="BN5" s="1242"/>
      <c r="BO5" s="1242"/>
      <c r="BP5" s="1242"/>
      <c r="BQ5" s="1242"/>
      <c r="BR5" s="1242"/>
      <c r="BS5" s="1242"/>
      <c r="BT5" s="1242"/>
      <c r="BU5" s="1317"/>
      <c r="BV5" s="1317"/>
      <c r="BW5" s="1317"/>
      <c r="BX5" s="1317"/>
      <c r="BY5" s="1317"/>
      <c r="BZ5" s="1317"/>
      <c r="CA5" s="1317"/>
      <c r="CB5" s="1317"/>
      <c r="CC5" s="1317"/>
      <c r="CD5" s="1317"/>
      <c r="CE5" s="1317"/>
      <c r="CF5" s="1317"/>
      <c r="CG5" s="1317"/>
      <c r="CH5" s="1317"/>
      <c r="CI5" s="1317"/>
      <c r="CJ5" s="1317"/>
      <c r="CK5" s="1317"/>
      <c r="CL5" s="1317"/>
      <c r="CM5" s="1317"/>
      <c r="CN5" s="1317"/>
      <c r="CO5" s="1317"/>
      <c r="CP5" s="1318"/>
      <c r="CQ5" s="1317"/>
      <c r="CR5" s="1317"/>
      <c r="CS5" s="1317"/>
      <c r="CT5" s="1317" t="s">
        <v>232</v>
      </c>
      <c r="CU5" s="1317"/>
      <c r="CV5" s="1317"/>
      <c r="CW5" s="1317"/>
      <c r="CX5" s="1317"/>
      <c r="CY5" s="1317" t="s">
        <v>343</v>
      </c>
      <c r="CZ5" s="1317" t="s">
        <v>596</v>
      </c>
      <c r="DA5" s="1317" t="s">
        <v>597</v>
      </c>
      <c r="DB5" s="1317" t="s">
        <v>598</v>
      </c>
      <c r="DC5" s="1317" t="s">
        <v>599</v>
      </c>
      <c r="DD5" s="1317" t="s">
        <v>600</v>
      </c>
      <c r="DE5" s="1317" t="s">
        <v>614</v>
      </c>
      <c r="DF5" s="1317" t="s">
        <v>615</v>
      </c>
      <c r="DG5" s="1317" t="s">
        <v>616</v>
      </c>
      <c r="DH5" s="1317" t="s">
        <v>617</v>
      </c>
      <c r="DI5" s="1317" t="s">
        <v>618</v>
      </c>
      <c r="DJ5" s="1317" t="s">
        <v>663</v>
      </c>
      <c r="DK5" s="1317" t="s">
        <v>664</v>
      </c>
      <c r="DL5" s="1317" t="s">
        <v>665</v>
      </c>
      <c r="DM5" s="1317" t="s">
        <v>666</v>
      </c>
      <c r="DN5" s="1317" t="s">
        <v>667</v>
      </c>
      <c r="DO5" s="1317"/>
      <c r="DP5" s="1317"/>
      <c r="DQ5" s="1317"/>
      <c r="DR5" s="1317"/>
      <c r="DS5" s="1317"/>
      <c r="DT5" s="1317"/>
      <c r="DU5" s="1317"/>
      <c r="DV5" s="1317"/>
      <c r="DW5" s="1317"/>
      <c r="DX5" s="1317"/>
      <c r="DY5" s="1317"/>
      <c r="DZ5" s="1317"/>
      <c r="EA5" s="1317"/>
      <c r="EB5" s="1317"/>
      <c r="EC5" s="1317"/>
      <c r="EF5"/>
      <c r="EG5"/>
      <c r="EH5"/>
      <c r="EI5"/>
      <c r="EJ5"/>
      <c r="EK5"/>
      <c r="EL5"/>
      <c r="EM5"/>
      <c r="EN5"/>
      <c r="EO5"/>
      <c r="EP5"/>
      <c r="EQ5"/>
      <c r="ER5"/>
      <c r="ES5"/>
      <c r="ET5"/>
      <c r="EU5"/>
      <c r="EV5"/>
      <c r="EW5"/>
      <c r="EX5"/>
      <c r="EY5"/>
      <c r="EZ5"/>
      <c r="FA5"/>
    </row>
    <row r="6" spans="1:157" s="15" customFormat="1" ht="15.75" collapsed="1" x14ac:dyDescent="0.25">
      <c r="A6" s="1184" t="s">
        <v>154</v>
      </c>
      <c r="B6" s="1319"/>
      <c r="C6" s="1319"/>
      <c r="D6" s="1319"/>
      <c r="E6" s="1319"/>
      <c r="F6" s="1319"/>
      <c r="G6" s="1319"/>
      <c r="H6" s="1319"/>
      <c r="I6" s="1319"/>
      <c r="J6" s="1319"/>
      <c r="K6" s="1319"/>
      <c r="L6" s="1319"/>
      <c r="M6" s="1320"/>
      <c r="N6" s="1320"/>
      <c r="O6" s="1320"/>
      <c r="P6" s="1320"/>
      <c r="Q6" s="1320"/>
      <c r="R6" s="1160"/>
      <c r="S6" s="1160"/>
      <c r="T6" s="1160"/>
      <c r="U6" s="1160"/>
      <c r="V6" s="1160"/>
      <c r="W6" s="1160"/>
      <c r="X6" s="1160"/>
      <c r="Y6" s="1160"/>
      <c r="Z6" s="1160"/>
      <c r="AA6" s="1160"/>
      <c r="AB6" s="1160"/>
      <c r="AC6" s="1160"/>
      <c r="AD6" s="1160"/>
      <c r="AE6" s="1160"/>
      <c r="AF6" s="1160"/>
      <c r="AG6" s="1160"/>
      <c r="AH6" s="1160"/>
      <c r="AI6" s="1160"/>
      <c r="AJ6" s="1160"/>
      <c r="AK6" s="1160"/>
      <c r="AL6" s="1160"/>
      <c r="AM6" s="1160"/>
      <c r="AN6" s="1160"/>
      <c r="AO6" s="1160"/>
      <c r="AP6" s="1160"/>
      <c r="AQ6" s="1160"/>
      <c r="AR6" s="1321"/>
      <c r="AS6" s="1321"/>
      <c r="AT6" s="1321"/>
      <c r="AU6" s="1321"/>
      <c r="AV6" s="1160"/>
      <c r="AW6" s="1319"/>
      <c r="AX6" s="1160"/>
      <c r="AY6" s="1160"/>
      <c r="AZ6" s="1160"/>
      <c r="BA6" s="1160"/>
      <c r="BB6" s="1319"/>
      <c r="BC6" s="1160"/>
      <c r="BD6" s="1160"/>
      <c r="BE6" s="1160"/>
      <c r="BF6" s="1160"/>
      <c r="BG6" s="1319"/>
      <c r="BH6" s="1160"/>
      <c r="BI6" s="1160"/>
      <c r="BJ6" s="1160"/>
      <c r="BK6" s="1160"/>
      <c r="BL6" s="1319"/>
      <c r="BM6" s="1160"/>
      <c r="BN6" s="1160"/>
      <c r="BO6" s="1160"/>
      <c r="BP6" s="1160"/>
      <c r="BQ6" s="1319"/>
      <c r="BR6" s="1160"/>
      <c r="BS6" s="1160"/>
      <c r="BT6" s="1160"/>
      <c r="BU6" s="1160"/>
      <c r="BV6" s="1319"/>
      <c r="BW6" s="1160"/>
      <c r="BX6" s="1160"/>
      <c r="BY6" s="1160"/>
      <c r="BZ6" s="1160"/>
      <c r="CA6" s="1319"/>
      <c r="CB6" s="1160"/>
      <c r="CC6" s="1160"/>
      <c r="CD6" s="1160"/>
      <c r="CE6" s="1160"/>
      <c r="CF6" s="1319"/>
      <c r="CG6" s="1160"/>
      <c r="CH6" s="1160"/>
      <c r="CI6" s="1160"/>
      <c r="CJ6" s="1160"/>
      <c r="CK6" s="1319"/>
      <c r="CL6" s="1160"/>
      <c r="CM6" s="1160"/>
      <c r="CN6" s="1160"/>
      <c r="CO6" s="1160"/>
      <c r="CP6" s="1322"/>
      <c r="CQ6" s="1160"/>
      <c r="CR6" s="1160"/>
      <c r="CS6" s="1160"/>
      <c r="CT6" s="1160"/>
      <c r="CU6" s="1319"/>
      <c r="CV6" s="1160"/>
      <c r="CW6" s="1160"/>
      <c r="CX6" s="1160"/>
      <c r="CY6" s="1160"/>
      <c r="CZ6" s="1319"/>
      <c r="DA6" s="1160"/>
      <c r="DB6" s="1160"/>
      <c r="DC6" s="1160"/>
      <c r="DD6" s="1160"/>
      <c r="DE6" s="1319"/>
      <c r="DF6" s="1160"/>
      <c r="DG6" s="1160"/>
      <c r="DH6" s="1160"/>
      <c r="DI6" s="1160"/>
      <c r="DJ6" s="1319"/>
      <c r="DK6" s="1160"/>
      <c r="DL6" s="1160"/>
      <c r="DM6" s="1160"/>
      <c r="DN6" s="1160"/>
      <c r="DO6" s="1319"/>
      <c r="DP6" s="1160"/>
      <c r="DQ6" s="1160"/>
      <c r="DR6" s="1160"/>
      <c r="DS6" s="1161"/>
      <c r="DT6" s="1319"/>
      <c r="DU6" s="1160"/>
      <c r="DV6" s="1160"/>
      <c r="DW6" s="1160"/>
      <c r="DX6" s="1161"/>
      <c r="DY6" s="1319"/>
      <c r="DZ6" s="1160"/>
      <c r="EA6" s="1160"/>
      <c r="EB6" s="1160"/>
      <c r="EC6" s="1161"/>
      <c r="EF6"/>
      <c r="EG6"/>
      <c r="EH6"/>
      <c r="EI6"/>
      <c r="EJ6"/>
      <c r="EK6"/>
      <c r="EL6"/>
      <c r="EM6"/>
      <c r="EN6"/>
      <c r="EO6"/>
      <c r="EP6"/>
      <c r="EQ6"/>
      <c r="ER6"/>
      <c r="ES6"/>
      <c r="ET6"/>
      <c r="EU6"/>
      <c r="EV6"/>
      <c r="EW6"/>
      <c r="EX6"/>
      <c r="EY6"/>
      <c r="EZ6"/>
      <c r="FA6"/>
    </row>
    <row r="7" spans="1:157" s="54" customFormat="1" ht="2.1" customHeight="1" x14ac:dyDescent="0.2">
      <c r="A7" s="558"/>
      <c r="B7" s="167"/>
      <c r="C7" s="167"/>
      <c r="D7" s="167"/>
      <c r="E7" s="167"/>
      <c r="F7" s="167"/>
      <c r="G7" s="167"/>
      <c r="H7" s="167"/>
      <c r="I7" s="167"/>
      <c r="J7" s="167"/>
      <c r="K7" s="167"/>
      <c r="L7" s="167"/>
      <c r="M7" s="168"/>
      <c r="N7" s="168"/>
      <c r="O7" s="168"/>
      <c r="P7" s="168"/>
      <c r="Q7" s="168"/>
      <c r="R7" s="557"/>
      <c r="V7" s="116"/>
      <c r="W7" s="168"/>
      <c r="X7" s="15"/>
      <c r="Y7" s="15"/>
      <c r="Z7" s="15"/>
      <c r="AA7" s="15"/>
      <c r="AB7" s="168"/>
      <c r="AD7" s="15"/>
      <c r="AF7" s="15"/>
      <c r="AG7" s="118"/>
      <c r="AH7" s="15"/>
      <c r="AI7" s="15"/>
      <c r="AJ7" s="15"/>
      <c r="AK7" s="15"/>
      <c r="AL7" s="118"/>
      <c r="AM7" s="15"/>
      <c r="AN7" s="15"/>
      <c r="AO7" s="15"/>
      <c r="AP7" s="15"/>
      <c r="AQ7" s="118"/>
      <c r="AR7" s="119"/>
      <c r="AS7" s="119"/>
      <c r="AT7" s="119"/>
      <c r="AU7" s="119"/>
      <c r="AV7" s="118"/>
      <c r="BU7" s="15"/>
      <c r="BV7" s="15"/>
      <c r="BW7" s="15"/>
      <c r="BX7" s="15"/>
      <c r="BY7" s="15"/>
      <c r="BZ7" s="15"/>
      <c r="CA7" s="15"/>
      <c r="CB7" s="15"/>
      <c r="CD7" s="15"/>
      <c r="CE7" s="444"/>
      <c r="CL7" s="15"/>
      <c r="CM7" s="15"/>
      <c r="CN7" s="15"/>
      <c r="CO7" s="15"/>
      <c r="CP7" s="851"/>
      <c r="CQ7" s="15"/>
      <c r="CR7" s="15"/>
      <c r="CS7" s="15"/>
      <c r="CT7" s="15"/>
      <c r="CU7" s="15"/>
      <c r="CV7" s="15"/>
      <c r="CW7" s="15"/>
      <c r="CX7" s="15"/>
      <c r="CY7" s="15"/>
      <c r="CZ7" s="15"/>
      <c r="DC7" s="15"/>
      <c r="DD7" s="15"/>
      <c r="EF7"/>
      <c r="EG7"/>
      <c r="EH7"/>
      <c r="EI7"/>
      <c r="EJ7"/>
      <c r="EK7"/>
      <c r="EL7"/>
      <c r="EM7"/>
      <c r="EN7"/>
      <c r="EO7"/>
      <c r="EP7"/>
      <c r="EQ7"/>
      <c r="ER7"/>
      <c r="ES7"/>
      <c r="ET7"/>
      <c r="EU7"/>
      <c r="EV7"/>
      <c r="EW7"/>
      <c r="EX7"/>
      <c r="EY7"/>
      <c r="EZ7"/>
      <c r="FA7"/>
    </row>
    <row r="8" spans="1:157" s="15" customFormat="1" x14ac:dyDescent="0.2">
      <c r="A8" s="591" t="s">
        <v>523</v>
      </c>
      <c r="B8" s="582"/>
      <c r="C8" s="583"/>
      <c r="D8" s="583"/>
      <c r="E8" s="583"/>
      <c r="F8" s="583"/>
      <c r="G8" s="581"/>
      <c r="H8" s="584"/>
      <c r="I8" s="585"/>
      <c r="J8" s="585"/>
      <c r="K8" s="585"/>
      <c r="L8" s="586"/>
      <c r="M8" s="587"/>
      <c r="N8" s="588" t="s">
        <v>520</v>
      </c>
      <c r="O8" s="588" t="s">
        <v>520</v>
      </c>
      <c r="P8" s="588" t="s">
        <v>520</v>
      </c>
      <c r="Q8" s="588" t="s">
        <v>521</v>
      </c>
      <c r="R8" s="587"/>
      <c r="S8" s="588" t="s">
        <v>520</v>
      </c>
      <c r="T8" s="588" t="s">
        <v>520</v>
      </c>
      <c r="U8" s="588" t="s">
        <v>520</v>
      </c>
      <c r="V8" s="589" t="s">
        <v>522</v>
      </c>
      <c r="W8" s="587"/>
      <c r="X8" s="590" t="s">
        <v>520</v>
      </c>
      <c r="Y8" s="588" t="s">
        <v>520</v>
      </c>
      <c r="Z8" s="588" t="s">
        <v>520</v>
      </c>
      <c r="AA8" s="589" t="s">
        <v>521</v>
      </c>
      <c r="AB8" s="587"/>
      <c r="AC8" s="588" t="s">
        <v>520</v>
      </c>
      <c r="AD8" s="588" t="s">
        <v>520</v>
      </c>
      <c r="AE8" s="588" t="s">
        <v>520</v>
      </c>
      <c r="AF8" s="588" t="s">
        <v>521</v>
      </c>
      <c r="AG8" s="587"/>
      <c r="AH8" s="588" t="s">
        <v>520</v>
      </c>
      <c r="AI8" s="588" t="s">
        <v>520</v>
      </c>
      <c r="AJ8" s="588" t="s">
        <v>520</v>
      </c>
      <c r="AK8" s="588" t="s">
        <v>521</v>
      </c>
      <c r="AL8" s="587"/>
      <c r="AM8" s="588" t="s">
        <v>520</v>
      </c>
      <c r="AN8" s="588" t="s">
        <v>520</v>
      </c>
      <c r="AO8" s="588" t="s">
        <v>520</v>
      </c>
      <c r="AP8" s="588" t="s">
        <v>521</v>
      </c>
      <c r="AQ8" s="587"/>
      <c r="AR8" s="588" t="s">
        <v>520</v>
      </c>
      <c r="AS8" s="588" t="s">
        <v>520</v>
      </c>
      <c r="AT8" s="588" t="s">
        <v>520</v>
      </c>
      <c r="AU8" s="588" t="s">
        <v>522</v>
      </c>
      <c r="AV8" s="590"/>
      <c r="AW8" s="590" t="s">
        <v>520</v>
      </c>
      <c r="AX8" s="588" t="s">
        <v>520</v>
      </c>
      <c r="AY8" s="588" t="s">
        <v>520</v>
      </c>
      <c r="AZ8" s="588" t="s">
        <v>521</v>
      </c>
      <c r="BA8" s="591"/>
      <c r="BB8" s="590" t="s">
        <v>520</v>
      </c>
      <c r="BC8" s="588" t="s">
        <v>520</v>
      </c>
      <c r="BD8" s="588" t="s">
        <v>520</v>
      </c>
      <c r="BE8" s="588" t="s">
        <v>521</v>
      </c>
      <c r="BF8" s="591"/>
      <c r="BG8" s="590" t="s">
        <v>520</v>
      </c>
      <c r="BH8" s="588" t="s">
        <v>520</v>
      </c>
      <c r="BI8" s="588" t="s">
        <v>520</v>
      </c>
      <c r="BJ8" s="588" t="s">
        <v>521</v>
      </c>
      <c r="BK8" s="591"/>
      <c r="BL8" s="590" t="s">
        <v>520</v>
      </c>
      <c r="BM8" s="588" t="s">
        <v>520</v>
      </c>
      <c r="BN8" s="588" t="s">
        <v>520</v>
      </c>
      <c r="BO8" s="588" t="s">
        <v>521</v>
      </c>
      <c r="BP8" s="591"/>
      <c r="BQ8" s="588" t="s">
        <v>520</v>
      </c>
      <c r="BR8" s="588" t="s">
        <v>520</v>
      </c>
      <c r="BS8" s="588" t="s">
        <v>520</v>
      </c>
      <c r="BT8" s="588" t="s">
        <v>521</v>
      </c>
      <c r="BU8" s="591"/>
      <c r="BV8" s="590" t="s">
        <v>520</v>
      </c>
      <c r="BW8" s="588" t="s">
        <v>520</v>
      </c>
      <c r="BX8" s="588" t="s">
        <v>520</v>
      </c>
      <c r="BY8" s="588" t="s">
        <v>521</v>
      </c>
      <c r="BZ8" s="591"/>
      <c r="CA8" s="590" t="s">
        <v>520</v>
      </c>
      <c r="CB8" s="588" t="s">
        <v>520</v>
      </c>
      <c r="CC8" s="588" t="s">
        <v>520</v>
      </c>
      <c r="CD8" s="588" t="s">
        <v>521</v>
      </c>
      <c r="CE8" s="591"/>
      <c r="CF8" s="789" t="s">
        <v>520</v>
      </c>
      <c r="CG8" s="789" t="s">
        <v>520</v>
      </c>
      <c r="CH8" s="789" t="s">
        <v>520</v>
      </c>
      <c r="CI8" s="789" t="s">
        <v>521</v>
      </c>
      <c r="CJ8" s="113"/>
      <c r="CK8" s="789" t="s">
        <v>520</v>
      </c>
      <c r="CL8" s="789" t="s">
        <v>520</v>
      </c>
      <c r="CM8" s="789" t="s">
        <v>520</v>
      </c>
      <c r="CN8" s="789" t="s">
        <v>521</v>
      </c>
      <c r="CO8" s="113"/>
      <c r="CP8" s="868" t="s">
        <v>520</v>
      </c>
      <c r="CQ8" s="789" t="s">
        <v>520</v>
      </c>
      <c r="CR8" s="789" t="s">
        <v>520</v>
      </c>
      <c r="CS8" s="789" t="s">
        <v>521</v>
      </c>
      <c r="CT8" s="113"/>
      <c r="CU8" s="789" t="s">
        <v>520</v>
      </c>
      <c r="CV8" s="789" t="s">
        <v>520</v>
      </c>
      <c r="CW8" s="789" t="s">
        <v>520</v>
      </c>
      <c r="CX8" s="789" t="s">
        <v>522</v>
      </c>
      <c r="CY8" s="113"/>
      <c r="CZ8" s="789" t="s">
        <v>520</v>
      </c>
      <c r="DA8" s="789" t="s">
        <v>520</v>
      </c>
      <c r="DB8" s="789" t="s">
        <v>520</v>
      </c>
      <c r="DC8" s="789" t="s">
        <v>521</v>
      </c>
      <c r="DD8" s="113"/>
      <c r="DE8" s="169" t="s">
        <v>520</v>
      </c>
      <c r="DF8" s="169" t="s">
        <v>520</v>
      </c>
      <c r="DG8" s="169" t="s">
        <v>520</v>
      </c>
      <c r="DH8" s="169" t="s">
        <v>521</v>
      </c>
      <c r="DI8" s="170"/>
      <c r="DJ8" s="169" t="s">
        <v>520</v>
      </c>
      <c r="DK8" s="169" t="s">
        <v>520</v>
      </c>
      <c r="DL8" s="169" t="s">
        <v>520</v>
      </c>
      <c r="DM8" s="169" t="s">
        <v>521</v>
      </c>
      <c r="DN8" s="170"/>
      <c r="DO8" s="169" t="s">
        <v>520</v>
      </c>
      <c r="DP8" s="169" t="s">
        <v>520</v>
      </c>
      <c r="DQ8" s="169" t="s">
        <v>520</v>
      </c>
      <c r="DR8" s="169" t="s">
        <v>521</v>
      </c>
      <c r="DS8" s="170"/>
      <c r="DT8" s="169" t="s">
        <v>520</v>
      </c>
      <c r="DU8" s="169" t="s">
        <v>520</v>
      </c>
      <c r="DV8" s="169" t="s">
        <v>520</v>
      </c>
      <c r="DW8" s="169" t="s">
        <v>521</v>
      </c>
      <c r="DX8" s="170"/>
      <c r="DY8" s="169" t="s">
        <v>520</v>
      </c>
      <c r="DZ8" s="169" t="s">
        <v>520</v>
      </c>
      <c r="EA8" s="169" t="s">
        <v>520</v>
      </c>
      <c r="EB8" s="169" t="s">
        <v>521</v>
      </c>
      <c r="EC8" s="170"/>
      <c r="EF8"/>
      <c r="EG8"/>
      <c r="EH8"/>
      <c r="EI8"/>
      <c r="EJ8"/>
      <c r="EK8"/>
      <c r="EL8"/>
      <c r="EM8"/>
      <c r="EN8"/>
      <c r="EO8"/>
      <c r="EP8"/>
      <c r="EQ8"/>
      <c r="ER8"/>
      <c r="ES8"/>
      <c r="ET8"/>
      <c r="EU8"/>
      <c r="EV8"/>
      <c r="EW8"/>
      <c r="EX8"/>
      <c r="EY8"/>
      <c r="EZ8"/>
      <c r="FA8"/>
    </row>
    <row r="9" spans="1:157" s="15" customFormat="1" x14ac:dyDescent="0.2">
      <c r="A9" s="650" t="s">
        <v>412</v>
      </c>
      <c r="B9" s="651"/>
      <c r="C9" s="652"/>
      <c r="D9" s="652"/>
      <c r="E9" s="652"/>
      <c r="F9" s="652"/>
      <c r="G9" s="653"/>
      <c r="H9" s="654" t="s">
        <v>573</v>
      </c>
      <c r="I9" s="655"/>
      <c r="J9" s="655"/>
      <c r="K9" s="655"/>
      <c r="L9" s="656"/>
      <c r="M9" s="654" t="s">
        <v>578</v>
      </c>
      <c r="N9" s="655" t="s">
        <v>579</v>
      </c>
      <c r="O9" s="655" t="s">
        <v>580</v>
      </c>
      <c r="P9" s="655" t="s">
        <v>581</v>
      </c>
      <c r="Q9" s="655" t="s">
        <v>582</v>
      </c>
      <c r="R9" s="654" t="s">
        <v>276</v>
      </c>
      <c r="S9" s="655" t="s">
        <v>277</v>
      </c>
      <c r="T9" s="655" t="s">
        <v>284</v>
      </c>
      <c r="U9" s="655" t="s">
        <v>285</v>
      </c>
      <c r="V9" s="657" t="s">
        <v>286</v>
      </c>
      <c r="W9" s="654" t="s">
        <v>287</v>
      </c>
      <c r="X9" s="658" t="s">
        <v>288</v>
      </c>
      <c r="Y9" s="655" t="s">
        <v>289</v>
      </c>
      <c r="Z9" s="655" t="s">
        <v>291</v>
      </c>
      <c r="AA9" s="657" t="s">
        <v>292</v>
      </c>
      <c r="AB9" s="654" t="s">
        <v>293</v>
      </c>
      <c r="AC9" s="655" t="s">
        <v>294</v>
      </c>
      <c r="AD9" s="655" t="s">
        <v>295</v>
      </c>
      <c r="AE9" s="655" t="s">
        <v>296</v>
      </c>
      <c r="AF9" s="655" t="s">
        <v>297</v>
      </c>
      <c r="AG9" s="654" t="s">
        <v>298</v>
      </c>
      <c r="AH9" s="655" t="s">
        <v>299</v>
      </c>
      <c r="AI9" s="655" t="s">
        <v>300</v>
      </c>
      <c r="AJ9" s="655" t="s">
        <v>301</v>
      </c>
      <c r="AK9" s="655" t="s">
        <v>302</v>
      </c>
      <c r="AL9" s="654" t="s">
        <v>303</v>
      </c>
      <c r="AM9" s="655" t="s">
        <v>567</v>
      </c>
      <c r="AN9" s="655" t="s">
        <v>536</v>
      </c>
      <c r="AO9" s="655" t="s">
        <v>282</v>
      </c>
      <c r="AP9" s="655" t="s">
        <v>361</v>
      </c>
      <c r="AQ9" s="654" t="s">
        <v>362</v>
      </c>
      <c r="AR9" s="655" t="s">
        <v>469</v>
      </c>
      <c r="AS9" s="655" t="s">
        <v>358</v>
      </c>
      <c r="AT9" s="655" t="s">
        <v>8</v>
      </c>
      <c r="AU9" s="655" t="s">
        <v>120</v>
      </c>
      <c r="AV9" s="658" t="s">
        <v>119</v>
      </c>
      <c r="AW9" s="658" t="s">
        <v>210</v>
      </c>
      <c r="AX9" s="655" t="s">
        <v>464</v>
      </c>
      <c r="AY9" s="655" t="s">
        <v>198</v>
      </c>
      <c r="AZ9" s="655" t="s">
        <v>163</v>
      </c>
      <c r="BA9" s="654" t="s">
        <v>430</v>
      </c>
      <c r="BB9" s="658" t="s">
        <v>208</v>
      </c>
      <c r="BC9" s="655" t="s">
        <v>484</v>
      </c>
      <c r="BD9" s="655" t="s">
        <v>565</v>
      </c>
      <c r="BE9" s="655" t="s">
        <v>406</v>
      </c>
      <c r="BF9" s="654" t="s">
        <v>407</v>
      </c>
      <c r="BG9" s="658" t="s">
        <v>261</v>
      </c>
      <c r="BH9" s="655" t="s">
        <v>435</v>
      </c>
      <c r="BI9" s="655" t="s">
        <v>290</v>
      </c>
      <c r="BJ9" s="655" t="s">
        <v>528</v>
      </c>
      <c r="BK9" s="654" t="s">
        <v>220</v>
      </c>
      <c r="BL9" s="658" t="s">
        <v>257</v>
      </c>
      <c r="BM9" s="655" t="s">
        <v>1</v>
      </c>
      <c r="BN9" s="655" t="s">
        <v>416</v>
      </c>
      <c r="BO9" s="655" t="s">
        <v>249</v>
      </c>
      <c r="BP9" s="659" t="s">
        <v>250</v>
      </c>
      <c r="BQ9" s="655" t="s">
        <v>561</v>
      </c>
      <c r="BR9" s="655" t="s">
        <v>344</v>
      </c>
      <c r="BS9" s="655" t="s">
        <v>390</v>
      </c>
      <c r="BT9" s="655" t="s">
        <v>17</v>
      </c>
      <c r="BU9" s="654" t="s">
        <v>126</v>
      </c>
      <c r="BV9" s="658" t="s">
        <v>251</v>
      </c>
      <c r="BW9" s="655" t="s">
        <v>535</v>
      </c>
      <c r="BX9" s="655" t="s">
        <v>316</v>
      </c>
      <c r="BY9" s="655" t="s">
        <v>322</v>
      </c>
      <c r="BZ9" s="654" t="s">
        <v>323</v>
      </c>
      <c r="CA9" s="658" t="s">
        <v>388</v>
      </c>
      <c r="CB9" s="655" t="s">
        <v>125</v>
      </c>
      <c r="CC9" s="655" t="s">
        <v>307</v>
      </c>
      <c r="CD9" s="655" t="s">
        <v>106</v>
      </c>
      <c r="CE9" s="659" t="s">
        <v>107</v>
      </c>
      <c r="CF9" s="655" t="s">
        <v>159</v>
      </c>
      <c r="CG9" s="655" t="s">
        <v>60</v>
      </c>
      <c r="CH9" s="655" t="s">
        <v>97</v>
      </c>
      <c r="CI9" s="655" t="s">
        <v>94</v>
      </c>
      <c r="CJ9" s="654" t="s">
        <v>95</v>
      </c>
      <c r="CK9" s="655" t="s">
        <v>25</v>
      </c>
      <c r="CL9" s="655" t="s">
        <v>6</v>
      </c>
      <c r="CM9" s="655" t="s">
        <v>591</v>
      </c>
      <c r="CN9" s="655" t="s">
        <v>593</v>
      </c>
      <c r="CO9" s="654" t="s">
        <v>595</v>
      </c>
      <c r="CP9" s="869" t="s">
        <v>603</v>
      </c>
      <c r="CQ9" s="655" t="s">
        <v>605</v>
      </c>
      <c r="CR9" s="655" t="s">
        <v>606</v>
      </c>
      <c r="CS9" s="655" t="s">
        <v>610</v>
      </c>
      <c r="CT9" s="654" t="s">
        <v>611</v>
      </c>
      <c r="CU9" s="655" t="s">
        <v>671</v>
      </c>
      <c r="CV9" s="655" t="s">
        <v>672</v>
      </c>
      <c r="CW9" s="655" t="s">
        <v>673</v>
      </c>
      <c r="CX9" s="655" t="s">
        <v>682</v>
      </c>
      <c r="CY9" s="654" t="s">
        <v>687</v>
      </c>
      <c r="CZ9" s="655" t="s">
        <v>693</v>
      </c>
      <c r="DA9" s="655" t="s">
        <v>714</v>
      </c>
      <c r="DB9" s="655" t="s">
        <v>720</v>
      </c>
      <c r="DC9" s="655" t="s">
        <v>729</v>
      </c>
      <c r="DD9" s="654" t="s">
        <v>730</v>
      </c>
      <c r="DE9" s="660" t="s">
        <v>499</v>
      </c>
      <c r="DF9" s="660" t="s">
        <v>500</v>
      </c>
      <c r="DG9" s="660" t="s">
        <v>501</v>
      </c>
      <c r="DH9" s="660" t="s">
        <v>502</v>
      </c>
      <c r="DI9" s="661" t="s">
        <v>318</v>
      </c>
      <c r="DJ9" s="660" t="s">
        <v>503</v>
      </c>
      <c r="DK9" s="660" t="s">
        <v>504</v>
      </c>
      <c r="DL9" s="660" t="s">
        <v>505</v>
      </c>
      <c r="DM9" s="660" t="s">
        <v>506</v>
      </c>
      <c r="DN9" s="661" t="s">
        <v>507</v>
      </c>
      <c r="DO9" s="660" t="s">
        <v>508</v>
      </c>
      <c r="DP9" s="660" t="s">
        <v>509</v>
      </c>
      <c r="DQ9" s="660" t="s">
        <v>510</v>
      </c>
      <c r="DR9" s="660" t="s">
        <v>511</v>
      </c>
      <c r="DS9" s="661" t="s">
        <v>512</v>
      </c>
      <c r="DT9" s="2154" t="s">
        <v>698</v>
      </c>
      <c r="DU9" s="2154" t="s">
        <v>699</v>
      </c>
      <c r="DV9" s="2154" t="s">
        <v>700</v>
      </c>
      <c r="DW9" s="2154" t="s">
        <v>701</v>
      </c>
      <c r="DX9" s="2157" t="s">
        <v>695</v>
      </c>
      <c r="DY9" s="2154" t="s">
        <v>702</v>
      </c>
      <c r="DZ9" s="2154" t="s">
        <v>703</v>
      </c>
      <c r="EA9" s="2154" t="s">
        <v>704</v>
      </c>
      <c r="EB9" s="2154" t="s">
        <v>705</v>
      </c>
      <c r="EC9" s="2157" t="s">
        <v>696</v>
      </c>
      <c r="EF9"/>
      <c r="EG9"/>
      <c r="EH9"/>
      <c r="EI9"/>
      <c r="EJ9"/>
      <c r="EK9"/>
      <c r="EL9"/>
      <c r="EM9"/>
      <c r="EN9"/>
      <c r="EO9"/>
      <c r="EP9"/>
      <c r="EQ9"/>
      <c r="ER9"/>
      <c r="ES9"/>
      <c r="ET9"/>
      <c r="EU9"/>
      <c r="EV9"/>
      <c r="EW9"/>
      <c r="EX9"/>
      <c r="EY9"/>
      <c r="EZ9"/>
      <c r="FA9"/>
    </row>
    <row r="10" spans="1:157" s="490" customFormat="1" x14ac:dyDescent="0.2">
      <c r="A10" s="485" t="s">
        <v>155</v>
      </c>
      <c r="B10" s="486"/>
      <c r="C10" s="486"/>
      <c r="D10" s="486"/>
      <c r="E10" s="486"/>
      <c r="F10" s="486"/>
      <c r="G10" s="487"/>
      <c r="H10" s="488"/>
      <c r="I10" s="486"/>
      <c r="J10" s="486"/>
      <c r="K10" s="486"/>
      <c r="L10" s="487"/>
      <c r="M10" s="489" t="s">
        <v>156</v>
      </c>
      <c r="R10" s="489"/>
      <c r="S10" s="490" t="s">
        <v>156</v>
      </c>
      <c r="T10" s="490" t="s">
        <v>156</v>
      </c>
      <c r="V10" s="491"/>
      <c r="W10" s="489"/>
      <c r="X10" s="492"/>
      <c r="AA10" s="491"/>
      <c r="AB10" s="489"/>
      <c r="AG10" s="489"/>
      <c r="AL10" s="489"/>
      <c r="AQ10" s="489"/>
      <c r="AS10" s="493"/>
      <c r="AV10" s="494"/>
      <c r="AW10" s="492"/>
      <c r="BA10" s="495"/>
      <c r="BB10" s="492"/>
      <c r="BF10" s="495">
        <v>39445</v>
      </c>
      <c r="BG10" s="492"/>
      <c r="BH10" s="490">
        <v>39613</v>
      </c>
      <c r="BI10" s="490">
        <v>39697</v>
      </c>
      <c r="BJ10" s="490">
        <v>39809</v>
      </c>
      <c r="BK10" s="495">
        <v>39809</v>
      </c>
      <c r="BL10" s="492">
        <v>39893</v>
      </c>
      <c r="BM10" s="556">
        <v>39977</v>
      </c>
      <c r="BN10" s="490">
        <v>40061</v>
      </c>
      <c r="BO10" s="490">
        <v>40173</v>
      </c>
      <c r="BP10" s="563">
        <f>BO10</f>
        <v>40173</v>
      </c>
      <c r="BQ10" s="490">
        <v>40257</v>
      </c>
      <c r="BR10" s="490">
        <v>40341</v>
      </c>
      <c r="BS10" s="490">
        <v>40425</v>
      </c>
      <c r="BT10" s="490">
        <v>40537</v>
      </c>
      <c r="BU10" s="495"/>
      <c r="BV10" s="492">
        <v>40621</v>
      </c>
      <c r="BW10" s="490">
        <v>40705</v>
      </c>
      <c r="BX10" s="490">
        <v>40789</v>
      </c>
      <c r="BY10" s="490">
        <f>BZ10</f>
        <v>0</v>
      </c>
      <c r="BZ10" s="495"/>
      <c r="CA10" s="492"/>
      <c r="CE10" s="563"/>
      <c r="CG10" s="493"/>
      <c r="CH10" s="493"/>
      <c r="CI10" s="493"/>
      <c r="CJ10" s="496"/>
      <c r="CK10" s="493"/>
      <c r="CO10" s="495"/>
      <c r="CP10" s="870"/>
      <c r="CT10" s="495"/>
      <c r="CY10" s="2032"/>
      <c r="DA10" s="493"/>
      <c r="DD10" s="495"/>
      <c r="DE10" s="493"/>
      <c r="DF10" s="493"/>
      <c r="DG10" s="493"/>
      <c r="DH10" s="493"/>
      <c r="DI10" s="496"/>
      <c r="DJ10" s="493"/>
      <c r="DK10" s="493"/>
      <c r="DL10" s="493"/>
      <c r="DM10" s="493"/>
      <c r="DN10" s="496"/>
      <c r="DO10" s="493"/>
      <c r="DP10" s="493"/>
      <c r="DQ10" s="493"/>
      <c r="DR10" s="493"/>
      <c r="DS10" s="496"/>
      <c r="DT10" s="493"/>
      <c r="DU10" s="493"/>
      <c r="DV10" s="493"/>
      <c r="DW10" s="493"/>
      <c r="DX10" s="496"/>
      <c r="DY10" s="493"/>
      <c r="DZ10" s="493"/>
      <c r="EA10" s="493"/>
      <c r="EB10" s="493"/>
      <c r="EC10" s="496"/>
      <c r="EF10"/>
      <c r="EG10"/>
      <c r="EH10"/>
      <c r="EI10"/>
      <c r="EJ10"/>
      <c r="EK10"/>
      <c r="EL10"/>
      <c r="EM10"/>
      <c r="EN10"/>
      <c r="EO10"/>
      <c r="EP10"/>
      <c r="EQ10"/>
      <c r="ER10"/>
      <c r="ES10"/>
      <c r="ET10"/>
      <c r="EU10"/>
      <c r="EV10"/>
      <c r="EW10"/>
      <c r="EX10"/>
      <c r="EY10"/>
      <c r="EZ10"/>
      <c r="FA10"/>
    </row>
    <row r="11" spans="1:157" s="172" customFormat="1" x14ac:dyDescent="0.2">
      <c r="A11" s="450" t="s">
        <v>177</v>
      </c>
      <c r="B11" s="179"/>
      <c r="C11" s="179"/>
      <c r="D11" s="179"/>
      <c r="E11" s="179"/>
      <c r="F11" s="179"/>
      <c r="G11" s="180"/>
      <c r="H11" s="178"/>
      <c r="I11" s="179"/>
      <c r="J11" s="179"/>
      <c r="K11" s="179"/>
      <c r="L11" s="180"/>
      <c r="M11" s="181" t="s">
        <v>156</v>
      </c>
      <c r="R11" s="181"/>
      <c r="S11" s="172" t="s">
        <v>156</v>
      </c>
      <c r="T11" s="172" t="s">
        <v>156</v>
      </c>
      <c r="V11" s="173"/>
      <c r="W11" s="181"/>
      <c r="X11" s="174"/>
      <c r="AA11" s="173"/>
      <c r="AB11" s="181"/>
      <c r="AG11" s="181"/>
      <c r="AL11" s="181"/>
      <c r="AQ11" s="181"/>
      <c r="AS11" s="175"/>
      <c r="AV11" s="174"/>
      <c r="AW11" s="174"/>
      <c r="BA11" s="181"/>
      <c r="BB11" s="174"/>
      <c r="BF11" s="181"/>
      <c r="BG11" s="174"/>
      <c r="BK11" s="181"/>
      <c r="BL11" s="174"/>
      <c r="BP11" s="564"/>
      <c r="BU11" s="181"/>
      <c r="BV11" s="174"/>
      <c r="BZ11" s="181"/>
      <c r="CA11" s="174"/>
      <c r="CE11" s="564"/>
      <c r="CG11" s="175"/>
      <c r="CH11" s="175"/>
      <c r="CI11" s="175"/>
      <c r="CJ11" s="177"/>
      <c r="CK11" s="175"/>
      <c r="CO11" s="181"/>
      <c r="CP11" s="871"/>
      <c r="CT11" s="181"/>
      <c r="CY11" s="2033"/>
      <c r="CZ11" s="1297"/>
      <c r="DA11" s="1278"/>
      <c r="DB11" s="1297"/>
      <c r="DD11" s="181"/>
      <c r="DE11" s="175"/>
      <c r="DF11" s="175"/>
      <c r="DG11" s="175"/>
      <c r="DH11" s="175"/>
      <c r="DI11" s="177"/>
      <c r="DJ11" s="175"/>
      <c r="DK11" s="175"/>
      <c r="DL11" s="175"/>
      <c r="DM11" s="175"/>
      <c r="DN11" s="177"/>
      <c r="DO11" s="175"/>
      <c r="DP11" s="175"/>
      <c r="DQ11" s="175"/>
      <c r="DR11" s="175"/>
      <c r="DS11" s="177"/>
      <c r="DT11" s="175"/>
      <c r="DU11" s="175"/>
      <c r="DV11" s="175"/>
      <c r="DW11" s="175"/>
      <c r="DX11" s="177"/>
      <c r="DY11" s="175"/>
      <c r="DZ11" s="175"/>
      <c r="EA11" s="175"/>
      <c r="EB11" s="175"/>
      <c r="EC11" s="177"/>
      <c r="EF11"/>
      <c r="EG11"/>
      <c r="EH11"/>
      <c r="EI11"/>
      <c r="EJ11"/>
      <c r="EK11"/>
      <c r="EL11"/>
      <c r="EM11"/>
      <c r="EN11"/>
      <c r="EO11"/>
      <c r="EP11"/>
      <c r="EQ11"/>
      <c r="ER11"/>
      <c r="ES11"/>
      <c r="ET11"/>
      <c r="EU11"/>
      <c r="EV11"/>
      <c r="EW11"/>
      <c r="EX11"/>
      <c r="EY11"/>
      <c r="EZ11"/>
      <c r="FA11"/>
    </row>
    <row r="12" spans="1:157" s="172" customFormat="1" ht="22.5" x14ac:dyDescent="0.2">
      <c r="A12" s="451" t="s">
        <v>694</v>
      </c>
      <c r="G12" s="182"/>
      <c r="H12" s="181">
        <v>268</v>
      </c>
      <c r="L12" s="182"/>
      <c r="M12" s="183">
        <v>121</v>
      </c>
      <c r="N12" s="184">
        <v>110</v>
      </c>
      <c r="O12" s="184">
        <v>166</v>
      </c>
      <c r="P12" s="184">
        <v>151</v>
      </c>
      <c r="Q12" s="184">
        <v>89</v>
      </c>
      <c r="R12" s="185">
        <f>Q12</f>
        <v>89</v>
      </c>
      <c r="S12" s="186">
        <v>102</v>
      </c>
      <c r="T12" s="184">
        <v>157</v>
      </c>
      <c r="U12" s="184">
        <v>115</v>
      </c>
      <c r="V12" s="187">
        <v>133</v>
      </c>
      <c r="W12" s="185">
        <f>V12</f>
        <v>133</v>
      </c>
      <c r="X12" s="186">
        <v>158</v>
      </c>
      <c r="Y12" s="184">
        <v>183</v>
      </c>
      <c r="Z12" s="184">
        <v>184</v>
      </c>
      <c r="AA12" s="187">
        <v>110</v>
      </c>
      <c r="AB12" s="185">
        <f>AA12</f>
        <v>110</v>
      </c>
      <c r="AC12" s="186">
        <v>136</v>
      </c>
      <c r="AD12" s="184">
        <v>169</v>
      </c>
      <c r="AE12" s="184">
        <v>186</v>
      </c>
      <c r="AF12" s="188">
        <v>130</v>
      </c>
      <c r="AG12" s="185">
        <f>AF12</f>
        <v>130</v>
      </c>
      <c r="AH12" s="186">
        <v>175</v>
      </c>
      <c r="AI12" s="184">
        <v>164</v>
      </c>
      <c r="AJ12" s="184">
        <v>298</v>
      </c>
      <c r="AK12" s="188">
        <v>192</v>
      </c>
      <c r="AL12" s="185">
        <f t="shared" ref="AL12:AL19" si="11">AK12</f>
        <v>192</v>
      </c>
      <c r="AM12" s="184">
        <v>129</v>
      </c>
      <c r="AN12" s="184">
        <v>183</v>
      </c>
      <c r="AO12" s="184">
        <v>387</v>
      </c>
      <c r="AP12" s="188">
        <v>62</v>
      </c>
      <c r="AQ12" s="185">
        <f t="shared" ref="AQ12:AQ28" si="12">AP12</f>
        <v>62</v>
      </c>
      <c r="AR12" s="184">
        <v>118</v>
      </c>
      <c r="AS12" s="184">
        <v>113</v>
      </c>
      <c r="AT12" s="184">
        <v>263</v>
      </c>
      <c r="AU12" s="188">
        <v>158</v>
      </c>
      <c r="AV12" s="189">
        <v>158</v>
      </c>
      <c r="AW12" s="186">
        <v>134</v>
      </c>
      <c r="AX12" s="184">
        <v>267</v>
      </c>
      <c r="AY12" s="184">
        <v>271</v>
      </c>
      <c r="AZ12" s="184">
        <v>319</v>
      </c>
      <c r="BA12" s="183">
        <v>319</v>
      </c>
      <c r="BB12" s="186">
        <v>341</v>
      </c>
      <c r="BC12" s="184">
        <v>436</v>
      </c>
      <c r="BD12" s="184">
        <v>507</v>
      </c>
      <c r="BE12" s="184">
        <v>789</v>
      </c>
      <c r="BF12" s="183">
        <v>789</v>
      </c>
      <c r="BG12" s="186">
        <v>481</v>
      </c>
      <c r="BH12" s="184">
        <v>325</v>
      </c>
      <c r="BI12" s="184">
        <v>294</v>
      </c>
      <c r="BJ12" s="184">
        <v>164</v>
      </c>
      <c r="BK12" s="183">
        <v>164</v>
      </c>
      <c r="BL12" s="186">
        <v>289</v>
      </c>
      <c r="BM12" s="184">
        <v>284</v>
      </c>
      <c r="BN12" s="184">
        <v>424</v>
      </c>
      <c r="BO12" s="184">
        <v>353</v>
      </c>
      <c r="BP12" s="565">
        <f t="shared" ref="BP12:BP28" si="13">BO12</f>
        <v>353</v>
      </c>
      <c r="BQ12" s="184">
        <v>444</v>
      </c>
      <c r="BR12" s="184">
        <v>530</v>
      </c>
      <c r="BS12" s="184">
        <v>1274</v>
      </c>
      <c r="BT12" s="184">
        <v>1426</v>
      </c>
      <c r="BU12" s="183">
        <f>BT12</f>
        <v>1426</v>
      </c>
      <c r="BV12" s="186">
        <v>1529</v>
      </c>
      <c r="BW12" s="184">
        <v>955</v>
      </c>
      <c r="BX12" s="184">
        <v>1236</v>
      </c>
      <c r="BY12" s="184">
        <f>BZ12</f>
        <v>1198</v>
      </c>
      <c r="BZ12" s="183">
        <v>1198</v>
      </c>
      <c r="CA12" s="186">
        <v>1099</v>
      </c>
      <c r="CB12" s="184">
        <v>984</v>
      </c>
      <c r="CC12" s="184">
        <v>942</v>
      </c>
      <c r="CD12" s="184">
        <v>776</v>
      </c>
      <c r="CE12" s="565">
        <f t="shared" ref="CE12:CE28" si="14">CD12</f>
        <v>776</v>
      </c>
      <c r="CF12" s="184">
        <v>762</v>
      </c>
      <c r="CG12" s="184">
        <v>500</v>
      </c>
      <c r="CH12" s="184">
        <v>753</v>
      </c>
      <c r="CI12" s="184">
        <v>573</v>
      </c>
      <c r="CJ12" s="183">
        <f t="shared" ref="CJ12:CJ21" si="15">CI12</f>
        <v>573</v>
      </c>
      <c r="CK12" s="872">
        <f>CO12</f>
        <v>340</v>
      </c>
      <c r="CL12" s="184">
        <f>CO12</f>
        <v>340</v>
      </c>
      <c r="CM12" s="184">
        <f>CO12</f>
        <v>340</v>
      </c>
      <c r="CN12" s="184">
        <f>CO12</f>
        <v>340</v>
      </c>
      <c r="CO12" s="183">
        <v>340</v>
      </c>
      <c r="CP12" s="872">
        <f>CT12</f>
        <v>312</v>
      </c>
      <c r="CQ12" s="184">
        <f>CT12</f>
        <v>312</v>
      </c>
      <c r="CR12" s="184">
        <f>CT12</f>
        <v>312</v>
      </c>
      <c r="CS12" s="184">
        <f>CT12</f>
        <v>312</v>
      </c>
      <c r="CT12" s="183">
        <v>312</v>
      </c>
      <c r="CU12" s="2144">
        <f>CF!CS70</f>
        <v>295.69730062237659</v>
      </c>
      <c r="CV12" s="184">
        <f>CF!CT70</f>
        <v>280.32499999999993</v>
      </c>
      <c r="CW12" s="184">
        <f>CF!CU70</f>
        <v>2173.4441995947313</v>
      </c>
      <c r="CX12" s="184">
        <v>831</v>
      </c>
      <c r="CY12" s="2034">
        <v>831</v>
      </c>
      <c r="CZ12" s="2144">
        <v>611</v>
      </c>
      <c r="DA12" s="2144">
        <v>1056</v>
      </c>
      <c r="DB12" s="2144">
        <f>980+71</f>
        <v>1051</v>
      </c>
      <c r="DC12" s="184">
        <f>1522+77</f>
        <v>1599</v>
      </c>
      <c r="DD12" s="183">
        <f t="shared" ref="DD12:DD21" si="16">DC12</f>
        <v>1599</v>
      </c>
      <c r="DE12" s="190">
        <f>CF!DC70</f>
        <v>1517.0381933765661</v>
      </c>
      <c r="DF12" s="190">
        <f>CF!DD70</f>
        <v>1307.4083828881789</v>
      </c>
      <c r="DG12" s="190">
        <f>CF!DE70</f>
        <v>1028.0449072416193</v>
      </c>
      <c r="DH12" s="190">
        <f>CF!DF70</f>
        <v>935.6286842028037</v>
      </c>
      <c r="DI12" s="191">
        <f t="shared" ref="DI12:DI27" si="17">DH12</f>
        <v>935.6286842028037</v>
      </c>
      <c r="DJ12" s="190">
        <f>CF!DH70</f>
        <v>573.01958665989582</v>
      </c>
      <c r="DK12" s="190">
        <f>CF!DI70</f>
        <v>478.41831383053739</v>
      </c>
      <c r="DL12" s="190">
        <f>CF!DJ70</f>
        <v>411.99226635760635</v>
      </c>
      <c r="DM12" s="190">
        <f>CF!DK70</f>
        <v>735.11193974292382</v>
      </c>
      <c r="DN12" s="191">
        <f t="shared" ref="DN12:DN21" si="18">DM12</f>
        <v>735.11193974292382</v>
      </c>
      <c r="DO12" s="190">
        <f>CF!DM70</f>
        <v>404.38570624591796</v>
      </c>
      <c r="DP12" s="190">
        <f>CF!DN70</f>
        <v>432.50785890671801</v>
      </c>
      <c r="DQ12" s="190">
        <f>CF!DO70</f>
        <v>481.49898391809819</v>
      </c>
      <c r="DR12" s="190">
        <f>CF!DP70</f>
        <v>983.37057347530299</v>
      </c>
      <c r="DS12" s="191">
        <f t="shared" ref="DS12:DS21" si="19">DR12</f>
        <v>983.37057347530299</v>
      </c>
      <c r="DT12" s="190">
        <f>CF!DR70</f>
        <v>646.06481636990839</v>
      </c>
      <c r="DU12" s="190">
        <f>CF!DS70</f>
        <v>699.56087660773574</v>
      </c>
      <c r="DV12" s="190">
        <f>CF!DT70</f>
        <v>772.56800635363982</v>
      </c>
      <c r="DW12" s="190">
        <f>CF!DU70</f>
        <v>1366.295352224482</v>
      </c>
      <c r="DX12" s="191">
        <f t="shared" ref="DX12:DX27" si="20">DW12</f>
        <v>1366.295352224482</v>
      </c>
      <c r="DY12" s="190">
        <f>CF!DW70</f>
        <v>993.12355500533465</v>
      </c>
      <c r="DZ12" s="190">
        <f>CF!DX70</f>
        <v>1074.5840166725957</v>
      </c>
      <c r="EA12" s="190">
        <f>CF!DY70</f>
        <v>1175.5289185401768</v>
      </c>
      <c r="EB12" s="190">
        <f>CF!DZ70</f>
        <v>1889.7216872264412</v>
      </c>
      <c r="EC12" s="191">
        <f t="shared" ref="EC12:EC27" si="21">EB12</f>
        <v>1889.7216872264412</v>
      </c>
      <c r="ED12" s="469"/>
      <c r="EF12"/>
      <c r="EG12"/>
      <c r="EH12"/>
      <c r="EI12"/>
      <c r="EJ12"/>
      <c r="EK12"/>
      <c r="EL12"/>
      <c r="EM12"/>
      <c r="EN12"/>
      <c r="EO12"/>
      <c r="EP12"/>
      <c r="EQ12"/>
      <c r="ER12"/>
      <c r="ES12"/>
      <c r="ET12"/>
      <c r="EU12"/>
      <c r="EV12"/>
      <c r="EW12"/>
      <c r="EX12"/>
      <c r="EY12"/>
      <c r="EZ12"/>
      <c r="FA12"/>
    </row>
    <row r="13" spans="1:157" s="172" customFormat="1" x14ac:dyDescent="0.2">
      <c r="A13" s="451" t="s">
        <v>42</v>
      </c>
      <c r="G13" s="182"/>
      <c r="H13" s="181">
        <v>33</v>
      </c>
      <c r="L13" s="182"/>
      <c r="M13" s="192">
        <v>87</v>
      </c>
      <c r="N13" s="193">
        <v>104</v>
      </c>
      <c r="O13" s="193">
        <v>119</v>
      </c>
      <c r="P13" s="193">
        <v>165</v>
      </c>
      <c r="Q13" s="193">
        <v>48</v>
      </c>
      <c r="R13" s="194">
        <f t="shared" ref="R13:R28" si="22">Q13</f>
        <v>48</v>
      </c>
      <c r="S13" s="195">
        <v>122</v>
      </c>
      <c r="T13" s="196">
        <v>58</v>
      </c>
      <c r="U13" s="196">
        <v>61</v>
      </c>
      <c r="V13" s="197">
        <v>63</v>
      </c>
      <c r="W13" s="194">
        <f t="shared" ref="W13:W28" si="23">V13</f>
        <v>63</v>
      </c>
      <c r="X13" s="195">
        <v>77</v>
      </c>
      <c r="Y13" s="196">
        <v>75</v>
      </c>
      <c r="Z13" s="196">
        <v>65</v>
      </c>
      <c r="AA13" s="197">
        <v>35</v>
      </c>
      <c r="AB13" s="194">
        <f t="shared" ref="AB13:AB28" si="24">AA13</f>
        <v>35</v>
      </c>
      <c r="AC13" s="195">
        <v>42</v>
      </c>
      <c r="AD13" s="196">
        <v>31</v>
      </c>
      <c r="AE13" s="196">
        <v>39</v>
      </c>
      <c r="AF13" s="197">
        <v>27</v>
      </c>
      <c r="AG13" s="194">
        <f t="shared" ref="AG13:AG28" si="25">AF13</f>
        <v>27</v>
      </c>
      <c r="AH13" s="195">
        <v>39</v>
      </c>
      <c r="AI13" s="196">
        <v>26</v>
      </c>
      <c r="AJ13" s="196">
        <v>26</v>
      </c>
      <c r="AK13" s="197">
        <v>15</v>
      </c>
      <c r="AL13" s="194">
        <f t="shared" si="11"/>
        <v>15</v>
      </c>
      <c r="AM13" s="195">
        <v>25</v>
      </c>
      <c r="AN13" s="196">
        <v>42</v>
      </c>
      <c r="AO13" s="196">
        <v>61</v>
      </c>
      <c r="AP13" s="197">
        <v>54</v>
      </c>
      <c r="AQ13" s="194">
        <f t="shared" si="12"/>
        <v>54</v>
      </c>
      <c r="AR13" s="195">
        <v>74</v>
      </c>
      <c r="AS13" s="196">
        <v>87</v>
      </c>
      <c r="AT13" s="196">
        <v>89</v>
      </c>
      <c r="AU13" s="197">
        <v>43</v>
      </c>
      <c r="AV13" s="195">
        <v>43</v>
      </c>
      <c r="AW13" s="195">
        <v>61</v>
      </c>
      <c r="AX13" s="196">
        <v>74</v>
      </c>
      <c r="AY13" s="196">
        <v>123</v>
      </c>
      <c r="AZ13" s="196">
        <v>6</v>
      </c>
      <c r="BA13" s="194">
        <v>6</v>
      </c>
      <c r="BB13" s="195">
        <v>0</v>
      </c>
      <c r="BC13" s="196">
        <v>0</v>
      </c>
      <c r="BD13" s="196">
        <v>0</v>
      </c>
      <c r="BE13" s="196">
        <v>0</v>
      </c>
      <c r="BF13" s="194">
        <v>0</v>
      </c>
      <c r="BG13" s="195">
        <f>BF13</f>
        <v>0</v>
      </c>
      <c r="BH13" s="196">
        <v>0</v>
      </c>
      <c r="BI13" s="196">
        <v>0</v>
      </c>
      <c r="BJ13" s="196">
        <v>0</v>
      </c>
      <c r="BK13" s="194">
        <v>0</v>
      </c>
      <c r="BL13" s="195">
        <v>0</v>
      </c>
      <c r="BM13" s="196">
        <v>0</v>
      </c>
      <c r="BN13" s="196">
        <f>BM13</f>
        <v>0</v>
      </c>
      <c r="BO13" s="196">
        <v>0</v>
      </c>
      <c r="BP13" s="566">
        <f t="shared" si="13"/>
        <v>0</v>
      </c>
      <c r="BQ13" s="196">
        <v>0</v>
      </c>
      <c r="BR13" s="196">
        <v>0</v>
      </c>
      <c r="BS13" s="196">
        <v>0</v>
      </c>
      <c r="BT13" s="196">
        <v>0</v>
      </c>
      <c r="BU13" s="194">
        <f>BT13</f>
        <v>0</v>
      </c>
      <c r="BV13" s="195">
        <v>0</v>
      </c>
      <c r="BW13" s="196">
        <v>0</v>
      </c>
      <c r="BX13" s="196">
        <v>0</v>
      </c>
      <c r="BY13" s="196">
        <f t="shared" ref="BY13:BY27" si="26">BZ13</f>
        <v>0</v>
      </c>
      <c r="BZ13" s="194">
        <v>0</v>
      </c>
      <c r="CA13" s="195">
        <v>0</v>
      </c>
      <c r="CB13" s="196">
        <v>0</v>
      </c>
      <c r="CC13" s="196">
        <v>0</v>
      </c>
      <c r="CD13" s="196">
        <v>0</v>
      </c>
      <c r="CE13" s="566">
        <f t="shared" si="14"/>
        <v>0</v>
      </c>
      <c r="CF13" s="196">
        <v>0</v>
      </c>
      <c r="CG13" s="196">
        <v>0</v>
      </c>
      <c r="CH13" s="196">
        <v>0</v>
      </c>
      <c r="CI13" s="196">
        <v>0</v>
      </c>
      <c r="CJ13" s="194">
        <f t="shared" si="15"/>
        <v>0</v>
      </c>
      <c r="CK13" s="873">
        <f t="shared" ref="CK13:CK19" si="27">CO13</f>
        <v>0</v>
      </c>
      <c r="CL13" s="196">
        <f t="shared" ref="CL13:CL19" si="28">CO13</f>
        <v>0</v>
      </c>
      <c r="CM13" s="196">
        <f t="shared" ref="CM13:CM19" si="29">CO13</f>
        <v>0</v>
      </c>
      <c r="CN13" s="196">
        <f t="shared" ref="CN13:CN19" si="30">CO13</f>
        <v>0</v>
      </c>
      <c r="CO13" s="194">
        <v>0</v>
      </c>
      <c r="CP13" s="873">
        <f t="shared" ref="CP13:CP19" si="31">CT13</f>
        <v>0</v>
      </c>
      <c r="CQ13" s="196">
        <f t="shared" ref="CQ13:CQ19" si="32">CT13</f>
        <v>0</v>
      </c>
      <c r="CR13" s="196">
        <f t="shared" ref="CR13:CR19" si="33">CT13</f>
        <v>0</v>
      </c>
      <c r="CS13" s="196">
        <f t="shared" ref="CS13:CS19" si="34">CT13</f>
        <v>0</v>
      </c>
      <c r="CT13" s="194">
        <v>0</v>
      </c>
      <c r="CU13" s="196">
        <v>0</v>
      </c>
      <c r="CV13" s="196">
        <v>0</v>
      </c>
      <c r="CW13" s="196">
        <v>0</v>
      </c>
      <c r="CX13" s="196">
        <f>CW13</f>
        <v>0</v>
      </c>
      <c r="CY13" s="2035">
        <f t="shared" ref="CY13:CY26" si="35">CX13</f>
        <v>0</v>
      </c>
      <c r="CZ13" s="1302">
        <f>CY13</f>
        <v>0</v>
      </c>
      <c r="DA13" s="1302">
        <v>0</v>
      </c>
      <c r="DB13" s="1302">
        <f>DA13</f>
        <v>0</v>
      </c>
      <c r="DC13" s="196">
        <v>0</v>
      </c>
      <c r="DD13" s="194">
        <f t="shared" si="16"/>
        <v>0</v>
      </c>
      <c r="DE13" s="199">
        <f>DD13</f>
        <v>0</v>
      </c>
      <c r="DF13" s="199">
        <f>DE13</f>
        <v>0</v>
      </c>
      <c r="DG13" s="199">
        <f>DF13</f>
        <v>0</v>
      </c>
      <c r="DH13" s="199">
        <f>DG13</f>
        <v>0</v>
      </c>
      <c r="DI13" s="200">
        <f t="shared" si="17"/>
        <v>0</v>
      </c>
      <c r="DJ13" s="199">
        <f>DI13</f>
        <v>0</v>
      </c>
      <c r="DK13" s="199">
        <f>DJ13</f>
        <v>0</v>
      </c>
      <c r="DL13" s="199">
        <f>DK13</f>
        <v>0</v>
      </c>
      <c r="DM13" s="199">
        <f>DL13</f>
        <v>0</v>
      </c>
      <c r="DN13" s="200">
        <f t="shared" si="18"/>
        <v>0</v>
      </c>
      <c r="DO13" s="199">
        <f>DN13</f>
        <v>0</v>
      </c>
      <c r="DP13" s="199">
        <f>DO13</f>
        <v>0</v>
      </c>
      <c r="DQ13" s="199">
        <f>DP13</f>
        <v>0</v>
      </c>
      <c r="DR13" s="199">
        <f>DQ13</f>
        <v>0</v>
      </c>
      <c r="DS13" s="200">
        <f t="shared" si="19"/>
        <v>0</v>
      </c>
      <c r="DT13" s="199">
        <f>DS13</f>
        <v>0</v>
      </c>
      <c r="DU13" s="199">
        <f>DT13</f>
        <v>0</v>
      </c>
      <c r="DV13" s="199">
        <f>DU13</f>
        <v>0</v>
      </c>
      <c r="DW13" s="199">
        <f>DV13</f>
        <v>0</v>
      </c>
      <c r="DX13" s="200">
        <f t="shared" si="20"/>
        <v>0</v>
      </c>
      <c r="DY13" s="199">
        <f>DX13</f>
        <v>0</v>
      </c>
      <c r="DZ13" s="199">
        <f>DY13</f>
        <v>0</v>
      </c>
      <c r="EA13" s="199">
        <f>DZ13</f>
        <v>0</v>
      </c>
      <c r="EB13" s="199">
        <f>EA13</f>
        <v>0</v>
      </c>
      <c r="EC13" s="200">
        <f t="shared" si="21"/>
        <v>0</v>
      </c>
      <c r="ED13" s="469"/>
      <c r="EF13"/>
      <c r="EG13"/>
      <c r="EH13"/>
      <c r="EI13"/>
      <c r="EJ13"/>
      <c r="EK13"/>
      <c r="EL13"/>
      <c r="EM13"/>
      <c r="EN13"/>
      <c r="EO13"/>
      <c r="EP13"/>
      <c r="EQ13"/>
      <c r="ER13"/>
      <c r="ES13"/>
      <c r="ET13"/>
      <c r="EU13"/>
      <c r="EV13"/>
      <c r="EW13"/>
      <c r="EX13"/>
      <c r="EY13"/>
      <c r="EZ13"/>
      <c r="FA13"/>
    </row>
    <row r="14" spans="1:157" s="172" customFormat="1" x14ac:dyDescent="0.2">
      <c r="A14" s="451" t="s">
        <v>43</v>
      </c>
      <c r="G14" s="182"/>
      <c r="H14" s="181">
        <v>149</v>
      </c>
      <c r="L14" s="182"/>
      <c r="M14" s="192">
        <v>155</v>
      </c>
      <c r="N14" s="193">
        <v>181</v>
      </c>
      <c r="O14" s="193">
        <v>214</v>
      </c>
      <c r="P14" s="193">
        <v>170</v>
      </c>
      <c r="Q14" s="193">
        <v>161</v>
      </c>
      <c r="R14" s="194">
        <f t="shared" si="22"/>
        <v>161</v>
      </c>
      <c r="S14" s="195">
        <v>386</v>
      </c>
      <c r="T14" s="196">
        <v>422</v>
      </c>
      <c r="U14" s="196">
        <v>389</v>
      </c>
      <c r="V14" s="197">
        <v>302</v>
      </c>
      <c r="W14" s="194">
        <f t="shared" si="23"/>
        <v>302</v>
      </c>
      <c r="X14" s="195">
        <v>256</v>
      </c>
      <c r="Y14" s="196">
        <v>239</v>
      </c>
      <c r="Z14" s="196">
        <v>207</v>
      </c>
      <c r="AA14" s="197">
        <v>175</v>
      </c>
      <c r="AB14" s="194">
        <f t="shared" si="24"/>
        <v>175</v>
      </c>
      <c r="AC14" s="195">
        <v>170</v>
      </c>
      <c r="AD14" s="196">
        <v>188</v>
      </c>
      <c r="AE14" s="196">
        <v>163</v>
      </c>
      <c r="AF14" s="197">
        <v>168</v>
      </c>
      <c r="AG14" s="194">
        <f t="shared" si="25"/>
        <v>168</v>
      </c>
      <c r="AH14" s="195">
        <v>175</v>
      </c>
      <c r="AI14" s="196">
        <v>204</v>
      </c>
      <c r="AJ14" s="196">
        <v>186</v>
      </c>
      <c r="AK14" s="197">
        <v>150</v>
      </c>
      <c r="AL14" s="194">
        <f t="shared" si="11"/>
        <v>150</v>
      </c>
      <c r="AM14" s="195">
        <v>204</v>
      </c>
      <c r="AN14" s="196">
        <v>178</v>
      </c>
      <c r="AO14" s="196">
        <v>168</v>
      </c>
      <c r="AP14" s="197">
        <v>192</v>
      </c>
      <c r="AQ14" s="194">
        <f t="shared" si="12"/>
        <v>192</v>
      </c>
      <c r="AR14" s="195">
        <v>200</v>
      </c>
      <c r="AS14" s="196">
        <v>212</v>
      </c>
      <c r="AT14" s="196">
        <v>227</v>
      </c>
      <c r="AU14" s="197">
        <v>236</v>
      </c>
      <c r="AV14" s="195">
        <v>236</v>
      </c>
      <c r="AW14" s="195">
        <v>258</v>
      </c>
      <c r="AX14" s="196">
        <v>223</v>
      </c>
      <c r="AY14" s="196">
        <v>223</v>
      </c>
      <c r="AZ14" s="196">
        <v>220</v>
      </c>
      <c r="BA14" s="194">
        <v>220</v>
      </c>
      <c r="BB14" s="195">
        <v>278</v>
      </c>
      <c r="BC14" s="196">
        <v>252</v>
      </c>
      <c r="BD14" s="196">
        <v>250</v>
      </c>
      <c r="BE14" s="196">
        <v>225</v>
      </c>
      <c r="BF14" s="194">
        <v>225</v>
      </c>
      <c r="BG14" s="195">
        <v>268</v>
      </c>
      <c r="BH14" s="196">
        <v>237</v>
      </c>
      <c r="BI14" s="196">
        <v>251</v>
      </c>
      <c r="BJ14" s="196">
        <v>229</v>
      </c>
      <c r="BK14" s="194">
        <v>229</v>
      </c>
      <c r="BL14" s="195">
        <v>283</v>
      </c>
      <c r="BM14" s="196">
        <v>278</v>
      </c>
      <c r="BN14" s="196">
        <v>241</v>
      </c>
      <c r="BO14" s="196">
        <v>239</v>
      </c>
      <c r="BP14" s="566">
        <f t="shared" si="13"/>
        <v>239</v>
      </c>
      <c r="BQ14" s="196">
        <v>303</v>
      </c>
      <c r="BR14" s="196">
        <v>260</v>
      </c>
      <c r="BS14" s="196">
        <v>249</v>
      </c>
      <c r="BT14" s="196">
        <v>256</v>
      </c>
      <c r="BU14" s="194">
        <f t="shared" ref="BU14:BU28" si="36">BT14</f>
        <v>256</v>
      </c>
      <c r="BV14" s="195">
        <v>311</v>
      </c>
      <c r="BW14" s="196">
        <v>295</v>
      </c>
      <c r="BX14" s="196">
        <v>281</v>
      </c>
      <c r="BY14" s="196">
        <f t="shared" si="26"/>
        <v>286</v>
      </c>
      <c r="BZ14" s="194">
        <v>286</v>
      </c>
      <c r="CA14" s="195">
        <v>341</v>
      </c>
      <c r="CB14" s="196">
        <v>323</v>
      </c>
      <c r="CC14" s="196">
        <v>302</v>
      </c>
      <c r="CD14" s="196">
        <v>301</v>
      </c>
      <c r="CE14" s="566">
        <f t="shared" si="14"/>
        <v>301</v>
      </c>
      <c r="CF14" s="196">
        <v>368</v>
      </c>
      <c r="CG14" s="196">
        <v>352</v>
      </c>
      <c r="CH14" s="196">
        <v>348</v>
      </c>
      <c r="CI14" s="196">
        <v>319</v>
      </c>
      <c r="CJ14" s="194">
        <f t="shared" si="15"/>
        <v>319</v>
      </c>
      <c r="CK14" s="873">
        <f t="shared" si="27"/>
        <v>265</v>
      </c>
      <c r="CL14" s="196">
        <f t="shared" si="28"/>
        <v>265</v>
      </c>
      <c r="CM14" s="196">
        <f t="shared" si="29"/>
        <v>265</v>
      </c>
      <c r="CN14" s="196">
        <f t="shared" si="30"/>
        <v>265</v>
      </c>
      <c r="CO14" s="194">
        <v>265</v>
      </c>
      <c r="CP14" s="873">
        <f t="shared" si="31"/>
        <v>301</v>
      </c>
      <c r="CQ14" s="196">
        <f t="shared" si="32"/>
        <v>301</v>
      </c>
      <c r="CR14" s="196">
        <f t="shared" si="33"/>
        <v>301</v>
      </c>
      <c r="CS14" s="196">
        <f t="shared" si="34"/>
        <v>301</v>
      </c>
      <c r="CT14" s="194">
        <v>301</v>
      </c>
      <c r="CU14" s="196">
        <v>301</v>
      </c>
      <c r="CV14" s="196">
        <v>278</v>
      </c>
      <c r="CW14" s="196">
        <v>331</v>
      </c>
      <c r="CX14" s="184">
        <f>CY14</f>
        <v>370</v>
      </c>
      <c r="CY14" s="2035">
        <v>370</v>
      </c>
      <c r="CZ14" s="1302">
        <v>355</v>
      </c>
      <c r="DA14" s="1302">
        <v>356</v>
      </c>
      <c r="DB14" s="1302">
        <v>358</v>
      </c>
      <c r="DC14" s="196">
        <v>400</v>
      </c>
      <c r="DD14" s="194">
        <f t="shared" si="16"/>
        <v>400</v>
      </c>
      <c r="DE14" s="199">
        <f t="shared" ref="DE14:DH14" si="37">DE118*DE123/365</f>
        <v>282.75807329548792</v>
      </c>
      <c r="DF14" s="199">
        <f t="shared" si="37"/>
        <v>278.01027023916697</v>
      </c>
      <c r="DG14" s="199">
        <f t="shared" si="37"/>
        <v>275.02921891472602</v>
      </c>
      <c r="DH14" s="199">
        <f t="shared" si="37"/>
        <v>335.0151643978391</v>
      </c>
      <c r="DI14" s="200">
        <f t="shared" si="17"/>
        <v>335.0151643978391</v>
      </c>
      <c r="DJ14" s="199">
        <f t="shared" ref="DJ14:DM15" si="38">DJ118*DJ123/365</f>
        <v>258.76676461705398</v>
      </c>
      <c r="DK14" s="199">
        <f t="shared" si="38"/>
        <v>259.6176642340061</v>
      </c>
      <c r="DL14" s="199">
        <f t="shared" si="38"/>
        <v>261.46835624232239</v>
      </c>
      <c r="DM14" s="199">
        <f t="shared" si="38"/>
        <v>317.37584580324636</v>
      </c>
      <c r="DN14" s="200">
        <f t="shared" si="18"/>
        <v>317.37584580324636</v>
      </c>
      <c r="DO14" s="199">
        <f t="shared" ref="DO14:DR15" si="39">DO118*DO123/365</f>
        <v>244.4377907264923</v>
      </c>
      <c r="DP14" s="199">
        <f t="shared" si="39"/>
        <v>254.22900121275694</v>
      </c>
      <c r="DQ14" s="199">
        <f t="shared" si="39"/>
        <v>265.59757068590613</v>
      </c>
      <c r="DR14" s="199">
        <f t="shared" si="39"/>
        <v>334.79533153037187</v>
      </c>
      <c r="DS14" s="200">
        <f t="shared" si="19"/>
        <v>334.79533153037187</v>
      </c>
      <c r="DT14" s="199">
        <f t="shared" ref="DT14:DW14" si="40">DT118*DT123/365</f>
        <v>265.23872334622234</v>
      </c>
      <c r="DU14" s="199">
        <f t="shared" si="40"/>
        <v>275.89291321075558</v>
      </c>
      <c r="DV14" s="199">
        <f t="shared" si="40"/>
        <v>287.9763483124068</v>
      </c>
      <c r="DW14" s="199">
        <f t="shared" si="40"/>
        <v>363.15285677836476</v>
      </c>
      <c r="DX14" s="200">
        <f t="shared" si="20"/>
        <v>363.15285677836476</v>
      </c>
      <c r="DY14" s="199">
        <f t="shared" ref="DY14:EB14" si="41">DY118*DY123/365</f>
        <v>287.70830312996901</v>
      </c>
      <c r="DZ14" s="199">
        <f t="shared" si="41"/>
        <v>300.36651271939149</v>
      </c>
      <c r="EA14" s="199">
        <f t="shared" si="41"/>
        <v>314.36612343639837</v>
      </c>
      <c r="EB14" s="199">
        <f t="shared" si="41"/>
        <v>398.00536747104991</v>
      </c>
      <c r="EC14" s="200">
        <f t="shared" si="21"/>
        <v>398.00536747104991</v>
      </c>
      <c r="ED14" s="469"/>
      <c r="EF14"/>
      <c r="EG14"/>
      <c r="EH14"/>
      <c r="EI14"/>
      <c r="EJ14"/>
      <c r="EK14"/>
      <c r="EL14"/>
      <c r="EM14"/>
      <c r="EN14"/>
      <c r="EO14"/>
      <c r="EP14"/>
      <c r="EQ14"/>
      <c r="ER14"/>
      <c r="ES14"/>
      <c r="ET14"/>
      <c r="EU14"/>
      <c r="EV14"/>
      <c r="EW14"/>
      <c r="EX14"/>
      <c r="EY14"/>
      <c r="EZ14"/>
      <c r="FA14"/>
    </row>
    <row r="15" spans="1:157" s="172" customFormat="1" x14ac:dyDescent="0.2">
      <c r="A15" s="451" t="s">
        <v>44</v>
      </c>
      <c r="G15" s="182"/>
      <c r="H15" s="181">
        <v>73</v>
      </c>
      <c r="L15" s="182"/>
      <c r="M15" s="192">
        <v>68</v>
      </c>
      <c r="N15" s="193">
        <v>63</v>
      </c>
      <c r="O15" s="193">
        <v>68</v>
      </c>
      <c r="P15" s="193">
        <v>60</v>
      </c>
      <c r="Q15" s="193">
        <v>61</v>
      </c>
      <c r="R15" s="194">
        <f t="shared" si="22"/>
        <v>61</v>
      </c>
      <c r="S15" s="195">
        <v>137</v>
      </c>
      <c r="T15" s="196">
        <v>127</v>
      </c>
      <c r="U15" s="196">
        <v>127</v>
      </c>
      <c r="V15" s="197">
        <v>47</v>
      </c>
      <c r="W15" s="194">
        <f t="shared" si="23"/>
        <v>47</v>
      </c>
      <c r="X15" s="195">
        <v>48</v>
      </c>
      <c r="Y15" s="196">
        <v>54</v>
      </c>
      <c r="Z15" s="196">
        <v>54</v>
      </c>
      <c r="AA15" s="197">
        <v>56</v>
      </c>
      <c r="AB15" s="194">
        <f t="shared" si="24"/>
        <v>56</v>
      </c>
      <c r="AC15" s="195">
        <v>60</v>
      </c>
      <c r="AD15" s="196">
        <v>77</v>
      </c>
      <c r="AE15" s="196">
        <v>63</v>
      </c>
      <c r="AF15" s="197">
        <v>63</v>
      </c>
      <c r="AG15" s="194">
        <f t="shared" si="25"/>
        <v>63</v>
      </c>
      <c r="AH15" s="195">
        <v>70</v>
      </c>
      <c r="AI15" s="196">
        <v>67</v>
      </c>
      <c r="AJ15" s="196">
        <v>67</v>
      </c>
      <c r="AK15" s="197">
        <v>67</v>
      </c>
      <c r="AL15" s="194">
        <f t="shared" si="11"/>
        <v>67</v>
      </c>
      <c r="AM15" s="195">
        <v>71</v>
      </c>
      <c r="AN15" s="196">
        <v>73</v>
      </c>
      <c r="AO15" s="196">
        <v>72</v>
      </c>
      <c r="AP15" s="197">
        <v>76</v>
      </c>
      <c r="AQ15" s="194">
        <f t="shared" si="12"/>
        <v>76</v>
      </c>
      <c r="AR15" s="195">
        <v>81</v>
      </c>
      <c r="AS15" s="196">
        <v>77</v>
      </c>
      <c r="AT15" s="196">
        <v>74</v>
      </c>
      <c r="AU15" s="196">
        <v>85</v>
      </c>
      <c r="AV15" s="195">
        <v>85</v>
      </c>
      <c r="AW15" s="195">
        <v>84</v>
      </c>
      <c r="AX15" s="196">
        <v>84</v>
      </c>
      <c r="AY15" s="196">
        <v>80</v>
      </c>
      <c r="AZ15" s="196">
        <v>93</v>
      </c>
      <c r="BA15" s="194">
        <v>93</v>
      </c>
      <c r="BB15" s="195">
        <v>97</v>
      </c>
      <c r="BC15" s="196">
        <v>98</v>
      </c>
      <c r="BD15" s="196">
        <v>96</v>
      </c>
      <c r="BE15" s="196">
        <v>128</v>
      </c>
      <c r="BF15" s="194">
        <v>128</v>
      </c>
      <c r="BG15" s="195">
        <v>130</v>
      </c>
      <c r="BH15" s="196">
        <v>139</v>
      </c>
      <c r="BI15" s="196">
        <v>157</v>
      </c>
      <c r="BJ15" s="196">
        <v>143</v>
      </c>
      <c r="BK15" s="194">
        <v>143</v>
      </c>
      <c r="BL15" s="195">
        <v>124</v>
      </c>
      <c r="BM15" s="196">
        <v>134</v>
      </c>
      <c r="BN15" s="196">
        <v>116</v>
      </c>
      <c r="BO15" s="196">
        <v>122</v>
      </c>
      <c r="BP15" s="566">
        <f t="shared" si="13"/>
        <v>122</v>
      </c>
      <c r="BQ15" s="196">
        <v>113</v>
      </c>
      <c r="BR15" s="196">
        <v>138</v>
      </c>
      <c r="BS15" s="196">
        <v>149</v>
      </c>
      <c r="BT15" s="196">
        <v>189</v>
      </c>
      <c r="BU15" s="194">
        <f t="shared" si="36"/>
        <v>189</v>
      </c>
      <c r="BV15" s="195">
        <v>156</v>
      </c>
      <c r="BW15" s="196">
        <v>173</v>
      </c>
      <c r="BX15" s="196">
        <v>186</v>
      </c>
      <c r="BY15" s="196">
        <f t="shared" si="26"/>
        <v>273</v>
      </c>
      <c r="BZ15" s="194">
        <v>273</v>
      </c>
      <c r="CA15" s="195">
        <v>291</v>
      </c>
      <c r="CB15" s="196">
        <v>305</v>
      </c>
      <c r="CC15" s="196">
        <v>291</v>
      </c>
      <c r="CD15" s="196">
        <v>313</v>
      </c>
      <c r="CE15" s="566">
        <f t="shared" si="14"/>
        <v>313</v>
      </c>
      <c r="CF15" s="196">
        <v>288</v>
      </c>
      <c r="CG15" s="196">
        <v>319</v>
      </c>
      <c r="CH15" s="196">
        <v>300</v>
      </c>
      <c r="CI15" s="196">
        <v>294</v>
      </c>
      <c r="CJ15" s="194">
        <f t="shared" si="15"/>
        <v>294</v>
      </c>
      <c r="CK15" s="873">
        <f t="shared" si="27"/>
        <v>41</v>
      </c>
      <c r="CL15" s="196">
        <f t="shared" si="28"/>
        <v>41</v>
      </c>
      <c r="CM15" s="196">
        <f t="shared" si="29"/>
        <v>41</v>
      </c>
      <c r="CN15" s="196">
        <f t="shared" si="30"/>
        <v>41</v>
      </c>
      <c r="CO15" s="194">
        <v>41</v>
      </c>
      <c r="CP15" s="873">
        <f t="shared" si="31"/>
        <v>40</v>
      </c>
      <c r="CQ15" s="196">
        <f t="shared" si="32"/>
        <v>40</v>
      </c>
      <c r="CR15" s="196">
        <f t="shared" si="33"/>
        <v>40</v>
      </c>
      <c r="CS15" s="196">
        <f t="shared" si="34"/>
        <v>40</v>
      </c>
      <c r="CT15" s="194">
        <v>40</v>
      </c>
      <c r="CU15" s="196">
        <v>39</v>
      </c>
      <c r="CV15" s="196">
        <v>39</v>
      </c>
      <c r="CW15" s="196">
        <v>37</v>
      </c>
      <c r="CX15" s="184">
        <f>CY15</f>
        <v>36</v>
      </c>
      <c r="CY15" s="194">
        <v>36</v>
      </c>
      <c r="CZ15" s="1302">
        <v>34</v>
      </c>
      <c r="DA15" s="1302">
        <v>31</v>
      </c>
      <c r="DB15" s="1302">
        <v>15</v>
      </c>
      <c r="DC15" s="196">
        <v>13</v>
      </c>
      <c r="DD15" s="194">
        <f t="shared" si="16"/>
        <v>13</v>
      </c>
      <c r="DE15" s="199">
        <f t="shared" ref="DE15:DH15" si="42">DE119*DE124/365</f>
        <v>18.956409967019667</v>
      </c>
      <c r="DF15" s="199">
        <f t="shared" si="42"/>
        <v>15.819604029760178</v>
      </c>
      <c r="DG15" s="199">
        <f t="shared" si="42"/>
        <v>14.798639929220395</v>
      </c>
      <c r="DH15" s="199">
        <f t="shared" si="42"/>
        <v>12.979458876448954</v>
      </c>
      <c r="DI15" s="200">
        <f t="shared" si="17"/>
        <v>12.979458876448954</v>
      </c>
      <c r="DJ15" s="199">
        <f t="shared" si="38"/>
        <v>13.58769117686435</v>
      </c>
      <c r="DK15" s="199">
        <f t="shared" si="38"/>
        <v>11.715048357421573</v>
      </c>
      <c r="DL15" s="199">
        <f t="shared" si="38"/>
        <v>11.166781810471674</v>
      </c>
      <c r="DM15" s="199">
        <f t="shared" si="38"/>
        <v>9.509600631157813</v>
      </c>
      <c r="DN15" s="200">
        <f t="shared" si="18"/>
        <v>9.509600631157813</v>
      </c>
      <c r="DO15" s="199">
        <f t="shared" si="39"/>
        <v>10.065637298852344</v>
      </c>
      <c r="DP15" s="199">
        <f t="shared" si="39"/>
        <v>9.72927697031826</v>
      </c>
      <c r="DQ15" s="199">
        <f t="shared" si="39"/>
        <v>10.417795788268201</v>
      </c>
      <c r="DR15" s="199">
        <f t="shared" si="39"/>
        <v>10.0927147931839</v>
      </c>
      <c r="DS15" s="200">
        <f t="shared" si="19"/>
        <v>10.0927147931839</v>
      </c>
      <c r="DT15" s="199">
        <f t="shared" ref="DT15:DW15" si="43">DT119*DT124/365</f>
        <v>11.438293071060228</v>
      </c>
      <c r="DU15" s="199">
        <f t="shared" si="43"/>
        <v>11.026918718113166</v>
      </c>
      <c r="DV15" s="199">
        <f t="shared" si="43"/>
        <v>11.767959296148577</v>
      </c>
      <c r="DW15" s="199">
        <f t="shared" si="43"/>
        <v>11.380964627145406</v>
      </c>
      <c r="DX15" s="200">
        <f t="shared" si="20"/>
        <v>11.380964627145406</v>
      </c>
      <c r="DY15" s="199">
        <f t="shared" ref="DY15:EB15" si="44">DY119*DY124/365</f>
        <v>12.95234136549433</v>
      </c>
      <c r="DZ15" s="199">
        <f t="shared" si="44"/>
        <v>12.614031793045548</v>
      </c>
      <c r="EA15" s="199">
        <f t="shared" si="44"/>
        <v>13.582786441646929</v>
      </c>
      <c r="EB15" s="199">
        <f t="shared" si="44"/>
        <v>13.261176007921083</v>
      </c>
      <c r="EC15" s="200">
        <f t="shared" si="21"/>
        <v>13.261176007921083</v>
      </c>
      <c r="ED15" s="469"/>
      <c r="EF15"/>
      <c r="EG15"/>
      <c r="EH15"/>
      <c r="EI15"/>
      <c r="EJ15"/>
      <c r="EK15"/>
      <c r="EL15"/>
      <c r="EM15"/>
      <c r="EN15"/>
      <c r="EO15"/>
      <c r="EP15"/>
      <c r="EQ15"/>
      <c r="ER15"/>
      <c r="ES15"/>
      <c r="ET15"/>
      <c r="EU15"/>
      <c r="EV15"/>
      <c r="EW15"/>
      <c r="EX15"/>
      <c r="EY15"/>
      <c r="EZ15"/>
      <c r="FA15"/>
    </row>
    <row r="16" spans="1:157" s="172" customFormat="1" x14ac:dyDescent="0.2">
      <c r="A16" s="451" t="s">
        <v>45</v>
      </c>
      <c r="G16" s="182"/>
      <c r="H16" s="181"/>
      <c r="L16" s="182"/>
      <c r="M16" s="192"/>
      <c r="N16" s="193"/>
      <c r="O16" s="193"/>
      <c r="P16" s="193"/>
      <c r="Q16" s="193"/>
      <c r="R16" s="194"/>
      <c r="S16" s="195"/>
      <c r="T16" s="196"/>
      <c r="U16" s="196"/>
      <c r="V16" s="197"/>
      <c r="W16" s="194"/>
      <c r="X16" s="195"/>
      <c r="Y16" s="196"/>
      <c r="Z16" s="196"/>
      <c r="AA16" s="197"/>
      <c r="AB16" s="194"/>
      <c r="AC16" s="195"/>
      <c r="AD16" s="196"/>
      <c r="AE16" s="196"/>
      <c r="AF16" s="197">
        <v>111</v>
      </c>
      <c r="AG16" s="194">
        <v>111</v>
      </c>
      <c r="AH16" s="195">
        <v>100</v>
      </c>
      <c r="AI16" s="196">
        <v>101</v>
      </c>
      <c r="AJ16" s="196">
        <v>95</v>
      </c>
      <c r="AK16" s="197">
        <v>96</v>
      </c>
      <c r="AL16" s="194">
        <f t="shared" si="11"/>
        <v>96</v>
      </c>
      <c r="AM16" s="195">
        <v>104</v>
      </c>
      <c r="AN16" s="196">
        <v>98</v>
      </c>
      <c r="AO16" s="196">
        <v>97</v>
      </c>
      <c r="AP16" s="197">
        <v>7</v>
      </c>
      <c r="AQ16" s="194">
        <f t="shared" si="12"/>
        <v>7</v>
      </c>
      <c r="AR16" s="195">
        <v>0</v>
      </c>
      <c r="AS16" s="196">
        <v>0</v>
      </c>
      <c r="AT16" s="196">
        <v>0</v>
      </c>
      <c r="AU16" s="197"/>
      <c r="AV16" s="195"/>
      <c r="AW16" s="328">
        <f>AU16</f>
        <v>0</v>
      </c>
      <c r="AX16" s="334">
        <f>AW16</f>
        <v>0</v>
      </c>
      <c r="AY16" s="334">
        <v>0</v>
      </c>
      <c r="AZ16" s="334">
        <f>AY16</f>
        <v>0</v>
      </c>
      <c r="BA16" s="370">
        <v>0</v>
      </c>
      <c r="BB16" s="328">
        <f>AZ16</f>
        <v>0</v>
      </c>
      <c r="BC16" s="334">
        <f>BB16</f>
        <v>0</v>
      </c>
      <c r="BD16" s="334">
        <f>BC16</f>
        <v>0</v>
      </c>
      <c r="BE16" s="334">
        <v>0</v>
      </c>
      <c r="BF16" s="370">
        <v>0</v>
      </c>
      <c r="BG16" s="328">
        <f>BE16</f>
        <v>0</v>
      </c>
      <c r="BH16" s="334">
        <v>0</v>
      </c>
      <c r="BI16" s="334">
        <v>0</v>
      </c>
      <c r="BJ16" s="334">
        <v>0</v>
      </c>
      <c r="BK16" s="370">
        <v>0</v>
      </c>
      <c r="BL16" s="328">
        <v>0</v>
      </c>
      <c r="BM16" s="334">
        <v>0</v>
      </c>
      <c r="BN16" s="334">
        <v>0</v>
      </c>
      <c r="BO16" s="334">
        <v>0</v>
      </c>
      <c r="BP16" s="567">
        <f t="shared" si="13"/>
        <v>0</v>
      </c>
      <c r="BQ16" s="334">
        <v>0</v>
      </c>
      <c r="BR16" s="334">
        <v>0</v>
      </c>
      <c r="BS16" s="334">
        <v>0</v>
      </c>
      <c r="BT16" s="334">
        <v>0</v>
      </c>
      <c r="BU16" s="370">
        <f t="shared" si="36"/>
        <v>0</v>
      </c>
      <c r="BV16" s="328">
        <v>0</v>
      </c>
      <c r="BW16" s="334">
        <v>0</v>
      </c>
      <c r="BX16" s="334">
        <v>0</v>
      </c>
      <c r="BY16" s="334">
        <f t="shared" si="26"/>
        <v>0</v>
      </c>
      <c r="BZ16" s="370">
        <v>0</v>
      </c>
      <c r="CA16" s="328">
        <v>0</v>
      </c>
      <c r="CB16" s="334">
        <v>0</v>
      </c>
      <c r="CC16" s="334">
        <v>0</v>
      </c>
      <c r="CD16" s="334">
        <v>0</v>
      </c>
      <c r="CE16" s="567">
        <f t="shared" si="14"/>
        <v>0</v>
      </c>
      <c r="CF16" s="334">
        <v>0</v>
      </c>
      <c r="CG16" s="334">
        <v>0</v>
      </c>
      <c r="CH16" s="334">
        <v>0</v>
      </c>
      <c r="CI16" s="334">
        <v>0</v>
      </c>
      <c r="CJ16" s="370">
        <f t="shared" si="15"/>
        <v>0</v>
      </c>
      <c r="CK16" s="874">
        <f t="shared" si="27"/>
        <v>0</v>
      </c>
      <c r="CL16" s="334">
        <f t="shared" si="28"/>
        <v>0</v>
      </c>
      <c r="CM16" s="334">
        <f t="shared" si="29"/>
        <v>0</v>
      </c>
      <c r="CN16" s="334">
        <f t="shared" si="30"/>
        <v>0</v>
      </c>
      <c r="CO16" s="370">
        <v>0</v>
      </c>
      <c r="CP16" s="874">
        <f t="shared" si="31"/>
        <v>0</v>
      </c>
      <c r="CQ16" s="334">
        <f t="shared" si="32"/>
        <v>0</v>
      </c>
      <c r="CR16" s="334">
        <f t="shared" si="33"/>
        <v>0</v>
      </c>
      <c r="CS16" s="334">
        <f t="shared" si="34"/>
        <v>0</v>
      </c>
      <c r="CT16" s="370">
        <v>0</v>
      </c>
      <c r="CU16" s="334">
        <v>0</v>
      </c>
      <c r="CV16" s="334">
        <v>0</v>
      </c>
      <c r="CW16" s="334">
        <v>0</v>
      </c>
      <c r="CX16" s="334">
        <f t="shared" ref="CX16:CX19" si="45">CW16</f>
        <v>0</v>
      </c>
      <c r="CY16" s="370">
        <f t="shared" si="35"/>
        <v>0</v>
      </c>
      <c r="CZ16" s="2145">
        <f>CX16</f>
        <v>0</v>
      </c>
      <c r="DA16" s="2145">
        <v>0</v>
      </c>
      <c r="DB16" s="2145">
        <f t="shared" ref="DB16" si="46">DA16</f>
        <v>0</v>
      </c>
      <c r="DC16" s="334">
        <v>0</v>
      </c>
      <c r="DD16" s="370">
        <f t="shared" si="16"/>
        <v>0</v>
      </c>
      <c r="DE16" s="201">
        <f>DC16</f>
        <v>0</v>
      </c>
      <c r="DF16" s="201">
        <f t="shared" ref="DF16:DF19" si="47">DE16</f>
        <v>0</v>
      </c>
      <c r="DG16" s="201">
        <f t="shared" ref="DG16:DG19" si="48">DF16</f>
        <v>0</v>
      </c>
      <c r="DH16" s="201">
        <f t="shared" ref="DH16:DH19" si="49">DG16</f>
        <v>0</v>
      </c>
      <c r="DI16" s="202">
        <f t="shared" si="17"/>
        <v>0</v>
      </c>
      <c r="DJ16" s="201">
        <f>DH16</f>
        <v>0</v>
      </c>
      <c r="DK16" s="201">
        <f t="shared" ref="DK16:DM19" si="50">DJ16</f>
        <v>0</v>
      </c>
      <c r="DL16" s="201">
        <f t="shared" si="50"/>
        <v>0</v>
      </c>
      <c r="DM16" s="201">
        <f t="shared" si="50"/>
        <v>0</v>
      </c>
      <c r="DN16" s="202">
        <f t="shared" si="18"/>
        <v>0</v>
      </c>
      <c r="DO16" s="201">
        <f>DM16</f>
        <v>0</v>
      </c>
      <c r="DP16" s="201">
        <f t="shared" ref="DP16:DR19" si="51">DO16</f>
        <v>0</v>
      </c>
      <c r="DQ16" s="201">
        <f t="shared" si="51"/>
        <v>0</v>
      </c>
      <c r="DR16" s="201">
        <f t="shared" si="51"/>
        <v>0</v>
      </c>
      <c r="DS16" s="202">
        <f t="shared" si="19"/>
        <v>0</v>
      </c>
      <c r="DT16" s="201">
        <f>DR16</f>
        <v>0</v>
      </c>
      <c r="DU16" s="201">
        <f t="shared" ref="DU16:DU19" si="52">DT16</f>
        <v>0</v>
      </c>
      <c r="DV16" s="201">
        <f t="shared" ref="DV16:DV19" si="53">DU16</f>
        <v>0</v>
      </c>
      <c r="DW16" s="201">
        <f t="shared" ref="DW16:DW19" si="54">DV16</f>
        <v>0</v>
      </c>
      <c r="DX16" s="202">
        <f t="shared" si="20"/>
        <v>0</v>
      </c>
      <c r="DY16" s="201">
        <f>DW16</f>
        <v>0</v>
      </c>
      <c r="DZ16" s="201">
        <f t="shared" ref="DZ16:DZ19" si="55">DY16</f>
        <v>0</v>
      </c>
      <c r="EA16" s="201">
        <f t="shared" ref="EA16:EA19" si="56">DZ16</f>
        <v>0</v>
      </c>
      <c r="EB16" s="201">
        <f t="shared" ref="EB16:EB19" si="57">EA16</f>
        <v>0</v>
      </c>
      <c r="EC16" s="202">
        <f t="shared" si="21"/>
        <v>0</v>
      </c>
      <c r="ED16" s="469"/>
      <c r="EF16"/>
      <c r="EG16"/>
      <c r="EH16"/>
      <c r="EI16"/>
      <c r="EJ16"/>
      <c r="EK16"/>
      <c r="EL16"/>
      <c r="EM16"/>
      <c r="EN16"/>
      <c r="EO16"/>
      <c r="EP16"/>
      <c r="EQ16"/>
      <c r="ER16"/>
      <c r="ES16"/>
      <c r="ET16"/>
      <c r="EU16"/>
      <c r="EV16"/>
      <c r="EW16"/>
      <c r="EX16"/>
      <c r="EY16"/>
      <c r="EZ16"/>
      <c r="FA16"/>
    </row>
    <row r="17" spans="1:157" s="172" customFormat="1" x14ac:dyDescent="0.2">
      <c r="A17" s="451" t="s">
        <v>46</v>
      </c>
      <c r="G17" s="182"/>
      <c r="H17" s="181">
        <f>160-H19</f>
        <v>68</v>
      </c>
      <c r="L17" s="182"/>
      <c r="M17" s="192">
        <v>57</v>
      </c>
      <c r="N17" s="193">
        <v>71</v>
      </c>
      <c r="O17" s="193">
        <v>80</v>
      </c>
      <c r="P17" s="193">
        <v>69</v>
      </c>
      <c r="Q17" s="193">
        <v>68</v>
      </c>
      <c r="R17" s="194">
        <f t="shared" si="22"/>
        <v>68</v>
      </c>
      <c r="S17" s="195">
        <v>83</v>
      </c>
      <c r="T17" s="196">
        <v>75</v>
      </c>
      <c r="U17" s="196">
        <v>71</v>
      </c>
      <c r="V17" s="197">
        <v>68</v>
      </c>
      <c r="W17" s="194">
        <f t="shared" si="23"/>
        <v>68</v>
      </c>
      <c r="X17" s="195">
        <v>107</v>
      </c>
      <c r="Y17" s="196">
        <v>99</v>
      </c>
      <c r="Z17" s="196">
        <v>92</v>
      </c>
      <c r="AA17" s="197">
        <v>92</v>
      </c>
      <c r="AB17" s="194">
        <f t="shared" si="24"/>
        <v>92</v>
      </c>
      <c r="AC17" s="195">
        <v>90</v>
      </c>
      <c r="AD17" s="196">
        <v>82</v>
      </c>
      <c r="AE17" s="196">
        <f>8+77</f>
        <v>85</v>
      </c>
      <c r="AF17" s="197">
        <v>110</v>
      </c>
      <c r="AG17" s="194">
        <f t="shared" si="25"/>
        <v>110</v>
      </c>
      <c r="AH17" s="195">
        <v>128</v>
      </c>
      <c r="AI17" s="196">
        <v>120</v>
      </c>
      <c r="AJ17" s="196">
        <v>107</v>
      </c>
      <c r="AK17" s="197">
        <v>65</v>
      </c>
      <c r="AL17" s="194">
        <f t="shared" si="11"/>
        <v>65</v>
      </c>
      <c r="AM17" s="195">
        <v>118</v>
      </c>
      <c r="AN17" s="196">
        <v>109</v>
      </c>
      <c r="AO17" s="196">
        <v>98</v>
      </c>
      <c r="AP17" s="197">
        <v>135</v>
      </c>
      <c r="AQ17" s="194">
        <f t="shared" si="12"/>
        <v>135</v>
      </c>
      <c r="AR17" s="195">
        <v>149</v>
      </c>
      <c r="AS17" s="196">
        <v>91</v>
      </c>
      <c r="AT17" s="196">
        <v>81</v>
      </c>
      <c r="AU17" s="197">
        <v>75</v>
      </c>
      <c r="AV17" s="195">
        <v>75</v>
      </c>
      <c r="AW17" s="328">
        <v>95</v>
      </c>
      <c r="AX17" s="334">
        <v>100</v>
      </c>
      <c r="AY17" s="334">
        <v>90</v>
      </c>
      <c r="AZ17" s="334">
        <v>132</v>
      </c>
      <c r="BA17" s="370">
        <v>132</v>
      </c>
      <c r="BB17" s="328">
        <v>147</v>
      </c>
      <c r="BC17" s="334">
        <v>152</v>
      </c>
      <c r="BD17" s="334">
        <v>139</v>
      </c>
      <c r="BE17" s="334">
        <v>142</v>
      </c>
      <c r="BF17" s="370">
        <v>142</v>
      </c>
      <c r="BG17" s="328">
        <v>197</v>
      </c>
      <c r="BH17" s="334">
        <v>212</v>
      </c>
      <c r="BI17" s="334">
        <v>180</v>
      </c>
      <c r="BJ17" s="334">
        <v>172</v>
      </c>
      <c r="BK17" s="370">
        <v>172</v>
      </c>
      <c r="BL17" s="328">
        <v>191</v>
      </c>
      <c r="BM17" s="334">
        <v>201</v>
      </c>
      <c r="BN17" s="334">
        <v>287</v>
      </c>
      <c r="BO17" s="334">
        <v>314</v>
      </c>
      <c r="BP17" s="567">
        <f t="shared" si="13"/>
        <v>314</v>
      </c>
      <c r="BQ17" s="334">
        <v>303</v>
      </c>
      <c r="BR17" s="334">
        <v>340</v>
      </c>
      <c r="BS17" s="334">
        <v>313</v>
      </c>
      <c r="BT17" s="334">
        <v>269</v>
      </c>
      <c r="BU17" s="370">
        <f t="shared" si="36"/>
        <v>269</v>
      </c>
      <c r="BV17" s="328">
        <v>264</v>
      </c>
      <c r="BW17" s="334">
        <v>232</v>
      </c>
      <c r="BX17" s="334">
        <v>466</v>
      </c>
      <c r="BY17" s="334">
        <f t="shared" si="26"/>
        <v>338</v>
      </c>
      <c r="BZ17" s="370">
        <v>338</v>
      </c>
      <c r="CA17" s="328">
        <v>427</v>
      </c>
      <c r="CB17" s="334">
        <v>390</v>
      </c>
      <c r="CC17" s="334">
        <v>323</v>
      </c>
      <c r="CD17" s="334">
        <v>272</v>
      </c>
      <c r="CE17" s="567">
        <f t="shared" si="14"/>
        <v>272</v>
      </c>
      <c r="CF17" s="334">
        <v>227</v>
      </c>
      <c r="CG17" s="334">
        <v>238</v>
      </c>
      <c r="CH17" s="334">
        <v>233</v>
      </c>
      <c r="CI17" s="334">
        <v>286</v>
      </c>
      <c r="CJ17" s="370">
        <f t="shared" si="15"/>
        <v>286</v>
      </c>
      <c r="CK17" s="874">
        <f t="shared" si="27"/>
        <v>164</v>
      </c>
      <c r="CL17" s="334">
        <f t="shared" si="28"/>
        <v>164</v>
      </c>
      <c r="CM17" s="334">
        <f t="shared" si="29"/>
        <v>164</v>
      </c>
      <c r="CN17" s="334">
        <f t="shared" si="30"/>
        <v>164</v>
      </c>
      <c r="CO17" s="370">
        <v>164</v>
      </c>
      <c r="CP17" s="874">
        <f t="shared" si="31"/>
        <v>133</v>
      </c>
      <c r="CQ17" s="334">
        <f t="shared" si="32"/>
        <v>133</v>
      </c>
      <c r="CR17" s="334">
        <f t="shared" si="33"/>
        <v>133</v>
      </c>
      <c r="CS17" s="334">
        <f t="shared" si="34"/>
        <v>133</v>
      </c>
      <c r="CT17" s="370">
        <v>133</v>
      </c>
      <c r="CU17" s="334">
        <v>128</v>
      </c>
      <c r="CV17" s="334">
        <v>181</v>
      </c>
      <c r="CW17" s="334">
        <v>238</v>
      </c>
      <c r="CX17" s="184">
        <f>CY17</f>
        <v>220</v>
      </c>
      <c r="CY17" s="370">
        <f>238-18</f>
        <v>220</v>
      </c>
      <c r="CZ17" s="2145">
        <v>215</v>
      </c>
      <c r="DA17" s="2145">
        <v>267</v>
      </c>
      <c r="DB17" s="2145">
        <v>465</v>
      </c>
      <c r="DC17" s="334">
        <v>371</v>
      </c>
      <c r="DD17" s="370">
        <f t="shared" si="16"/>
        <v>371</v>
      </c>
      <c r="DE17" s="201">
        <f>DD17</f>
        <v>371</v>
      </c>
      <c r="DF17" s="201">
        <f t="shared" si="47"/>
        <v>371</v>
      </c>
      <c r="DG17" s="201">
        <f t="shared" si="48"/>
        <v>371</v>
      </c>
      <c r="DH17" s="201">
        <f t="shared" si="49"/>
        <v>371</v>
      </c>
      <c r="DI17" s="202">
        <f t="shared" si="17"/>
        <v>371</v>
      </c>
      <c r="DJ17" s="201">
        <f>DI17</f>
        <v>371</v>
      </c>
      <c r="DK17" s="201">
        <f t="shared" si="50"/>
        <v>371</v>
      </c>
      <c r="DL17" s="201">
        <f t="shared" si="50"/>
        <v>371</v>
      </c>
      <c r="DM17" s="201">
        <f t="shared" si="50"/>
        <v>371</v>
      </c>
      <c r="DN17" s="202">
        <f t="shared" si="18"/>
        <v>371</v>
      </c>
      <c r="DO17" s="201">
        <f>DN17</f>
        <v>371</v>
      </c>
      <c r="DP17" s="201">
        <f t="shared" si="51"/>
        <v>371</v>
      </c>
      <c r="DQ17" s="201">
        <f t="shared" si="51"/>
        <v>371</v>
      </c>
      <c r="DR17" s="201">
        <f t="shared" si="51"/>
        <v>371</v>
      </c>
      <c r="DS17" s="202">
        <f t="shared" si="19"/>
        <v>371</v>
      </c>
      <c r="DT17" s="201">
        <f>DS17</f>
        <v>371</v>
      </c>
      <c r="DU17" s="201">
        <f t="shared" si="52"/>
        <v>371</v>
      </c>
      <c r="DV17" s="201">
        <f t="shared" si="53"/>
        <v>371</v>
      </c>
      <c r="DW17" s="201">
        <f t="shared" si="54"/>
        <v>371</v>
      </c>
      <c r="DX17" s="202">
        <f t="shared" si="20"/>
        <v>371</v>
      </c>
      <c r="DY17" s="201">
        <f>DX17</f>
        <v>371</v>
      </c>
      <c r="DZ17" s="201">
        <f t="shared" si="55"/>
        <v>371</v>
      </c>
      <c r="EA17" s="201">
        <f t="shared" si="56"/>
        <v>371</v>
      </c>
      <c r="EB17" s="201">
        <f t="shared" si="57"/>
        <v>371</v>
      </c>
      <c r="EC17" s="202">
        <f t="shared" si="21"/>
        <v>371</v>
      </c>
      <c r="ED17" s="469"/>
      <c r="EF17"/>
      <c r="EG17"/>
      <c r="EH17"/>
      <c r="EI17"/>
      <c r="EJ17"/>
      <c r="EK17"/>
      <c r="EL17"/>
      <c r="EM17"/>
      <c r="EN17"/>
      <c r="EO17"/>
      <c r="EP17"/>
      <c r="EQ17"/>
      <c r="ER17"/>
      <c r="ES17"/>
      <c r="ET17"/>
      <c r="EU17"/>
      <c r="EV17"/>
      <c r="EW17"/>
      <c r="EX17"/>
      <c r="EY17"/>
      <c r="EZ17"/>
      <c r="FA17"/>
    </row>
    <row r="18" spans="1:157" s="172" customFormat="1" x14ac:dyDescent="0.2">
      <c r="A18" s="451" t="s">
        <v>279</v>
      </c>
      <c r="G18" s="182"/>
      <c r="H18" s="181"/>
      <c r="L18" s="182"/>
      <c r="M18" s="192"/>
      <c r="N18" s="193"/>
      <c r="O18" s="193"/>
      <c r="P18" s="193"/>
      <c r="Q18" s="193"/>
      <c r="R18" s="194"/>
      <c r="S18" s="195"/>
      <c r="T18" s="196"/>
      <c r="U18" s="196"/>
      <c r="V18" s="197"/>
      <c r="W18" s="194"/>
      <c r="X18" s="195"/>
      <c r="Y18" s="196"/>
      <c r="Z18" s="196"/>
      <c r="AA18" s="197"/>
      <c r="AB18" s="194"/>
      <c r="AC18" s="195"/>
      <c r="AD18" s="196"/>
      <c r="AE18" s="196"/>
      <c r="AF18" s="197"/>
      <c r="AG18" s="194"/>
      <c r="AH18" s="195"/>
      <c r="AI18" s="196"/>
      <c r="AJ18" s="196"/>
      <c r="AK18" s="197">
        <v>56</v>
      </c>
      <c r="AL18" s="194">
        <f t="shared" si="11"/>
        <v>56</v>
      </c>
      <c r="AM18" s="195"/>
      <c r="AN18" s="196">
        <v>73</v>
      </c>
      <c r="AO18" s="196">
        <v>70</v>
      </c>
      <c r="AP18" s="197">
        <v>65</v>
      </c>
      <c r="AQ18" s="194">
        <f t="shared" si="12"/>
        <v>65</v>
      </c>
      <c r="AR18" s="195">
        <v>76</v>
      </c>
      <c r="AS18" s="196">
        <v>78</v>
      </c>
      <c r="AT18" s="196">
        <v>76</v>
      </c>
      <c r="AU18" s="197">
        <v>77</v>
      </c>
      <c r="AV18" s="195">
        <v>77</v>
      </c>
      <c r="AW18" s="328">
        <v>102</v>
      </c>
      <c r="AX18" s="334">
        <v>97</v>
      </c>
      <c r="AY18" s="334">
        <v>99</v>
      </c>
      <c r="AZ18" s="334">
        <v>74</v>
      </c>
      <c r="BA18" s="370">
        <v>74</v>
      </c>
      <c r="BB18" s="328">
        <v>90</v>
      </c>
      <c r="BC18" s="334">
        <v>76</v>
      </c>
      <c r="BD18" s="334">
        <v>76</v>
      </c>
      <c r="BE18" s="334">
        <v>72</v>
      </c>
      <c r="BF18" s="370">
        <v>72</v>
      </c>
      <c r="BG18" s="328">
        <v>95</v>
      </c>
      <c r="BH18" s="334">
        <v>98</v>
      </c>
      <c r="BI18" s="334">
        <v>103</v>
      </c>
      <c r="BJ18" s="334">
        <v>110</v>
      </c>
      <c r="BK18" s="370">
        <v>110</v>
      </c>
      <c r="BL18" s="328">
        <v>100</v>
      </c>
      <c r="BM18" s="334">
        <v>90</v>
      </c>
      <c r="BN18" s="334">
        <v>84</v>
      </c>
      <c r="BO18" s="334">
        <v>99</v>
      </c>
      <c r="BP18" s="567">
        <f t="shared" si="13"/>
        <v>99</v>
      </c>
      <c r="BQ18" s="334">
        <v>96</v>
      </c>
      <c r="BR18" s="334">
        <v>89</v>
      </c>
      <c r="BS18" s="334">
        <v>81</v>
      </c>
      <c r="BT18" s="334">
        <v>61</v>
      </c>
      <c r="BU18" s="370">
        <f t="shared" si="36"/>
        <v>61</v>
      </c>
      <c r="BV18" s="328">
        <v>59</v>
      </c>
      <c r="BW18" s="334">
        <v>64</v>
      </c>
      <c r="BX18" s="334">
        <v>76</v>
      </c>
      <c r="BY18" s="334">
        <f t="shared" si="26"/>
        <v>114</v>
      </c>
      <c r="BZ18" s="370">
        <v>114</v>
      </c>
      <c r="CA18" s="328">
        <v>139</v>
      </c>
      <c r="CB18" s="334">
        <v>104</v>
      </c>
      <c r="CC18" s="334">
        <v>113</v>
      </c>
      <c r="CD18" s="334">
        <v>136</v>
      </c>
      <c r="CE18" s="567">
        <f t="shared" si="14"/>
        <v>136</v>
      </c>
      <c r="CF18" s="334">
        <v>133</v>
      </c>
      <c r="CG18" s="334">
        <v>115</v>
      </c>
      <c r="CH18" s="334">
        <v>116</v>
      </c>
      <c r="CI18" s="334">
        <v>96</v>
      </c>
      <c r="CJ18" s="370">
        <f t="shared" si="15"/>
        <v>96</v>
      </c>
      <c r="CK18" s="874">
        <f t="shared" si="27"/>
        <v>95</v>
      </c>
      <c r="CL18" s="334">
        <f t="shared" si="28"/>
        <v>95</v>
      </c>
      <c r="CM18" s="334">
        <f t="shared" si="29"/>
        <v>95</v>
      </c>
      <c r="CN18" s="334">
        <f t="shared" si="30"/>
        <v>95</v>
      </c>
      <c r="CO18" s="370">
        <v>95</v>
      </c>
      <c r="CP18" s="874">
        <f t="shared" si="31"/>
        <v>103</v>
      </c>
      <c r="CQ18" s="334">
        <f t="shared" si="32"/>
        <v>103</v>
      </c>
      <c r="CR18" s="334">
        <f t="shared" si="33"/>
        <v>103</v>
      </c>
      <c r="CS18" s="334">
        <f t="shared" si="34"/>
        <v>103</v>
      </c>
      <c r="CT18" s="370">
        <v>103</v>
      </c>
      <c r="CU18" s="334">
        <v>122</v>
      </c>
      <c r="CV18" s="334">
        <v>102</v>
      </c>
      <c r="CW18" s="334">
        <v>136</v>
      </c>
      <c r="CX18" s="184">
        <f>CY18</f>
        <v>25</v>
      </c>
      <c r="CY18" s="370">
        <f>134+704-813</f>
        <v>25</v>
      </c>
      <c r="CZ18" s="2145">
        <f>148+525-611</f>
        <v>62</v>
      </c>
      <c r="DA18" s="2145">
        <f>161+970-1056</f>
        <v>75</v>
      </c>
      <c r="DB18" s="2145">
        <f>181-71</f>
        <v>110</v>
      </c>
      <c r="DC18" s="334">
        <f>201-77</f>
        <v>124</v>
      </c>
      <c r="DD18" s="370">
        <f t="shared" si="16"/>
        <v>124</v>
      </c>
      <c r="DE18" s="201">
        <f>DD18</f>
        <v>124</v>
      </c>
      <c r="DF18" s="201">
        <f t="shared" si="47"/>
        <v>124</v>
      </c>
      <c r="DG18" s="201">
        <f t="shared" si="48"/>
        <v>124</v>
      </c>
      <c r="DH18" s="201">
        <f t="shared" si="49"/>
        <v>124</v>
      </c>
      <c r="DI18" s="202">
        <f t="shared" si="17"/>
        <v>124</v>
      </c>
      <c r="DJ18" s="201">
        <f>DI18</f>
        <v>124</v>
      </c>
      <c r="DK18" s="201">
        <f t="shared" si="50"/>
        <v>124</v>
      </c>
      <c r="DL18" s="201">
        <f t="shared" si="50"/>
        <v>124</v>
      </c>
      <c r="DM18" s="201">
        <f t="shared" si="50"/>
        <v>124</v>
      </c>
      <c r="DN18" s="202">
        <f t="shared" si="18"/>
        <v>124</v>
      </c>
      <c r="DO18" s="201">
        <f>DN18</f>
        <v>124</v>
      </c>
      <c r="DP18" s="201">
        <f t="shared" si="51"/>
        <v>124</v>
      </c>
      <c r="DQ18" s="201">
        <f t="shared" si="51"/>
        <v>124</v>
      </c>
      <c r="DR18" s="201">
        <f t="shared" si="51"/>
        <v>124</v>
      </c>
      <c r="DS18" s="202">
        <f t="shared" si="19"/>
        <v>124</v>
      </c>
      <c r="DT18" s="201">
        <f>DS18</f>
        <v>124</v>
      </c>
      <c r="DU18" s="201">
        <f t="shared" si="52"/>
        <v>124</v>
      </c>
      <c r="DV18" s="201">
        <f t="shared" si="53"/>
        <v>124</v>
      </c>
      <c r="DW18" s="201">
        <f t="shared" si="54"/>
        <v>124</v>
      </c>
      <c r="DX18" s="202">
        <f t="shared" si="20"/>
        <v>124</v>
      </c>
      <c r="DY18" s="201">
        <f>DX18</f>
        <v>124</v>
      </c>
      <c r="DZ18" s="201">
        <f t="shared" si="55"/>
        <v>124</v>
      </c>
      <c r="EA18" s="201">
        <f t="shared" si="56"/>
        <v>124</v>
      </c>
      <c r="EB18" s="201">
        <f t="shared" si="57"/>
        <v>124</v>
      </c>
      <c r="EC18" s="202">
        <f t="shared" si="21"/>
        <v>124</v>
      </c>
      <c r="ED18" s="469"/>
      <c r="EF18"/>
      <c r="EG18"/>
      <c r="EH18"/>
      <c r="EI18"/>
      <c r="EJ18"/>
      <c r="EK18"/>
      <c r="EL18"/>
      <c r="EM18"/>
      <c r="EN18"/>
      <c r="EO18"/>
      <c r="EP18"/>
      <c r="EQ18"/>
      <c r="ER18"/>
      <c r="ES18"/>
      <c r="ET18"/>
      <c r="EU18"/>
      <c r="EV18"/>
      <c r="EW18"/>
      <c r="EX18"/>
      <c r="EY18"/>
      <c r="EZ18"/>
      <c r="FA18"/>
    </row>
    <row r="19" spans="1:157" s="204" customFormat="1" x14ac:dyDescent="0.2">
      <c r="A19" s="451" t="s">
        <v>47</v>
      </c>
      <c r="B19" s="172"/>
      <c r="C19" s="172"/>
      <c r="D19" s="172"/>
      <c r="E19" s="172"/>
      <c r="F19" s="172"/>
      <c r="G19" s="182"/>
      <c r="H19" s="203">
        <v>92</v>
      </c>
      <c r="L19" s="205"/>
      <c r="M19" s="203">
        <v>137</v>
      </c>
      <c r="N19" s="206">
        <v>137</v>
      </c>
      <c r="O19" s="206">
        <v>137</v>
      </c>
      <c r="P19" s="206">
        <v>137</v>
      </c>
      <c r="Q19" s="206">
        <v>59</v>
      </c>
      <c r="R19" s="203">
        <f t="shared" si="22"/>
        <v>59</v>
      </c>
      <c r="S19" s="207">
        <v>59</v>
      </c>
      <c r="T19" s="208">
        <v>46</v>
      </c>
      <c r="U19" s="208">
        <v>46</v>
      </c>
      <c r="V19" s="209">
        <v>75</v>
      </c>
      <c r="W19" s="203">
        <f t="shared" si="23"/>
        <v>75</v>
      </c>
      <c r="X19" s="207">
        <v>78</v>
      </c>
      <c r="Y19" s="208">
        <v>78</v>
      </c>
      <c r="Z19" s="208">
        <v>76</v>
      </c>
      <c r="AA19" s="209">
        <v>79</v>
      </c>
      <c r="AB19" s="203">
        <f t="shared" si="24"/>
        <v>79</v>
      </c>
      <c r="AC19" s="207">
        <v>83</v>
      </c>
      <c r="AD19" s="208">
        <v>83</v>
      </c>
      <c r="AE19" s="208">
        <v>83</v>
      </c>
      <c r="AF19" s="209">
        <v>121</v>
      </c>
      <c r="AG19" s="203">
        <f t="shared" si="25"/>
        <v>121</v>
      </c>
      <c r="AH19" s="207">
        <v>121</v>
      </c>
      <c r="AI19" s="208">
        <v>121</v>
      </c>
      <c r="AJ19" s="208">
        <v>121</v>
      </c>
      <c r="AK19" s="209">
        <v>165</v>
      </c>
      <c r="AL19" s="203">
        <f t="shared" si="11"/>
        <v>165</v>
      </c>
      <c r="AM19" s="207">
        <v>165</v>
      </c>
      <c r="AN19" s="208">
        <v>165</v>
      </c>
      <c r="AO19" s="208">
        <v>153</v>
      </c>
      <c r="AP19" s="209">
        <v>156</v>
      </c>
      <c r="AQ19" s="203">
        <f t="shared" si="12"/>
        <v>156</v>
      </c>
      <c r="AR19" s="207">
        <v>147</v>
      </c>
      <c r="AS19" s="208">
        <v>143</v>
      </c>
      <c r="AT19" s="208">
        <v>157</v>
      </c>
      <c r="AU19" s="209">
        <v>163</v>
      </c>
      <c r="AV19" s="207">
        <v>163</v>
      </c>
      <c r="AW19" s="329">
        <v>159</v>
      </c>
      <c r="AX19" s="335">
        <v>158</v>
      </c>
      <c r="AY19" s="335">
        <v>150</v>
      </c>
      <c r="AZ19" s="335">
        <v>55</v>
      </c>
      <c r="BA19" s="371">
        <v>55</v>
      </c>
      <c r="BB19" s="329">
        <v>53</v>
      </c>
      <c r="BC19" s="335">
        <v>90</v>
      </c>
      <c r="BD19" s="335">
        <v>97</v>
      </c>
      <c r="BE19" s="335">
        <v>125</v>
      </c>
      <c r="BF19" s="371">
        <v>125</v>
      </c>
      <c r="BG19" s="329">
        <v>129</v>
      </c>
      <c r="BH19" s="335">
        <v>145</v>
      </c>
      <c r="BI19" s="335">
        <v>153</v>
      </c>
      <c r="BJ19" s="335">
        <v>81</v>
      </c>
      <c r="BK19" s="371">
        <v>81</v>
      </c>
      <c r="BL19" s="329">
        <v>78</v>
      </c>
      <c r="BM19" s="335">
        <v>84</v>
      </c>
      <c r="BN19" s="335">
        <v>54</v>
      </c>
      <c r="BO19" s="335">
        <v>81</v>
      </c>
      <c r="BP19" s="568">
        <f t="shared" si="13"/>
        <v>81</v>
      </c>
      <c r="BQ19" s="335">
        <v>145</v>
      </c>
      <c r="BR19" s="335">
        <v>107</v>
      </c>
      <c r="BS19" s="335">
        <v>109</v>
      </c>
      <c r="BT19" s="335">
        <v>112</v>
      </c>
      <c r="BU19" s="371">
        <f t="shared" si="36"/>
        <v>112</v>
      </c>
      <c r="BV19" s="329">
        <v>117</v>
      </c>
      <c r="BW19" s="335">
        <v>122</v>
      </c>
      <c r="BX19" s="335">
        <v>106</v>
      </c>
      <c r="BY19" s="335">
        <f t="shared" si="26"/>
        <v>112</v>
      </c>
      <c r="BZ19" s="371">
        <v>112</v>
      </c>
      <c r="CA19" s="329">
        <v>128</v>
      </c>
      <c r="CB19" s="335">
        <v>125</v>
      </c>
      <c r="CC19" s="335">
        <v>108</v>
      </c>
      <c r="CD19" s="335">
        <v>111</v>
      </c>
      <c r="CE19" s="568">
        <f t="shared" si="14"/>
        <v>111</v>
      </c>
      <c r="CF19" s="335">
        <v>120</v>
      </c>
      <c r="CG19" s="335">
        <v>81</v>
      </c>
      <c r="CH19" s="335">
        <v>80</v>
      </c>
      <c r="CI19" s="335">
        <v>123</v>
      </c>
      <c r="CJ19" s="371">
        <f t="shared" si="15"/>
        <v>123</v>
      </c>
      <c r="CK19" s="875">
        <f t="shared" si="27"/>
        <v>93</v>
      </c>
      <c r="CL19" s="335">
        <f t="shared" si="28"/>
        <v>93</v>
      </c>
      <c r="CM19" s="335">
        <f t="shared" si="29"/>
        <v>93</v>
      </c>
      <c r="CN19" s="335">
        <f t="shared" si="30"/>
        <v>93</v>
      </c>
      <c r="CO19" s="371">
        <v>93</v>
      </c>
      <c r="CP19" s="875">
        <f t="shared" si="31"/>
        <v>0</v>
      </c>
      <c r="CQ19" s="335">
        <f t="shared" si="32"/>
        <v>0</v>
      </c>
      <c r="CR19" s="335">
        <f t="shared" si="33"/>
        <v>0</v>
      </c>
      <c r="CS19" s="335">
        <f t="shared" si="34"/>
        <v>0</v>
      </c>
      <c r="CT19" s="371">
        <v>0</v>
      </c>
      <c r="CU19" s="335">
        <v>0</v>
      </c>
      <c r="CV19" s="335">
        <v>0</v>
      </c>
      <c r="CW19" s="335">
        <v>0</v>
      </c>
      <c r="CX19" s="335">
        <f t="shared" si="45"/>
        <v>0</v>
      </c>
      <c r="CY19" s="371">
        <f t="shared" si="35"/>
        <v>0</v>
      </c>
      <c r="CZ19" s="2146">
        <f>CY19</f>
        <v>0</v>
      </c>
      <c r="DA19" s="2146">
        <v>0</v>
      </c>
      <c r="DB19" s="2146">
        <v>0</v>
      </c>
      <c r="DC19" s="335">
        <v>0</v>
      </c>
      <c r="DD19" s="371">
        <f t="shared" si="16"/>
        <v>0</v>
      </c>
      <c r="DE19" s="210">
        <f>DD19</f>
        <v>0</v>
      </c>
      <c r="DF19" s="210">
        <f t="shared" si="47"/>
        <v>0</v>
      </c>
      <c r="DG19" s="210">
        <f t="shared" si="48"/>
        <v>0</v>
      </c>
      <c r="DH19" s="210">
        <f t="shared" si="49"/>
        <v>0</v>
      </c>
      <c r="DI19" s="211">
        <f t="shared" si="17"/>
        <v>0</v>
      </c>
      <c r="DJ19" s="210">
        <f>DI19</f>
        <v>0</v>
      </c>
      <c r="DK19" s="210">
        <f t="shared" si="50"/>
        <v>0</v>
      </c>
      <c r="DL19" s="210">
        <f t="shared" si="50"/>
        <v>0</v>
      </c>
      <c r="DM19" s="210">
        <f t="shared" si="50"/>
        <v>0</v>
      </c>
      <c r="DN19" s="211">
        <f t="shared" si="18"/>
        <v>0</v>
      </c>
      <c r="DO19" s="210">
        <f>DN19</f>
        <v>0</v>
      </c>
      <c r="DP19" s="210">
        <f t="shared" si="51"/>
        <v>0</v>
      </c>
      <c r="DQ19" s="210">
        <f t="shared" si="51"/>
        <v>0</v>
      </c>
      <c r="DR19" s="210">
        <f t="shared" si="51"/>
        <v>0</v>
      </c>
      <c r="DS19" s="211">
        <f t="shared" si="19"/>
        <v>0</v>
      </c>
      <c r="DT19" s="210">
        <f>DS19</f>
        <v>0</v>
      </c>
      <c r="DU19" s="210">
        <f t="shared" si="52"/>
        <v>0</v>
      </c>
      <c r="DV19" s="210">
        <f t="shared" si="53"/>
        <v>0</v>
      </c>
      <c r="DW19" s="210">
        <f t="shared" si="54"/>
        <v>0</v>
      </c>
      <c r="DX19" s="211">
        <f t="shared" si="20"/>
        <v>0</v>
      </c>
      <c r="DY19" s="210">
        <f>DX19</f>
        <v>0</v>
      </c>
      <c r="DZ19" s="210">
        <f t="shared" si="55"/>
        <v>0</v>
      </c>
      <c r="EA19" s="210">
        <f t="shared" si="56"/>
        <v>0</v>
      </c>
      <c r="EB19" s="210">
        <f t="shared" si="57"/>
        <v>0</v>
      </c>
      <c r="EC19" s="211">
        <f t="shared" si="21"/>
        <v>0</v>
      </c>
      <c r="ED19" s="469"/>
      <c r="EE19" s="172"/>
      <c r="EF19"/>
      <c r="EG19"/>
      <c r="EH19"/>
      <c r="EI19"/>
      <c r="EJ19"/>
      <c r="EK19"/>
      <c r="EL19"/>
      <c r="EM19"/>
      <c r="EN19"/>
      <c r="EO19"/>
      <c r="EP19"/>
      <c r="EQ19"/>
      <c r="ER19"/>
      <c r="ES19"/>
      <c r="ET19"/>
      <c r="EU19"/>
      <c r="EV19"/>
      <c r="EW19"/>
      <c r="EX19"/>
      <c r="EY19"/>
      <c r="EZ19"/>
      <c r="FA19"/>
    </row>
    <row r="20" spans="1:157" s="179" customFormat="1" x14ac:dyDescent="0.2">
      <c r="A20" s="450" t="s">
        <v>48</v>
      </c>
      <c r="G20" s="180"/>
      <c r="H20" s="212">
        <f>SUM(H12:H19)</f>
        <v>683</v>
      </c>
      <c r="I20" s="213"/>
      <c r="J20" s="213"/>
      <c r="K20" s="213"/>
      <c r="L20" s="214"/>
      <c r="M20" s="212">
        <f>SUM(M12:M19)</f>
        <v>625</v>
      </c>
      <c r="N20" s="215">
        <f>SUM(N12:N19)</f>
        <v>666</v>
      </c>
      <c r="O20" s="216">
        <f>SUM(O12:O19)</f>
        <v>784</v>
      </c>
      <c r="P20" s="216">
        <f>SUM(P12:P19)</f>
        <v>752</v>
      </c>
      <c r="Q20" s="217">
        <f>SUM(Q12:Q19)</f>
        <v>486</v>
      </c>
      <c r="R20" s="218">
        <f t="shared" si="22"/>
        <v>486</v>
      </c>
      <c r="S20" s="215">
        <f>SUM(S12:S19)</f>
        <v>889</v>
      </c>
      <c r="T20" s="216">
        <f>SUM(T12:T19)</f>
        <v>885</v>
      </c>
      <c r="U20" s="216">
        <f>SUM(U12:U19)</f>
        <v>809</v>
      </c>
      <c r="V20" s="217">
        <f>SUM(V12:V19)</f>
        <v>688</v>
      </c>
      <c r="W20" s="218">
        <f t="shared" si="23"/>
        <v>688</v>
      </c>
      <c r="X20" s="215">
        <f>SUM(X12:X19)</f>
        <v>724</v>
      </c>
      <c r="Y20" s="216">
        <f>SUM(Y12:Y19)</f>
        <v>728</v>
      </c>
      <c r="Z20" s="216">
        <f>SUM(Z12:Z19)</f>
        <v>678</v>
      </c>
      <c r="AA20" s="217">
        <f>SUM(AA12:AA19)</f>
        <v>547</v>
      </c>
      <c r="AB20" s="218">
        <f t="shared" si="24"/>
        <v>547</v>
      </c>
      <c r="AC20" s="215">
        <f>SUM(AC12:AC19)</f>
        <v>581</v>
      </c>
      <c r="AD20" s="216">
        <f>SUM(AD12:AD19)</f>
        <v>630</v>
      </c>
      <c r="AE20" s="216">
        <f>SUM(AE12:AE19)</f>
        <v>619</v>
      </c>
      <c r="AF20" s="217">
        <f>SUM(AF12:AF19)</f>
        <v>730</v>
      </c>
      <c r="AG20" s="218">
        <f t="shared" si="25"/>
        <v>730</v>
      </c>
      <c r="AH20" s="215">
        <f>SUM(AH12:AH19)</f>
        <v>808</v>
      </c>
      <c r="AI20" s="216">
        <f>SUM(AI12:AI19)</f>
        <v>803</v>
      </c>
      <c r="AJ20" s="216">
        <f>SUM(AJ12:AJ19)</f>
        <v>900</v>
      </c>
      <c r="AK20" s="217">
        <f>SUM(AK12:AK19)</f>
        <v>806</v>
      </c>
      <c r="AL20" s="218">
        <f t="shared" ref="AL20:AL28" si="58">AK20</f>
        <v>806</v>
      </c>
      <c r="AM20" s="215">
        <f>SUM(AM12:AM19)</f>
        <v>816</v>
      </c>
      <c r="AN20" s="216">
        <f>SUM(AN12:AN19)</f>
        <v>921</v>
      </c>
      <c r="AO20" s="216">
        <f>SUM(AO12:AO19)</f>
        <v>1106</v>
      </c>
      <c r="AP20" s="217">
        <f>SUM(AP12:AP19)</f>
        <v>747</v>
      </c>
      <c r="AQ20" s="218">
        <f t="shared" si="12"/>
        <v>747</v>
      </c>
      <c r="AR20" s="215">
        <f t="shared" ref="AR20:AZ20" si="59">SUM(AR12:AR19)</f>
        <v>845</v>
      </c>
      <c r="AS20" s="216">
        <f t="shared" si="59"/>
        <v>801</v>
      </c>
      <c r="AT20" s="216">
        <f t="shared" si="59"/>
        <v>967</v>
      </c>
      <c r="AU20" s="217">
        <f t="shared" si="59"/>
        <v>837</v>
      </c>
      <c r="AV20" s="215">
        <f t="shared" si="59"/>
        <v>837</v>
      </c>
      <c r="AW20" s="215">
        <f t="shared" si="59"/>
        <v>893</v>
      </c>
      <c r="AX20" s="216">
        <f t="shared" si="59"/>
        <v>1003</v>
      </c>
      <c r="AY20" s="216">
        <f t="shared" si="59"/>
        <v>1036</v>
      </c>
      <c r="AZ20" s="216">
        <f t="shared" si="59"/>
        <v>899</v>
      </c>
      <c r="BA20" s="372">
        <f>AZ20</f>
        <v>899</v>
      </c>
      <c r="BB20" s="215">
        <f t="shared" ref="BB20:BO20" si="60">SUM(BB12:BB19)</f>
        <v>1006</v>
      </c>
      <c r="BC20" s="216">
        <f t="shared" si="60"/>
        <v>1104</v>
      </c>
      <c r="BD20" s="216">
        <f t="shared" si="60"/>
        <v>1165</v>
      </c>
      <c r="BE20" s="216">
        <f t="shared" si="60"/>
        <v>1481</v>
      </c>
      <c r="BF20" s="372">
        <f t="shared" si="60"/>
        <v>1481</v>
      </c>
      <c r="BG20" s="215">
        <f t="shared" si="60"/>
        <v>1300</v>
      </c>
      <c r="BH20" s="216">
        <f t="shared" si="60"/>
        <v>1156</v>
      </c>
      <c r="BI20" s="216">
        <f t="shared" si="60"/>
        <v>1138</v>
      </c>
      <c r="BJ20" s="216">
        <f t="shared" si="60"/>
        <v>899</v>
      </c>
      <c r="BK20" s="372">
        <f t="shared" si="60"/>
        <v>899</v>
      </c>
      <c r="BL20" s="215">
        <f t="shared" si="60"/>
        <v>1065</v>
      </c>
      <c r="BM20" s="216">
        <f t="shared" si="60"/>
        <v>1071</v>
      </c>
      <c r="BN20" s="216">
        <f t="shared" si="60"/>
        <v>1206</v>
      </c>
      <c r="BO20" s="216">
        <f t="shared" si="60"/>
        <v>1208</v>
      </c>
      <c r="BP20" s="569">
        <f t="shared" si="13"/>
        <v>1208</v>
      </c>
      <c r="BQ20" s="216">
        <f>SUM(BQ12:BQ19)</f>
        <v>1404</v>
      </c>
      <c r="BR20" s="216">
        <f>SUM(BR12:BR19)</f>
        <v>1464</v>
      </c>
      <c r="BS20" s="216">
        <f>SUM(BS12:BS19)</f>
        <v>2175</v>
      </c>
      <c r="BT20" s="216">
        <f>SUM(BT12:BT19)</f>
        <v>2313</v>
      </c>
      <c r="BU20" s="372">
        <f t="shared" si="36"/>
        <v>2313</v>
      </c>
      <c r="BV20" s="215">
        <f>SUM(BV12:BV19)</f>
        <v>2436</v>
      </c>
      <c r="BW20" s="216">
        <f>SUM(BW12:BW19)</f>
        <v>1841</v>
      </c>
      <c r="BX20" s="216">
        <f>SUM(BX12:BX19)</f>
        <v>2351</v>
      </c>
      <c r="BY20" s="216">
        <f>SUM(BY12:BY19)</f>
        <v>2321</v>
      </c>
      <c r="BZ20" s="372">
        <f>BY20</f>
        <v>2321</v>
      </c>
      <c r="CA20" s="215">
        <f>SUM(CA12:CA19)</f>
        <v>2425</v>
      </c>
      <c r="CB20" s="216">
        <f>SUM(CB12:CB19)</f>
        <v>2231</v>
      </c>
      <c r="CC20" s="216">
        <f>SUM(CC12:CC19)</f>
        <v>2079</v>
      </c>
      <c r="CD20" s="216">
        <f>SUM(CD12:CD19)</f>
        <v>1909</v>
      </c>
      <c r="CE20" s="569">
        <f t="shared" si="14"/>
        <v>1909</v>
      </c>
      <c r="CF20" s="216">
        <f>SUM(CF12:CF19)</f>
        <v>1898</v>
      </c>
      <c r="CG20" s="216">
        <f>SUM(CG12:CG19)</f>
        <v>1605</v>
      </c>
      <c r="CH20" s="216">
        <f>SUM(CH12:CH19)</f>
        <v>1830</v>
      </c>
      <c r="CI20" s="216">
        <f>SUM(CI12:CI19)</f>
        <v>1691</v>
      </c>
      <c r="CJ20" s="372">
        <f t="shared" si="15"/>
        <v>1691</v>
      </c>
      <c r="CK20" s="876">
        <f>SUM(CK12:CK19)</f>
        <v>998</v>
      </c>
      <c r="CL20" s="216">
        <f>SUM(CL12:CL19)</f>
        <v>998</v>
      </c>
      <c r="CM20" s="216">
        <f>SUM(CM12:CM19)</f>
        <v>998</v>
      </c>
      <c r="CN20" s="216">
        <f>SUM(CN12:CN19)</f>
        <v>998</v>
      </c>
      <c r="CO20" s="372">
        <v>998</v>
      </c>
      <c r="CP20" s="876">
        <f>SUM(CP12:CP19)</f>
        <v>889</v>
      </c>
      <c r="CQ20" s="216">
        <f>SUM(CQ12:CQ19)</f>
        <v>889</v>
      </c>
      <c r="CR20" s="216">
        <f>SUM(CR12:CR19)</f>
        <v>889</v>
      </c>
      <c r="CS20" s="216">
        <f>CT20</f>
        <v>889</v>
      </c>
      <c r="CT20" s="372">
        <v>889</v>
      </c>
      <c r="CU20" s="216">
        <f t="shared" ref="CU20:DC20" si="61">SUM(CU12:CU19)</f>
        <v>885.69730062237659</v>
      </c>
      <c r="CV20" s="216">
        <f t="shared" si="61"/>
        <v>880.32499999999993</v>
      </c>
      <c r="CW20" s="216">
        <f t="shared" si="61"/>
        <v>2915.4441995947313</v>
      </c>
      <c r="CX20" s="216">
        <f t="shared" si="61"/>
        <v>1482</v>
      </c>
      <c r="CY20" s="218">
        <f t="shared" si="61"/>
        <v>1482</v>
      </c>
      <c r="CZ20" s="1288">
        <f t="shared" si="61"/>
        <v>1277</v>
      </c>
      <c r="DA20" s="1288">
        <f t="shared" si="61"/>
        <v>1785</v>
      </c>
      <c r="DB20" s="1288">
        <f>SUM(DB12:DB19)</f>
        <v>1999</v>
      </c>
      <c r="DC20" s="216">
        <f t="shared" si="61"/>
        <v>2507</v>
      </c>
      <c r="DD20" s="372">
        <f t="shared" si="16"/>
        <v>2507</v>
      </c>
      <c r="DE20" s="219">
        <f>SUM(DE12:DE19)</f>
        <v>2313.7526766390738</v>
      </c>
      <c r="DF20" s="219">
        <f>SUM(DF12:DF19)</f>
        <v>2096.2382571571061</v>
      </c>
      <c r="DG20" s="219">
        <f>SUM(DG12:DG19)</f>
        <v>1812.8727660855657</v>
      </c>
      <c r="DH20" s="219">
        <f>SUM(DH12:DH19)</f>
        <v>1778.6233074770917</v>
      </c>
      <c r="DI20" s="220">
        <f t="shared" si="17"/>
        <v>1778.6233074770917</v>
      </c>
      <c r="DJ20" s="219">
        <f>SUM(DJ12:DJ19)</f>
        <v>1340.3740424538141</v>
      </c>
      <c r="DK20" s="219">
        <f>SUM(DK12:DK19)</f>
        <v>1244.751026421965</v>
      </c>
      <c r="DL20" s="219">
        <f>SUM(DL12:DL19)</f>
        <v>1179.6274044104002</v>
      </c>
      <c r="DM20" s="219">
        <f>SUM(DM12:DM19)</f>
        <v>1556.9973861773281</v>
      </c>
      <c r="DN20" s="220">
        <f t="shared" si="18"/>
        <v>1556.9973861773281</v>
      </c>
      <c r="DO20" s="219">
        <f>SUM(DO12:DO19)</f>
        <v>1153.8891342712627</v>
      </c>
      <c r="DP20" s="219">
        <f>SUM(DP12:DP19)</f>
        <v>1191.4661370897932</v>
      </c>
      <c r="DQ20" s="219">
        <f>SUM(DQ12:DQ19)</f>
        <v>1252.5143503922725</v>
      </c>
      <c r="DR20" s="219">
        <f>SUM(DR12:DR19)</f>
        <v>1823.2586197988587</v>
      </c>
      <c r="DS20" s="220">
        <f t="shared" si="19"/>
        <v>1823.2586197988587</v>
      </c>
      <c r="DT20" s="219">
        <f>SUM(DT12:DT19)</f>
        <v>1417.741832787191</v>
      </c>
      <c r="DU20" s="219">
        <f>SUM(DU12:DU19)</f>
        <v>1481.4807085366044</v>
      </c>
      <c r="DV20" s="219">
        <f>SUM(DV12:DV19)</f>
        <v>1567.3123139621953</v>
      </c>
      <c r="DW20" s="219">
        <f>SUM(DW12:DW19)</f>
        <v>2235.8291736299925</v>
      </c>
      <c r="DX20" s="220">
        <f t="shared" si="20"/>
        <v>2235.8291736299925</v>
      </c>
      <c r="DY20" s="219">
        <f>SUM(DY12:DY19)</f>
        <v>1788.784199500798</v>
      </c>
      <c r="DZ20" s="219">
        <f>SUM(DZ12:DZ19)</f>
        <v>1882.5645611850327</v>
      </c>
      <c r="EA20" s="219">
        <f>SUM(EA12:EA19)</f>
        <v>1998.4778284182221</v>
      </c>
      <c r="EB20" s="219">
        <f>SUM(EB12:EB19)</f>
        <v>2795.9882307054122</v>
      </c>
      <c r="EC20" s="220">
        <f t="shared" si="21"/>
        <v>2795.9882307054122</v>
      </c>
      <c r="ED20" s="469"/>
      <c r="EE20" s="172"/>
      <c r="EF20"/>
      <c r="EG20"/>
      <c r="EH20"/>
      <c r="EI20"/>
      <c r="EJ20"/>
      <c r="EK20"/>
      <c r="EL20"/>
      <c r="EM20"/>
      <c r="EN20"/>
      <c r="EO20"/>
      <c r="EP20"/>
      <c r="EQ20"/>
      <c r="ER20"/>
      <c r="ES20"/>
      <c r="ET20"/>
      <c r="EU20"/>
      <c r="EV20"/>
      <c r="EW20"/>
      <c r="EX20"/>
      <c r="EY20"/>
      <c r="EZ20"/>
      <c r="FA20"/>
    </row>
    <row r="21" spans="1:157" s="172" customFormat="1" x14ac:dyDescent="0.2">
      <c r="A21" s="451" t="s">
        <v>586</v>
      </c>
      <c r="G21" s="182"/>
      <c r="H21" s="181">
        <v>3261</v>
      </c>
      <c r="L21" s="182"/>
      <c r="M21" s="221">
        <v>2896</v>
      </c>
      <c r="N21" s="222">
        <v>2815</v>
      </c>
      <c r="O21" s="222">
        <v>2695</v>
      </c>
      <c r="P21" s="222">
        <v>2561</v>
      </c>
      <c r="Q21" s="222">
        <v>2531</v>
      </c>
      <c r="R21" s="194">
        <f t="shared" si="22"/>
        <v>2531</v>
      </c>
      <c r="S21" s="195">
        <v>2528</v>
      </c>
      <c r="T21" s="196">
        <v>2482</v>
      </c>
      <c r="U21" s="196">
        <v>2479</v>
      </c>
      <c r="V21" s="197">
        <v>2540</v>
      </c>
      <c r="W21" s="194">
        <f t="shared" si="23"/>
        <v>2540</v>
      </c>
      <c r="X21" s="195">
        <v>2554</v>
      </c>
      <c r="Y21" s="196">
        <v>2622</v>
      </c>
      <c r="Z21" s="196">
        <v>2665</v>
      </c>
      <c r="AA21" s="197">
        <v>2777</v>
      </c>
      <c r="AB21" s="194">
        <f t="shared" si="24"/>
        <v>2777</v>
      </c>
      <c r="AC21" s="195">
        <v>2750</v>
      </c>
      <c r="AD21" s="196">
        <v>2824</v>
      </c>
      <c r="AE21" s="196">
        <v>2922</v>
      </c>
      <c r="AF21" s="197">
        <v>3037</v>
      </c>
      <c r="AG21" s="194">
        <f t="shared" si="25"/>
        <v>3037</v>
      </c>
      <c r="AH21" s="196">
        <v>3065</v>
      </c>
      <c r="AI21" s="196">
        <v>3109</v>
      </c>
      <c r="AJ21" s="196">
        <v>3128</v>
      </c>
      <c r="AK21" s="197">
        <v>3280</v>
      </c>
      <c r="AL21" s="194">
        <f t="shared" si="58"/>
        <v>3280</v>
      </c>
      <c r="AM21" s="196">
        <v>3281</v>
      </c>
      <c r="AN21" s="196">
        <v>3251</v>
      </c>
      <c r="AO21" s="196">
        <v>3317</v>
      </c>
      <c r="AP21" s="197">
        <v>3439</v>
      </c>
      <c r="AQ21" s="194">
        <f t="shared" si="12"/>
        <v>3439</v>
      </c>
      <c r="AR21" s="196">
        <v>3433</v>
      </c>
      <c r="AS21" s="196">
        <v>3371</v>
      </c>
      <c r="AT21" s="196">
        <v>3373</v>
      </c>
      <c r="AU21" s="197">
        <v>3356</v>
      </c>
      <c r="AV21" s="195">
        <v>3356</v>
      </c>
      <c r="AW21" s="328">
        <v>3295</v>
      </c>
      <c r="AX21" s="334">
        <v>3300</v>
      </c>
      <c r="AY21" s="334">
        <v>3276</v>
      </c>
      <c r="AZ21" s="334">
        <v>3631</v>
      </c>
      <c r="BA21" s="370">
        <v>3631</v>
      </c>
      <c r="BB21" s="328">
        <v>3570</v>
      </c>
      <c r="BC21" s="334">
        <v>3552</v>
      </c>
      <c r="BD21" s="334">
        <v>3600</v>
      </c>
      <c r="BE21" s="334">
        <v>3849</v>
      </c>
      <c r="BF21" s="370">
        <v>3849</v>
      </c>
      <c r="BG21" s="328">
        <v>3807</v>
      </c>
      <c r="BH21" s="334">
        <v>3875</v>
      </c>
      <c r="BI21" s="334">
        <v>3884</v>
      </c>
      <c r="BJ21" s="334">
        <v>3710</v>
      </c>
      <c r="BK21" s="370">
        <v>3710</v>
      </c>
      <c r="BL21" s="328">
        <v>3670</v>
      </c>
      <c r="BM21" s="334">
        <v>3807</v>
      </c>
      <c r="BN21" s="334">
        <v>3844</v>
      </c>
      <c r="BO21" s="334">
        <v>3899</v>
      </c>
      <c r="BP21" s="567">
        <f t="shared" si="13"/>
        <v>3899</v>
      </c>
      <c r="BQ21" s="334">
        <v>3766</v>
      </c>
      <c r="BR21" s="334">
        <v>3694</v>
      </c>
      <c r="BS21" s="334">
        <v>3770</v>
      </c>
      <c r="BT21" s="334">
        <v>3830</v>
      </c>
      <c r="BU21" s="370">
        <f t="shared" si="36"/>
        <v>3830</v>
      </c>
      <c r="BV21" s="328">
        <v>3852</v>
      </c>
      <c r="BW21" s="334">
        <v>3907</v>
      </c>
      <c r="BX21" s="334">
        <v>3872</v>
      </c>
      <c r="BY21" s="334">
        <f t="shared" si="26"/>
        <v>4042</v>
      </c>
      <c r="BZ21" s="370">
        <v>4042</v>
      </c>
      <c r="CA21" s="328">
        <v>4041</v>
      </c>
      <c r="CB21" s="334">
        <v>4102</v>
      </c>
      <c r="CC21" s="334">
        <v>4119</v>
      </c>
      <c r="CD21" s="334">
        <v>4250</v>
      </c>
      <c r="CE21" s="567">
        <f t="shared" si="14"/>
        <v>4250</v>
      </c>
      <c r="CF21" s="334">
        <v>4258</v>
      </c>
      <c r="CG21" s="334">
        <v>4252</v>
      </c>
      <c r="CH21" s="334">
        <v>4257</v>
      </c>
      <c r="CI21" s="334">
        <v>4459</v>
      </c>
      <c r="CJ21" s="370">
        <f t="shared" si="15"/>
        <v>4459</v>
      </c>
      <c r="CK21" s="874">
        <f t="shared" ref="CK21:CK27" si="62">CO21</f>
        <v>2497</v>
      </c>
      <c r="CL21" s="334">
        <f t="shared" ref="CL21:CL27" si="63">CO21</f>
        <v>2497</v>
      </c>
      <c r="CM21" s="334">
        <f t="shared" ref="CM21:CM27" si="64">CO21</f>
        <v>2497</v>
      </c>
      <c r="CN21" s="334">
        <f t="shared" ref="CN21:CN27" si="65">CO21</f>
        <v>2497</v>
      </c>
      <c r="CO21" s="370">
        <v>2497</v>
      </c>
      <c r="CP21" s="874">
        <f t="shared" ref="CP21:CP27" si="66">CT21</f>
        <v>2348</v>
      </c>
      <c r="CQ21" s="334">
        <f t="shared" ref="CQ21:CQ27" si="67">CT21</f>
        <v>2348</v>
      </c>
      <c r="CR21" s="334">
        <f t="shared" ref="CR21:CR27" si="68">CT21</f>
        <v>2348</v>
      </c>
      <c r="CS21" s="334">
        <f t="shared" ref="CS21:CS27" si="69">CT21</f>
        <v>2348</v>
      </c>
      <c r="CT21" s="370">
        <v>2348</v>
      </c>
      <c r="CU21" s="334">
        <v>2369</v>
      </c>
      <c r="CV21" s="334">
        <v>2354</v>
      </c>
      <c r="CW21" s="334">
        <v>2303</v>
      </c>
      <c r="CX21" s="334">
        <f>CY21</f>
        <v>2160</v>
      </c>
      <c r="CY21" s="370">
        <v>2160</v>
      </c>
      <c r="CZ21" s="2145">
        <v>2084</v>
      </c>
      <c r="DA21" s="2145">
        <v>2021</v>
      </c>
      <c r="DB21" s="2145">
        <v>1861</v>
      </c>
      <c r="DC21" s="2145">
        <v>1697</v>
      </c>
      <c r="DD21" s="370">
        <f t="shared" si="16"/>
        <v>1697</v>
      </c>
      <c r="DE21" s="1279">
        <f>DD21-SUM(CF!DC40:DC47)-CF!DC14</f>
        <v>1501.3821426092532</v>
      </c>
      <c r="DF21" s="1279">
        <f>DE21-SUM(CF!DD40:DD47)-CF!DD14</f>
        <v>1296.5742475231802</v>
      </c>
      <c r="DG21" s="1279">
        <f>DF21-SUM(CF!DE40:DE47)-CF!DE14</f>
        <v>1193.2392084864921</v>
      </c>
      <c r="DH21" s="1279">
        <f>DG21-SUM(CF!DF40:DF47)-CF!DF14</f>
        <v>1137.9740715628723</v>
      </c>
      <c r="DI21" s="202">
        <f t="shared" si="17"/>
        <v>1137.9740715628723</v>
      </c>
      <c r="DJ21" s="1279">
        <f>DI21-SUM(CF!DH40:DH47)-CF!DH14</f>
        <v>1028.9360045842236</v>
      </c>
      <c r="DK21" s="1279">
        <f>DJ21-SUM(CF!DI40:DI47)-CF!DI14</f>
        <v>918.84539070295352</v>
      </c>
      <c r="DL21" s="1279">
        <f>DK21-SUM(CF!DJ40:DJ47)-CF!DJ14</f>
        <v>806.96768685642621</v>
      </c>
      <c r="DM21" s="1279">
        <f>DL21-SUM(CF!DK40:DK47)-CF!DK14</f>
        <v>691.86074115952249</v>
      </c>
      <c r="DN21" s="202">
        <f t="shared" si="18"/>
        <v>691.86074115952249</v>
      </c>
      <c r="DO21" s="1279">
        <f>DN21-SUM(CF!DM40:DM47)-CF!DM14</f>
        <v>668.1461457579428</v>
      </c>
      <c r="DP21" s="1279">
        <f>DO21-SUM(CF!DN40:DN47)-CF!DN14</f>
        <v>642.61917621469763</v>
      </c>
      <c r="DQ21" s="1279">
        <f>DP21-SUM(CF!DO40:DO47)-CF!DO14</f>
        <v>627.81000787358107</v>
      </c>
      <c r="DR21" s="1279">
        <f>DQ21-SUM(CF!DP40:DP47)-CF!DP14</f>
        <v>602.88865194470759</v>
      </c>
      <c r="DS21" s="202">
        <f t="shared" si="19"/>
        <v>602.88865194470759</v>
      </c>
      <c r="DT21" s="1279">
        <f>DS21-SUM(CF!DR40:DR47)-CF!DR14</f>
        <v>577.02223294391513</v>
      </c>
      <c r="DU21" s="1279">
        <f>DT21-SUM(CF!DS40:DS47)-CF!DS14</f>
        <v>549.05342052416052</v>
      </c>
      <c r="DV21" s="1279">
        <f>DU21-SUM(CF!DT40:DT47)-CF!DT14</f>
        <v>533.1369620536052</v>
      </c>
      <c r="DW21" s="1279">
        <f>DV21-SUM(CF!DU40:DU47)-CF!DU14</f>
        <v>507.54602608585157</v>
      </c>
      <c r="DX21" s="202">
        <f t="shared" si="20"/>
        <v>507.54602608585157</v>
      </c>
      <c r="DY21" s="1279">
        <f>DX21-SUM(CF!DW40:DW47)-CF!DW14</f>
        <v>481.32322520623694</v>
      </c>
      <c r="DZ21" s="1279">
        <f>DY21-SUM(CF!DX40:DX47)-CF!DX14</f>
        <v>452.90326348508938</v>
      </c>
      <c r="EA21" s="1279">
        <f>DZ21-SUM(CF!DY40:DY47)-CF!DY14</f>
        <v>436.85562018086313</v>
      </c>
      <c r="EB21" s="1279">
        <f>EA21-SUM(CF!DZ40:DZ47)-CF!DZ14</f>
        <v>408.38481907347921</v>
      </c>
      <c r="EC21" s="202">
        <f t="shared" si="21"/>
        <v>408.38481907347921</v>
      </c>
      <c r="ED21" s="469"/>
      <c r="EF21"/>
      <c r="EG21"/>
      <c r="EH21"/>
      <c r="EI21"/>
      <c r="EJ21"/>
      <c r="EK21"/>
      <c r="EL21"/>
      <c r="EM21"/>
      <c r="EN21"/>
      <c r="EO21"/>
      <c r="EP21"/>
      <c r="EQ21"/>
      <c r="ER21"/>
      <c r="ES21"/>
      <c r="ET21"/>
      <c r="EU21"/>
      <c r="EV21"/>
      <c r="EW21"/>
      <c r="EX21"/>
      <c r="EY21"/>
      <c r="EZ21"/>
      <c r="FA21"/>
    </row>
    <row r="22" spans="1:157" s="172" customFormat="1" x14ac:dyDescent="0.2">
      <c r="A22" s="451" t="s">
        <v>587</v>
      </c>
      <c r="G22" s="182"/>
      <c r="H22" s="181"/>
      <c r="L22" s="182"/>
      <c r="M22" s="221"/>
      <c r="N22" s="222"/>
      <c r="O22" s="222"/>
      <c r="P22" s="222"/>
      <c r="Q22" s="222"/>
      <c r="R22" s="194"/>
      <c r="S22" s="195"/>
      <c r="T22" s="196"/>
      <c r="U22" s="196"/>
      <c r="V22" s="197"/>
      <c r="W22" s="194"/>
      <c r="X22" s="195"/>
      <c r="Y22" s="196"/>
      <c r="Z22" s="196"/>
      <c r="AA22" s="197"/>
      <c r="AB22" s="194"/>
      <c r="AC22" s="195">
        <v>291</v>
      </c>
      <c r="AD22" s="196">
        <v>298</v>
      </c>
      <c r="AE22" s="196">
        <v>301</v>
      </c>
      <c r="AF22" s="197">
        <v>485</v>
      </c>
      <c r="AG22" s="194">
        <f>AF22</f>
        <v>485</v>
      </c>
      <c r="AH22" s="195">
        <v>485</v>
      </c>
      <c r="AI22" s="196">
        <v>488</v>
      </c>
      <c r="AJ22" s="196">
        <v>493</v>
      </c>
      <c r="AK22" s="197">
        <v>521</v>
      </c>
      <c r="AL22" s="194">
        <f t="shared" si="58"/>
        <v>521</v>
      </c>
      <c r="AM22" s="195">
        <v>527</v>
      </c>
      <c r="AN22" s="196">
        <v>526</v>
      </c>
      <c r="AO22" s="196">
        <v>559</v>
      </c>
      <c r="AP22" s="197">
        <v>553</v>
      </c>
      <c r="AQ22" s="194">
        <f t="shared" si="12"/>
        <v>553</v>
      </c>
      <c r="AR22" s="195">
        <v>553</v>
      </c>
      <c r="AS22" s="196">
        <v>550</v>
      </c>
      <c r="AT22" s="196">
        <v>545</v>
      </c>
      <c r="AU22" s="197">
        <v>538</v>
      </c>
      <c r="AV22" s="195">
        <v>538</v>
      </c>
      <c r="AW22" s="328">
        <v>540</v>
      </c>
      <c r="AX22" s="334">
        <v>540</v>
      </c>
      <c r="AY22" s="334">
        <v>546</v>
      </c>
      <c r="AZ22" s="334">
        <v>662</v>
      </c>
      <c r="BA22" s="370">
        <v>662</v>
      </c>
      <c r="BB22" s="328">
        <v>660</v>
      </c>
      <c r="BC22" s="334">
        <v>656</v>
      </c>
      <c r="BD22" s="334">
        <v>675</v>
      </c>
      <c r="BE22" s="334">
        <v>672</v>
      </c>
      <c r="BF22" s="370">
        <v>672</v>
      </c>
      <c r="BG22" s="328">
        <v>661</v>
      </c>
      <c r="BH22" s="334">
        <v>665</v>
      </c>
      <c r="BI22" s="334">
        <v>656</v>
      </c>
      <c r="BJ22" s="334">
        <v>605</v>
      </c>
      <c r="BK22" s="370">
        <v>605</v>
      </c>
      <c r="BL22" s="328">
        <v>615</v>
      </c>
      <c r="BM22" s="334">
        <v>760</v>
      </c>
      <c r="BN22" s="334">
        <v>686</v>
      </c>
      <c r="BO22" s="334">
        <v>640</v>
      </c>
      <c r="BP22" s="567">
        <f t="shared" si="13"/>
        <v>640</v>
      </c>
      <c r="BQ22" s="334">
        <v>623</v>
      </c>
      <c r="BR22" s="334">
        <v>613</v>
      </c>
      <c r="BS22" s="334">
        <v>700</v>
      </c>
      <c r="BT22" s="334">
        <v>659</v>
      </c>
      <c r="BU22" s="370">
        <f t="shared" si="36"/>
        <v>659</v>
      </c>
      <c r="BV22" s="328">
        <v>669</v>
      </c>
      <c r="BW22" s="334">
        <v>672</v>
      </c>
      <c r="BX22" s="334">
        <v>672</v>
      </c>
      <c r="BY22" s="334">
        <f t="shared" si="26"/>
        <v>681</v>
      </c>
      <c r="BZ22" s="370">
        <v>681</v>
      </c>
      <c r="CA22" s="328">
        <v>962</v>
      </c>
      <c r="CB22" s="334">
        <v>1010</v>
      </c>
      <c r="CC22" s="334">
        <v>1006</v>
      </c>
      <c r="CD22" s="334">
        <v>1034</v>
      </c>
      <c r="CE22" s="567">
        <f t="shared" si="14"/>
        <v>1034</v>
      </c>
      <c r="CF22" s="334">
        <v>1026</v>
      </c>
      <c r="CG22" s="334">
        <v>1110</v>
      </c>
      <c r="CH22" s="334">
        <v>882</v>
      </c>
      <c r="CI22" s="334">
        <v>889</v>
      </c>
      <c r="CJ22" s="370">
        <f>CI22</f>
        <v>889</v>
      </c>
      <c r="CK22" s="874">
        <f t="shared" si="62"/>
        <v>611</v>
      </c>
      <c r="CL22" s="334">
        <f t="shared" si="63"/>
        <v>611</v>
      </c>
      <c r="CM22" s="334">
        <f t="shared" si="64"/>
        <v>611</v>
      </c>
      <c r="CN22" s="334">
        <f t="shared" si="65"/>
        <v>611</v>
      </c>
      <c r="CO22" s="370">
        <v>611</v>
      </c>
      <c r="CP22" s="874">
        <f t="shared" si="66"/>
        <v>571</v>
      </c>
      <c r="CQ22" s="334">
        <f t="shared" si="67"/>
        <v>571</v>
      </c>
      <c r="CR22" s="334">
        <f t="shared" si="68"/>
        <v>571</v>
      </c>
      <c r="CS22" s="334">
        <f t="shared" si="69"/>
        <v>571</v>
      </c>
      <c r="CT22" s="370">
        <v>571</v>
      </c>
      <c r="CU22" s="334">
        <v>561</v>
      </c>
      <c r="CV22" s="334">
        <v>566</v>
      </c>
      <c r="CW22" s="334">
        <v>553</v>
      </c>
      <c r="CX22" s="334">
        <f>CY22</f>
        <v>541</v>
      </c>
      <c r="CY22" s="370">
        <v>541</v>
      </c>
      <c r="CZ22" s="2145">
        <v>539</v>
      </c>
      <c r="DA22" s="2145">
        <v>540</v>
      </c>
      <c r="DB22" s="2145">
        <v>525</v>
      </c>
      <c r="DC22" s="334">
        <v>512</v>
      </c>
      <c r="DD22" s="370">
        <f t="shared" ref="DD22:DS22" si="70">DC22</f>
        <v>512</v>
      </c>
      <c r="DE22" s="201">
        <f t="shared" ref="DE22:DE27" si="71">DD22</f>
        <v>512</v>
      </c>
      <c r="DF22" s="201">
        <f t="shared" ref="DF22:DF27" si="72">DE22</f>
        <v>512</v>
      </c>
      <c r="DG22" s="201">
        <f t="shared" ref="DG22:DG27" si="73">DF22</f>
        <v>512</v>
      </c>
      <c r="DH22" s="201">
        <f t="shared" ref="DH22:DH27" si="74">DG22</f>
        <v>512</v>
      </c>
      <c r="DI22" s="202">
        <f t="shared" si="17"/>
        <v>512</v>
      </c>
      <c r="DJ22" s="201">
        <f t="shared" si="70"/>
        <v>512</v>
      </c>
      <c r="DK22" s="201">
        <f t="shared" si="70"/>
        <v>512</v>
      </c>
      <c r="DL22" s="201">
        <f t="shared" si="70"/>
        <v>512</v>
      </c>
      <c r="DM22" s="201">
        <f t="shared" si="70"/>
        <v>512</v>
      </c>
      <c r="DN22" s="202">
        <f t="shared" si="70"/>
        <v>512</v>
      </c>
      <c r="DO22" s="201">
        <f t="shared" si="70"/>
        <v>512</v>
      </c>
      <c r="DP22" s="201">
        <f t="shared" si="70"/>
        <v>512</v>
      </c>
      <c r="DQ22" s="201">
        <f t="shared" si="70"/>
        <v>512</v>
      </c>
      <c r="DR22" s="201">
        <f t="shared" si="70"/>
        <v>512</v>
      </c>
      <c r="DS22" s="202">
        <f t="shared" si="70"/>
        <v>512</v>
      </c>
      <c r="DT22" s="201">
        <f t="shared" ref="DT22:DT27" si="75">DS22</f>
        <v>512</v>
      </c>
      <c r="DU22" s="201">
        <f t="shared" ref="DU22:DU27" si="76">DT22</f>
        <v>512</v>
      </c>
      <c r="DV22" s="201">
        <f t="shared" ref="DV22:DV27" si="77">DU22</f>
        <v>512</v>
      </c>
      <c r="DW22" s="201">
        <f t="shared" ref="DW22:DW27" si="78">DV22</f>
        <v>512</v>
      </c>
      <c r="DX22" s="202">
        <f t="shared" si="20"/>
        <v>512</v>
      </c>
      <c r="DY22" s="201">
        <f t="shared" ref="DY22:DY27" si="79">DX22</f>
        <v>512</v>
      </c>
      <c r="DZ22" s="201">
        <f t="shared" ref="DZ22:DZ27" si="80">DY22</f>
        <v>512</v>
      </c>
      <c r="EA22" s="201">
        <f t="shared" ref="EA22:EA27" si="81">DZ22</f>
        <v>512</v>
      </c>
      <c r="EB22" s="201">
        <f t="shared" ref="EB22:EB27" si="82">EA22</f>
        <v>512</v>
      </c>
      <c r="EC22" s="202">
        <f t="shared" si="21"/>
        <v>512</v>
      </c>
      <c r="ED22" s="469"/>
      <c r="EF22"/>
      <c r="EG22"/>
      <c r="EH22"/>
      <c r="EI22"/>
      <c r="EJ22"/>
      <c r="EK22"/>
      <c r="EL22"/>
      <c r="EM22"/>
      <c r="EN22"/>
      <c r="EO22"/>
      <c r="EP22"/>
      <c r="EQ22"/>
      <c r="ER22"/>
      <c r="ES22"/>
      <c r="ET22"/>
      <c r="EU22"/>
      <c r="EV22"/>
      <c r="EW22"/>
      <c r="EX22"/>
      <c r="EY22"/>
      <c r="EZ22"/>
      <c r="FA22"/>
    </row>
    <row r="23" spans="1:157" s="172" customFormat="1" x14ac:dyDescent="0.2">
      <c r="A23" s="451" t="s">
        <v>429</v>
      </c>
      <c r="G23" s="182"/>
      <c r="H23" s="181">
        <v>812</v>
      </c>
      <c r="L23" s="182"/>
      <c r="M23" s="192">
        <v>651</v>
      </c>
      <c r="N23" s="193">
        <v>620</v>
      </c>
      <c r="O23" s="193">
        <v>599</v>
      </c>
      <c r="P23" s="193">
        <v>568</v>
      </c>
      <c r="Q23" s="193">
        <v>527</v>
      </c>
      <c r="R23" s="194">
        <f t="shared" si="22"/>
        <v>527</v>
      </c>
      <c r="S23" s="195">
        <v>495</v>
      </c>
      <c r="T23" s="196">
        <v>475</v>
      </c>
      <c r="U23" s="196">
        <v>446</v>
      </c>
      <c r="V23" s="197">
        <v>419</v>
      </c>
      <c r="W23" s="194">
        <f t="shared" si="23"/>
        <v>419</v>
      </c>
      <c r="X23" s="195">
        <v>456</v>
      </c>
      <c r="Y23" s="196">
        <v>456</v>
      </c>
      <c r="Z23" s="196">
        <v>474</v>
      </c>
      <c r="AA23" s="197">
        <v>458</v>
      </c>
      <c r="AB23" s="194">
        <f t="shared" si="24"/>
        <v>458</v>
      </c>
      <c r="AC23" s="195">
        <v>104</v>
      </c>
      <c r="AD23" s="196">
        <v>105</v>
      </c>
      <c r="AE23" s="196">
        <v>104</v>
      </c>
      <c r="AF23" s="197">
        <v>364</v>
      </c>
      <c r="AG23" s="194">
        <f t="shared" si="25"/>
        <v>364</v>
      </c>
      <c r="AH23" s="195">
        <v>364</v>
      </c>
      <c r="AI23" s="196">
        <v>363</v>
      </c>
      <c r="AJ23" s="196">
        <v>361</v>
      </c>
      <c r="AK23" s="197">
        <v>357</v>
      </c>
      <c r="AL23" s="194">
        <f t="shared" si="58"/>
        <v>357</v>
      </c>
      <c r="AM23" s="195">
        <v>355</v>
      </c>
      <c r="AN23" s="196">
        <v>352</v>
      </c>
      <c r="AO23" s="196">
        <v>351</v>
      </c>
      <c r="AP23" s="197">
        <v>347</v>
      </c>
      <c r="AQ23" s="194">
        <f t="shared" si="12"/>
        <v>347</v>
      </c>
      <c r="AR23" s="195">
        <v>344</v>
      </c>
      <c r="AS23" s="196">
        <v>340</v>
      </c>
      <c r="AT23" s="196">
        <v>337</v>
      </c>
      <c r="AU23" s="197">
        <v>330</v>
      </c>
      <c r="AV23" s="195">
        <v>330</v>
      </c>
      <c r="AW23" s="328">
        <v>327</v>
      </c>
      <c r="AX23" s="334">
        <v>341</v>
      </c>
      <c r="AY23" s="334">
        <v>338</v>
      </c>
      <c r="AZ23" s="334">
        <v>347</v>
      </c>
      <c r="BA23" s="370">
        <v>347</v>
      </c>
      <c r="BB23" s="328">
        <v>343</v>
      </c>
      <c r="BC23" s="334">
        <v>340</v>
      </c>
      <c r="BD23" s="334">
        <v>336</v>
      </c>
      <c r="BE23" s="334">
        <v>333</v>
      </c>
      <c r="BF23" s="370">
        <v>333</v>
      </c>
      <c r="BG23" s="328">
        <v>327</v>
      </c>
      <c r="BH23" s="334">
        <v>328</v>
      </c>
      <c r="BI23" s="334">
        <v>322</v>
      </c>
      <c r="BJ23" s="334">
        <v>335</v>
      </c>
      <c r="BK23" s="370">
        <v>335</v>
      </c>
      <c r="BL23" s="328">
        <v>332</v>
      </c>
      <c r="BM23" s="334">
        <v>341</v>
      </c>
      <c r="BN23" s="334">
        <v>447</v>
      </c>
      <c r="BO23" s="334">
        <v>462</v>
      </c>
      <c r="BP23" s="567">
        <f t="shared" si="13"/>
        <v>462</v>
      </c>
      <c r="BQ23" s="334">
        <v>453</v>
      </c>
      <c r="BR23" s="334">
        <v>444</v>
      </c>
      <c r="BS23" s="334">
        <v>440</v>
      </c>
      <c r="BT23" s="334">
        <v>475</v>
      </c>
      <c r="BU23" s="370">
        <f t="shared" si="36"/>
        <v>475</v>
      </c>
      <c r="BV23" s="328">
        <v>408</v>
      </c>
      <c r="BW23" s="334">
        <v>407</v>
      </c>
      <c r="BX23" s="334">
        <v>286</v>
      </c>
      <c r="BY23" s="334">
        <f t="shared" si="26"/>
        <v>299</v>
      </c>
      <c r="BZ23" s="370">
        <v>299</v>
      </c>
      <c r="CA23" s="328">
        <v>811</v>
      </c>
      <c r="CB23" s="334">
        <v>733</v>
      </c>
      <c r="CC23" s="334">
        <v>713</v>
      </c>
      <c r="CD23" s="334">
        <v>690</v>
      </c>
      <c r="CE23" s="567">
        <f t="shared" si="14"/>
        <v>690</v>
      </c>
      <c r="CF23" s="334">
        <v>693</v>
      </c>
      <c r="CG23" s="334">
        <v>717</v>
      </c>
      <c r="CH23" s="334">
        <v>644</v>
      </c>
      <c r="CI23" s="334">
        <v>638</v>
      </c>
      <c r="CJ23" s="370">
        <f>CI23</f>
        <v>638</v>
      </c>
      <c r="CK23" s="874">
        <f t="shared" si="62"/>
        <v>191</v>
      </c>
      <c r="CL23" s="334">
        <f t="shared" si="63"/>
        <v>191</v>
      </c>
      <c r="CM23" s="334">
        <f t="shared" si="64"/>
        <v>191</v>
      </c>
      <c r="CN23" s="334">
        <f t="shared" si="65"/>
        <v>191</v>
      </c>
      <c r="CO23" s="370">
        <v>191</v>
      </c>
      <c r="CP23" s="874">
        <f t="shared" si="66"/>
        <v>164</v>
      </c>
      <c r="CQ23" s="334">
        <f t="shared" si="67"/>
        <v>164</v>
      </c>
      <c r="CR23" s="334">
        <f t="shared" si="68"/>
        <v>164</v>
      </c>
      <c r="CS23" s="334">
        <f t="shared" si="69"/>
        <v>164</v>
      </c>
      <c r="CT23" s="370">
        <v>164</v>
      </c>
      <c r="CU23" s="334">
        <v>164</v>
      </c>
      <c r="CV23" s="334">
        <v>163</v>
      </c>
      <c r="CW23" s="334">
        <v>162</v>
      </c>
      <c r="CX23" s="334">
        <f>CY23</f>
        <v>151</v>
      </c>
      <c r="CY23" s="370">
        <v>151</v>
      </c>
      <c r="CZ23" s="2145">
        <v>150</v>
      </c>
      <c r="DA23" s="2145">
        <v>147</v>
      </c>
      <c r="DB23" s="2145">
        <v>116</v>
      </c>
      <c r="DC23" s="334">
        <v>110</v>
      </c>
      <c r="DD23" s="370">
        <f t="shared" ref="DD23:DS23" si="83">DC23</f>
        <v>110</v>
      </c>
      <c r="DE23" s="201">
        <f t="shared" si="71"/>
        <v>110</v>
      </c>
      <c r="DF23" s="201">
        <f t="shared" si="72"/>
        <v>110</v>
      </c>
      <c r="DG23" s="201">
        <f t="shared" si="73"/>
        <v>110</v>
      </c>
      <c r="DH23" s="201">
        <f t="shared" si="74"/>
        <v>110</v>
      </c>
      <c r="DI23" s="202">
        <f t="shared" si="17"/>
        <v>110</v>
      </c>
      <c r="DJ23" s="201">
        <f t="shared" si="83"/>
        <v>110</v>
      </c>
      <c r="DK23" s="201">
        <f t="shared" si="83"/>
        <v>110</v>
      </c>
      <c r="DL23" s="201">
        <f t="shared" si="83"/>
        <v>110</v>
      </c>
      <c r="DM23" s="201">
        <f t="shared" si="83"/>
        <v>110</v>
      </c>
      <c r="DN23" s="202">
        <f t="shared" si="83"/>
        <v>110</v>
      </c>
      <c r="DO23" s="201">
        <f t="shared" si="83"/>
        <v>110</v>
      </c>
      <c r="DP23" s="201">
        <f t="shared" si="83"/>
        <v>110</v>
      </c>
      <c r="DQ23" s="201">
        <f t="shared" si="83"/>
        <v>110</v>
      </c>
      <c r="DR23" s="201">
        <f t="shared" si="83"/>
        <v>110</v>
      </c>
      <c r="DS23" s="202">
        <f t="shared" si="83"/>
        <v>110</v>
      </c>
      <c r="DT23" s="201">
        <f t="shared" si="75"/>
        <v>110</v>
      </c>
      <c r="DU23" s="201">
        <f t="shared" si="76"/>
        <v>110</v>
      </c>
      <c r="DV23" s="201">
        <f t="shared" si="77"/>
        <v>110</v>
      </c>
      <c r="DW23" s="201">
        <f t="shared" si="78"/>
        <v>110</v>
      </c>
      <c r="DX23" s="202">
        <f t="shared" si="20"/>
        <v>110</v>
      </c>
      <c r="DY23" s="201">
        <f t="shared" si="79"/>
        <v>110</v>
      </c>
      <c r="DZ23" s="201">
        <f t="shared" si="80"/>
        <v>110</v>
      </c>
      <c r="EA23" s="201">
        <f t="shared" si="81"/>
        <v>110</v>
      </c>
      <c r="EB23" s="201">
        <f t="shared" si="82"/>
        <v>110</v>
      </c>
      <c r="EC23" s="202">
        <f t="shared" si="21"/>
        <v>110</v>
      </c>
      <c r="ED23" s="469"/>
      <c r="EF23"/>
      <c r="EG23"/>
      <c r="EH23"/>
      <c r="EI23"/>
      <c r="EJ23"/>
      <c r="EK23"/>
      <c r="EL23"/>
      <c r="EM23"/>
      <c r="EN23"/>
      <c r="EO23"/>
      <c r="EP23"/>
      <c r="EQ23"/>
      <c r="ER23"/>
      <c r="ES23"/>
      <c r="ET23"/>
      <c r="EU23"/>
      <c r="EV23"/>
      <c r="EW23"/>
      <c r="EX23"/>
      <c r="EY23"/>
      <c r="EZ23"/>
      <c r="FA23"/>
    </row>
    <row r="24" spans="1:157" s="172" customFormat="1" x14ac:dyDescent="0.2">
      <c r="A24" s="451" t="s">
        <v>168</v>
      </c>
      <c r="G24" s="182"/>
      <c r="H24" s="181">
        <v>143</v>
      </c>
      <c r="L24" s="182"/>
      <c r="M24" s="192">
        <v>159</v>
      </c>
      <c r="N24" s="193">
        <v>162</v>
      </c>
      <c r="O24" s="193">
        <v>157</v>
      </c>
      <c r="P24" s="193">
        <v>165</v>
      </c>
      <c r="Q24" s="193">
        <v>170</v>
      </c>
      <c r="R24" s="194">
        <f t="shared" si="22"/>
        <v>170</v>
      </c>
      <c r="S24" s="195">
        <v>192</v>
      </c>
      <c r="T24" s="196">
        <v>193</v>
      </c>
      <c r="U24" s="196">
        <v>268</v>
      </c>
      <c r="V24" s="197">
        <v>257</v>
      </c>
      <c r="W24" s="194">
        <f t="shared" si="23"/>
        <v>257</v>
      </c>
      <c r="X24" s="195">
        <v>248</v>
      </c>
      <c r="Y24" s="196">
        <v>226</v>
      </c>
      <c r="Z24" s="196">
        <v>224</v>
      </c>
      <c r="AA24" s="197">
        <v>213</v>
      </c>
      <c r="AB24" s="194">
        <f t="shared" si="24"/>
        <v>213</v>
      </c>
      <c r="AC24" s="195">
        <v>211</v>
      </c>
      <c r="AD24" s="196">
        <v>213</v>
      </c>
      <c r="AE24" s="196">
        <v>219</v>
      </c>
      <c r="AF24" s="197">
        <v>229</v>
      </c>
      <c r="AG24" s="194">
        <f t="shared" si="25"/>
        <v>229</v>
      </c>
      <c r="AH24" s="195">
        <v>233</v>
      </c>
      <c r="AI24" s="196">
        <v>227</v>
      </c>
      <c r="AJ24" s="196">
        <v>229</v>
      </c>
      <c r="AK24" s="197">
        <v>184</v>
      </c>
      <c r="AL24" s="194">
        <f t="shared" si="58"/>
        <v>184</v>
      </c>
      <c r="AM24" s="195">
        <v>204</v>
      </c>
      <c r="AN24" s="196">
        <v>178</v>
      </c>
      <c r="AO24" s="196">
        <v>189</v>
      </c>
      <c r="AP24" s="197">
        <v>194</v>
      </c>
      <c r="AQ24" s="194">
        <f t="shared" si="12"/>
        <v>194</v>
      </c>
      <c r="AR24" s="195">
        <v>208</v>
      </c>
      <c r="AS24" s="196">
        <v>179</v>
      </c>
      <c r="AT24" s="196">
        <v>190</v>
      </c>
      <c r="AU24" s="197">
        <v>173</v>
      </c>
      <c r="AV24" s="195">
        <v>173</v>
      </c>
      <c r="AW24" s="328">
        <v>157</v>
      </c>
      <c r="AX24" s="334">
        <v>173</v>
      </c>
      <c r="AY24" s="334">
        <v>190</v>
      </c>
      <c r="AZ24" s="334">
        <v>138</v>
      </c>
      <c r="BA24" s="370">
        <v>138</v>
      </c>
      <c r="BB24" s="328">
        <v>108</v>
      </c>
      <c r="BC24" s="334">
        <v>118</v>
      </c>
      <c r="BD24" s="334">
        <v>140</v>
      </c>
      <c r="BE24" s="334">
        <v>153</v>
      </c>
      <c r="BF24" s="370">
        <v>153</v>
      </c>
      <c r="BG24" s="328">
        <v>33</v>
      </c>
      <c r="BH24" s="334">
        <v>43</v>
      </c>
      <c r="BI24" s="334">
        <v>57</v>
      </c>
      <c r="BJ24" s="334">
        <v>65</v>
      </c>
      <c r="BK24" s="370">
        <v>65</v>
      </c>
      <c r="BL24" s="328">
        <v>32</v>
      </c>
      <c r="BM24" s="334">
        <v>23</v>
      </c>
      <c r="BN24" s="334">
        <v>98</v>
      </c>
      <c r="BO24" s="334">
        <v>144</v>
      </c>
      <c r="BP24" s="567">
        <f t="shared" si="13"/>
        <v>144</v>
      </c>
      <c r="BQ24" s="334">
        <v>124</v>
      </c>
      <c r="BR24" s="334">
        <v>132</v>
      </c>
      <c r="BS24" s="334">
        <v>145</v>
      </c>
      <c r="BT24" s="334">
        <v>154</v>
      </c>
      <c r="BU24" s="370">
        <f t="shared" si="36"/>
        <v>154</v>
      </c>
      <c r="BV24" s="328">
        <v>135</v>
      </c>
      <c r="BW24" s="334">
        <v>143</v>
      </c>
      <c r="BX24" s="334">
        <v>158</v>
      </c>
      <c r="BY24" s="334">
        <f t="shared" si="26"/>
        <v>167</v>
      </c>
      <c r="BZ24" s="370">
        <v>167</v>
      </c>
      <c r="CA24" s="328">
        <v>33</v>
      </c>
      <c r="CB24" s="334">
        <v>42</v>
      </c>
      <c r="CC24" s="334">
        <v>58</v>
      </c>
      <c r="CD24" s="334">
        <v>72</v>
      </c>
      <c r="CE24" s="567">
        <f t="shared" si="14"/>
        <v>72</v>
      </c>
      <c r="CF24" s="334">
        <v>31</v>
      </c>
      <c r="CG24" s="334">
        <v>29</v>
      </c>
      <c r="CH24" s="334">
        <v>42</v>
      </c>
      <c r="CI24" s="334">
        <v>53</v>
      </c>
      <c r="CJ24" s="370">
        <f>CI24</f>
        <v>53</v>
      </c>
      <c r="CK24" s="874">
        <f t="shared" si="62"/>
        <v>0</v>
      </c>
      <c r="CL24" s="334">
        <f t="shared" si="63"/>
        <v>0</v>
      </c>
      <c r="CM24" s="334">
        <f t="shared" si="64"/>
        <v>0</v>
      </c>
      <c r="CN24" s="334">
        <f t="shared" si="65"/>
        <v>0</v>
      </c>
      <c r="CO24" s="370">
        <v>0</v>
      </c>
      <c r="CP24" s="874">
        <f t="shared" si="66"/>
        <v>0</v>
      </c>
      <c r="CQ24" s="334">
        <f t="shared" si="67"/>
        <v>0</v>
      </c>
      <c r="CR24" s="334">
        <f t="shared" si="68"/>
        <v>0</v>
      </c>
      <c r="CS24" s="334">
        <f t="shared" si="69"/>
        <v>0</v>
      </c>
      <c r="CT24" s="370">
        <v>0</v>
      </c>
      <c r="CU24" s="334">
        <v>0</v>
      </c>
      <c r="CV24" s="334">
        <v>0</v>
      </c>
      <c r="CW24" s="334">
        <v>0</v>
      </c>
      <c r="CX24" s="334">
        <f t="shared" ref="CX24:CX26" si="84">CW24</f>
        <v>0</v>
      </c>
      <c r="CY24" s="370">
        <f t="shared" si="35"/>
        <v>0</v>
      </c>
      <c r="CZ24" s="2145">
        <f t="shared" ref="CZ24:DS24" si="85">CY24</f>
        <v>0</v>
      </c>
      <c r="DA24" s="2145">
        <v>0</v>
      </c>
      <c r="DB24" s="2145">
        <v>0</v>
      </c>
      <c r="DC24" s="334">
        <v>0</v>
      </c>
      <c r="DD24" s="370">
        <f t="shared" si="85"/>
        <v>0</v>
      </c>
      <c r="DE24" s="201">
        <f t="shared" si="71"/>
        <v>0</v>
      </c>
      <c r="DF24" s="201">
        <f t="shared" si="72"/>
        <v>0</v>
      </c>
      <c r="DG24" s="201">
        <f t="shared" si="73"/>
        <v>0</v>
      </c>
      <c r="DH24" s="201">
        <f t="shared" si="74"/>
        <v>0</v>
      </c>
      <c r="DI24" s="202">
        <f t="shared" si="17"/>
        <v>0</v>
      </c>
      <c r="DJ24" s="201">
        <f t="shared" si="85"/>
        <v>0</v>
      </c>
      <c r="DK24" s="201">
        <f t="shared" si="85"/>
        <v>0</v>
      </c>
      <c r="DL24" s="201">
        <f t="shared" si="85"/>
        <v>0</v>
      </c>
      <c r="DM24" s="201">
        <f t="shared" si="85"/>
        <v>0</v>
      </c>
      <c r="DN24" s="202">
        <f t="shared" si="85"/>
        <v>0</v>
      </c>
      <c r="DO24" s="201">
        <f t="shared" si="85"/>
        <v>0</v>
      </c>
      <c r="DP24" s="201">
        <f t="shared" si="85"/>
        <v>0</v>
      </c>
      <c r="DQ24" s="201">
        <f t="shared" si="85"/>
        <v>0</v>
      </c>
      <c r="DR24" s="201">
        <f t="shared" si="85"/>
        <v>0</v>
      </c>
      <c r="DS24" s="202">
        <f t="shared" si="85"/>
        <v>0</v>
      </c>
      <c r="DT24" s="201">
        <f t="shared" si="75"/>
        <v>0</v>
      </c>
      <c r="DU24" s="201">
        <f t="shared" si="76"/>
        <v>0</v>
      </c>
      <c r="DV24" s="201">
        <f t="shared" si="77"/>
        <v>0</v>
      </c>
      <c r="DW24" s="201">
        <f t="shared" si="78"/>
        <v>0</v>
      </c>
      <c r="DX24" s="202">
        <f t="shared" si="20"/>
        <v>0</v>
      </c>
      <c r="DY24" s="201">
        <f t="shared" si="79"/>
        <v>0</v>
      </c>
      <c r="DZ24" s="201">
        <f t="shared" si="80"/>
        <v>0</v>
      </c>
      <c r="EA24" s="201">
        <f t="shared" si="81"/>
        <v>0</v>
      </c>
      <c r="EB24" s="201">
        <f t="shared" si="82"/>
        <v>0</v>
      </c>
      <c r="EC24" s="202">
        <f t="shared" si="21"/>
        <v>0</v>
      </c>
      <c r="ED24" s="469"/>
      <c r="EF24"/>
      <c r="EG24"/>
      <c r="EH24"/>
      <c r="EI24"/>
      <c r="EJ24"/>
      <c r="EK24"/>
      <c r="EL24"/>
      <c r="EM24"/>
      <c r="EN24"/>
      <c r="EO24"/>
      <c r="EP24"/>
      <c r="EQ24"/>
      <c r="ER24"/>
      <c r="ES24"/>
      <c r="ET24"/>
      <c r="EU24"/>
      <c r="EV24"/>
      <c r="EW24"/>
      <c r="EX24"/>
      <c r="EY24"/>
      <c r="EZ24"/>
      <c r="FA24"/>
    </row>
    <row r="25" spans="1:157" s="172" customFormat="1" x14ac:dyDescent="0.2">
      <c r="A25" s="451" t="s">
        <v>431</v>
      </c>
      <c r="G25" s="182"/>
      <c r="H25" s="181"/>
      <c r="L25" s="182"/>
      <c r="M25" s="192"/>
      <c r="N25" s="193"/>
      <c r="O25" s="193"/>
      <c r="P25" s="193"/>
      <c r="Q25" s="193"/>
      <c r="R25" s="194"/>
      <c r="S25" s="195"/>
      <c r="T25" s="196"/>
      <c r="U25" s="196"/>
      <c r="V25" s="197"/>
      <c r="W25" s="194"/>
      <c r="X25" s="195"/>
      <c r="Y25" s="196"/>
      <c r="Z25" s="196"/>
      <c r="AA25" s="197"/>
      <c r="AB25" s="194"/>
      <c r="AC25" s="195"/>
      <c r="AD25" s="196"/>
      <c r="AE25" s="196"/>
      <c r="AF25" s="197"/>
      <c r="AG25" s="194"/>
      <c r="AH25" s="195"/>
      <c r="AI25" s="196"/>
      <c r="AJ25" s="196"/>
      <c r="AK25" s="197"/>
      <c r="AL25" s="194"/>
      <c r="AM25" s="195"/>
      <c r="AN25" s="196"/>
      <c r="AO25" s="196"/>
      <c r="AP25" s="197"/>
      <c r="AQ25" s="194"/>
      <c r="AR25" s="195"/>
      <c r="AS25" s="196"/>
      <c r="AT25" s="196"/>
      <c r="AU25" s="197"/>
      <c r="AV25" s="195"/>
      <c r="AW25" s="328"/>
      <c r="AX25" s="334"/>
      <c r="AY25" s="334"/>
      <c r="AZ25" s="334">
        <v>341</v>
      </c>
      <c r="BA25" s="370">
        <v>341</v>
      </c>
      <c r="BB25" s="328">
        <v>288</v>
      </c>
      <c r="BC25" s="334">
        <v>265</v>
      </c>
      <c r="BD25" s="334">
        <v>388</v>
      </c>
      <c r="BE25" s="334">
        <v>290</v>
      </c>
      <c r="BF25" s="370">
        <v>290</v>
      </c>
      <c r="BG25" s="328">
        <v>308</v>
      </c>
      <c r="BH25" s="334">
        <v>288</v>
      </c>
      <c r="BI25" s="334">
        <v>191</v>
      </c>
      <c r="BJ25" s="334">
        <v>331</v>
      </c>
      <c r="BK25" s="370">
        <v>331</v>
      </c>
      <c r="BL25" s="328">
        <v>298</v>
      </c>
      <c r="BM25" s="334">
        <v>340</v>
      </c>
      <c r="BN25" s="334">
        <v>291</v>
      </c>
      <c r="BO25" s="334">
        <v>251</v>
      </c>
      <c r="BP25" s="567">
        <f t="shared" si="13"/>
        <v>251</v>
      </c>
      <c r="BQ25" s="334">
        <v>232</v>
      </c>
      <c r="BR25" s="334">
        <v>269</v>
      </c>
      <c r="BS25" s="334">
        <v>329</v>
      </c>
      <c r="BT25" s="334">
        <v>366</v>
      </c>
      <c r="BU25" s="370">
        <f>BT25</f>
        <v>366</v>
      </c>
      <c r="BV25" s="328">
        <v>419</v>
      </c>
      <c r="BW25" s="334">
        <v>421</v>
      </c>
      <c r="BX25" s="334">
        <v>424</v>
      </c>
      <c r="BY25" s="334">
        <f t="shared" si="26"/>
        <v>549</v>
      </c>
      <c r="BZ25" s="370">
        <v>549</v>
      </c>
      <c r="CA25" s="328">
        <v>540</v>
      </c>
      <c r="CB25" s="334">
        <v>547</v>
      </c>
      <c r="CC25" s="334">
        <v>471</v>
      </c>
      <c r="CD25" s="334">
        <v>481</v>
      </c>
      <c r="CE25" s="567">
        <f t="shared" si="14"/>
        <v>481</v>
      </c>
      <c r="CF25" s="334">
        <v>571</v>
      </c>
      <c r="CG25" s="334">
        <v>571</v>
      </c>
      <c r="CH25" s="334">
        <v>567</v>
      </c>
      <c r="CI25" s="334">
        <v>399</v>
      </c>
      <c r="CJ25" s="370">
        <f t="shared" ref="CJ25:CJ26" si="86">CI25</f>
        <v>399</v>
      </c>
      <c r="CK25" s="874">
        <f t="shared" si="62"/>
        <v>430</v>
      </c>
      <c r="CL25" s="334">
        <f t="shared" si="63"/>
        <v>430</v>
      </c>
      <c r="CM25" s="334">
        <f t="shared" si="64"/>
        <v>430</v>
      </c>
      <c r="CN25" s="334">
        <f t="shared" si="65"/>
        <v>430</v>
      </c>
      <c r="CO25" s="370">
        <v>430</v>
      </c>
      <c r="CP25" s="874">
        <f t="shared" si="66"/>
        <v>418</v>
      </c>
      <c r="CQ25" s="334">
        <f t="shared" si="67"/>
        <v>418</v>
      </c>
      <c r="CR25" s="334">
        <f t="shared" si="68"/>
        <v>418</v>
      </c>
      <c r="CS25" s="334">
        <f t="shared" si="69"/>
        <v>418</v>
      </c>
      <c r="CT25" s="370">
        <v>418</v>
      </c>
      <c r="CU25" s="334">
        <v>560</v>
      </c>
      <c r="CV25" s="334">
        <v>580</v>
      </c>
      <c r="CW25" s="334">
        <v>748</v>
      </c>
      <c r="CX25" s="334">
        <f>CY25</f>
        <v>774</v>
      </c>
      <c r="CY25" s="370">
        <v>774</v>
      </c>
      <c r="CZ25" s="2145">
        <v>755</v>
      </c>
      <c r="DA25" s="2145">
        <v>763</v>
      </c>
      <c r="DB25" s="2145">
        <v>649</v>
      </c>
      <c r="DC25" s="334">
        <v>139</v>
      </c>
      <c r="DD25" s="370">
        <f t="shared" ref="DD25:DS25" si="87">DC25</f>
        <v>139</v>
      </c>
      <c r="DE25" s="201">
        <f t="shared" si="71"/>
        <v>139</v>
      </c>
      <c r="DF25" s="201">
        <f t="shared" si="72"/>
        <v>139</v>
      </c>
      <c r="DG25" s="201">
        <f t="shared" si="73"/>
        <v>139</v>
      </c>
      <c r="DH25" s="201">
        <f t="shared" si="74"/>
        <v>139</v>
      </c>
      <c r="DI25" s="202">
        <f t="shared" si="17"/>
        <v>139</v>
      </c>
      <c r="DJ25" s="201">
        <f t="shared" si="87"/>
        <v>139</v>
      </c>
      <c r="DK25" s="201">
        <f t="shared" si="87"/>
        <v>139</v>
      </c>
      <c r="DL25" s="201">
        <f t="shared" si="87"/>
        <v>139</v>
      </c>
      <c r="DM25" s="201">
        <f t="shared" si="87"/>
        <v>139</v>
      </c>
      <c r="DN25" s="202">
        <f t="shared" si="87"/>
        <v>139</v>
      </c>
      <c r="DO25" s="201">
        <f t="shared" si="87"/>
        <v>139</v>
      </c>
      <c r="DP25" s="201">
        <f t="shared" si="87"/>
        <v>139</v>
      </c>
      <c r="DQ25" s="201">
        <f t="shared" si="87"/>
        <v>139</v>
      </c>
      <c r="DR25" s="201">
        <f t="shared" si="87"/>
        <v>139</v>
      </c>
      <c r="DS25" s="202">
        <f t="shared" si="87"/>
        <v>139</v>
      </c>
      <c r="DT25" s="201">
        <f t="shared" si="75"/>
        <v>139</v>
      </c>
      <c r="DU25" s="201">
        <f t="shared" si="76"/>
        <v>139</v>
      </c>
      <c r="DV25" s="201">
        <f t="shared" si="77"/>
        <v>139</v>
      </c>
      <c r="DW25" s="201">
        <f t="shared" si="78"/>
        <v>139</v>
      </c>
      <c r="DX25" s="202">
        <f t="shared" si="20"/>
        <v>139</v>
      </c>
      <c r="DY25" s="201">
        <f t="shared" si="79"/>
        <v>139</v>
      </c>
      <c r="DZ25" s="201">
        <f t="shared" si="80"/>
        <v>139</v>
      </c>
      <c r="EA25" s="201">
        <f t="shared" si="81"/>
        <v>139</v>
      </c>
      <c r="EB25" s="201">
        <f t="shared" si="82"/>
        <v>139</v>
      </c>
      <c r="EC25" s="202">
        <f t="shared" si="21"/>
        <v>139</v>
      </c>
      <c r="ED25" s="469"/>
      <c r="EF25"/>
      <c r="EG25"/>
      <c r="EH25"/>
      <c r="EI25"/>
      <c r="EJ25"/>
      <c r="EK25"/>
      <c r="EL25"/>
      <c r="EM25"/>
      <c r="EN25"/>
      <c r="EO25"/>
      <c r="EP25"/>
      <c r="EQ25"/>
      <c r="ER25"/>
      <c r="ES25"/>
      <c r="ET25"/>
      <c r="EU25"/>
      <c r="EV25"/>
      <c r="EW25"/>
      <c r="EX25"/>
      <c r="EY25"/>
      <c r="EZ25"/>
      <c r="FA25"/>
    </row>
    <row r="26" spans="1:157" s="172" customFormat="1" x14ac:dyDescent="0.2">
      <c r="A26" s="451" t="s">
        <v>259</v>
      </c>
      <c r="G26" s="182"/>
      <c r="H26" s="181"/>
      <c r="L26" s="182"/>
      <c r="M26" s="192"/>
      <c r="N26" s="193"/>
      <c r="O26" s="193"/>
      <c r="P26" s="193"/>
      <c r="Q26" s="193"/>
      <c r="R26" s="194"/>
      <c r="S26" s="195"/>
      <c r="T26" s="196"/>
      <c r="U26" s="196"/>
      <c r="V26" s="197"/>
      <c r="W26" s="194"/>
      <c r="X26" s="195"/>
      <c r="Y26" s="196"/>
      <c r="Z26" s="196"/>
      <c r="AA26" s="197"/>
      <c r="AB26" s="194"/>
      <c r="AC26" s="195"/>
      <c r="AD26" s="196"/>
      <c r="AE26" s="196"/>
      <c r="AF26" s="197"/>
      <c r="AG26" s="194"/>
      <c r="AH26" s="195"/>
      <c r="AI26" s="196"/>
      <c r="AJ26" s="196"/>
      <c r="AK26" s="197"/>
      <c r="AL26" s="194"/>
      <c r="AM26" s="195"/>
      <c r="AN26" s="196"/>
      <c r="AO26" s="196"/>
      <c r="AP26" s="197"/>
      <c r="AQ26" s="194"/>
      <c r="AR26" s="195"/>
      <c r="AS26" s="196"/>
      <c r="AT26" s="196"/>
      <c r="AU26" s="197"/>
      <c r="AV26" s="195"/>
      <c r="AW26" s="328"/>
      <c r="AX26" s="334"/>
      <c r="AY26" s="334"/>
      <c r="AZ26" s="334"/>
      <c r="BA26" s="370"/>
      <c r="BB26" s="328"/>
      <c r="BC26" s="334"/>
      <c r="BD26" s="334"/>
      <c r="BE26" s="334"/>
      <c r="BF26" s="370"/>
      <c r="BG26" s="328"/>
      <c r="BH26" s="334"/>
      <c r="BI26" s="334"/>
      <c r="BJ26" s="334"/>
      <c r="BK26" s="370"/>
      <c r="BL26" s="328"/>
      <c r="BM26" s="334"/>
      <c r="BN26" s="334"/>
      <c r="BO26" s="334"/>
      <c r="BP26" s="567"/>
      <c r="BQ26" s="334"/>
      <c r="BR26" s="334"/>
      <c r="BS26" s="334"/>
      <c r="BT26" s="334"/>
      <c r="BU26" s="370">
        <v>0</v>
      </c>
      <c r="BV26" s="328">
        <v>0</v>
      </c>
      <c r="BW26" s="334">
        <v>300</v>
      </c>
      <c r="BX26" s="334">
        <v>300</v>
      </c>
      <c r="BY26" s="334">
        <f t="shared" si="26"/>
        <v>300</v>
      </c>
      <c r="BZ26" s="370">
        <v>300</v>
      </c>
      <c r="CA26" s="328">
        <v>0</v>
      </c>
      <c r="CB26" s="334">
        <v>0</v>
      </c>
      <c r="CC26" s="334">
        <v>0</v>
      </c>
      <c r="CD26" s="334">
        <v>0</v>
      </c>
      <c r="CE26" s="567">
        <f t="shared" si="14"/>
        <v>0</v>
      </c>
      <c r="CF26" s="334">
        <f>CE26</f>
        <v>0</v>
      </c>
      <c r="CG26" s="334">
        <v>0</v>
      </c>
      <c r="CH26" s="334">
        <v>0</v>
      </c>
      <c r="CI26" s="334">
        <f>CH26</f>
        <v>0</v>
      </c>
      <c r="CJ26" s="370">
        <f t="shared" si="86"/>
        <v>0</v>
      </c>
      <c r="CK26" s="874">
        <f t="shared" si="62"/>
        <v>0</v>
      </c>
      <c r="CL26" s="334">
        <f t="shared" si="63"/>
        <v>0</v>
      </c>
      <c r="CM26" s="334">
        <f t="shared" si="64"/>
        <v>0</v>
      </c>
      <c r="CN26" s="334">
        <f t="shared" si="65"/>
        <v>0</v>
      </c>
      <c r="CO26" s="370">
        <v>0</v>
      </c>
      <c r="CP26" s="874">
        <f t="shared" si="66"/>
        <v>0</v>
      </c>
      <c r="CQ26" s="334">
        <f t="shared" si="67"/>
        <v>0</v>
      </c>
      <c r="CR26" s="334">
        <f t="shared" si="68"/>
        <v>0</v>
      </c>
      <c r="CS26" s="334">
        <f t="shared" si="69"/>
        <v>0</v>
      </c>
      <c r="CT26" s="370">
        <v>0</v>
      </c>
      <c r="CU26" s="334">
        <v>0</v>
      </c>
      <c r="CV26" s="334">
        <v>0</v>
      </c>
      <c r="CW26" s="334">
        <v>0</v>
      </c>
      <c r="CX26" s="334">
        <f t="shared" si="84"/>
        <v>0</v>
      </c>
      <c r="CY26" s="370">
        <f t="shared" si="35"/>
        <v>0</v>
      </c>
      <c r="CZ26" s="2145">
        <f t="shared" ref="CZ26:DS26" si="88">CY26</f>
        <v>0</v>
      </c>
      <c r="DA26" s="2145">
        <v>0</v>
      </c>
      <c r="DB26" s="2145">
        <v>0</v>
      </c>
      <c r="DC26" s="334">
        <v>0</v>
      </c>
      <c r="DD26" s="370">
        <f t="shared" si="88"/>
        <v>0</v>
      </c>
      <c r="DE26" s="201">
        <f t="shared" si="71"/>
        <v>0</v>
      </c>
      <c r="DF26" s="201">
        <f t="shared" si="72"/>
        <v>0</v>
      </c>
      <c r="DG26" s="201">
        <f t="shared" si="73"/>
        <v>0</v>
      </c>
      <c r="DH26" s="201">
        <f t="shared" si="74"/>
        <v>0</v>
      </c>
      <c r="DI26" s="202">
        <f t="shared" si="17"/>
        <v>0</v>
      </c>
      <c r="DJ26" s="201">
        <f t="shared" si="88"/>
        <v>0</v>
      </c>
      <c r="DK26" s="201">
        <f t="shared" si="88"/>
        <v>0</v>
      </c>
      <c r="DL26" s="201">
        <f t="shared" si="88"/>
        <v>0</v>
      </c>
      <c r="DM26" s="201">
        <f t="shared" si="88"/>
        <v>0</v>
      </c>
      <c r="DN26" s="202">
        <f t="shared" si="88"/>
        <v>0</v>
      </c>
      <c r="DO26" s="201">
        <f t="shared" si="88"/>
        <v>0</v>
      </c>
      <c r="DP26" s="201">
        <f t="shared" si="88"/>
        <v>0</v>
      </c>
      <c r="DQ26" s="201">
        <f t="shared" si="88"/>
        <v>0</v>
      </c>
      <c r="DR26" s="201">
        <f t="shared" si="88"/>
        <v>0</v>
      </c>
      <c r="DS26" s="202">
        <f t="shared" si="88"/>
        <v>0</v>
      </c>
      <c r="DT26" s="201">
        <f t="shared" si="75"/>
        <v>0</v>
      </c>
      <c r="DU26" s="201">
        <f t="shared" si="76"/>
        <v>0</v>
      </c>
      <c r="DV26" s="201">
        <f t="shared" si="77"/>
        <v>0</v>
      </c>
      <c r="DW26" s="201">
        <f t="shared" si="78"/>
        <v>0</v>
      </c>
      <c r="DX26" s="202">
        <f t="shared" si="20"/>
        <v>0</v>
      </c>
      <c r="DY26" s="201">
        <f t="shared" si="79"/>
        <v>0</v>
      </c>
      <c r="DZ26" s="201">
        <f t="shared" si="80"/>
        <v>0</v>
      </c>
      <c r="EA26" s="201">
        <f t="shared" si="81"/>
        <v>0</v>
      </c>
      <c r="EB26" s="201">
        <f t="shared" si="82"/>
        <v>0</v>
      </c>
      <c r="EC26" s="202">
        <f t="shared" si="21"/>
        <v>0</v>
      </c>
      <c r="ED26" s="469"/>
      <c r="EF26"/>
      <c r="EG26"/>
      <c r="EH26"/>
      <c r="EI26"/>
      <c r="EJ26"/>
      <c r="EK26"/>
      <c r="EL26"/>
      <c r="EM26"/>
      <c r="EN26"/>
      <c r="EO26"/>
      <c r="EP26"/>
      <c r="EQ26"/>
      <c r="ER26"/>
      <c r="ES26"/>
      <c r="ET26"/>
      <c r="EU26"/>
      <c r="EV26"/>
      <c r="EW26"/>
      <c r="EX26"/>
      <c r="EY26"/>
      <c r="EZ26"/>
      <c r="FA26"/>
    </row>
    <row r="27" spans="1:157" s="204" customFormat="1" x14ac:dyDescent="0.2">
      <c r="A27" s="451" t="s">
        <v>169</v>
      </c>
      <c r="B27" s="172"/>
      <c r="C27" s="172"/>
      <c r="D27" s="172"/>
      <c r="E27" s="172"/>
      <c r="F27" s="172"/>
      <c r="G27" s="182"/>
      <c r="H27" s="203">
        <v>199</v>
      </c>
      <c r="L27" s="205"/>
      <c r="M27" s="203">
        <v>200</v>
      </c>
      <c r="N27" s="206">
        <v>200</v>
      </c>
      <c r="O27" s="206">
        <v>184</v>
      </c>
      <c r="P27" s="206">
        <v>207</v>
      </c>
      <c r="Q27" s="206">
        <v>247</v>
      </c>
      <c r="R27" s="203">
        <f t="shared" si="22"/>
        <v>247</v>
      </c>
      <c r="S27" s="207">
        <v>268</v>
      </c>
      <c r="T27" s="208">
        <v>276</v>
      </c>
      <c r="U27" s="208">
        <v>294</v>
      </c>
      <c r="V27" s="209">
        <v>245</v>
      </c>
      <c r="W27" s="203">
        <f t="shared" si="23"/>
        <v>245</v>
      </c>
      <c r="X27" s="207">
        <v>320</v>
      </c>
      <c r="Y27" s="208">
        <v>325</v>
      </c>
      <c r="Z27" s="208">
        <v>328</v>
      </c>
      <c r="AA27" s="209">
        <v>393</v>
      </c>
      <c r="AB27" s="203">
        <f>AA27</f>
        <v>393</v>
      </c>
      <c r="AC27" s="207">
        <f>426+39</f>
        <v>465</v>
      </c>
      <c r="AD27" s="208">
        <f>959+44</f>
        <v>1003</v>
      </c>
      <c r="AE27" s="208">
        <v>993</v>
      </c>
      <c r="AF27" s="209">
        <v>555</v>
      </c>
      <c r="AG27" s="203">
        <f t="shared" si="25"/>
        <v>555</v>
      </c>
      <c r="AH27" s="207">
        <v>583</v>
      </c>
      <c r="AI27" s="208">
        <v>619</v>
      </c>
      <c r="AJ27" s="208">
        <v>544</v>
      </c>
      <c r="AK27" s="209">
        <v>472</v>
      </c>
      <c r="AL27" s="203">
        <f t="shared" si="58"/>
        <v>472</v>
      </c>
      <c r="AM27" s="207">
        <v>511</v>
      </c>
      <c r="AN27" s="208">
        <v>455</v>
      </c>
      <c r="AO27" s="208">
        <v>462</v>
      </c>
      <c r="AP27" s="209">
        <v>416</v>
      </c>
      <c r="AQ27" s="203">
        <f t="shared" si="12"/>
        <v>416</v>
      </c>
      <c r="AR27" s="207">
        <v>415</v>
      </c>
      <c r="AS27" s="208">
        <v>434</v>
      </c>
      <c r="AT27" s="208">
        <v>462</v>
      </c>
      <c r="AU27" s="209">
        <v>464</v>
      </c>
      <c r="AV27" s="207">
        <v>464</v>
      </c>
      <c r="AW27" s="329">
        <v>505</v>
      </c>
      <c r="AX27" s="335">
        <v>507</v>
      </c>
      <c r="AY27" s="335">
        <v>515</v>
      </c>
      <c r="AZ27" s="335">
        <v>363</v>
      </c>
      <c r="BA27" s="371">
        <v>363</v>
      </c>
      <c r="BB27" s="329">
        <v>369</v>
      </c>
      <c r="BC27" s="335">
        <v>395</v>
      </c>
      <c r="BD27" s="335">
        <v>294</v>
      </c>
      <c r="BE27" s="335">
        <v>464</v>
      </c>
      <c r="BF27" s="371">
        <v>464</v>
      </c>
      <c r="BG27" s="329">
        <v>477</v>
      </c>
      <c r="BH27" s="335">
        <v>471</v>
      </c>
      <c r="BI27" s="335">
        <v>572</v>
      </c>
      <c r="BJ27" s="335">
        <v>561</v>
      </c>
      <c r="BK27" s="371">
        <v>561</v>
      </c>
      <c r="BL27" s="329">
        <v>558</v>
      </c>
      <c r="BM27" s="335">
        <v>582</v>
      </c>
      <c r="BN27" s="335">
        <v>549</v>
      </c>
      <c r="BO27" s="335">
        <v>544</v>
      </c>
      <c r="BP27" s="568">
        <f t="shared" si="13"/>
        <v>544</v>
      </c>
      <c r="BQ27" s="335">
        <v>539</v>
      </c>
      <c r="BR27" s="335">
        <v>529</v>
      </c>
      <c r="BS27" s="335">
        <v>529</v>
      </c>
      <c r="BT27" s="335">
        <v>519</v>
      </c>
      <c r="BU27" s="371">
        <f>BT27</f>
        <v>519</v>
      </c>
      <c r="BV27" s="329">
        <v>507</v>
      </c>
      <c r="BW27" s="335">
        <v>516</v>
      </c>
      <c r="BX27" s="335">
        <v>486</v>
      </c>
      <c r="BY27" s="335">
        <f t="shared" si="26"/>
        <v>475</v>
      </c>
      <c r="BZ27" s="371">
        <v>475</v>
      </c>
      <c r="CA27" s="329">
        <v>531</v>
      </c>
      <c r="CB27" s="335">
        <v>512</v>
      </c>
      <c r="CC27" s="335">
        <v>528</v>
      </c>
      <c r="CD27" s="335">
        <v>575</v>
      </c>
      <c r="CE27" s="568">
        <f t="shared" si="14"/>
        <v>575</v>
      </c>
      <c r="CF27" s="335">
        <v>468</v>
      </c>
      <c r="CG27" s="335">
        <v>480</v>
      </c>
      <c r="CH27" s="335">
        <v>508</v>
      </c>
      <c r="CI27" s="335">
        <v>566</v>
      </c>
      <c r="CJ27" s="371">
        <f>CI27</f>
        <v>566</v>
      </c>
      <c r="CK27" s="875">
        <f t="shared" si="62"/>
        <v>361</v>
      </c>
      <c r="CL27" s="335">
        <f t="shared" si="63"/>
        <v>361</v>
      </c>
      <c r="CM27" s="335">
        <f t="shared" si="64"/>
        <v>361</v>
      </c>
      <c r="CN27" s="335">
        <f t="shared" si="65"/>
        <v>361</v>
      </c>
      <c r="CO27" s="371">
        <v>361</v>
      </c>
      <c r="CP27" s="875">
        <f t="shared" si="66"/>
        <v>484</v>
      </c>
      <c r="CQ27" s="335">
        <f t="shared" si="67"/>
        <v>484</v>
      </c>
      <c r="CR27" s="335">
        <f t="shared" si="68"/>
        <v>484</v>
      </c>
      <c r="CS27" s="335">
        <f t="shared" si="69"/>
        <v>484</v>
      </c>
      <c r="CT27" s="371">
        <v>484</v>
      </c>
      <c r="CU27" s="335">
        <v>303</v>
      </c>
      <c r="CV27" s="335">
        <v>341</v>
      </c>
      <c r="CW27" s="335">
        <v>345</v>
      </c>
      <c r="CX27" s="335">
        <f>CY27</f>
        <v>370</v>
      </c>
      <c r="CY27" s="371">
        <v>370</v>
      </c>
      <c r="CZ27" s="2146">
        <v>358</v>
      </c>
      <c r="DA27" s="2146">
        <v>340</v>
      </c>
      <c r="DB27" s="2146">
        <v>304</v>
      </c>
      <c r="DC27" s="2146">
        <v>346</v>
      </c>
      <c r="DD27" s="371">
        <f t="shared" ref="DD27:DS27" si="89">DC27</f>
        <v>346</v>
      </c>
      <c r="DE27" s="1280">
        <f t="shared" si="71"/>
        <v>346</v>
      </c>
      <c r="DF27" s="1280">
        <f t="shared" si="72"/>
        <v>346</v>
      </c>
      <c r="DG27" s="1280">
        <f t="shared" si="73"/>
        <v>346</v>
      </c>
      <c r="DH27" s="1280">
        <f t="shared" si="74"/>
        <v>346</v>
      </c>
      <c r="DI27" s="211">
        <f t="shared" si="17"/>
        <v>346</v>
      </c>
      <c r="DJ27" s="210">
        <f t="shared" si="89"/>
        <v>346</v>
      </c>
      <c r="DK27" s="210">
        <f t="shared" si="89"/>
        <v>346</v>
      </c>
      <c r="DL27" s="210">
        <f t="shared" si="89"/>
        <v>346</v>
      </c>
      <c r="DM27" s="210">
        <f t="shared" si="89"/>
        <v>346</v>
      </c>
      <c r="DN27" s="211">
        <f t="shared" si="89"/>
        <v>346</v>
      </c>
      <c r="DO27" s="210">
        <f t="shared" si="89"/>
        <v>346</v>
      </c>
      <c r="DP27" s="210">
        <f t="shared" si="89"/>
        <v>346</v>
      </c>
      <c r="DQ27" s="210">
        <f t="shared" si="89"/>
        <v>346</v>
      </c>
      <c r="DR27" s="210">
        <f t="shared" si="89"/>
        <v>346</v>
      </c>
      <c r="DS27" s="211">
        <f t="shared" si="89"/>
        <v>346</v>
      </c>
      <c r="DT27" s="210">
        <f t="shared" si="75"/>
        <v>346</v>
      </c>
      <c r="DU27" s="210">
        <f t="shared" si="76"/>
        <v>346</v>
      </c>
      <c r="DV27" s="210">
        <f t="shared" si="77"/>
        <v>346</v>
      </c>
      <c r="DW27" s="210">
        <f t="shared" si="78"/>
        <v>346</v>
      </c>
      <c r="DX27" s="211">
        <f t="shared" si="20"/>
        <v>346</v>
      </c>
      <c r="DY27" s="210">
        <f t="shared" si="79"/>
        <v>346</v>
      </c>
      <c r="DZ27" s="210">
        <f t="shared" si="80"/>
        <v>346</v>
      </c>
      <c r="EA27" s="210">
        <f t="shared" si="81"/>
        <v>346</v>
      </c>
      <c r="EB27" s="210">
        <f t="shared" si="82"/>
        <v>346</v>
      </c>
      <c r="EC27" s="211">
        <f t="shared" si="21"/>
        <v>346</v>
      </c>
      <c r="ED27" s="469"/>
      <c r="EE27" s="172"/>
      <c r="EF27"/>
      <c r="EG27"/>
      <c r="EH27"/>
      <c r="EI27"/>
      <c r="EJ27"/>
      <c r="EK27"/>
      <c r="EL27"/>
      <c r="EM27"/>
      <c r="EN27"/>
      <c r="EO27"/>
      <c r="EP27"/>
      <c r="EQ27"/>
      <c r="ER27"/>
      <c r="ES27"/>
      <c r="ET27"/>
      <c r="EU27"/>
      <c r="EV27"/>
      <c r="EW27"/>
      <c r="EX27"/>
      <c r="EY27"/>
      <c r="EZ27"/>
      <c r="FA27"/>
    </row>
    <row r="28" spans="1:157" s="179" customFormat="1" x14ac:dyDescent="0.2">
      <c r="A28" s="452" t="s">
        <v>170</v>
      </c>
      <c r="B28" s="223"/>
      <c r="C28" s="224"/>
      <c r="D28" s="224"/>
      <c r="E28" s="224"/>
      <c r="F28" s="224"/>
      <c r="G28" s="225"/>
      <c r="H28" s="226">
        <f>SUM(H20:H27)</f>
        <v>5098</v>
      </c>
      <c r="I28" s="227"/>
      <c r="J28" s="227"/>
      <c r="K28" s="227"/>
      <c r="L28" s="228"/>
      <c r="M28" s="226">
        <f>SUM(M20:M27)</f>
        <v>4531</v>
      </c>
      <c r="N28" s="229">
        <f>SUM(N20:N27)</f>
        <v>4463</v>
      </c>
      <c r="O28" s="230">
        <f>SUM(O20:O27)</f>
        <v>4419</v>
      </c>
      <c r="P28" s="230">
        <f>SUM(P20:P27)</f>
        <v>4253</v>
      </c>
      <c r="Q28" s="231">
        <f>SUM(Q20:Q27)</f>
        <v>3961</v>
      </c>
      <c r="R28" s="232">
        <f t="shared" si="22"/>
        <v>3961</v>
      </c>
      <c r="S28" s="229">
        <f>SUM(S20:S27)</f>
        <v>4372</v>
      </c>
      <c r="T28" s="230">
        <f>SUM(T20:T27)</f>
        <v>4311</v>
      </c>
      <c r="U28" s="230">
        <f>SUM(U20:U27)</f>
        <v>4296</v>
      </c>
      <c r="V28" s="231">
        <f>SUM(V20:V27)</f>
        <v>4149</v>
      </c>
      <c r="W28" s="232">
        <f t="shared" si="23"/>
        <v>4149</v>
      </c>
      <c r="X28" s="229">
        <f>SUM(X20:X27)</f>
        <v>4302</v>
      </c>
      <c r="Y28" s="230">
        <f>SUM(Y20:Y27)</f>
        <v>4357</v>
      </c>
      <c r="Z28" s="230">
        <f>SUM(Z20:Z27)</f>
        <v>4369</v>
      </c>
      <c r="AA28" s="231">
        <f>SUM(AA20:AA27)</f>
        <v>4388</v>
      </c>
      <c r="AB28" s="232">
        <f t="shared" si="24"/>
        <v>4388</v>
      </c>
      <c r="AC28" s="229">
        <f>SUM(AC20:AC27)</f>
        <v>4402</v>
      </c>
      <c r="AD28" s="230">
        <f>SUM(AD20:AD27)</f>
        <v>5073</v>
      </c>
      <c r="AE28" s="230">
        <f>SUM(AE20:AE27)</f>
        <v>5158</v>
      </c>
      <c r="AF28" s="231">
        <f>SUM(AF20:AF27)</f>
        <v>5400</v>
      </c>
      <c r="AG28" s="232">
        <f t="shared" si="25"/>
        <v>5400</v>
      </c>
      <c r="AH28" s="230">
        <f>SUM(AH20:AH27)</f>
        <v>5538</v>
      </c>
      <c r="AI28" s="230">
        <f>SUM(AI20:AI27)</f>
        <v>5609</v>
      </c>
      <c r="AJ28" s="230">
        <f>SUM(AJ20:AJ27)</f>
        <v>5655</v>
      </c>
      <c r="AK28" s="231">
        <f>SUM(AK20:AK27)</f>
        <v>5620</v>
      </c>
      <c r="AL28" s="232">
        <f t="shared" si="58"/>
        <v>5620</v>
      </c>
      <c r="AM28" s="230">
        <f>SUM(AM20:AM27)</f>
        <v>5694</v>
      </c>
      <c r="AN28" s="230">
        <f>SUM(AN20:AN27)</f>
        <v>5683</v>
      </c>
      <c r="AO28" s="230">
        <f>SUM(AO20:AO27)</f>
        <v>5984</v>
      </c>
      <c r="AP28" s="231">
        <f>SUM(AP20:AP27)</f>
        <v>5696</v>
      </c>
      <c r="AQ28" s="232">
        <f t="shared" si="12"/>
        <v>5696</v>
      </c>
      <c r="AR28" s="230">
        <f t="shared" ref="AR28:AZ28" si="90">SUM(AR20:AR27)</f>
        <v>5798</v>
      </c>
      <c r="AS28" s="230">
        <f t="shared" si="90"/>
        <v>5675</v>
      </c>
      <c r="AT28" s="230">
        <f t="shared" si="90"/>
        <v>5874</v>
      </c>
      <c r="AU28" s="231">
        <f t="shared" si="90"/>
        <v>5698</v>
      </c>
      <c r="AV28" s="229">
        <f t="shared" si="90"/>
        <v>5698</v>
      </c>
      <c r="AW28" s="229">
        <f t="shared" si="90"/>
        <v>5717</v>
      </c>
      <c r="AX28" s="230">
        <f t="shared" si="90"/>
        <v>5864</v>
      </c>
      <c r="AY28" s="230">
        <f t="shared" si="90"/>
        <v>5901</v>
      </c>
      <c r="AZ28" s="230">
        <f t="shared" si="90"/>
        <v>6381</v>
      </c>
      <c r="BA28" s="232">
        <f>AZ28</f>
        <v>6381</v>
      </c>
      <c r="BB28" s="229">
        <f t="shared" ref="BB28:BK28" si="91">SUM(BB20:BB27)</f>
        <v>6344</v>
      </c>
      <c r="BC28" s="230">
        <f t="shared" si="91"/>
        <v>6430</v>
      </c>
      <c r="BD28" s="230">
        <f t="shared" si="91"/>
        <v>6598</v>
      </c>
      <c r="BE28" s="230">
        <f t="shared" si="91"/>
        <v>7242</v>
      </c>
      <c r="BF28" s="232">
        <f t="shared" si="91"/>
        <v>7242</v>
      </c>
      <c r="BG28" s="229">
        <f t="shared" si="91"/>
        <v>6913</v>
      </c>
      <c r="BH28" s="230">
        <f t="shared" si="91"/>
        <v>6826</v>
      </c>
      <c r="BI28" s="230">
        <f t="shared" si="91"/>
        <v>6820</v>
      </c>
      <c r="BJ28" s="230">
        <f t="shared" si="91"/>
        <v>6506</v>
      </c>
      <c r="BK28" s="232">
        <f t="shared" si="91"/>
        <v>6506</v>
      </c>
      <c r="BL28" s="229">
        <f>SUM(BL20:BL27)</f>
        <v>6570</v>
      </c>
      <c r="BM28" s="230">
        <f>SUM(BM20:BM27)</f>
        <v>6924</v>
      </c>
      <c r="BN28" s="230">
        <f>SUM(BN20:BN27)</f>
        <v>7121</v>
      </c>
      <c r="BO28" s="230">
        <f>SUM(BO20:BO27)</f>
        <v>7148</v>
      </c>
      <c r="BP28" s="570">
        <f t="shared" si="13"/>
        <v>7148</v>
      </c>
      <c r="BQ28" s="230">
        <f>SUM(BQ20:BQ27)</f>
        <v>7141</v>
      </c>
      <c r="BR28" s="230">
        <f>SUM(BR20:BR27)</f>
        <v>7145</v>
      </c>
      <c r="BS28" s="230">
        <f>SUM(BS20:BS27)</f>
        <v>8088</v>
      </c>
      <c r="BT28" s="230">
        <f>SUM(BT20:BT27)</f>
        <v>8316</v>
      </c>
      <c r="BU28" s="232">
        <f t="shared" si="36"/>
        <v>8316</v>
      </c>
      <c r="BV28" s="229">
        <f t="shared" ref="BV28:CD28" si="92">SUM(BV20:BV27)</f>
        <v>8426</v>
      </c>
      <c r="BW28" s="230">
        <f t="shared" si="92"/>
        <v>8207</v>
      </c>
      <c r="BX28" s="230">
        <f t="shared" si="92"/>
        <v>8549</v>
      </c>
      <c r="BY28" s="230">
        <f t="shared" si="92"/>
        <v>8834</v>
      </c>
      <c r="BZ28" s="232">
        <f t="shared" si="92"/>
        <v>8834</v>
      </c>
      <c r="CA28" s="229">
        <f t="shared" si="92"/>
        <v>9343</v>
      </c>
      <c r="CB28" s="230">
        <f t="shared" si="92"/>
        <v>9177</v>
      </c>
      <c r="CC28" s="230">
        <f t="shared" si="92"/>
        <v>8974</v>
      </c>
      <c r="CD28" s="230">
        <f t="shared" si="92"/>
        <v>9011</v>
      </c>
      <c r="CE28" s="570">
        <f t="shared" si="14"/>
        <v>9011</v>
      </c>
      <c r="CF28" s="230">
        <f>SUM(CF20:CF27)</f>
        <v>8945</v>
      </c>
      <c r="CG28" s="230">
        <f>SUM(CG20:CG27)</f>
        <v>8764</v>
      </c>
      <c r="CH28" s="230">
        <f>SUM(CH20:CH27)</f>
        <v>8730</v>
      </c>
      <c r="CI28" s="230">
        <f>SUM(CI20:CI27)</f>
        <v>8695</v>
      </c>
      <c r="CJ28" s="232">
        <f>CI28</f>
        <v>8695</v>
      </c>
      <c r="CK28" s="877">
        <f t="shared" ref="CK28:CS28" si="93">SUM(CK20:CK27)</f>
        <v>5088</v>
      </c>
      <c r="CL28" s="230">
        <f t="shared" si="93"/>
        <v>5088</v>
      </c>
      <c r="CM28" s="230">
        <f t="shared" si="93"/>
        <v>5088</v>
      </c>
      <c r="CN28" s="230">
        <f t="shared" si="93"/>
        <v>5088</v>
      </c>
      <c r="CO28" s="232">
        <v>5088</v>
      </c>
      <c r="CP28" s="877">
        <f t="shared" si="93"/>
        <v>4874</v>
      </c>
      <c r="CQ28" s="230">
        <f t="shared" si="93"/>
        <v>4874</v>
      </c>
      <c r="CR28" s="230">
        <f t="shared" si="93"/>
        <v>4874</v>
      </c>
      <c r="CS28" s="230">
        <f t="shared" si="93"/>
        <v>4874</v>
      </c>
      <c r="CT28" s="232">
        <v>4874</v>
      </c>
      <c r="CU28" s="230">
        <f t="shared" ref="CU28:DC28" si="94">SUM(CU20:CU27)</f>
        <v>4842.6973006223761</v>
      </c>
      <c r="CV28" s="230">
        <f t="shared" si="94"/>
        <v>4884.3249999999998</v>
      </c>
      <c r="CW28" s="230">
        <f t="shared" si="94"/>
        <v>7026.4441995947309</v>
      </c>
      <c r="CX28" s="230">
        <f t="shared" si="94"/>
        <v>5478</v>
      </c>
      <c r="CY28" s="2036">
        <f t="shared" si="94"/>
        <v>5478</v>
      </c>
      <c r="CZ28" s="2147">
        <f t="shared" si="94"/>
        <v>5163</v>
      </c>
      <c r="DA28" s="2147">
        <f t="shared" si="94"/>
        <v>5596</v>
      </c>
      <c r="DB28" s="2276">
        <f>SUM(DB20:DB27)</f>
        <v>5454</v>
      </c>
      <c r="DC28" s="230">
        <f t="shared" si="94"/>
        <v>5311</v>
      </c>
      <c r="DD28" s="232">
        <f>DC28</f>
        <v>5311</v>
      </c>
      <c r="DE28" s="233">
        <f>SUM(DE20:DE27)</f>
        <v>4922.1348192483274</v>
      </c>
      <c r="DF28" s="233">
        <f>SUM(DF20:DF27)</f>
        <v>4499.8125046802861</v>
      </c>
      <c r="DG28" s="233">
        <f>SUM(DG20:DG27)</f>
        <v>4113.111974572058</v>
      </c>
      <c r="DH28" s="233">
        <f>SUM(DH20:DH27)</f>
        <v>4023.5973790399639</v>
      </c>
      <c r="DI28" s="398">
        <f>DH28</f>
        <v>4023.5973790399639</v>
      </c>
      <c r="DJ28" s="233">
        <f>SUM(DJ20:DJ27)</f>
        <v>3476.3100470380377</v>
      </c>
      <c r="DK28" s="233">
        <f>SUM(DK20:DK27)</f>
        <v>3270.5964171249184</v>
      </c>
      <c r="DL28" s="233">
        <f>SUM(DL20:DL27)</f>
        <v>3093.5950912668263</v>
      </c>
      <c r="DM28" s="233">
        <f>SUM(DM20:DM27)</f>
        <v>3355.8581273368504</v>
      </c>
      <c r="DN28" s="398">
        <f>DM28</f>
        <v>3355.8581273368504</v>
      </c>
      <c r="DO28" s="233">
        <f>SUM(DO20:DO27)</f>
        <v>2929.0352800292058</v>
      </c>
      <c r="DP28" s="233">
        <f>SUM(DP20:DP27)</f>
        <v>2941.0853133044907</v>
      </c>
      <c r="DQ28" s="233">
        <f>SUM(DQ20:DQ27)</f>
        <v>2987.3243582658533</v>
      </c>
      <c r="DR28" s="233">
        <f>SUM(DR20:DR27)</f>
        <v>3533.1472717435663</v>
      </c>
      <c r="DS28" s="398">
        <f>DR28</f>
        <v>3533.1472717435663</v>
      </c>
      <c r="DT28" s="233">
        <f>SUM(DT20:DT27)</f>
        <v>3101.7640657311063</v>
      </c>
      <c r="DU28" s="233">
        <f>SUM(DU20:DU27)</f>
        <v>3137.5341290607648</v>
      </c>
      <c r="DV28" s="233">
        <f>SUM(DV20:DV27)</f>
        <v>3207.4492760158005</v>
      </c>
      <c r="DW28" s="233">
        <f>SUM(DW20:DW27)</f>
        <v>3850.3751997158442</v>
      </c>
      <c r="DX28" s="398">
        <f>DW28</f>
        <v>3850.3751997158442</v>
      </c>
      <c r="DY28" s="233">
        <f>SUM(DY20:DY27)</f>
        <v>3377.1074247070351</v>
      </c>
      <c r="DZ28" s="233">
        <f>SUM(DZ20:DZ27)</f>
        <v>3442.4678246701224</v>
      </c>
      <c r="EA28" s="233">
        <f>SUM(EA20:EA27)</f>
        <v>3542.3334485990854</v>
      </c>
      <c r="EB28" s="233">
        <f>SUM(EB20:EB27)</f>
        <v>4311.3730497788911</v>
      </c>
      <c r="EC28" s="398">
        <f>EB28</f>
        <v>4311.3730497788911</v>
      </c>
      <c r="ED28" s="469"/>
      <c r="EE28" s="172"/>
      <c r="EF28"/>
      <c r="EG28"/>
      <c r="EH28"/>
      <c r="EI28"/>
      <c r="EJ28"/>
      <c r="EK28"/>
      <c r="EL28"/>
      <c r="EM28"/>
      <c r="EN28"/>
      <c r="EO28"/>
      <c r="EP28"/>
      <c r="EQ28"/>
      <c r="ER28"/>
      <c r="ES28"/>
      <c r="ET28"/>
      <c r="EU28"/>
      <c r="EV28"/>
      <c r="EW28"/>
      <c r="EX28"/>
      <c r="EY28"/>
      <c r="EZ28"/>
      <c r="FA28"/>
    </row>
    <row r="29" spans="1:157" s="172" customFormat="1" x14ac:dyDescent="0.2">
      <c r="A29" s="449" t="s">
        <v>272</v>
      </c>
      <c r="B29" s="234"/>
      <c r="C29" s="234"/>
      <c r="D29" s="234"/>
      <c r="E29" s="234"/>
      <c r="F29" s="234"/>
      <c r="G29" s="235"/>
      <c r="H29" s="171"/>
      <c r="I29" s="234"/>
      <c r="J29" s="234"/>
      <c r="K29" s="234"/>
      <c r="L29" s="235"/>
      <c r="M29" s="181" t="s">
        <v>156</v>
      </c>
      <c r="Q29" s="172" t="s">
        <v>156</v>
      </c>
      <c r="R29" s="181"/>
      <c r="S29" s="172" t="s">
        <v>156</v>
      </c>
      <c r="T29" s="172" t="s">
        <v>156</v>
      </c>
      <c r="V29" s="173"/>
      <c r="W29" s="181"/>
      <c r="X29" s="174"/>
      <c r="AA29" s="173"/>
      <c r="AB29" s="181"/>
      <c r="AG29" s="181"/>
      <c r="AL29" s="181"/>
      <c r="AQ29" s="181"/>
      <c r="AS29" s="175"/>
      <c r="AV29" s="174"/>
      <c r="AW29" s="174"/>
      <c r="AZ29" s="175"/>
      <c r="BA29" s="177"/>
      <c r="BB29" s="174"/>
      <c r="BF29" s="181"/>
      <c r="BG29" s="174"/>
      <c r="BK29" s="181"/>
      <c r="BL29" s="174"/>
      <c r="BP29" s="564"/>
      <c r="BU29" s="181"/>
      <c r="BV29" s="174"/>
      <c r="BZ29" s="181"/>
      <c r="CA29" s="174"/>
      <c r="CE29" s="564"/>
      <c r="CF29" s="175"/>
      <c r="CG29" s="175"/>
      <c r="CH29" s="175"/>
      <c r="CJ29" s="181"/>
      <c r="CK29" s="871"/>
      <c r="CO29" s="722"/>
      <c r="CP29" s="871"/>
      <c r="CT29" s="722"/>
      <c r="CY29" s="2033"/>
      <c r="CZ29" s="1297"/>
      <c r="DA29" s="1278"/>
      <c r="DB29" s="1297"/>
      <c r="DD29" s="181"/>
      <c r="DE29" s="175"/>
      <c r="DF29" s="175"/>
      <c r="DG29" s="175"/>
      <c r="DH29" s="175"/>
      <c r="DI29" s="177"/>
      <c r="DJ29" s="175"/>
      <c r="DK29" s="175"/>
      <c r="DL29" s="175"/>
      <c r="DM29" s="175"/>
      <c r="DN29" s="177"/>
      <c r="DO29" s="175"/>
      <c r="DP29" s="175"/>
      <c r="DQ29" s="175"/>
      <c r="DR29" s="175"/>
      <c r="DS29" s="177"/>
      <c r="DT29" s="175"/>
      <c r="DU29" s="175"/>
      <c r="DV29" s="175"/>
      <c r="DW29" s="175"/>
      <c r="DX29" s="177"/>
      <c r="DY29" s="175"/>
      <c r="DZ29" s="175"/>
      <c r="EA29" s="175"/>
      <c r="EB29" s="175"/>
      <c r="EC29" s="177"/>
      <c r="ED29" s="469"/>
      <c r="EF29"/>
      <c r="EG29"/>
      <c r="EH29"/>
      <c r="EI29"/>
      <c r="EJ29"/>
      <c r="EK29"/>
      <c r="EL29"/>
      <c r="EM29"/>
      <c r="EN29"/>
      <c r="EO29"/>
      <c r="EP29"/>
      <c r="EQ29"/>
      <c r="ER29"/>
      <c r="ES29"/>
      <c r="ET29"/>
      <c r="EU29"/>
      <c r="EV29"/>
      <c r="EW29"/>
      <c r="EX29"/>
      <c r="EY29"/>
      <c r="EZ29"/>
      <c r="FA29"/>
    </row>
    <row r="30" spans="1:157" s="172" customFormat="1" x14ac:dyDescent="0.2">
      <c r="A30" s="450" t="s">
        <v>165</v>
      </c>
      <c r="B30" s="179"/>
      <c r="C30" s="179"/>
      <c r="D30" s="179"/>
      <c r="E30" s="179"/>
      <c r="F30" s="179"/>
      <c r="G30" s="180"/>
      <c r="H30" s="178"/>
      <c r="I30" s="179"/>
      <c r="J30" s="179"/>
      <c r="K30" s="179"/>
      <c r="L30" s="180"/>
      <c r="M30" s="181" t="s">
        <v>156</v>
      </c>
      <c r="Q30" s="172" t="s">
        <v>156</v>
      </c>
      <c r="R30" s="181"/>
      <c r="S30" s="172" t="s">
        <v>156</v>
      </c>
      <c r="T30" s="172" t="s">
        <v>156</v>
      </c>
      <c r="V30" s="173"/>
      <c r="W30" s="181"/>
      <c r="X30" s="174"/>
      <c r="AA30" s="173"/>
      <c r="AB30" s="181"/>
      <c r="AG30" s="181"/>
      <c r="AL30" s="181"/>
      <c r="AQ30" s="181"/>
      <c r="AS30" s="175"/>
      <c r="AV30" s="174"/>
      <c r="AW30" s="174"/>
      <c r="AZ30" s="175"/>
      <c r="BA30" s="177"/>
      <c r="BB30" s="174"/>
      <c r="BF30" s="181"/>
      <c r="BG30" s="174"/>
      <c r="BK30" s="181"/>
      <c r="BL30" s="174"/>
      <c r="BP30" s="564"/>
      <c r="BU30" s="181"/>
      <c r="BV30" s="174"/>
      <c r="BZ30" s="181"/>
      <c r="CA30" s="174"/>
      <c r="CE30" s="564"/>
      <c r="CF30" s="175"/>
      <c r="CG30" s="175"/>
      <c r="CH30" s="175"/>
      <c r="CJ30" s="181"/>
      <c r="CK30" s="871">
        <f t="shared" ref="CK30:CK35" si="95">CO30</f>
        <v>0</v>
      </c>
      <c r="CL30" s="172">
        <f t="shared" ref="CL30:CL35" si="96">CO30</f>
        <v>0</v>
      </c>
      <c r="CM30" s="172">
        <f t="shared" ref="CM30:CM35" si="97">CO30</f>
        <v>0</v>
      </c>
      <c r="CN30" s="172">
        <f t="shared" ref="CN30:CN35" si="98">CO30</f>
        <v>0</v>
      </c>
      <c r="CO30" s="181"/>
      <c r="CP30" s="871">
        <f t="shared" ref="CP30:CP35" si="99">CT30</f>
        <v>0</v>
      </c>
      <c r="CQ30" s="172">
        <f t="shared" ref="CQ30:CQ35" si="100">CT30</f>
        <v>0</v>
      </c>
      <c r="CR30" s="172">
        <f t="shared" ref="CR30:CR35" si="101">CT30</f>
        <v>0</v>
      </c>
      <c r="CS30" s="172">
        <f t="shared" ref="CS30:CS35" si="102">CT30</f>
        <v>0</v>
      </c>
      <c r="CT30" s="181"/>
      <c r="CY30" s="2033"/>
      <c r="CZ30" s="1297"/>
      <c r="DA30" s="1278"/>
      <c r="DB30" s="1297"/>
      <c r="DD30" s="181"/>
      <c r="DE30" s="175"/>
      <c r="DF30" s="175"/>
      <c r="DG30" s="175"/>
      <c r="DH30" s="175"/>
      <c r="DI30" s="177"/>
      <c r="DJ30" s="175"/>
      <c r="DK30" s="175"/>
      <c r="DL30" s="175"/>
      <c r="DM30" s="175"/>
      <c r="DN30" s="177"/>
      <c r="DO30" s="175"/>
      <c r="DP30" s="175"/>
      <c r="DQ30" s="175"/>
      <c r="DR30" s="175"/>
      <c r="DS30" s="177"/>
      <c r="DT30" s="175"/>
      <c r="DU30" s="175"/>
      <c r="DV30" s="175"/>
      <c r="DW30" s="175"/>
      <c r="DX30" s="177"/>
      <c r="DY30" s="175"/>
      <c r="DZ30" s="175"/>
      <c r="EA30" s="175"/>
      <c r="EB30" s="175"/>
      <c r="EC30" s="177"/>
      <c r="ED30" s="469"/>
      <c r="EF30"/>
      <c r="EG30"/>
      <c r="EH30"/>
      <c r="EI30"/>
      <c r="EJ30"/>
      <c r="EK30"/>
      <c r="EL30"/>
      <c r="EM30"/>
      <c r="EN30"/>
      <c r="EO30"/>
      <c r="EP30"/>
      <c r="EQ30"/>
      <c r="ER30"/>
      <c r="ES30"/>
      <c r="ET30"/>
      <c r="EU30"/>
      <c r="EV30"/>
      <c r="EW30"/>
      <c r="EX30"/>
      <c r="EY30"/>
      <c r="EZ30"/>
      <c r="FA30"/>
    </row>
    <row r="31" spans="1:157" s="172" customFormat="1" x14ac:dyDescent="0.2">
      <c r="A31" s="451" t="s">
        <v>166</v>
      </c>
      <c r="G31" s="182"/>
      <c r="H31" s="181">
        <v>1260</v>
      </c>
      <c r="L31" s="182"/>
      <c r="M31" s="183">
        <v>1283</v>
      </c>
      <c r="N31" s="184">
        <v>1070</v>
      </c>
      <c r="O31" s="184">
        <v>1123</v>
      </c>
      <c r="P31" s="184">
        <v>1073</v>
      </c>
      <c r="Q31" s="184">
        <v>1085</v>
      </c>
      <c r="R31" s="185">
        <f>Q31</f>
        <v>1085</v>
      </c>
      <c r="S31" s="184">
        <v>1127</v>
      </c>
      <c r="T31" s="184">
        <v>1172</v>
      </c>
      <c r="U31" s="184">
        <v>1266</v>
      </c>
      <c r="V31" s="236">
        <v>978</v>
      </c>
      <c r="W31" s="185">
        <f>V31</f>
        <v>978</v>
      </c>
      <c r="X31" s="186">
        <v>967</v>
      </c>
      <c r="Y31" s="184">
        <v>927</v>
      </c>
      <c r="Z31" s="184">
        <v>961</v>
      </c>
      <c r="AA31" s="236">
        <v>995</v>
      </c>
      <c r="AB31" s="185">
        <f>AA31</f>
        <v>995</v>
      </c>
      <c r="AC31" s="184">
        <v>919</v>
      </c>
      <c r="AD31" s="184">
        <v>994</v>
      </c>
      <c r="AE31" s="184">
        <v>1031</v>
      </c>
      <c r="AF31" s="184">
        <v>1166</v>
      </c>
      <c r="AG31" s="185">
        <f>AF31</f>
        <v>1166</v>
      </c>
      <c r="AH31" s="184">
        <v>1110</v>
      </c>
      <c r="AI31" s="184">
        <v>1131</v>
      </c>
      <c r="AJ31" s="184">
        <v>1199</v>
      </c>
      <c r="AK31" s="184">
        <v>1157</v>
      </c>
      <c r="AL31" s="185">
        <f>AK31</f>
        <v>1157</v>
      </c>
      <c r="AM31" s="184">
        <v>1236</v>
      </c>
      <c r="AN31" s="184">
        <v>1097</v>
      </c>
      <c r="AO31" s="184">
        <v>1176</v>
      </c>
      <c r="AP31" s="184">
        <v>1160</v>
      </c>
      <c r="AQ31" s="185">
        <f>AP31</f>
        <v>1160</v>
      </c>
      <c r="AR31" s="184">
        <v>1184</v>
      </c>
      <c r="AS31" s="184">
        <v>1214</v>
      </c>
      <c r="AT31" s="184">
        <v>1240</v>
      </c>
      <c r="AU31" s="184">
        <v>1238</v>
      </c>
      <c r="AV31" s="189">
        <v>1238</v>
      </c>
      <c r="AW31" s="186">
        <v>1208</v>
      </c>
      <c r="AX31" s="184">
        <v>1185</v>
      </c>
      <c r="AY31" s="184">
        <v>1212</v>
      </c>
      <c r="AZ31" s="184">
        <v>1387</v>
      </c>
      <c r="BA31" s="185">
        <v>1387</v>
      </c>
      <c r="BB31" s="186">
        <v>1278</v>
      </c>
      <c r="BC31" s="184">
        <v>1264</v>
      </c>
      <c r="BD31" s="184">
        <v>1400</v>
      </c>
      <c r="BE31" s="184">
        <v>1650</v>
      </c>
      <c r="BF31" s="185">
        <v>1650</v>
      </c>
      <c r="BG31" s="186">
        <v>1468</v>
      </c>
      <c r="BH31" s="184">
        <v>1491</v>
      </c>
      <c r="BI31" s="184">
        <v>1476</v>
      </c>
      <c r="BJ31" s="184">
        <v>1422</v>
      </c>
      <c r="BK31" s="185">
        <v>1422</v>
      </c>
      <c r="BL31" s="186">
        <v>1267</v>
      </c>
      <c r="BM31" s="184">
        <v>1343</v>
      </c>
      <c r="BN31" s="184">
        <v>1388</v>
      </c>
      <c r="BO31" s="184">
        <v>1413</v>
      </c>
      <c r="BP31" s="571">
        <f t="shared" ref="BP31:BP41" si="103">BO31</f>
        <v>1413</v>
      </c>
      <c r="BQ31" s="184">
        <v>1363</v>
      </c>
      <c r="BR31" s="184">
        <v>1338</v>
      </c>
      <c r="BS31" s="184">
        <v>1374</v>
      </c>
      <c r="BT31" s="184">
        <v>1602</v>
      </c>
      <c r="BU31" s="185">
        <f t="shared" ref="BU31:BU41" si="104">BT31</f>
        <v>1602</v>
      </c>
      <c r="BV31" s="186">
        <v>1396</v>
      </c>
      <c r="BW31" s="184">
        <v>1488</v>
      </c>
      <c r="BX31" s="184">
        <v>1751</v>
      </c>
      <c r="BY31" s="184">
        <f>BZ31</f>
        <v>1874</v>
      </c>
      <c r="BZ31" s="185">
        <v>1874</v>
      </c>
      <c r="CA31" s="186">
        <v>1752</v>
      </c>
      <c r="CB31" s="184">
        <v>1770</v>
      </c>
      <c r="CC31" s="184">
        <v>1828</v>
      </c>
      <c r="CD31" s="184">
        <v>1945</v>
      </c>
      <c r="CE31" s="571">
        <f t="shared" ref="CE31:CE41" si="105">CD31</f>
        <v>1945</v>
      </c>
      <c r="CF31" s="184">
        <v>1866</v>
      </c>
      <c r="CG31" s="184">
        <v>1739</v>
      </c>
      <c r="CH31" s="184">
        <v>1745</v>
      </c>
      <c r="CI31" s="184">
        <v>1929</v>
      </c>
      <c r="CJ31" s="185">
        <f t="shared" ref="CJ31:CJ41" si="106">CI31</f>
        <v>1929</v>
      </c>
      <c r="CK31" s="872">
        <f t="shared" si="95"/>
        <v>968</v>
      </c>
      <c r="CL31" s="184">
        <f t="shared" si="96"/>
        <v>968</v>
      </c>
      <c r="CM31" s="184">
        <f t="shared" si="97"/>
        <v>968</v>
      </c>
      <c r="CN31" s="184">
        <f t="shared" si="98"/>
        <v>968</v>
      </c>
      <c r="CO31" s="185">
        <v>968</v>
      </c>
      <c r="CP31" s="872">
        <f t="shared" si="99"/>
        <v>1059</v>
      </c>
      <c r="CQ31" s="184">
        <f t="shared" si="100"/>
        <v>1059</v>
      </c>
      <c r="CR31" s="184">
        <f t="shared" si="101"/>
        <v>1059</v>
      </c>
      <c r="CS31" s="184">
        <f t="shared" si="102"/>
        <v>1059</v>
      </c>
      <c r="CT31" s="185">
        <v>1059</v>
      </c>
      <c r="CU31" s="184">
        <v>1134</v>
      </c>
      <c r="CV31" s="184">
        <v>1095</v>
      </c>
      <c r="CW31" s="184">
        <v>1061</v>
      </c>
      <c r="CX31" s="184">
        <f>CY31</f>
        <v>1132</v>
      </c>
      <c r="CY31" s="2037">
        <v>1132</v>
      </c>
      <c r="CZ31" s="2144">
        <v>972</v>
      </c>
      <c r="DA31" s="2144">
        <v>929</v>
      </c>
      <c r="DB31" s="2144">
        <v>823</v>
      </c>
      <c r="DC31" s="184">
        <v>813</v>
      </c>
      <c r="DD31" s="185">
        <f t="shared" ref="DD31:DD41" si="107">DC31</f>
        <v>813</v>
      </c>
      <c r="DE31" s="190">
        <f>DE121*DE125/365</f>
        <v>836.65177389378084</v>
      </c>
      <c r="DF31" s="190">
        <f>DF121*DF125/365</f>
        <v>807.799061383751</v>
      </c>
      <c r="DG31" s="190">
        <f>DG121*DG125/365</f>
        <v>785.88343245210012</v>
      </c>
      <c r="DH31" s="190">
        <f>DH121*DH125/365</f>
        <v>1011.3004076249429</v>
      </c>
      <c r="DI31" s="237">
        <f t="shared" ref="DI31:DI36" si="108">DH31</f>
        <v>1011.3004076249429</v>
      </c>
      <c r="DJ31" s="190">
        <f>DJ121*DJ125/365</f>
        <v>679.61930153027458</v>
      </c>
      <c r="DK31" s="190">
        <f>DK121*DK125/365</f>
        <v>671.71277004136016</v>
      </c>
      <c r="DL31" s="190">
        <f>DL121*DL125/365</f>
        <v>660.86072649539233</v>
      </c>
      <c r="DM31" s="190">
        <f>DM121*DM125/365</f>
        <v>1031.9382806555279</v>
      </c>
      <c r="DN31" s="237">
        <f t="shared" ref="DN31:DN41" si="109">DM31</f>
        <v>1031.9382806555279</v>
      </c>
      <c r="DO31" s="190">
        <f>DO121*DO125/365</f>
        <v>641.52248816845838</v>
      </c>
      <c r="DP31" s="190">
        <f>DP121*DP125/365</f>
        <v>668.74761089574133</v>
      </c>
      <c r="DQ31" s="190">
        <f>DQ121*DQ125/365</f>
        <v>692.99732107884859</v>
      </c>
      <c r="DR31" s="190">
        <f>DR121*DR125/365</f>
        <v>1150.8910932829078</v>
      </c>
      <c r="DS31" s="237">
        <f t="shared" ref="DS31:DS41" si="110">DR31</f>
        <v>1150.8910932829078</v>
      </c>
      <c r="DT31" s="190">
        <f>DT121*DT125/365</f>
        <v>738.88882748632125</v>
      </c>
      <c r="DU31" s="190">
        <f>DU121*DU125/365</f>
        <v>771.82928726165346</v>
      </c>
      <c r="DV31" s="190">
        <f>DV121*DV125/365</f>
        <v>797.8968343227391</v>
      </c>
      <c r="DW31" s="190">
        <f>DW121*DW125/365</f>
        <v>1324.4929433132058</v>
      </c>
      <c r="DX31" s="237">
        <f t="shared" ref="DX31:DX36" si="111">DW31</f>
        <v>1324.4929433132058</v>
      </c>
      <c r="DY31" s="190">
        <f>DY121*DY125/365</f>
        <v>854.35074638446702</v>
      </c>
      <c r="DZ31" s="190">
        <f>DZ121*DZ125/365</f>
        <v>899.04494333413322</v>
      </c>
      <c r="EA31" s="190">
        <f>EA121*EA125/365</f>
        <v>932.45100858643445</v>
      </c>
      <c r="EB31" s="190">
        <f>EB121*EB125/365</f>
        <v>1555.3113671921828</v>
      </c>
      <c r="EC31" s="237">
        <f t="shared" ref="EC31:EC36" si="112">EB31</f>
        <v>1555.3113671921828</v>
      </c>
      <c r="ED31" s="469"/>
      <c r="EF31"/>
      <c r="EG31"/>
      <c r="EH31"/>
      <c r="EI31"/>
      <c r="EJ31"/>
      <c r="EK31"/>
      <c r="EL31"/>
      <c r="EM31"/>
      <c r="EN31"/>
      <c r="EO31"/>
      <c r="EP31"/>
      <c r="EQ31"/>
      <c r="ER31"/>
      <c r="ES31"/>
      <c r="ET31"/>
      <c r="EU31"/>
      <c r="EV31"/>
      <c r="EW31"/>
      <c r="EX31"/>
      <c r="EY31"/>
      <c r="EZ31"/>
      <c r="FA31"/>
    </row>
    <row r="32" spans="1:157" s="172" customFormat="1" x14ac:dyDescent="0.2">
      <c r="A32" s="451" t="s">
        <v>280</v>
      </c>
      <c r="G32" s="182"/>
      <c r="H32" s="181"/>
      <c r="L32" s="182"/>
      <c r="M32" s="183"/>
      <c r="N32" s="184"/>
      <c r="O32" s="184"/>
      <c r="P32" s="184"/>
      <c r="Q32" s="184"/>
      <c r="R32" s="185"/>
      <c r="S32" s="184"/>
      <c r="T32" s="184"/>
      <c r="U32" s="184"/>
      <c r="V32" s="236"/>
      <c r="W32" s="185"/>
      <c r="X32" s="186"/>
      <c r="Y32" s="184"/>
      <c r="Z32" s="184"/>
      <c r="AA32" s="236"/>
      <c r="AB32" s="185"/>
      <c r="AC32" s="184"/>
      <c r="AD32" s="184"/>
      <c r="AE32" s="184"/>
      <c r="AF32" s="184"/>
      <c r="AG32" s="185"/>
      <c r="AH32" s="184"/>
      <c r="AI32" s="184"/>
      <c r="AJ32" s="184"/>
      <c r="AK32" s="196">
        <v>0</v>
      </c>
      <c r="AL32" s="194">
        <f>AK32</f>
        <v>0</v>
      </c>
      <c r="AM32" s="184"/>
      <c r="AN32" s="196">
        <v>29</v>
      </c>
      <c r="AO32" s="196">
        <v>0</v>
      </c>
      <c r="AP32" s="196">
        <v>29</v>
      </c>
      <c r="AQ32" s="194">
        <f>AP32</f>
        <v>29</v>
      </c>
      <c r="AR32" s="196">
        <v>0</v>
      </c>
      <c r="AS32" s="196">
        <v>0</v>
      </c>
      <c r="AT32" s="196">
        <v>0</v>
      </c>
      <c r="AU32" s="196">
        <v>0</v>
      </c>
      <c r="AV32" s="195">
        <v>0</v>
      </c>
      <c r="AW32" s="328">
        <f>AU32</f>
        <v>0</v>
      </c>
      <c r="AX32" s="334">
        <f>AW32</f>
        <v>0</v>
      </c>
      <c r="AY32" s="334"/>
      <c r="AZ32" s="334">
        <v>0</v>
      </c>
      <c r="BA32" s="370">
        <v>0</v>
      </c>
      <c r="BB32" s="328">
        <f>AZ32</f>
        <v>0</v>
      </c>
      <c r="BC32" s="334">
        <f>BB32</f>
        <v>0</v>
      </c>
      <c r="BD32" s="334">
        <f>BC32</f>
        <v>0</v>
      </c>
      <c r="BE32" s="334">
        <v>0</v>
      </c>
      <c r="BF32" s="370">
        <v>0</v>
      </c>
      <c r="BG32" s="328">
        <v>0</v>
      </c>
      <c r="BH32" s="334">
        <v>0</v>
      </c>
      <c r="BI32" s="334">
        <v>0</v>
      </c>
      <c r="BJ32" s="334">
        <v>0</v>
      </c>
      <c r="BK32" s="370">
        <v>0</v>
      </c>
      <c r="BL32" s="328">
        <v>0</v>
      </c>
      <c r="BM32" s="334">
        <v>0</v>
      </c>
      <c r="BN32" s="334">
        <v>0</v>
      </c>
      <c r="BO32" s="334">
        <v>0</v>
      </c>
      <c r="BP32" s="567">
        <f t="shared" si="103"/>
        <v>0</v>
      </c>
      <c r="BQ32" s="334">
        <v>0</v>
      </c>
      <c r="BR32" s="334">
        <v>0</v>
      </c>
      <c r="BS32" s="334">
        <v>0</v>
      </c>
      <c r="BT32" s="334">
        <v>0</v>
      </c>
      <c r="BU32" s="370">
        <f t="shared" si="104"/>
        <v>0</v>
      </c>
      <c r="BV32" s="328">
        <v>0</v>
      </c>
      <c r="BW32" s="334">
        <v>0</v>
      </c>
      <c r="BX32" s="334">
        <v>0</v>
      </c>
      <c r="BY32" s="334">
        <f>BZ32</f>
        <v>0</v>
      </c>
      <c r="BZ32" s="370">
        <v>0</v>
      </c>
      <c r="CA32" s="328">
        <v>0</v>
      </c>
      <c r="CB32" s="334">
        <v>0</v>
      </c>
      <c r="CC32" s="334">
        <v>0</v>
      </c>
      <c r="CD32" s="334">
        <v>0</v>
      </c>
      <c r="CE32" s="567">
        <f t="shared" si="105"/>
        <v>0</v>
      </c>
      <c r="CF32" s="334">
        <v>0</v>
      </c>
      <c r="CG32" s="334">
        <v>0</v>
      </c>
      <c r="CH32" s="334">
        <v>0</v>
      </c>
      <c r="CI32" s="334">
        <v>0</v>
      </c>
      <c r="CJ32" s="370">
        <f t="shared" si="106"/>
        <v>0</v>
      </c>
      <c r="CK32" s="874">
        <f t="shared" si="95"/>
        <v>0</v>
      </c>
      <c r="CL32" s="334">
        <f t="shared" si="96"/>
        <v>0</v>
      </c>
      <c r="CM32" s="334">
        <f t="shared" si="97"/>
        <v>0</v>
      </c>
      <c r="CN32" s="334">
        <f t="shared" si="98"/>
        <v>0</v>
      </c>
      <c r="CO32" s="370">
        <v>0</v>
      </c>
      <c r="CP32" s="874">
        <f t="shared" si="99"/>
        <v>0</v>
      </c>
      <c r="CQ32" s="334">
        <f t="shared" si="100"/>
        <v>0</v>
      </c>
      <c r="CR32" s="334">
        <f t="shared" si="101"/>
        <v>0</v>
      </c>
      <c r="CS32" s="334">
        <f t="shared" si="102"/>
        <v>0</v>
      </c>
      <c r="CT32" s="370">
        <v>0</v>
      </c>
      <c r="CU32" s="334">
        <v>0</v>
      </c>
      <c r="CV32" s="334">
        <v>0</v>
      </c>
      <c r="CW32" s="334">
        <v>0</v>
      </c>
      <c r="CX32" s="334">
        <f t="shared" ref="CX32" si="113">CW32</f>
        <v>0</v>
      </c>
      <c r="CY32" s="2038">
        <f t="shared" ref="CY32" si="114">CX32</f>
        <v>0</v>
      </c>
      <c r="CZ32" s="2145">
        <f>CX32</f>
        <v>0</v>
      </c>
      <c r="DA32" s="2145">
        <v>0</v>
      </c>
      <c r="DB32" s="2145">
        <f t="shared" ref="DB32" si="115">DA32</f>
        <v>0</v>
      </c>
      <c r="DC32" s="334">
        <v>0</v>
      </c>
      <c r="DD32" s="370">
        <f t="shared" si="107"/>
        <v>0</v>
      </c>
      <c r="DE32" s="201">
        <f>DC32</f>
        <v>0</v>
      </c>
      <c r="DF32" s="201">
        <f t="shared" ref="DF32:DF35" si="116">DE32</f>
        <v>0</v>
      </c>
      <c r="DG32" s="201">
        <f t="shared" ref="DG32:DG35" si="117">DF32</f>
        <v>0</v>
      </c>
      <c r="DH32" s="201">
        <f t="shared" ref="DH32:DH35" si="118">DG32</f>
        <v>0</v>
      </c>
      <c r="DI32" s="202">
        <f t="shared" si="108"/>
        <v>0</v>
      </c>
      <c r="DJ32" s="201">
        <f>DH32</f>
        <v>0</v>
      </c>
      <c r="DK32" s="201">
        <f t="shared" ref="DK32:DM35" si="119">DJ32</f>
        <v>0</v>
      </c>
      <c r="DL32" s="201">
        <f t="shared" si="119"/>
        <v>0</v>
      </c>
      <c r="DM32" s="201">
        <f t="shared" si="119"/>
        <v>0</v>
      </c>
      <c r="DN32" s="202">
        <f t="shared" si="109"/>
        <v>0</v>
      </c>
      <c r="DO32" s="201">
        <f>DM32</f>
        <v>0</v>
      </c>
      <c r="DP32" s="201">
        <f t="shared" ref="DP32:DR35" si="120">DO32</f>
        <v>0</v>
      </c>
      <c r="DQ32" s="201">
        <f t="shared" si="120"/>
        <v>0</v>
      </c>
      <c r="DR32" s="201">
        <f t="shared" si="120"/>
        <v>0</v>
      </c>
      <c r="DS32" s="202">
        <f t="shared" si="110"/>
        <v>0</v>
      </c>
      <c r="DT32" s="201">
        <f>DR32</f>
        <v>0</v>
      </c>
      <c r="DU32" s="201">
        <f t="shared" ref="DU32:DU35" si="121">DT32</f>
        <v>0</v>
      </c>
      <c r="DV32" s="201">
        <f t="shared" ref="DV32:DV35" si="122">DU32</f>
        <v>0</v>
      </c>
      <c r="DW32" s="201">
        <f t="shared" ref="DW32:DW35" si="123">DV32</f>
        <v>0</v>
      </c>
      <c r="DX32" s="202">
        <f t="shared" si="111"/>
        <v>0</v>
      </c>
      <c r="DY32" s="201">
        <f>DW32</f>
        <v>0</v>
      </c>
      <c r="DZ32" s="201">
        <f t="shared" ref="DZ32:DZ35" si="124">DY32</f>
        <v>0</v>
      </c>
      <c r="EA32" s="201">
        <f t="shared" ref="EA32:EA35" si="125">DZ32</f>
        <v>0</v>
      </c>
      <c r="EB32" s="201">
        <f t="shared" ref="EB32:EB35" si="126">EA32</f>
        <v>0</v>
      </c>
      <c r="EC32" s="202">
        <f t="shared" si="112"/>
        <v>0</v>
      </c>
      <c r="ED32" s="469"/>
      <c r="EF32"/>
      <c r="EG32"/>
      <c r="EH32"/>
      <c r="EI32"/>
      <c r="EJ32"/>
      <c r="EK32"/>
      <c r="EL32"/>
      <c r="EM32"/>
      <c r="EN32"/>
      <c r="EO32"/>
      <c r="EP32"/>
      <c r="EQ32"/>
      <c r="ER32"/>
      <c r="ES32"/>
      <c r="ET32"/>
      <c r="EU32"/>
      <c r="EV32"/>
      <c r="EW32"/>
      <c r="EX32"/>
      <c r="EY32"/>
      <c r="EZ32"/>
      <c r="FA32"/>
    </row>
    <row r="33" spans="1:157" s="172" customFormat="1" x14ac:dyDescent="0.2">
      <c r="A33" s="451" t="s">
        <v>167</v>
      </c>
      <c r="G33" s="182"/>
      <c r="H33" s="181">
        <v>195</v>
      </c>
      <c r="L33" s="182"/>
      <c r="M33" s="192">
        <v>94</v>
      </c>
      <c r="N33" s="193">
        <v>173</v>
      </c>
      <c r="O33" s="193">
        <v>217</v>
      </c>
      <c r="P33" s="193">
        <v>308</v>
      </c>
      <c r="Q33" s="193">
        <v>96</v>
      </c>
      <c r="R33" s="194">
        <f t="shared" ref="R33:R52" si="127">Q33</f>
        <v>96</v>
      </c>
      <c r="S33" s="196">
        <v>163</v>
      </c>
      <c r="T33" s="196">
        <v>151</v>
      </c>
      <c r="U33" s="196">
        <v>117</v>
      </c>
      <c r="V33" s="196">
        <v>148</v>
      </c>
      <c r="W33" s="194">
        <f t="shared" ref="W33:W52" si="128">V33</f>
        <v>148</v>
      </c>
      <c r="X33" s="195">
        <v>173</v>
      </c>
      <c r="Y33" s="196">
        <v>210</v>
      </c>
      <c r="Z33" s="196">
        <v>233</v>
      </c>
      <c r="AA33" s="196">
        <v>114</v>
      </c>
      <c r="AB33" s="194">
        <f t="shared" ref="AB33:AB52" si="129">AA33</f>
        <v>114</v>
      </c>
      <c r="AC33" s="196">
        <v>264</v>
      </c>
      <c r="AD33" s="196">
        <v>286</v>
      </c>
      <c r="AE33" s="196">
        <v>256</v>
      </c>
      <c r="AF33" s="196">
        <v>208</v>
      </c>
      <c r="AG33" s="194">
        <f t="shared" ref="AG33:AG52" si="130">AF33</f>
        <v>208</v>
      </c>
      <c r="AH33" s="196">
        <v>211</v>
      </c>
      <c r="AI33" s="196">
        <v>256</v>
      </c>
      <c r="AJ33" s="196">
        <v>268</v>
      </c>
      <c r="AK33" s="196">
        <v>238</v>
      </c>
      <c r="AL33" s="194">
        <f t="shared" ref="AL33:AL52" si="131">AK33</f>
        <v>238</v>
      </c>
      <c r="AM33" s="196">
        <v>209</v>
      </c>
      <c r="AN33" s="196">
        <v>164</v>
      </c>
      <c r="AO33" s="196">
        <v>147</v>
      </c>
      <c r="AP33" s="196">
        <v>111</v>
      </c>
      <c r="AQ33" s="194">
        <f t="shared" ref="AQ33:AQ52" si="132">AP33</f>
        <v>111</v>
      </c>
      <c r="AR33" s="196">
        <v>102</v>
      </c>
      <c r="AS33" s="196">
        <v>60</v>
      </c>
      <c r="AT33" s="196">
        <v>136</v>
      </c>
      <c r="AU33" s="196">
        <v>79</v>
      </c>
      <c r="AV33" s="195">
        <v>79</v>
      </c>
      <c r="AW33" s="328">
        <v>118</v>
      </c>
      <c r="AX33" s="334">
        <v>64</v>
      </c>
      <c r="AY33" s="334">
        <v>103</v>
      </c>
      <c r="AZ33" s="334">
        <v>37</v>
      </c>
      <c r="BA33" s="370">
        <v>37</v>
      </c>
      <c r="BB33" s="328">
        <v>86</v>
      </c>
      <c r="BC33" s="334">
        <v>49</v>
      </c>
      <c r="BD33" s="334">
        <v>99</v>
      </c>
      <c r="BE33" s="334">
        <v>52</v>
      </c>
      <c r="BF33" s="370">
        <v>52</v>
      </c>
      <c r="BG33" s="328">
        <v>85</v>
      </c>
      <c r="BH33" s="334">
        <v>28</v>
      </c>
      <c r="BI33" s="334">
        <v>101</v>
      </c>
      <c r="BJ33" s="334">
        <v>120</v>
      </c>
      <c r="BK33" s="370">
        <v>120</v>
      </c>
      <c r="BL33" s="328">
        <v>108</v>
      </c>
      <c r="BM33" s="334">
        <v>87</v>
      </c>
      <c r="BN33" s="334">
        <v>27</v>
      </c>
      <c r="BO33" s="334">
        <v>82</v>
      </c>
      <c r="BP33" s="567">
        <f t="shared" si="103"/>
        <v>82</v>
      </c>
      <c r="BQ33" s="334">
        <v>81</v>
      </c>
      <c r="BR33" s="334">
        <v>69</v>
      </c>
      <c r="BS33" s="334">
        <v>94</v>
      </c>
      <c r="BT33" s="334">
        <v>61</v>
      </c>
      <c r="BU33" s="370">
        <f t="shared" si="104"/>
        <v>61</v>
      </c>
      <c r="BV33" s="328">
        <v>105</v>
      </c>
      <c r="BW33" s="334">
        <v>82</v>
      </c>
      <c r="BX33" s="334">
        <v>123</v>
      </c>
      <c r="BY33" s="334">
        <f>BZ33</f>
        <v>142</v>
      </c>
      <c r="BZ33" s="370">
        <v>142</v>
      </c>
      <c r="CA33" s="328">
        <v>181</v>
      </c>
      <c r="CB33" s="334">
        <v>123</v>
      </c>
      <c r="CC33" s="334">
        <v>98</v>
      </c>
      <c r="CD33" s="334">
        <v>97</v>
      </c>
      <c r="CE33" s="567">
        <f t="shared" si="105"/>
        <v>97</v>
      </c>
      <c r="CF33" s="334">
        <v>82</v>
      </c>
      <c r="CG33" s="334">
        <v>102</v>
      </c>
      <c r="CH33" s="334">
        <v>149</v>
      </c>
      <c r="CI33" s="334">
        <v>169</v>
      </c>
      <c r="CJ33" s="370">
        <f t="shared" si="106"/>
        <v>169</v>
      </c>
      <c r="CK33" s="874">
        <f t="shared" si="95"/>
        <v>41</v>
      </c>
      <c r="CL33" s="334">
        <f t="shared" si="96"/>
        <v>41</v>
      </c>
      <c r="CM33" s="334">
        <f t="shared" si="97"/>
        <v>41</v>
      </c>
      <c r="CN33" s="334">
        <f t="shared" si="98"/>
        <v>41</v>
      </c>
      <c r="CO33" s="370">
        <v>41</v>
      </c>
      <c r="CP33" s="874">
        <f t="shared" si="99"/>
        <v>55</v>
      </c>
      <c r="CQ33" s="334">
        <f t="shared" si="100"/>
        <v>55</v>
      </c>
      <c r="CR33" s="334">
        <f t="shared" si="101"/>
        <v>55</v>
      </c>
      <c r="CS33" s="334">
        <f t="shared" si="102"/>
        <v>55</v>
      </c>
      <c r="CT33" s="370">
        <v>55</v>
      </c>
      <c r="CU33" s="334">
        <v>103</v>
      </c>
      <c r="CV33" s="334">
        <v>75</v>
      </c>
      <c r="CW33" s="334">
        <v>15</v>
      </c>
      <c r="CX33" s="334">
        <f>CY33</f>
        <v>37</v>
      </c>
      <c r="CY33" s="2038">
        <v>37</v>
      </c>
      <c r="CZ33" s="2145">
        <v>45</v>
      </c>
      <c r="DA33" s="2145">
        <v>13</v>
      </c>
      <c r="DB33" s="2145">
        <v>27</v>
      </c>
      <c r="DC33" s="334">
        <v>123</v>
      </c>
      <c r="DD33" s="370">
        <f t="shared" si="107"/>
        <v>123</v>
      </c>
      <c r="DE33" s="201">
        <f>DD33</f>
        <v>123</v>
      </c>
      <c r="DF33" s="201">
        <f t="shared" si="116"/>
        <v>123</v>
      </c>
      <c r="DG33" s="201">
        <f t="shared" si="117"/>
        <v>123</v>
      </c>
      <c r="DH33" s="201">
        <f t="shared" si="118"/>
        <v>123</v>
      </c>
      <c r="DI33" s="202">
        <f t="shared" si="108"/>
        <v>123</v>
      </c>
      <c r="DJ33" s="201">
        <f>DI33</f>
        <v>123</v>
      </c>
      <c r="DK33" s="201">
        <f t="shared" si="119"/>
        <v>123</v>
      </c>
      <c r="DL33" s="201">
        <f t="shared" si="119"/>
        <v>123</v>
      </c>
      <c r="DM33" s="201">
        <f t="shared" si="119"/>
        <v>123</v>
      </c>
      <c r="DN33" s="202">
        <f t="shared" si="109"/>
        <v>123</v>
      </c>
      <c r="DO33" s="201">
        <f>DN33</f>
        <v>123</v>
      </c>
      <c r="DP33" s="201">
        <f t="shared" si="120"/>
        <v>123</v>
      </c>
      <c r="DQ33" s="201">
        <f t="shared" si="120"/>
        <v>123</v>
      </c>
      <c r="DR33" s="201">
        <f t="shared" si="120"/>
        <v>123</v>
      </c>
      <c r="DS33" s="202">
        <f t="shared" si="110"/>
        <v>123</v>
      </c>
      <c r="DT33" s="201">
        <f>DS33</f>
        <v>123</v>
      </c>
      <c r="DU33" s="201">
        <f t="shared" si="121"/>
        <v>123</v>
      </c>
      <c r="DV33" s="201">
        <f t="shared" si="122"/>
        <v>123</v>
      </c>
      <c r="DW33" s="201">
        <f t="shared" si="123"/>
        <v>123</v>
      </c>
      <c r="DX33" s="202">
        <f t="shared" si="111"/>
        <v>123</v>
      </c>
      <c r="DY33" s="201">
        <f>DX33</f>
        <v>123</v>
      </c>
      <c r="DZ33" s="201">
        <f t="shared" si="124"/>
        <v>123</v>
      </c>
      <c r="EA33" s="201">
        <f t="shared" si="125"/>
        <v>123</v>
      </c>
      <c r="EB33" s="201">
        <f t="shared" si="126"/>
        <v>123</v>
      </c>
      <c r="EC33" s="202">
        <f t="shared" si="112"/>
        <v>123</v>
      </c>
      <c r="ED33" s="469"/>
      <c r="EF33"/>
      <c r="EG33"/>
      <c r="EH33"/>
      <c r="EI33"/>
      <c r="EJ33"/>
      <c r="EK33"/>
      <c r="EL33"/>
      <c r="EM33"/>
      <c r="EN33"/>
      <c r="EO33"/>
      <c r="EP33"/>
      <c r="EQ33"/>
      <c r="ER33"/>
      <c r="ES33"/>
      <c r="ET33"/>
      <c r="EU33"/>
      <c r="EV33"/>
      <c r="EW33"/>
      <c r="EX33"/>
      <c r="EY33"/>
      <c r="EZ33"/>
      <c r="FA33"/>
    </row>
    <row r="34" spans="1:157" s="172" customFormat="1" x14ac:dyDescent="0.2">
      <c r="A34" s="451" t="s">
        <v>281</v>
      </c>
      <c r="G34" s="182"/>
      <c r="H34" s="181"/>
      <c r="L34" s="182"/>
      <c r="M34" s="192"/>
      <c r="N34" s="193"/>
      <c r="O34" s="193"/>
      <c r="P34" s="193"/>
      <c r="Q34" s="193"/>
      <c r="R34" s="194"/>
      <c r="S34" s="196"/>
      <c r="T34" s="196"/>
      <c r="U34" s="196"/>
      <c r="V34" s="196"/>
      <c r="W34" s="194"/>
      <c r="X34" s="195"/>
      <c r="Y34" s="196"/>
      <c r="Z34" s="196"/>
      <c r="AA34" s="196"/>
      <c r="AB34" s="194"/>
      <c r="AC34" s="196"/>
      <c r="AD34" s="196"/>
      <c r="AE34" s="196"/>
      <c r="AF34" s="196"/>
      <c r="AG34" s="194"/>
      <c r="AH34" s="196"/>
      <c r="AI34" s="196"/>
      <c r="AJ34" s="196"/>
      <c r="AK34" s="196">
        <v>56</v>
      </c>
      <c r="AL34" s="194">
        <f t="shared" si="131"/>
        <v>56</v>
      </c>
      <c r="AM34" s="196"/>
      <c r="AN34" s="196">
        <v>73</v>
      </c>
      <c r="AO34" s="196">
        <v>70</v>
      </c>
      <c r="AP34" s="196">
        <v>65</v>
      </c>
      <c r="AQ34" s="194">
        <f>AP34</f>
        <v>65</v>
      </c>
      <c r="AR34" s="196">
        <v>76</v>
      </c>
      <c r="AS34" s="196">
        <v>78</v>
      </c>
      <c r="AT34" s="196">
        <v>76</v>
      </c>
      <c r="AU34" s="196">
        <v>77</v>
      </c>
      <c r="AV34" s="195">
        <v>77</v>
      </c>
      <c r="AW34" s="328">
        <v>102</v>
      </c>
      <c r="AX34" s="334">
        <v>97</v>
      </c>
      <c r="AY34" s="334">
        <v>99</v>
      </c>
      <c r="AZ34" s="334">
        <v>74</v>
      </c>
      <c r="BA34" s="370">
        <v>74</v>
      </c>
      <c r="BB34" s="328">
        <v>90</v>
      </c>
      <c r="BC34" s="334">
        <v>76</v>
      </c>
      <c r="BD34" s="334">
        <v>76</v>
      </c>
      <c r="BE34" s="334">
        <v>72</v>
      </c>
      <c r="BF34" s="370">
        <v>72</v>
      </c>
      <c r="BG34" s="328">
        <v>95</v>
      </c>
      <c r="BH34" s="334">
        <v>98</v>
      </c>
      <c r="BI34" s="334">
        <v>103</v>
      </c>
      <c r="BJ34" s="334">
        <v>110</v>
      </c>
      <c r="BK34" s="370">
        <v>110</v>
      </c>
      <c r="BL34" s="328">
        <v>100</v>
      </c>
      <c r="BM34" s="334">
        <v>90</v>
      </c>
      <c r="BN34" s="334">
        <v>84</v>
      </c>
      <c r="BO34" s="334">
        <v>99</v>
      </c>
      <c r="BP34" s="567">
        <f t="shared" si="103"/>
        <v>99</v>
      </c>
      <c r="BQ34" s="334">
        <v>96</v>
      </c>
      <c r="BR34" s="334">
        <v>89</v>
      </c>
      <c r="BS34" s="334">
        <v>109</v>
      </c>
      <c r="BT34" s="334">
        <v>112</v>
      </c>
      <c r="BU34" s="370">
        <f t="shared" si="104"/>
        <v>112</v>
      </c>
      <c r="BV34" s="328">
        <v>117</v>
      </c>
      <c r="BW34" s="334">
        <v>122</v>
      </c>
      <c r="BX34" s="334">
        <v>106</v>
      </c>
      <c r="BY34" s="334">
        <f>BZ34</f>
        <v>114</v>
      </c>
      <c r="BZ34" s="370">
        <v>114</v>
      </c>
      <c r="CA34" s="328">
        <v>139</v>
      </c>
      <c r="CB34" s="334">
        <v>104</v>
      </c>
      <c r="CC34" s="334">
        <v>113</v>
      </c>
      <c r="CD34" s="334">
        <v>136</v>
      </c>
      <c r="CE34" s="567">
        <f t="shared" si="105"/>
        <v>136</v>
      </c>
      <c r="CF34" s="334">
        <v>120</v>
      </c>
      <c r="CG34" s="334">
        <v>81</v>
      </c>
      <c r="CH34" s="334">
        <v>80</v>
      </c>
      <c r="CI34" s="334">
        <v>96</v>
      </c>
      <c r="CJ34" s="370">
        <f t="shared" si="106"/>
        <v>96</v>
      </c>
      <c r="CK34" s="874">
        <f t="shared" si="95"/>
        <v>95</v>
      </c>
      <c r="CL34" s="334">
        <f t="shared" si="96"/>
        <v>95</v>
      </c>
      <c r="CM34" s="334">
        <f t="shared" si="97"/>
        <v>95</v>
      </c>
      <c r="CN34" s="334">
        <f t="shared" si="98"/>
        <v>95</v>
      </c>
      <c r="CO34" s="370">
        <v>95</v>
      </c>
      <c r="CP34" s="874">
        <f t="shared" si="99"/>
        <v>103</v>
      </c>
      <c r="CQ34" s="334">
        <f t="shared" si="100"/>
        <v>103</v>
      </c>
      <c r="CR34" s="334">
        <f t="shared" si="101"/>
        <v>103</v>
      </c>
      <c r="CS34" s="334">
        <f t="shared" si="102"/>
        <v>103</v>
      </c>
      <c r="CT34" s="370">
        <v>103</v>
      </c>
      <c r="CU34" s="334">
        <v>122</v>
      </c>
      <c r="CV34" s="334">
        <v>102</v>
      </c>
      <c r="CW34" s="334">
        <v>136</v>
      </c>
      <c r="CX34" s="334">
        <f>CY34</f>
        <v>134</v>
      </c>
      <c r="CY34" s="2038">
        <v>134</v>
      </c>
      <c r="CZ34" s="2145">
        <v>148</v>
      </c>
      <c r="DA34" s="2145">
        <v>161</v>
      </c>
      <c r="DB34" s="2145">
        <v>181</v>
      </c>
      <c r="DC34" s="334">
        <v>201</v>
      </c>
      <c r="DD34" s="370">
        <f t="shared" si="107"/>
        <v>201</v>
      </c>
      <c r="DE34" s="201">
        <f>DD34</f>
        <v>201</v>
      </c>
      <c r="DF34" s="201">
        <f t="shared" si="116"/>
        <v>201</v>
      </c>
      <c r="DG34" s="201">
        <f t="shared" si="117"/>
        <v>201</v>
      </c>
      <c r="DH34" s="201">
        <f t="shared" si="118"/>
        <v>201</v>
      </c>
      <c r="DI34" s="202">
        <f t="shared" si="108"/>
        <v>201</v>
      </c>
      <c r="DJ34" s="201">
        <f>DI34</f>
        <v>201</v>
      </c>
      <c r="DK34" s="201">
        <f t="shared" si="119"/>
        <v>201</v>
      </c>
      <c r="DL34" s="201">
        <f t="shared" si="119"/>
        <v>201</v>
      </c>
      <c r="DM34" s="201">
        <f t="shared" si="119"/>
        <v>201</v>
      </c>
      <c r="DN34" s="202">
        <f t="shared" si="109"/>
        <v>201</v>
      </c>
      <c r="DO34" s="201">
        <f>DN34</f>
        <v>201</v>
      </c>
      <c r="DP34" s="201">
        <f t="shared" si="120"/>
        <v>201</v>
      </c>
      <c r="DQ34" s="201">
        <f t="shared" si="120"/>
        <v>201</v>
      </c>
      <c r="DR34" s="201">
        <f t="shared" si="120"/>
        <v>201</v>
      </c>
      <c r="DS34" s="202">
        <f t="shared" si="110"/>
        <v>201</v>
      </c>
      <c r="DT34" s="201">
        <f>DS34</f>
        <v>201</v>
      </c>
      <c r="DU34" s="201">
        <f t="shared" si="121"/>
        <v>201</v>
      </c>
      <c r="DV34" s="201">
        <f t="shared" si="122"/>
        <v>201</v>
      </c>
      <c r="DW34" s="201">
        <f t="shared" si="123"/>
        <v>201</v>
      </c>
      <c r="DX34" s="202">
        <f t="shared" si="111"/>
        <v>201</v>
      </c>
      <c r="DY34" s="201">
        <f>DX34</f>
        <v>201</v>
      </c>
      <c r="DZ34" s="201">
        <f t="shared" si="124"/>
        <v>201</v>
      </c>
      <c r="EA34" s="201">
        <f t="shared" si="125"/>
        <v>201</v>
      </c>
      <c r="EB34" s="201">
        <f t="shared" si="126"/>
        <v>201</v>
      </c>
      <c r="EC34" s="202">
        <f t="shared" si="112"/>
        <v>201</v>
      </c>
      <c r="ED34" s="469"/>
      <c r="EF34"/>
      <c r="EG34"/>
      <c r="EH34"/>
      <c r="EI34"/>
      <c r="EJ34"/>
      <c r="EK34"/>
      <c r="EL34"/>
      <c r="EM34"/>
      <c r="EN34"/>
      <c r="EO34"/>
      <c r="EP34"/>
      <c r="EQ34"/>
      <c r="ER34"/>
      <c r="ES34"/>
      <c r="ET34"/>
      <c r="EU34"/>
      <c r="EV34"/>
      <c r="EW34"/>
      <c r="EX34"/>
      <c r="EY34"/>
      <c r="EZ34"/>
      <c r="FA34"/>
    </row>
    <row r="35" spans="1:157" s="204" customFormat="1" x14ac:dyDescent="0.2">
      <c r="A35" s="451" t="s">
        <v>547</v>
      </c>
      <c r="B35" s="172"/>
      <c r="C35" s="172"/>
      <c r="D35" s="172"/>
      <c r="E35" s="172"/>
      <c r="F35" s="172"/>
      <c r="G35" s="182"/>
      <c r="H35" s="203">
        <v>124</v>
      </c>
      <c r="I35" s="207"/>
      <c r="J35" s="208"/>
      <c r="K35" s="208"/>
      <c r="L35" s="209"/>
      <c r="M35" s="203">
        <v>96</v>
      </c>
      <c r="N35" s="206">
        <v>116</v>
      </c>
      <c r="O35" s="206">
        <v>88</v>
      </c>
      <c r="P35" s="206">
        <v>92</v>
      </c>
      <c r="Q35" s="206">
        <v>117</v>
      </c>
      <c r="R35" s="203">
        <f t="shared" si="127"/>
        <v>117</v>
      </c>
      <c r="S35" s="208">
        <v>205</v>
      </c>
      <c r="T35" s="208">
        <v>122</v>
      </c>
      <c r="U35" s="208">
        <v>114</v>
      </c>
      <c r="V35" s="208">
        <v>90</v>
      </c>
      <c r="W35" s="203">
        <f t="shared" si="128"/>
        <v>90</v>
      </c>
      <c r="X35" s="207">
        <v>101</v>
      </c>
      <c r="Y35" s="208">
        <v>158</v>
      </c>
      <c r="Z35" s="208">
        <v>214</v>
      </c>
      <c r="AA35" s="208">
        <v>696</v>
      </c>
      <c r="AB35" s="203">
        <f t="shared" si="129"/>
        <v>696</v>
      </c>
      <c r="AC35" s="208">
        <v>588</v>
      </c>
      <c r="AD35" s="208">
        <v>168</v>
      </c>
      <c r="AE35" s="208">
        <v>138</v>
      </c>
      <c r="AF35" s="208">
        <v>146</v>
      </c>
      <c r="AG35" s="203">
        <f t="shared" si="130"/>
        <v>146</v>
      </c>
      <c r="AH35" s="208">
        <v>123</v>
      </c>
      <c r="AI35" s="208">
        <v>99</v>
      </c>
      <c r="AJ35" s="208">
        <v>97</v>
      </c>
      <c r="AK35" s="208">
        <v>10</v>
      </c>
      <c r="AL35" s="203">
        <f t="shared" si="131"/>
        <v>10</v>
      </c>
      <c r="AM35" s="208">
        <v>17</v>
      </c>
      <c r="AN35" s="208">
        <v>379</v>
      </c>
      <c r="AO35" s="208">
        <v>375</v>
      </c>
      <c r="AP35" s="208">
        <v>11</v>
      </c>
      <c r="AQ35" s="203">
        <f t="shared" si="132"/>
        <v>11</v>
      </c>
      <c r="AR35" s="208">
        <v>16</v>
      </c>
      <c r="AS35" s="208">
        <v>222</v>
      </c>
      <c r="AT35" s="208">
        <v>213</v>
      </c>
      <c r="AU35" s="208">
        <v>211</v>
      </c>
      <c r="AV35" s="207">
        <v>211</v>
      </c>
      <c r="AW35" s="329">
        <v>223</v>
      </c>
      <c r="AX35" s="335">
        <v>13</v>
      </c>
      <c r="AY35" s="335">
        <v>173</v>
      </c>
      <c r="AZ35" s="335">
        <v>227</v>
      </c>
      <c r="BA35" s="371">
        <v>227</v>
      </c>
      <c r="BB35" s="329">
        <v>34</v>
      </c>
      <c r="BC35" s="335">
        <v>306</v>
      </c>
      <c r="BD35" s="335">
        <v>291</v>
      </c>
      <c r="BE35" s="335">
        <v>288</v>
      </c>
      <c r="BF35" s="371">
        <v>288</v>
      </c>
      <c r="BG35" s="329">
        <v>312</v>
      </c>
      <c r="BH35" s="335">
        <v>29</v>
      </c>
      <c r="BI35" s="335">
        <v>23</v>
      </c>
      <c r="BJ35" s="335">
        <v>25</v>
      </c>
      <c r="BK35" s="371">
        <v>25</v>
      </c>
      <c r="BL35" s="329">
        <v>30</v>
      </c>
      <c r="BM35" s="335">
        <v>32</v>
      </c>
      <c r="BN35" s="335">
        <v>35</v>
      </c>
      <c r="BO35" s="335">
        <v>59</v>
      </c>
      <c r="BP35" s="568">
        <f t="shared" si="103"/>
        <v>59</v>
      </c>
      <c r="BQ35" s="335">
        <v>56</v>
      </c>
      <c r="BR35" s="335">
        <v>717</v>
      </c>
      <c r="BS35" s="335">
        <v>724</v>
      </c>
      <c r="BT35" s="335">
        <v>673</v>
      </c>
      <c r="BU35" s="371">
        <f t="shared" si="104"/>
        <v>673</v>
      </c>
      <c r="BV35" s="329">
        <v>670</v>
      </c>
      <c r="BW35" s="335">
        <v>19</v>
      </c>
      <c r="BX35" s="335">
        <v>287</v>
      </c>
      <c r="BY35" s="335">
        <f>BZ35</f>
        <v>320</v>
      </c>
      <c r="BZ35" s="371">
        <v>320</v>
      </c>
      <c r="CA35" s="329">
        <v>319</v>
      </c>
      <c r="CB35" s="335">
        <v>316</v>
      </c>
      <c r="CC35" s="335">
        <v>18</v>
      </c>
      <c r="CD35" s="335">
        <v>10</v>
      </c>
      <c r="CE35" s="568">
        <f t="shared" si="105"/>
        <v>10</v>
      </c>
      <c r="CF35" s="335">
        <v>21</v>
      </c>
      <c r="CG35" s="335">
        <v>68</v>
      </c>
      <c r="CH35" s="335">
        <v>15</v>
      </c>
      <c r="CI35" s="335">
        <v>71</v>
      </c>
      <c r="CJ35" s="371">
        <f t="shared" si="106"/>
        <v>71</v>
      </c>
      <c r="CK35" s="875">
        <f t="shared" si="95"/>
        <v>267</v>
      </c>
      <c r="CL35" s="335">
        <f t="shared" si="96"/>
        <v>267</v>
      </c>
      <c r="CM35" s="335">
        <f t="shared" si="97"/>
        <v>267</v>
      </c>
      <c r="CN35" s="335">
        <f t="shared" si="98"/>
        <v>267</v>
      </c>
      <c r="CO35" s="371">
        <v>267</v>
      </c>
      <c r="CP35" s="875">
        <f t="shared" si="99"/>
        <v>923</v>
      </c>
      <c r="CQ35" s="335">
        <f t="shared" si="100"/>
        <v>923</v>
      </c>
      <c r="CR35" s="335">
        <f t="shared" si="101"/>
        <v>923</v>
      </c>
      <c r="CS35" s="335">
        <f t="shared" si="102"/>
        <v>923</v>
      </c>
      <c r="CT35" s="371">
        <v>923</v>
      </c>
      <c r="CU35" s="335">
        <v>2321</v>
      </c>
      <c r="CV35" s="335">
        <v>39</v>
      </c>
      <c r="CW35" s="335">
        <v>47</v>
      </c>
      <c r="CX35" s="335">
        <f>CY35</f>
        <v>66</v>
      </c>
      <c r="CY35" s="2039">
        <v>66</v>
      </c>
      <c r="CZ35" s="2146">
        <v>393</v>
      </c>
      <c r="DA35" s="2146">
        <v>375</v>
      </c>
      <c r="DB35" s="2146">
        <v>372</v>
      </c>
      <c r="DC35" s="335">
        <v>375</v>
      </c>
      <c r="DD35" s="371">
        <f t="shared" si="107"/>
        <v>375</v>
      </c>
      <c r="DE35" s="210">
        <f>DD35</f>
        <v>375</v>
      </c>
      <c r="DF35" s="210">
        <f t="shared" si="116"/>
        <v>375</v>
      </c>
      <c r="DG35" s="210">
        <f t="shared" si="117"/>
        <v>375</v>
      </c>
      <c r="DH35" s="210">
        <f t="shared" si="118"/>
        <v>375</v>
      </c>
      <c r="DI35" s="211">
        <f t="shared" si="108"/>
        <v>375</v>
      </c>
      <c r="DJ35" s="210">
        <f>DI35</f>
        <v>375</v>
      </c>
      <c r="DK35" s="210">
        <f t="shared" si="119"/>
        <v>375</v>
      </c>
      <c r="DL35" s="210">
        <f t="shared" si="119"/>
        <v>375</v>
      </c>
      <c r="DM35" s="210">
        <f t="shared" si="119"/>
        <v>375</v>
      </c>
      <c r="DN35" s="211">
        <f t="shared" si="109"/>
        <v>375</v>
      </c>
      <c r="DO35" s="210">
        <f>DN35</f>
        <v>375</v>
      </c>
      <c r="DP35" s="210">
        <f t="shared" si="120"/>
        <v>375</v>
      </c>
      <c r="DQ35" s="210">
        <f t="shared" si="120"/>
        <v>375</v>
      </c>
      <c r="DR35" s="210">
        <f t="shared" si="120"/>
        <v>375</v>
      </c>
      <c r="DS35" s="211">
        <f t="shared" si="110"/>
        <v>375</v>
      </c>
      <c r="DT35" s="210">
        <f>DS35</f>
        <v>375</v>
      </c>
      <c r="DU35" s="210">
        <f t="shared" si="121"/>
        <v>375</v>
      </c>
      <c r="DV35" s="210">
        <f t="shared" si="122"/>
        <v>375</v>
      </c>
      <c r="DW35" s="210">
        <f t="shared" si="123"/>
        <v>375</v>
      </c>
      <c r="DX35" s="211">
        <f t="shared" si="111"/>
        <v>375</v>
      </c>
      <c r="DY35" s="210">
        <f>DX35</f>
        <v>375</v>
      </c>
      <c r="DZ35" s="210">
        <f t="shared" si="124"/>
        <v>375</v>
      </c>
      <c r="EA35" s="210">
        <f t="shared" si="125"/>
        <v>375</v>
      </c>
      <c r="EB35" s="210">
        <f t="shared" si="126"/>
        <v>375</v>
      </c>
      <c r="EC35" s="211">
        <f t="shared" si="112"/>
        <v>375</v>
      </c>
      <c r="ED35" s="469"/>
      <c r="EE35" s="172"/>
      <c r="EF35"/>
      <c r="EG35"/>
      <c r="EH35"/>
      <c r="EI35"/>
      <c r="EJ35"/>
      <c r="EK35"/>
      <c r="EL35"/>
      <c r="EM35"/>
      <c r="EN35"/>
      <c r="EO35"/>
      <c r="EP35"/>
      <c r="EQ35"/>
      <c r="ER35"/>
      <c r="ES35"/>
      <c r="ET35"/>
      <c r="EU35"/>
      <c r="EV35"/>
      <c r="EW35"/>
      <c r="EX35"/>
      <c r="EY35"/>
      <c r="EZ35"/>
      <c r="FA35"/>
    </row>
    <row r="36" spans="1:157" s="179" customFormat="1" x14ac:dyDescent="0.2">
      <c r="A36" s="450" t="s">
        <v>548</v>
      </c>
      <c r="G36" s="180"/>
      <c r="H36" s="238">
        <f>SUM(H31:H35)</f>
        <v>1579</v>
      </c>
      <c r="I36" s="239"/>
      <c r="J36" s="239"/>
      <c r="K36" s="239"/>
      <c r="L36" s="240"/>
      <c r="M36" s="238">
        <f>SUM(M31:M35)</f>
        <v>1473</v>
      </c>
      <c r="N36" s="216">
        <f>SUM(N31:N35)</f>
        <v>1359</v>
      </c>
      <c r="O36" s="216">
        <f>SUM(O31:O35)</f>
        <v>1428</v>
      </c>
      <c r="P36" s="216">
        <f>SUM(P31:P35)</f>
        <v>1473</v>
      </c>
      <c r="Q36" s="216">
        <f>SUM(Q31:Q35)</f>
        <v>1298</v>
      </c>
      <c r="R36" s="218">
        <f t="shared" si="127"/>
        <v>1298</v>
      </c>
      <c r="S36" s="216">
        <f>SUM(S31:S35)</f>
        <v>1495</v>
      </c>
      <c r="T36" s="216">
        <f>SUM(T31:T35)</f>
        <v>1445</v>
      </c>
      <c r="U36" s="216">
        <f>SUM(U31:U35)</f>
        <v>1497</v>
      </c>
      <c r="V36" s="216">
        <f>SUM(V31:V35)</f>
        <v>1216</v>
      </c>
      <c r="W36" s="218">
        <f t="shared" si="128"/>
        <v>1216</v>
      </c>
      <c r="X36" s="215">
        <f>SUM(X31:X35)</f>
        <v>1241</v>
      </c>
      <c r="Y36" s="216">
        <f>SUM(Y31:Y35)</f>
        <v>1295</v>
      </c>
      <c r="Z36" s="216">
        <f>SUM(Z31:Z35)</f>
        <v>1408</v>
      </c>
      <c r="AA36" s="216">
        <f>SUM(AA31:AA35)</f>
        <v>1805</v>
      </c>
      <c r="AB36" s="218">
        <f t="shared" si="129"/>
        <v>1805</v>
      </c>
      <c r="AC36" s="216">
        <f>SUM(AC31:AC35)</f>
        <v>1771</v>
      </c>
      <c r="AD36" s="216">
        <f>SUM(AD31:AD35)</f>
        <v>1448</v>
      </c>
      <c r="AE36" s="216">
        <f>SUM(AE31:AE35)</f>
        <v>1425</v>
      </c>
      <c r="AF36" s="216">
        <f>SUM(AF31:AF35)</f>
        <v>1520</v>
      </c>
      <c r="AG36" s="218">
        <f t="shared" si="130"/>
        <v>1520</v>
      </c>
      <c r="AH36" s="216">
        <f>SUM(AH31:AH35)</f>
        <v>1444</v>
      </c>
      <c r="AI36" s="216">
        <f>SUM(AI31:AI35)</f>
        <v>1486</v>
      </c>
      <c r="AJ36" s="216">
        <f>SUM(AJ31:AJ35)</f>
        <v>1564</v>
      </c>
      <c r="AK36" s="216">
        <f>SUM(AK31:AK35)</f>
        <v>1461</v>
      </c>
      <c r="AL36" s="218">
        <f t="shared" si="131"/>
        <v>1461</v>
      </c>
      <c r="AM36" s="216">
        <f>SUM(AM31:AM35)</f>
        <v>1462</v>
      </c>
      <c r="AN36" s="216">
        <f>SUM(AN31:AN35)</f>
        <v>1742</v>
      </c>
      <c r="AO36" s="216">
        <f>SUM(AO31:AO35)</f>
        <v>1768</v>
      </c>
      <c r="AP36" s="216">
        <f>SUM(AP31:AP35)</f>
        <v>1376</v>
      </c>
      <c r="AQ36" s="218">
        <f t="shared" si="132"/>
        <v>1376</v>
      </c>
      <c r="AR36" s="216">
        <f t="shared" ref="AR36:BE36" si="133">SUM(AR31:AR35)</f>
        <v>1378</v>
      </c>
      <c r="AS36" s="216">
        <f t="shared" si="133"/>
        <v>1574</v>
      </c>
      <c r="AT36" s="216">
        <f t="shared" si="133"/>
        <v>1665</v>
      </c>
      <c r="AU36" s="216">
        <f t="shared" si="133"/>
        <v>1605</v>
      </c>
      <c r="AV36" s="215">
        <f t="shared" si="133"/>
        <v>1605</v>
      </c>
      <c r="AW36" s="215">
        <f t="shared" si="133"/>
        <v>1651</v>
      </c>
      <c r="AX36" s="216">
        <f t="shared" si="133"/>
        <v>1359</v>
      </c>
      <c r="AY36" s="216">
        <f t="shared" si="133"/>
        <v>1587</v>
      </c>
      <c r="AZ36" s="216">
        <f t="shared" si="133"/>
        <v>1725</v>
      </c>
      <c r="BA36" s="372">
        <f t="shared" si="133"/>
        <v>1725</v>
      </c>
      <c r="BB36" s="215">
        <f t="shared" si="133"/>
        <v>1488</v>
      </c>
      <c r="BC36" s="216">
        <f t="shared" si="133"/>
        <v>1695</v>
      </c>
      <c r="BD36" s="216">
        <f t="shared" si="133"/>
        <v>1866</v>
      </c>
      <c r="BE36" s="216">
        <f t="shared" si="133"/>
        <v>2062</v>
      </c>
      <c r="BF36" s="372">
        <f>BE36</f>
        <v>2062</v>
      </c>
      <c r="BG36" s="215">
        <f t="shared" ref="BG36:BO36" si="134">SUM(BG31:BG35)</f>
        <v>1960</v>
      </c>
      <c r="BH36" s="216">
        <f t="shared" si="134"/>
        <v>1646</v>
      </c>
      <c r="BI36" s="216">
        <f t="shared" si="134"/>
        <v>1703</v>
      </c>
      <c r="BJ36" s="216">
        <f t="shared" si="134"/>
        <v>1677</v>
      </c>
      <c r="BK36" s="372">
        <f t="shared" si="134"/>
        <v>1677</v>
      </c>
      <c r="BL36" s="215">
        <f t="shared" si="134"/>
        <v>1505</v>
      </c>
      <c r="BM36" s="216">
        <f t="shared" si="134"/>
        <v>1552</v>
      </c>
      <c r="BN36" s="216">
        <f t="shared" si="134"/>
        <v>1534</v>
      </c>
      <c r="BO36" s="216">
        <f t="shared" si="134"/>
        <v>1653</v>
      </c>
      <c r="BP36" s="569">
        <f t="shared" si="103"/>
        <v>1653</v>
      </c>
      <c r="BQ36" s="216">
        <f>SUM(BQ31:BQ35)</f>
        <v>1596</v>
      </c>
      <c r="BR36" s="216">
        <f>SUM(BR31:BR35)</f>
        <v>2213</v>
      </c>
      <c r="BS36" s="216">
        <f>SUM(BS31:BS35)</f>
        <v>2301</v>
      </c>
      <c r="BT36" s="216">
        <f>SUM(BT31:BT35)</f>
        <v>2448</v>
      </c>
      <c r="BU36" s="372">
        <f t="shared" si="104"/>
        <v>2448</v>
      </c>
      <c r="BV36" s="215">
        <f t="shared" ref="BV36:CD36" si="135">SUM(BV31:BV35)</f>
        <v>2288</v>
      </c>
      <c r="BW36" s="216">
        <f t="shared" si="135"/>
        <v>1711</v>
      </c>
      <c r="BX36" s="216">
        <f t="shared" si="135"/>
        <v>2267</v>
      </c>
      <c r="BY36" s="216">
        <f t="shared" si="135"/>
        <v>2450</v>
      </c>
      <c r="BZ36" s="372">
        <f t="shared" si="135"/>
        <v>2450</v>
      </c>
      <c r="CA36" s="215">
        <f t="shared" si="135"/>
        <v>2391</v>
      </c>
      <c r="CB36" s="216">
        <f t="shared" si="135"/>
        <v>2313</v>
      </c>
      <c r="CC36" s="216">
        <f t="shared" si="135"/>
        <v>2057</v>
      </c>
      <c r="CD36" s="216">
        <f t="shared" si="135"/>
        <v>2188</v>
      </c>
      <c r="CE36" s="569">
        <f t="shared" si="105"/>
        <v>2188</v>
      </c>
      <c r="CF36" s="216">
        <f>SUM(CF31:CF35)</f>
        <v>2089</v>
      </c>
      <c r="CG36" s="216">
        <f>SUM(CG31:CG35)</f>
        <v>1990</v>
      </c>
      <c r="CH36" s="216">
        <f>SUM(CH31:CH35)</f>
        <v>1989</v>
      </c>
      <c r="CI36" s="216">
        <f>SUM(CI31:CI35)</f>
        <v>2265</v>
      </c>
      <c r="CJ36" s="372">
        <f t="shared" si="106"/>
        <v>2265</v>
      </c>
      <c r="CK36" s="876">
        <f>SUM(CK31:CK35)</f>
        <v>1371</v>
      </c>
      <c r="CL36" s="216">
        <f>SUM(CL31:CL35)</f>
        <v>1371</v>
      </c>
      <c r="CM36" s="216">
        <f>SUM(CM31:CM35)</f>
        <v>1371</v>
      </c>
      <c r="CN36" s="216">
        <f>SUM(CN31:CN35)</f>
        <v>1371</v>
      </c>
      <c r="CO36" s="372">
        <v>1371</v>
      </c>
      <c r="CP36" s="876">
        <f>SUM(CP31:CP35)</f>
        <v>2140</v>
      </c>
      <c r="CQ36" s="216">
        <f>SUM(CQ31:CQ35)</f>
        <v>2140</v>
      </c>
      <c r="CR36" s="216">
        <f>SUM(CR31:CR35)</f>
        <v>2140</v>
      </c>
      <c r="CS36" s="216">
        <f>SUM(CS31:CS35)</f>
        <v>2140</v>
      </c>
      <c r="CT36" s="372">
        <v>2140</v>
      </c>
      <c r="CU36" s="216">
        <f t="shared" ref="CU36:DC36" si="136">SUM(CU31:CU35)</f>
        <v>3680</v>
      </c>
      <c r="CV36" s="216">
        <f t="shared" si="136"/>
        <v>1311</v>
      </c>
      <c r="CW36" s="216">
        <f t="shared" si="136"/>
        <v>1259</v>
      </c>
      <c r="CX36" s="216">
        <f t="shared" si="136"/>
        <v>1369</v>
      </c>
      <c r="CY36" s="218">
        <f t="shared" si="136"/>
        <v>1369</v>
      </c>
      <c r="CZ36" s="1288">
        <f t="shared" si="136"/>
        <v>1558</v>
      </c>
      <c r="DA36" s="1288">
        <f t="shared" si="136"/>
        <v>1478</v>
      </c>
      <c r="DB36" s="1288">
        <f t="shared" si="136"/>
        <v>1403</v>
      </c>
      <c r="DC36" s="216">
        <f t="shared" si="136"/>
        <v>1512</v>
      </c>
      <c r="DD36" s="372">
        <f t="shared" si="107"/>
        <v>1512</v>
      </c>
      <c r="DE36" s="219">
        <f>SUM(DE31:DE35)</f>
        <v>1535.651773893781</v>
      </c>
      <c r="DF36" s="219">
        <f>SUM(DF31:DF35)</f>
        <v>1506.799061383751</v>
      </c>
      <c r="DG36" s="219">
        <f>SUM(DG31:DG35)</f>
        <v>1484.8834324521001</v>
      </c>
      <c r="DH36" s="219">
        <f>SUM(DH31:DH35)</f>
        <v>1710.3004076249429</v>
      </c>
      <c r="DI36" s="220">
        <f t="shared" si="108"/>
        <v>1710.3004076249429</v>
      </c>
      <c r="DJ36" s="219">
        <f>SUM(DJ31:DJ35)</f>
        <v>1378.6193015302747</v>
      </c>
      <c r="DK36" s="219">
        <f>SUM(DK31:DK35)</f>
        <v>1370.7127700413603</v>
      </c>
      <c r="DL36" s="219">
        <f>SUM(DL31:DL35)</f>
        <v>1359.8607264953923</v>
      </c>
      <c r="DM36" s="219">
        <f>SUM(DM31:DM35)</f>
        <v>1730.9382806555279</v>
      </c>
      <c r="DN36" s="220">
        <f t="shared" si="109"/>
        <v>1730.9382806555279</v>
      </c>
      <c r="DO36" s="219">
        <f>SUM(DO31:DO35)</f>
        <v>1340.5224881684585</v>
      </c>
      <c r="DP36" s="219">
        <f>SUM(DP31:DP35)</f>
        <v>1367.7476108957412</v>
      </c>
      <c r="DQ36" s="219">
        <f>SUM(DQ31:DQ35)</f>
        <v>1391.9973210788485</v>
      </c>
      <c r="DR36" s="219">
        <f>SUM(DR31:DR35)</f>
        <v>1849.8910932829078</v>
      </c>
      <c r="DS36" s="220">
        <f t="shared" si="110"/>
        <v>1849.8910932829078</v>
      </c>
      <c r="DT36" s="219">
        <f>SUM(DT31:DT35)</f>
        <v>1437.8888274863211</v>
      </c>
      <c r="DU36" s="219">
        <f>SUM(DU31:DU35)</f>
        <v>1470.8292872616535</v>
      </c>
      <c r="DV36" s="219">
        <f>SUM(DV31:DV35)</f>
        <v>1496.8968343227391</v>
      </c>
      <c r="DW36" s="219">
        <f>SUM(DW31:DW35)</f>
        <v>2023.4929433132058</v>
      </c>
      <c r="DX36" s="220">
        <f t="shared" si="111"/>
        <v>2023.4929433132058</v>
      </c>
      <c r="DY36" s="219">
        <f>SUM(DY31:DY35)</f>
        <v>1553.3507463844671</v>
      </c>
      <c r="DZ36" s="219">
        <f>SUM(DZ31:DZ35)</f>
        <v>1598.0449433341332</v>
      </c>
      <c r="EA36" s="219">
        <f>SUM(EA31:EA35)</f>
        <v>1631.4510085864345</v>
      </c>
      <c r="EB36" s="219">
        <f>SUM(EB31:EB35)</f>
        <v>2254.3113671921828</v>
      </c>
      <c r="EC36" s="220">
        <f t="shared" si="112"/>
        <v>2254.3113671921828</v>
      </c>
      <c r="ED36" s="469"/>
      <c r="EE36" s="172"/>
      <c r="EF36"/>
      <c r="EG36"/>
      <c r="EH36"/>
      <c r="EI36"/>
      <c r="EJ36"/>
      <c r="EK36"/>
      <c r="EL36"/>
      <c r="EM36"/>
      <c r="EN36"/>
      <c r="EO36"/>
      <c r="EP36"/>
      <c r="EQ36"/>
      <c r="ER36"/>
      <c r="ES36"/>
      <c r="ET36"/>
      <c r="EU36"/>
      <c r="EV36"/>
      <c r="EW36"/>
      <c r="EX36"/>
      <c r="EY36"/>
      <c r="EZ36"/>
      <c r="FA36"/>
    </row>
    <row r="37" spans="1:157" s="1283" customFormat="1" x14ac:dyDescent="0.2">
      <c r="A37" s="1282" t="s">
        <v>675</v>
      </c>
      <c r="G37" s="1284"/>
      <c r="H37" s="1285"/>
      <c r="I37" s="1286"/>
      <c r="J37" s="1286"/>
      <c r="K37" s="1286"/>
      <c r="L37" s="1287"/>
      <c r="M37" s="1285"/>
      <c r="N37" s="1288"/>
      <c r="O37" s="1288"/>
      <c r="P37" s="1288"/>
      <c r="Q37" s="1288"/>
      <c r="R37" s="1289"/>
      <c r="S37" s="1288"/>
      <c r="T37" s="1288"/>
      <c r="U37" s="1288"/>
      <c r="V37" s="1288"/>
      <c r="W37" s="1289"/>
      <c r="X37" s="1290"/>
      <c r="Y37" s="1288"/>
      <c r="Z37" s="1288"/>
      <c r="AA37" s="1288"/>
      <c r="AB37" s="1289"/>
      <c r="AC37" s="1288"/>
      <c r="AD37" s="1288"/>
      <c r="AE37" s="1288"/>
      <c r="AF37" s="1288"/>
      <c r="AG37" s="1289"/>
      <c r="AH37" s="1288"/>
      <c r="AI37" s="1288"/>
      <c r="AJ37" s="1288"/>
      <c r="AK37" s="1288"/>
      <c r="AL37" s="1289"/>
      <c r="AM37" s="1288"/>
      <c r="AN37" s="1288"/>
      <c r="AO37" s="1288"/>
      <c r="AP37" s="1288"/>
      <c r="AQ37" s="1289"/>
      <c r="AR37" s="1288"/>
      <c r="AS37" s="1288"/>
      <c r="AT37" s="1288"/>
      <c r="AU37" s="1288"/>
      <c r="AV37" s="1290"/>
      <c r="AW37" s="1290"/>
      <c r="AX37" s="1288"/>
      <c r="AY37" s="1288"/>
      <c r="AZ37" s="1288"/>
      <c r="BA37" s="1291"/>
      <c r="BB37" s="1290"/>
      <c r="BC37" s="1288"/>
      <c r="BD37" s="1288"/>
      <c r="BE37" s="1288"/>
      <c r="BF37" s="1291"/>
      <c r="BG37" s="1290"/>
      <c r="BH37" s="1288"/>
      <c r="BI37" s="1288"/>
      <c r="BJ37" s="1288"/>
      <c r="BK37" s="1291"/>
      <c r="BL37" s="1290"/>
      <c r="BM37" s="1288"/>
      <c r="BN37" s="1288"/>
      <c r="BO37" s="1288"/>
      <c r="BP37" s="1292"/>
      <c r="BQ37" s="1288"/>
      <c r="BR37" s="1288"/>
      <c r="BS37" s="1288"/>
      <c r="BT37" s="1288"/>
      <c r="BU37" s="1291"/>
      <c r="BV37" s="1290"/>
      <c r="BW37" s="1288"/>
      <c r="BX37" s="1288"/>
      <c r="BY37" s="1288"/>
      <c r="BZ37" s="1291"/>
      <c r="CA37" s="1290"/>
      <c r="CB37" s="1288"/>
      <c r="CC37" s="1288"/>
      <c r="CD37" s="1288"/>
      <c r="CE37" s="1292"/>
      <c r="CF37" s="1288"/>
      <c r="CG37" s="1288"/>
      <c r="CH37" s="1288"/>
      <c r="CI37" s="1288"/>
      <c r="CJ37" s="1291"/>
      <c r="CK37" s="1293">
        <f>CO37</f>
        <v>-34</v>
      </c>
      <c r="CL37" s="1288">
        <f>CO37</f>
        <v>-34</v>
      </c>
      <c r="CM37" s="1288">
        <f>CO37</f>
        <v>-34</v>
      </c>
      <c r="CN37" s="1288">
        <f>CO37</f>
        <v>-34</v>
      </c>
      <c r="CO37" s="1294">
        <v>-34</v>
      </c>
      <c r="CP37" s="1293">
        <f>CT37</f>
        <v>-34</v>
      </c>
      <c r="CQ37" s="1288">
        <f>CT37</f>
        <v>-34</v>
      </c>
      <c r="CR37" s="1288">
        <f>CT37</f>
        <v>-34</v>
      </c>
      <c r="CS37" s="1288">
        <f>CT37</f>
        <v>-34</v>
      </c>
      <c r="CT37" s="1294">
        <v>-34</v>
      </c>
      <c r="CU37" s="1288">
        <v>-31</v>
      </c>
      <c r="CV37" s="1288">
        <v>-31</v>
      </c>
      <c r="CW37" s="1288">
        <v>-29</v>
      </c>
      <c r="CX37" s="1288">
        <f>CY37</f>
        <v>0</v>
      </c>
      <c r="CY37" s="2040">
        <v>0</v>
      </c>
      <c r="CZ37" s="1288">
        <f>CX37</f>
        <v>0</v>
      </c>
      <c r="DA37" s="1288">
        <v>0</v>
      </c>
      <c r="DB37" s="1288">
        <f t="shared" ref="DB37" si="137">CZ37</f>
        <v>0</v>
      </c>
      <c r="DC37" s="1288">
        <v>0</v>
      </c>
      <c r="DD37" s="1291">
        <f>DC37</f>
        <v>0</v>
      </c>
      <c r="DE37" s="1281">
        <f>DC37</f>
        <v>0</v>
      </c>
      <c r="DF37" s="1281">
        <f>DD37</f>
        <v>0</v>
      </c>
      <c r="DG37" s="1281">
        <f t="shared" ref="DG37" si="138">DE37</f>
        <v>0</v>
      </c>
      <c r="DH37" s="1281">
        <f t="shared" ref="DH37" si="139">DF37</f>
        <v>0</v>
      </c>
      <c r="DI37" s="1295">
        <f>DH37</f>
        <v>0</v>
      </c>
      <c r="DJ37" s="1281">
        <f>DH37</f>
        <v>0</v>
      </c>
      <c r="DK37" s="1281">
        <f t="shared" ref="DK37" si="140">DI37</f>
        <v>0</v>
      </c>
      <c r="DL37" s="1281">
        <f t="shared" ref="DL37" si="141">DJ37</f>
        <v>0</v>
      </c>
      <c r="DM37" s="1281">
        <f t="shared" ref="DM37" si="142">DK37</f>
        <v>0</v>
      </c>
      <c r="DN37" s="1295">
        <f>DM37</f>
        <v>0</v>
      </c>
      <c r="DO37" s="1281">
        <f>DM37</f>
        <v>0</v>
      </c>
      <c r="DP37" s="1281">
        <f t="shared" ref="DP37" si="143">DN37</f>
        <v>0</v>
      </c>
      <c r="DQ37" s="1281">
        <f t="shared" ref="DQ37" si="144">DO37</f>
        <v>0</v>
      </c>
      <c r="DR37" s="1281">
        <f t="shared" ref="DR37" si="145">DP37</f>
        <v>0</v>
      </c>
      <c r="DS37" s="1295">
        <f>DR37</f>
        <v>0</v>
      </c>
      <c r="DT37" s="1281">
        <f>DR37</f>
        <v>0</v>
      </c>
      <c r="DU37" s="1281">
        <f t="shared" ref="DU37" si="146">DS37</f>
        <v>0</v>
      </c>
      <c r="DV37" s="1281">
        <f t="shared" ref="DV37" si="147">DT37</f>
        <v>0</v>
      </c>
      <c r="DW37" s="1281">
        <f t="shared" ref="DW37" si="148">DU37</f>
        <v>0</v>
      </c>
      <c r="DX37" s="1295">
        <f>DW37</f>
        <v>0</v>
      </c>
      <c r="DY37" s="1281">
        <f>DW37</f>
        <v>0</v>
      </c>
      <c r="DZ37" s="1281">
        <f t="shared" ref="DZ37" si="149">DX37</f>
        <v>0</v>
      </c>
      <c r="EA37" s="1281">
        <f t="shared" ref="EA37" si="150">DY37</f>
        <v>0</v>
      </c>
      <c r="EB37" s="1281">
        <f t="shared" ref="EB37" si="151">DZ37</f>
        <v>0</v>
      </c>
      <c r="EC37" s="1295">
        <f>EB37</f>
        <v>0</v>
      </c>
      <c r="ED37" s="1296"/>
      <c r="EE37" s="1297"/>
      <c r="EF37"/>
      <c r="EG37"/>
      <c r="EH37"/>
      <c r="EI37"/>
      <c r="EJ37"/>
      <c r="EK37"/>
      <c r="EL37" s="1021"/>
      <c r="EM37" s="1021"/>
      <c r="EN37" s="1021"/>
      <c r="EO37" s="1021"/>
      <c r="EP37" s="1021"/>
      <c r="EQ37" s="1021"/>
      <c r="ER37" s="1021"/>
      <c r="ES37" s="1021"/>
      <c r="ET37" s="1021"/>
      <c r="EU37" s="1021"/>
      <c r="EV37" s="1021"/>
      <c r="EW37" s="1021"/>
      <c r="EX37" s="1021"/>
      <c r="EY37" s="1021"/>
      <c r="EZ37" s="1021"/>
      <c r="FA37" s="1021"/>
    </row>
    <row r="38" spans="1:157" s="172" customFormat="1" x14ac:dyDescent="0.2">
      <c r="A38" s="451" t="s">
        <v>544</v>
      </c>
      <c r="G38" s="182"/>
      <c r="H38" s="181">
        <v>4551</v>
      </c>
      <c r="L38" s="182"/>
      <c r="M38" s="221">
        <v>3436</v>
      </c>
      <c r="N38" s="222">
        <v>3333</v>
      </c>
      <c r="O38" s="222">
        <v>3045</v>
      </c>
      <c r="P38" s="222">
        <v>2605</v>
      </c>
      <c r="Q38" s="222">
        <v>2391</v>
      </c>
      <c r="R38" s="194">
        <f t="shared" si="127"/>
        <v>2391</v>
      </c>
      <c r="S38" s="196">
        <v>2583</v>
      </c>
      <c r="T38" s="196">
        <v>2542</v>
      </c>
      <c r="U38" s="196">
        <v>2388</v>
      </c>
      <c r="V38" s="196">
        <v>2397</v>
      </c>
      <c r="W38" s="194">
        <f t="shared" si="128"/>
        <v>2397</v>
      </c>
      <c r="X38" s="195">
        <v>2427</v>
      </c>
      <c r="Y38" s="196">
        <v>2342</v>
      </c>
      <c r="Z38" s="196">
        <v>2159</v>
      </c>
      <c r="AA38" s="196">
        <v>1552</v>
      </c>
      <c r="AB38" s="194">
        <f t="shared" si="129"/>
        <v>1552</v>
      </c>
      <c r="AC38" s="196">
        <v>1547</v>
      </c>
      <c r="AD38" s="196">
        <v>2367</v>
      </c>
      <c r="AE38" s="196">
        <v>2317</v>
      </c>
      <c r="AF38" s="196">
        <v>2299</v>
      </c>
      <c r="AG38" s="194">
        <f t="shared" si="130"/>
        <v>2299</v>
      </c>
      <c r="AH38" s="196">
        <v>2391</v>
      </c>
      <c r="AI38" s="196">
        <v>2272</v>
      </c>
      <c r="AJ38" s="196">
        <v>2046</v>
      </c>
      <c r="AK38" s="196">
        <v>2056</v>
      </c>
      <c r="AL38" s="194">
        <f t="shared" si="131"/>
        <v>2056</v>
      </c>
      <c r="AM38" s="196">
        <v>2054</v>
      </c>
      <c r="AN38" s="196">
        <v>1669</v>
      </c>
      <c r="AO38" s="196">
        <v>1699</v>
      </c>
      <c r="AP38" s="196">
        <v>1731</v>
      </c>
      <c r="AQ38" s="194">
        <f t="shared" si="132"/>
        <v>1731</v>
      </c>
      <c r="AR38" s="196">
        <v>1708</v>
      </c>
      <c r="AS38" s="196">
        <v>1562</v>
      </c>
      <c r="AT38" s="196">
        <v>1590</v>
      </c>
      <c r="AU38" s="196">
        <v>1649</v>
      </c>
      <c r="AV38" s="195">
        <v>1649</v>
      </c>
      <c r="AW38" s="328">
        <v>1710</v>
      </c>
      <c r="AX38" s="334">
        <v>2027</v>
      </c>
      <c r="AY38" s="334">
        <v>1932</v>
      </c>
      <c r="AZ38" s="334">
        <v>2045</v>
      </c>
      <c r="BA38" s="370">
        <v>2045</v>
      </c>
      <c r="BB38" s="328">
        <v>2208</v>
      </c>
      <c r="BC38" s="334">
        <v>2088</v>
      </c>
      <c r="BD38" s="334">
        <v>2124</v>
      </c>
      <c r="BE38" s="334">
        <v>2924</v>
      </c>
      <c r="BF38" s="370">
        <v>2924</v>
      </c>
      <c r="BG38" s="195">
        <v>3372</v>
      </c>
      <c r="BH38" s="334">
        <v>3374</v>
      </c>
      <c r="BI38" s="334">
        <v>3596</v>
      </c>
      <c r="BJ38" s="334">
        <v>3564</v>
      </c>
      <c r="BK38" s="370">
        <v>3564</v>
      </c>
      <c r="BL38" s="328">
        <v>3512</v>
      </c>
      <c r="BM38" s="334">
        <v>3516</v>
      </c>
      <c r="BN38" s="334">
        <v>3258</v>
      </c>
      <c r="BO38" s="334">
        <v>3207</v>
      </c>
      <c r="BP38" s="567">
        <f t="shared" si="103"/>
        <v>3207</v>
      </c>
      <c r="BQ38" s="334">
        <v>3219</v>
      </c>
      <c r="BR38" s="334">
        <v>2518</v>
      </c>
      <c r="BS38" s="334">
        <v>2905</v>
      </c>
      <c r="BT38" s="334">
        <v>2915</v>
      </c>
      <c r="BU38" s="370">
        <f t="shared" si="104"/>
        <v>2915</v>
      </c>
      <c r="BV38" s="328">
        <v>2918</v>
      </c>
      <c r="BW38" s="334">
        <v>3269</v>
      </c>
      <c r="BX38" s="334">
        <v>2940</v>
      </c>
      <c r="BY38" s="334">
        <f>BZ38</f>
        <v>2997</v>
      </c>
      <c r="BZ38" s="370">
        <v>2997</v>
      </c>
      <c r="CA38" s="328">
        <v>3006</v>
      </c>
      <c r="CB38" s="334">
        <v>2995</v>
      </c>
      <c r="CC38" s="334">
        <v>3003</v>
      </c>
      <c r="CD38" s="334">
        <v>2932</v>
      </c>
      <c r="CE38" s="567">
        <f t="shared" si="105"/>
        <v>2932</v>
      </c>
      <c r="CF38" s="334">
        <v>2924</v>
      </c>
      <c r="CG38" s="334">
        <v>2918</v>
      </c>
      <c r="CH38" s="334">
        <v>2917</v>
      </c>
      <c r="CI38" s="334">
        <v>2918</v>
      </c>
      <c r="CJ38" s="370">
        <f t="shared" si="106"/>
        <v>2918</v>
      </c>
      <c r="CK38" s="874">
        <f t="shared" ref="CK38:CK40" si="152">CO38</f>
        <v>3077</v>
      </c>
      <c r="CL38" s="334">
        <f t="shared" ref="CL38:CL40" si="153">CO38</f>
        <v>3077</v>
      </c>
      <c r="CM38" s="334">
        <f t="shared" ref="CM38:CM40" si="154">CO38</f>
        <v>3077</v>
      </c>
      <c r="CN38" s="334">
        <f t="shared" ref="CN38:CN40" si="155">CO38</f>
        <v>3077</v>
      </c>
      <c r="CO38" s="370">
        <v>3077</v>
      </c>
      <c r="CP38" s="874">
        <f t="shared" ref="CP38:CP40" si="156">CT38</f>
        <v>3054</v>
      </c>
      <c r="CQ38" s="334">
        <f t="shared" ref="CQ38:CQ40" si="157">CT38</f>
        <v>3054</v>
      </c>
      <c r="CR38" s="334">
        <f t="shared" ref="CR38:CR40" si="158">CT38</f>
        <v>3054</v>
      </c>
      <c r="CS38" s="334">
        <f t="shared" ref="CS38:CS40" si="159">CT38</f>
        <v>3054</v>
      </c>
      <c r="CT38" s="370">
        <v>3054</v>
      </c>
      <c r="CU38" s="334">
        <v>2510</v>
      </c>
      <c r="CV38" s="334">
        <v>5324</v>
      </c>
      <c r="CW38" s="334">
        <v>9119</v>
      </c>
      <c r="CX38" s="334">
        <f>CY38</f>
        <v>9061</v>
      </c>
      <c r="CY38" s="2038">
        <v>9061</v>
      </c>
      <c r="CZ38" s="2145">
        <v>8715</v>
      </c>
      <c r="DA38" s="2145">
        <v>9474</v>
      </c>
      <c r="DB38" s="2145">
        <v>9479</v>
      </c>
      <c r="DC38" s="334">
        <v>9429</v>
      </c>
      <c r="DD38" s="370">
        <f t="shared" si="107"/>
        <v>9429</v>
      </c>
      <c r="DE38" s="201">
        <f>DD38+CF!DC55+CF!DC57+CF!DC56+CF!DC53+CF!DC54</f>
        <v>9429</v>
      </c>
      <c r="DF38" s="201">
        <f>DE38+CF!DD55+CF!DD57+CF!DD56+CF!DD53+CF!DD54</f>
        <v>9429</v>
      </c>
      <c r="DG38" s="201">
        <f>DF38+CF!DE55+CF!DE57+CF!DE56+CF!DE53+CF!DE54</f>
        <v>9429</v>
      </c>
      <c r="DH38" s="201">
        <f>DG38+CF!DF55+CF!DF57+CF!DF56+CF!DF53+CF!DF54</f>
        <v>9429</v>
      </c>
      <c r="DI38" s="202">
        <f t="shared" ref="DI38:DI41" si="160">DH38</f>
        <v>9429</v>
      </c>
      <c r="DJ38" s="201">
        <f>DI38+CF!DH55+CF!DH57+CF!DH56+CF!DH53+CF!DH54</f>
        <v>9429</v>
      </c>
      <c r="DK38" s="201">
        <f>DJ38+CF!DI55+CF!DI57+CF!DI56+CF!DI53+CF!DI54</f>
        <v>9429</v>
      </c>
      <c r="DL38" s="201">
        <f>DK38+CF!DJ55+CF!DJ57+CF!DJ56+CF!DJ53+CF!DJ54</f>
        <v>9429</v>
      </c>
      <c r="DM38" s="201">
        <f>DL38+CF!DK55+CF!DK57+CF!DK56+CF!DK53+CF!DK54</f>
        <v>9429</v>
      </c>
      <c r="DN38" s="202">
        <f t="shared" si="109"/>
        <v>9429</v>
      </c>
      <c r="DO38" s="201">
        <f>DN38+CF!DM55+CF!DM57+CF!DM56+CF!DM53+CF!DM54</f>
        <v>9429</v>
      </c>
      <c r="DP38" s="201">
        <f>DO38+CF!DN55+CF!DN57+CF!DN56+CF!DN53+CF!DN54</f>
        <v>9429</v>
      </c>
      <c r="DQ38" s="201">
        <f>DP38+CF!DO55+CF!DO57+CF!DO56+CF!DO53+CF!DO54</f>
        <v>9429</v>
      </c>
      <c r="DR38" s="201">
        <f>DQ38+CF!DP55+CF!DP57+CF!DP56+CF!DP53+CF!DP54</f>
        <v>9429</v>
      </c>
      <c r="DS38" s="202">
        <f t="shared" si="110"/>
        <v>9429</v>
      </c>
      <c r="DT38" s="201">
        <f>DS38+CF!DR55+CF!DR57+CF!DR56+CF!DR53+CF!DR54</f>
        <v>9429</v>
      </c>
      <c r="DU38" s="201">
        <f>DT38+CF!DS55+CF!DS57+CF!DS56+CF!DS53+CF!DS54</f>
        <v>9429</v>
      </c>
      <c r="DV38" s="201">
        <f>DU38+CF!DT55+CF!DT57+CF!DT56+CF!DT53+CF!DT54</f>
        <v>9429</v>
      </c>
      <c r="DW38" s="201">
        <f>DV38+CF!DU55+CF!DU57+CF!DU56+CF!DU53+CF!DU54</f>
        <v>9429</v>
      </c>
      <c r="DX38" s="202">
        <f t="shared" ref="DX38:DX41" si="161">DW38</f>
        <v>9429</v>
      </c>
      <c r="DY38" s="201">
        <f>DX38+CF!DW55+CF!DW57+CF!DW56+CF!DW53+CF!DW54</f>
        <v>9429</v>
      </c>
      <c r="DZ38" s="201">
        <f>DY38+CF!DX55+CF!DX57+CF!DX56+CF!DX53+CF!DX54</f>
        <v>9429</v>
      </c>
      <c r="EA38" s="201">
        <f>DZ38+CF!DY55+CF!DY57+CF!DY56+CF!DY53+CF!DY54</f>
        <v>9429</v>
      </c>
      <c r="EB38" s="201">
        <f>EA38+CF!DZ55+CF!DZ57+CF!DZ56+CF!DZ53+CF!DZ54</f>
        <v>9429</v>
      </c>
      <c r="EC38" s="202">
        <f t="shared" ref="EC38:EC41" si="162">EB38</f>
        <v>9429</v>
      </c>
      <c r="ED38" s="469"/>
      <c r="EF38"/>
      <c r="EG38"/>
      <c r="EH38"/>
      <c r="EI38"/>
      <c r="EJ38"/>
      <c r="EK38"/>
      <c r="EL38"/>
      <c r="EM38"/>
      <c r="EN38"/>
      <c r="EO38"/>
      <c r="EP38"/>
      <c r="EQ38"/>
      <c r="ER38"/>
      <c r="ES38"/>
      <c r="ET38"/>
      <c r="EU38"/>
      <c r="EV38"/>
      <c r="EW38"/>
      <c r="EX38"/>
      <c r="EY38"/>
      <c r="EZ38"/>
      <c r="FA38"/>
    </row>
    <row r="39" spans="1:157" s="172" customFormat="1" x14ac:dyDescent="0.2">
      <c r="A39" s="451" t="s">
        <v>545</v>
      </c>
      <c r="G39" s="182"/>
      <c r="H39" s="181">
        <v>555</v>
      </c>
      <c r="L39" s="182"/>
      <c r="M39" s="221">
        <v>720</v>
      </c>
      <c r="N39" s="222">
        <v>775</v>
      </c>
      <c r="O39" s="222">
        <v>767</v>
      </c>
      <c r="P39" s="222">
        <v>791</v>
      </c>
      <c r="Q39" s="222">
        <v>825</v>
      </c>
      <c r="R39" s="194">
        <f t="shared" si="127"/>
        <v>825</v>
      </c>
      <c r="S39" s="196">
        <v>815</v>
      </c>
      <c r="T39" s="196">
        <v>826</v>
      </c>
      <c r="U39" s="196">
        <v>849</v>
      </c>
      <c r="V39" s="196">
        <v>848</v>
      </c>
      <c r="W39" s="194">
        <f t="shared" si="128"/>
        <v>848</v>
      </c>
      <c r="X39" s="195">
        <v>847</v>
      </c>
      <c r="Y39" s="196">
        <v>837</v>
      </c>
      <c r="Z39" s="196">
        <v>863</v>
      </c>
      <c r="AA39" s="196">
        <v>927</v>
      </c>
      <c r="AB39" s="194">
        <f t="shared" si="129"/>
        <v>927</v>
      </c>
      <c r="AC39" s="196">
        <v>820</v>
      </c>
      <c r="AD39" s="196">
        <v>862</v>
      </c>
      <c r="AE39" s="196">
        <v>883</v>
      </c>
      <c r="AF39" s="196">
        <v>987</v>
      </c>
      <c r="AG39" s="194">
        <f t="shared" si="130"/>
        <v>987</v>
      </c>
      <c r="AH39" s="196">
        <v>1013</v>
      </c>
      <c r="AI39" s="196">
        <v>1021</v>
      </c>
      <c r="AJ39" s="196">
        <v>1042</v>
      </c>
      <c r="AK39" s="196">
        <v>983</v>
      </c>
      <c r="AL39" s="194">
        <f t="shared" si="131"/>
        <v>983</v>
      </c>
      <c r="AM39" s="196">
        <v>986</v>
      </c>
      <c r="AN39" s="196">
        <v>999</v>
      </c>
      <c r="AO39" s="196">
        <v>1003</v>
      </c>
      <c r="AP39" s="196">
        <v>994</v>
      </c>
      <c r="AQ39" s="194">
        <f t="shared" si="132"/>
        <v>994</v>
      </c>
      <c r="AR39" s="196">
        <v>1004</v>
      </c>
      <c r="AS39" s="196">
        <v>992</v>
      </c>
      <c r="AT39" s="196">
        <v>1019</v>
      </c>
      <c r="AU39" s="196">
        <v>995</v>
      </c>
      <c r="AV39" s="195">
        <v>995</v>
      </c>
      <c r="AW39" s="328">
        <v>1026</v>
      </c>
      <c r="AX39" s="334">
        <v>1073</v>
      </c>
      <c r="AY39" s="334">
        <v>1054</v>
      </c>
      <c r="AZ39" s="334">
        <v>1174</v>
      </c>
      <c r="BA39" s="370">
        <v>1174</v>
      </c>
      <c r="BB39" s="328">
        <v>1189</v>
      </c>
      <c r="BC39" s="334">
        <v>1190</v>
      </c>
      <c r="BD39" s="334">
        <v>1186</v>
      </c>
      <c r="BE39" s="334">
        <v>1117</v>
      </c>
      <c r="BF39" s="370">
        <v>1117</v>
      </c>
      <c r="BG39" s="195">
        <v>1202</v>
      </c>
      <c r="BH39" s="334">
        <v>1224</v>
      </c>
      <c r="BI39" s="334">
        <v>1155</v>
      </c>
      <c r="BJ39" s="334">
        <v>1377</v>
      </c>
      <c r="BK39" s="370">
        <v>1377</v>
      </c>
      <c r="BL39" s="328">
        <v>1377</v>
      </c>
      <c r="BM39" s="334">
        <v>1299</v>
      </c>
      <c r="BN39" s="334">
        <v>1340</v>
      </c>
      <c r="BO39" s="334">
        <v>1174</v>
      </c>
      <c r="BP39" s="567">
        <f t="shared" si="103"/>
        <v>1174</v>
      </c>
      <c r="BQ39" s="334">
        <v>1209</v>
      </c>
      <c r="BR39" s="334">
        <v>1188</v>
      </c>
      <c r="BS39" s="334">
        <v>1239</v>
      </c>
      <c r="BT39" s="334">
        <v>1284</v>
      </c>
      <c r="BU39" s="370">
        <f t="shared" si="104"/>
        <v>1284</v>
      </c>
      <c r="BV39" s="328">
        <v>1361</v>
      </c>
      <c r="BW39" s="334">
        <v>1339</v>
      </c>
      <c r="BX39" s="334">
        <v>1259</v>
      </c>
      <c r="BY39" s="334">
        <f>BZ39</f>
        <v>1471</v>
      </c>
      <c r="BZ39" s="370">
        <v>1471</v>
      </c>
      <c r="CA39" s="328">
        <v>1667</v>
      </c>
      <c r="CB39" s="334">
        <v>1597</v>
      </c>
      <c r="CC39" s="334">
        <v>1575</v>
      </c>
      <c r="CD39" s="334">
        <v>1579</v>
      </c>
      <c r="CE39" s="567">
        <f t="shared" si="105"/>
        <v>1579</v>
      </c>
      <c r="CF39" s="334">
        <v>1515</v>
      </c>
      <c r="CG39" s="334">
        <v>1512</v>
      </c>
      <c r="CH39" s="334">
        <v>1524</v>
      </c>
      <c r="CI39" s="334">
        <v>1244</v>
      </c>
      <c r="CJ39" s="370">
        <f t="shared" si="106"/>
        <v>1244</v>
      </c>
      <c r="CK39" s="874">
        <f t="shared" si="152"/>
        <v>1015</v>
      </c>
      <c r="CL39" s="334">
        <f t="shared" si="153"/>
        <v>1015</v>
      </c>
      <c r="CM39" s="334">
        <f t="shared" si="154"/>
        <v>1015</v>
      </c>
      <c r="CN39" s="334">
        <f t="shared" si="155"/>
        <v>1015</v>
      </c>
      <c r="CO39" s="370">
        <v>1015</v>
      </c>
      <c r="CP39" s="874">
        <f t="shared" si="156"/>
        <v>724</v>
      </c>
      <c r="CQ39" s="334">
        <f t="shared" si="157"/>
        <v>724</v>
      </c>
      <c r="CR39" s="334">
        <f t="shared" si="158"/>
        <v>724</v>
      </c>
      <c r="CS39" s="334">
        <f t="shared" si="159"/>
        <v>724</v>
      </c>
      <c r="CT39" s="370">
        <v>724</v>
      </c>
      <c r="CU39" s="334">
        <v>610</v>
      </c>
      <c r="CV39" s="334">
        <v>676</v>
      </c>
      <c r="CW39" s="334">
        <v>634</v>
      </c>
      <c r="CX39" s="334">
        <f>CY39</f>
        <v>704</v>
      </c>
      <c r="CY39" s="2038">
        <v>704</v>
      </c>
      <c r="CZ39" s="334">
        <v>690</v>
      </c>
      <c r="DA39" s="334">
        <v>746</v>
      </c>
      <c r="DB39" s="334">
        <v>693</v>
      </c>
      <c r="DC39" s="334">
        <v>704</v>
      </c>
      <c r="DD39" s="370">
        <f t="shared" si="107"/>
        <v>704</v>
      </c>
      <c r="DE39" s="201">
        <f>DD39+CF!DC20</f>
        <v>696</v>
      </c>
      <c r="DF39" s="201">
        <f>DE39+CF!DD20</f>
        <v>688</v>
      </c>
      <c r="DG39" s="201">
        <f>DF39+CF!DE20</f>
        <v>680</v>
      </c>
      <c r="DH39" s="201">
        <f>DG39+CF!DF20</f>
        <v>672</v>
      </c>
      <c r="DI39" s="202">
        <f t="shared" si="160"/>
        <v>672</v>
      </c>
      <c r="DJ39" s="201">
        <f>DI39+CF!DH20</f>
        <v>664</v>
      </c>
      <c r="DK39" s="201">
        <f>DJ39+CF!DI20</f>
        <v>656</v>
      </c>
      <c r="DL39" s="201">
        <f>DK39+CF!DJ20</f>
        <v>648</v>
      </c>
      <c r="DM39" s="201">
        <f>DL39+CF!DK20</f>
        <v>640</v>
      </c>
      <c r="DN39" s="202">
        <f t="shared" si="109"/>
        <v>640</v>
      </c>
      <c r="DO39" s="201">
        <f>DN39+CF!DM20</f>
        <v>632</v>
      </c>
      <c r="DP39" s="201">
        <f>DO39+CF!DN20</f>
        <v>624</v>
      </c>
      <c r="DQ39" s="201">
        <f>DP39+CF!DO20</f>
        <v>616</v>
      </c>
      <c r="DR39" s="201">
        <f>DQ39+CF!DP20</f>
        <v>608</v>
      </c>
      <c r="DS39" s="202">
        <f t="shared" si="110"/>
        <v>608</v>
      </c>
      <c r="DT39" s="201">
        <f>DS39+CF!DR20</f>
        <v>600</v>
      </c>
      <c r="DU39" s="201">
        <f>DT39+CF!DS20</f>
        <v>592</v>
      </c>
      <c r="DV39" s="201">
        <f>DU39+CF!DT20</f>
        <v>584</v>
      </c>
      <c r="DW39" s="201">
        <f>DV39+CF!DU20</f>
        <v>576</v>
      </c>
      <c r="DX39" s="202">
        <f t="shared" si="161"/>
        <v>576</v>
      </c>
      <c r="DY39" s="201">
        <f>DX39+CF!DW20</f>
        <v>568</v>
      </c>
      <c r="DZ39" s="201">
        <f>DY39+CF!DX20</f>
        <v>560</v>
      </c>
      <c r="EA39" s="201">
        <f>DZ39+CF!DY20</f>
        <v>552</v>
      </c>
      <c r="EB39" s="201">
        <f>EA39+CF!DZ20</f>
        <v>544</v>
      </c>
      <c r="EC39" s="202">
        <f t="shared" si="162"/>
        <v>544</v>
      </c>
      <c r="ED39" s="469"/>
      <c r="EF39"/>
      <c r="EG39"/>
      <c r="EH39"/>
      <c r="EI39"/>
      <c r="EJ39"/>
      <c r="EK39"/>
      <c r="EL39"/>
      <c r="EM39"/>
      <c r="EN39"/>
      <c r="EO39"/>
      <c r="EP39"/>
      <c r="EQ39"/>
      <c r="ER39"/>
      <c r="ES39"/>
      <c r="ET39"/>
      <c r="EU39"/>
      <c r="EV39"/>
      <c r="EW39"/>
      <c r="EX39"/>
      <c r="EY39"/>
      <c r="EZ39"/>
      <c r="FA39"/>
    </row>
    <row r="40" spans="1:157" s="204" customFormat="1" x14ac:dyDescent="0.2">
      <c r="A40" s="451" t="s">
        <v>550</v>
      </c>
      <c r="B40" s="172"/>
      <c r="C40" s="172"/>
      <c r="D40" s="172"/>
      <c r="E40" s="172"/>
      <c r="F40" s="172"/>
      <c r="G40" s="182"/>
      <c r="H40" s="203">
        <v>33</v>
      </c>
      <c r="I40" s="207"/>
      <c r="J40" s="208"/>
      <c r="K40" s="208"/>
      <c r="L40" s="209"/>
      <c r="M40" s="203">
        <v>65</v>
      </c>
      <c r="N40" s="208">
        <v>0</v>
      </c>
      <c r="O40" s="208">
        <v>0</v>
      </c>
      <c r="P40" s="208">
        <v>0</v>
      </c>
      <c r="Q40" s="206">
        <v>7</v>
      </c>
      <c r="R40" s="203">
        <f t="shared" si="127"/>
        <v>7</v>
      </c>
      <c r="S40" s="208">
        <v>7</v>
      </c>
      <c r="T40" s="208">
        <v>6</v>
      </c>
      <c r="U40" s="208">
        <v>10</v>
      </c>
      <c r="V40" s="208">
        <v>10</v>
      </c>
      <c r="W40" s="203">
        <f t="shared" si="128"/>
        <v>10</v>
      </c>
      <c r="X40" s="207">
        <v>1</v>
      </c>
      <c r="Y40" s="208">
        <v>0</v>
      </c>
      <c r="Z40" s="208">
        <v>0</v>
      </c>
      <c r="AA40" s="208">
        <v>0</v>
      </c>
      <c r="AB40" s="203">
        <f t="shared" si="129"/>
        <v>0</v>
      </c>
      <c r="AC40" s="208">
        <v>0</v>
      </c>
      <c r="AD40" s="208">
        <v>0</v>
      </c>
      <c r="AE40" s="208">
        <v>0</v>
      </c>
      <c r="AF40" s="208">
        <v>0</v>
      </c>
      <c r="AG40" s="203">
        <f t="shared" si="130"/>
        <v>0</v>
      </c>
      <c r="AH40" s="208">
        <v>0</v>
      </c>
      <c r="AI40" s="208">
        <v>0</v>
      </c>
      <c r="AJ40" s="208">
        <v>0</v>
      </c>
      <c r="AK40" s="208">
        <v>0</v>
      </c>
      <c r="AL40" s="203">
        <f t="shared" si="131"/>
        <v>0</v>
      </c>
      <c r="AM40" s="208">
        <v>0</v>
      </c>
      <c r="AN40" s="208">
        <v>0</v>
      </c>
      <c r="AO40" s="208">
        <v>0</v>
      </c>
      <c r="AP40" s="208">
        <v>0</v>
      </c>
      <c r="AQ40" s="203">
        <f t="shared" si="132"/>
        <v>0</v>
      </c>
      <c r="AR40" s="208">
        <v>0</v>
      </c>
      <c r="AS40" s="208">
        <v>0</v>
      </c>
      <c r="AT40" s="208">
        <v>0</v>
      </c>
      <c r="AU40" s="208">
        <v>0</v>
      </c>
      <c r="AV40" s="207">
        <v>0</v>
      </c>
      <c r="AW40" s="329">
        <f>AU40</f>
        <v>0</v>
      </c>
      <c r="AX40" s="335">
        <f>AW40</f>
        <v>0</v>
      </c>
      <c r="AY40" s="335">
        <f>AX40</f>
        <v>0</v>
      </c>
      <c r="AZ40" s="335">
        <f>AY40</f>
        <v>0</v>
      </c>
      <c r="BA40" s="371">
        <f>AZ40</f>
        <v>0</v>
      </c>
      <c r="BB40" s="329">
        <v>0</v>
      </c>
      <c r="BC40" s="335">
        <f>BB40</f>
        <v>0</v>
      </c>
      <c r="BD40" s="335">
        <f>BC40</f>
        <v>0</v>
      </c>
      <c r="BE40" s="335">
        <f>BD40</f>
        <v>0</v>
      </c>
      <c r="BF40" s="371">
        <v>0</v>
      </c>
      <c r="BG40" s="329">
        <v>0</v>
      </c>
      <c r="BH40" s="335">
        <v>0</v>
      </c>
      <c r="BI40" s="335">
        <f>BH40</f>
        <v>0</v>
      </c>
      <c r="BJ40" s="335">
        <v>0</v>
      </c>
      <c r="BK40" s="371">
        <v>0</v>
      </c>
      <c r="BL40" s="329">
        <v>0</v>
      </c>
      <c r="BM40" s="335">
        <f>BL40</f>
        <v>0</v>
      </c>
      <c r="BN40" s="335">
        <v>0</v>
      </c>
      <c r="BO40" s="335">
        <f>BN40</f>
        <v>0</v>
      </c>
      <c r="BP40" s="568">
        <f t="shared" si="103"/>
        <v>0</v>
      </c>
      <c r="BQ40" s="335">
        <v>0</v>
      </c>
      <c r="BR40" s="335">
        <v>0</v>
      </c>
      <c r="BS40" s="335">
        <v>0</v>
      </c>
      <c r="BT40" s="335">
        <v>0</v>
      </c>
      <c r="BU40" s="371">
        <f t="shared" si="104"/>
        <v>0</v>
      </c>
      <c r="BV40" s="329">
        <v>0</v>
      </c>
      <c r="BW40" s="335">
        <v>0</v>
      </c>
      <c r="BX40" s="335">
        <f>BW40</f>
        <v>0</v>
      </c>
      <c r="BY40" s="335">
        <f>BZ40</f>
        <v>0</v>
      </c>
      <c r="BZ40" s="371">
        <v>0</v>
      </c>
      <c r="CA40" s="329">
        <v>0</v>
      </c>
      <c r="CB40" s="335">
        <f>CA40</f>
        <v>0</v>
      </c>
      <c r="CC40" s="335">
        <f>CB40</f>
        <v>0</v>
      </c>
      <c r="CD40" s="335">
        <v>0</v>
      </c>
      <c r="CE40" s="568">
        <f t="shared" si="105"/>
        <v>0</v>
      </c>
      <c r="CF40" s="335">
        <v>0</v>
      </c>
      <c r="CG40" s="335">
        <v>0</v>
      </c>
      <c r="CH40" s="335">
        <f>CG40</f>
        <v>0</v>
      </c>
      <c r="CI40" s="335">
        <f>CH40</f>
        <v>0</v>
      </c>
      <c r="CJ40" s="371">
        <f t="shared" si="106"/>
        <v>0</v>
      </c>
      <c r="CK40" s="875">
        <f t="shared" si="152"/>
        <v>0</v>
      </c>
      <c r="CL40" s="335">
        <f t="shared" si="153"/>
        <v>0</v>
      </c>
      <c r="CM40" s="335">
        <f t="shared" si="154"/>
        <v>0</v>
      </c>
      <c r="CN40" s="335">
        <f t="shared" si="155"/>
        <v>0</v>
      </c>
      <c r="CO40" s="371">
        <v>0</v>
      </c>
      <c r="CP40" s="875">
        <f t="shared" si="156"/>
        <v>0</v>
      </c>
      <c r="CQ40" s="335">
        <f t="shared" si="157"/>
        <v>0</v>
      </c>
      <c r="CR40" s="335">
        <f t="shared" si="158"/>
        <v>0</v>
      </c>
      <c r="CS40" s="335">
        <f t="shared" si="159"/>
        <v>0</v>
      </c>
      <c r="CT40" s="371">
        <v>0</v>
      </c>
      <c r="CU40" s="335">
        <v>0</v>
      </c>
      <c r="CV40" s="335">
        <v>0</v>
      </c>
      <c r="CW40" s="335">
        <v>0</v>
      </c>
      <c r="CX40" s="335">
        <f t="shared" ref="CX40" si="163">CW40</f>
        <v>0</v>
      </c>
      <c r="CY40" s="2039">
        <f t="shared" ref="CY40" si="164">CX40</f>
        <v>0</v>
      </c>
      <c r="CZ40" s="335">
        <f>CX40</f>
        <v>0</v>
      </c>
      <c r="DA40" s="335">
        <f t="shared" ref="DA40:DB40" si="165">CZ40</f>
        <v>0</v>
      </c>
      <c r="DB40" s="335">
        <f t="shared" si="165"/>
        <v>0</v>
      </c>
      <c r="DC40" s="335">
        <v>0</v>
      </c>
      <c r="DD40" s="371">
        <f t="shared" si="107"/>
        <v>0</v>
      </c>
      <c r="DE40" s="210">
        <f>DC40</f>
        <v>0</v>
      </c>
      <c r="DF40" s="210">
        <f t="shared" ref="DF40" si="166">DE40</f>
        <v>0</v>
      </c>
      <c r="DG40" s="210">
        <f t="shared" ref="DG40" si="167">DF40</f>
        <v>0</v>
      </c>
      <c r="DH40" s="210">
        <f t="shared" ref="DH40" si="168">DG40</f>
        <v>0</v>
      </c>
      <c r="DI40" s="211">
        <f t="shared" si="160"/>
        <v>0</v>
      </c>
      <c r="DJ40" s="210">
        <f>DH40</f>
        <v>0</v>
      </c>
      <c r="DK40" s="210">
        <f t="shared" ref="DK40:DM40" si="169">DJ40</f>
        <v>0</v>
      </c>
      <c r="DL40" s="210">
        <f t="shared" si="169"/>
        <v>0</v>
      </c>
      <c r="DM40" s="210">
        <f t="shared" si="169"/>
        <v>0</v>
      </c>
      <c r="DN40" s="211">
        <f t="shared" si="109"/>
        <v>0</v>
      </c>
      <c r="DO40" s="210">
        <f>DM40</f>
        <v>0</v>
      </c>
      <c r="DP40" s="210">
        <f t="shared" ref="DP40:DR40" si="170">DO40</f>
        <v>0</v>
      </c>
      <c r="DQ40" s="210">
        <f t="shared" si="170"/>
        <v>0</v>
      </c>
      <c r="DR40" s="210">
        <f t="shared" si="170"/>
        <v>0</v>
      </c>
      <c r="DS40" s="211">
        <f t="shared" si="110"/>
        <v>0</v>
      </c>
      <c r="DT40" s="210">
        <f>DR40</f>
        <v>0</v>
      </c>
      <c r="DU40" s="210">
        <f t="shared" ref="DU40" si="171">DT40</f>
        <v>0</v>
      </c>
      <c r="DV40" s="210">
        <f t="shared" ref="DV40" si="172">DU40</f>
        <v>0</v>
      </c>
      <c r="DW40" s="210">
        <f t="shared" ref="DW40" si="173">DV40</f>
        <v>0</v>
      </c>
      <c r="DX40" s="211">
        <f t="shared" si="161"/>
        <v>0</v>
      </c>
      <c r="DY40" s="210">
        <f>DW40</f>
        <v>0</v>
      </c>
      <c r="DZ40" s="210">
        <f t="shared" ref="DZ40" si="174">DY40</f>
        <v>0</v>
      </c>
      <c r="EA40" s="210">
        <f t="shared" ref="EA40" si="175">DZ40</f>
        <v>0</v>
      </c>
      <c r="EB40" s="210">
        <f t="shared" ref="EB40" si="176">EA40</f>
        <v>0</v>
      </c>
      <c r="EC40" s="211">
        <f t="shared" si="162"/>
        <v>0</v>
      </c>
      <c r="ED40" s="469"/>
      <c r="EE40" s="172"/>
      <c r="EF40"/>
      <c r="EG40"/>
      <c r="EH40"/>
      <c r="EI40"/>
      <c r="EJ40"/>
      <c r="EK40"/>
      <c r="EL40"/>
      <c r="EM40"/>
      <c r="EN40"/>
      <c r="EO40"/>
      <c r="EP40"/>
      <c r="EQ40"/>
      <c r="ER40"/>
      <c r="ES40"/>
      <c r="ET40"/>
      <c r="EU40"/>
      <c r="EV40"/>
      <c r="EW40"/>
      <c r="EX40"/>
      <c r="EY40"/>
      <c r="EZ40"/>
      <c r="FA40"/>
    </row>
    <row r="41" spans="1:157" s="179" customFormat="1" x14ac:dyDescent="0.2">
      <c r="A41" s="450" t="s">
        <v>551</v>
      </c>
      <c r="G41" s="180"/>
      <c r="H41" s="238">
        <f>SUM(H36:H40)</f>
        <v>6718</v>
      </c>
      <c r="I41" s="239"/>
      <c r="J41" s="239"/>
      <c r="K41" s="239"/>
      <c r="L41" s="240"/>
      <c r="M41" s="238">
        <f>SUM(M36:M40)</f>
        <v>5694</v>
      </c>
      <c r="N41" s="216">
        <f>SUM(N36:N40)</f>
        <v>5467</v>
      </c>
      <c r="O41" s="216">
        <f>SUM(O36:O40)</f>
        <v>5240</v>
      </c>
      <c r="P41" s="216">
        <f>SUM(P36:P40)</f>
        <v>4869</v>
      </c>
      <c r="Q41" s="216">
        <f>SUM(Q36:Q40)</f>
        <v>4521</v>
      </c>
      <c r="R41" s="218">
        <f t="shared" si="127"/>
        <v>4521</v>
      </c>
      <c r="S41" s="216">
        <f>SUM(S36:S40)</f>
        <v>4900</v>
      </c>
      <c r="T41" s="216">
        <f>SUM(T36:T40)</f>
        <v>4819</v>
      </c>
      <c r="U41" s="216">
        <f>SUM(U36:U40)</f>
        <v>4744</v>
      </c>
      <c r="V41" s="216">
        <f>SUM(V36:V40)</f>
        <v>4471</v>
      </c>
      <c r="W41" s="218">
        <f t="shared" si="128"/>
        <v>4471</v>
      </c>
      <c r="X41" s="215">
        <f>SUM(X36:X40)</f>
        <v>4516</v>
      </c>
      <c r="Y41" s="216">
        <f>SUM(Y36:Y40)</f>
        <v>4474</v>
      </c>
      <c r="Z41" s="216">
        <f>SUM(Z36:Z40)</f>
        <v>4430</v>
      </c>
      <c r="AA41" s="216">
        <f>SUM(AA36:AA40)</f>
        <v>4284</v>
      </c>
      <c r="AB41" s="218">
        <f t="shared" si="129"/>
        <v>4284</v>
      </c>
      <c r="AC41" s="216">
        <f>SUM(AC36:AC40)</f>
        <v>4138</v>
      </c>
      <c r="AD41" s="216">
        <f>SUM(AD36:AD40)</f>
        <v>4677</v>
      </c>
      <c r="AE41" s="216">
        <f>SUM(AE36:AE40)</f>
        <v>4625</v>
      </c>
      <c r="AF41" s="216">
        <f>SUM(AF36:AF40)</f>
        <v>4806</v>
      </c>
      <c r="AG41" s="218">
        <f t="shared" si="130"/>
        <v>4806</v>
      </c>
      <c r="AH41" s="216">
        <f>SUM(AH36:AH40)</f>
        <v>4848</v>
      </c>
      <c r="AI41" s="216">
        <f>SUM(AI36:AI40)</f>
        <v>4779</v>
      </c>
      <c r="AJ41" s="216">
        <f>SUM(AJ36:AJ40)</f>
        <v>4652</v>
      </c>
      <c r="AK41" s="216">
        <f>SUM(AK36:AK40)</f>
        <v>4500</v>
      </c>
      <c r="AL41" s="218">
        <f t="shared" si="131"/>
        <v>4500</v>
      </c>
      <c r="AM41" s="216">
        <f>SUM(AM36:AM40)</f>
        <v>4502</v>
      </c>
      <c r="AN41" s="216">
        <f>SUM(AN36:AN40)</f>
        <v>4410</v>
      </c>
      <c r="AO41" s="216">
        <f>SUM(AO36:AO40)</f>
        <v>4470</v>
      </c>
      <c r="AP41" s="216">
        <f>SUM(AP36:AP40)</f>
        <v>4101</v>
      </c>
      <c r="AQ41" s="218">
        <f t="shared" si="132"/>
        <v>4101</v>
      </c>
      <c r="AR41" s="216">
        <f>SUM(AR36:AR40)</f>
        <v>4090</v>
      </c>
      <c r="AS41" s="216">
        <f>SUM(AS36:AS40)</f>
        <v>4128</v>
      </c>
      <c r="AT41" s="216">
        <f>SUM(AT36:AT40)</f>
        <v>4274</v>
      </c>
      <c r="AU41" s="216">
        <f>SUM(AU36:AU40)</f>
        <v>4249</v>
      </c>
      <c r="AV41" s="215">
        <f>SUM(AV36:AV40)</f>
        <v>4249</v>
      </c>
      <c r="AW41" s="215">
        <f>SUM(AW36:AW39)</f>
        <v>4387</v>
      </c>
      <c r="AX41" s="216">
        <f>SUM(AX36:AX39)</f>
        <v>4459</v>
      </c>
      <c r="AY41" s="216">
        <f>SUM(AY36:AY39)</f>
        <v>4573</v>
      </c>
      <c r="AZ41" s="216">
        <f>SUM(AZ36:AZ39)</f>
        <v>4944</v>
      </c>
      <c r="BA41" s="218">
        <f>SUM(BA36:BA39)</f>
        <v>4944</v>
      </c>
      <c r="BB41" s="215">
        <f>0+(SUM(BB36:BB40))</f>
        <v>4885</v>
      </c>
      <c r="BC41" s="216">
        <f>0+(SUM(BC36:BC40))</f>
        <v>4973</v>
      </c>
      <c r="BD41" s="216">
        <f>0+(SUM(BD36:BD40))</f>
        <v>5176</v>
      </c>
      <c r="BE41" s="216">
        <f>0+(SUM(BE36:BE40))</f>
        <v>6103</v>
      </c>
      <c r="BF41" s="218">
        <f>BE41</f>
        <v>6103</v>
      </c>
      <c r="BG41" s="215">
        <f t="shared" ref="BG41:BO41" si="177">0+(SUM(BG36:BG40))</f>
        <v>6534</v>
      </c>
      <c r="BH41" s="216">
        <f t="shared" si="177"/>
        <v>6244</v>
      </c>
      <c r="BI41" s="216">
        <f t="shared" si="177"/>
        <v>6454</v>
      </c>
      <c r="BJ41" s="216">
        <f t="shared" si="177"/>
        <v>6618</v>
      </c>
      <c r="BK41" s="218">
        <f t="shared" si="177"/>
        <v>6618</v>
      </c>
      <c r="BL41" s="215">
        <f t="shared" si="177"/>
        <v>6394</v>
      </c>
      <c r="BM41" s="216">
        <f t="shared" si="177"/>
        <v>6367</v>
      </c>
      <c r="BN41" s="216">
        <f t="shared" si="177"/>
        <v>6132</v>
      </c>
      <c r="BO41" s="216">
        <f t="shared" si="177"/>
        <v>6034</v>
      </c>
      <c r="BP41" s="572">
        <f t="shared" si="103"/>
        <v>6034</v>
      </c>
      <c r="BQ41" s="216">
        <f>0+(SUM(BQ36:BQ40))</f>
        <v>6024</v>
      </c>
      <c r="BR41" s="216">
        <f>0+(SUM(BR36:BR40))</f>
        <v>5919</v>
      </c>
      <c r="BS41" s="216">
        <f>0+(SUM(BS36:BS40))</f>
        <v>6445</v>
      </c>
      <c r="BT41" s="216">
        <f>0+(SUM(BT36:BT40))</f>
        <v>6647</v>
      </c>
      <c r="BU41" s="218">
        <f t="shared" si="104"/>
        <v>6647</v>
      </c>
      <c r="BV41" s="215">
        <f>0+(SUM(BV36:BV40))</f>
        <v>6567</v>
      </c>
      <c r="BW41" s="216">
        <f>0+(SUM(BW36:BW40))</f>
        <v>6319</v>
      </c>
      <c r="BX41" s="216">
        <f>0+(SUM(BX36:BX40))</f>
        <v>6466</v>
      </c>
      <c r="BY41" s="216">
        <f>0+(SUM(BY36:BY40))</f>
        <v>6918</v>
      </c>
      <c r="BZ41" s="218">
        <f>BY41</f>
        <v>6918</v>
      </c>
      <c r="CA41" s="215">
        <f>0+(SUM(CA36:CA40))</f>
        <v>7064</v>
      </c>
      <c r="CB41" s="216">
        <f>0+(SUM(CB36:CB40))</f>
        <v>6905</v>
      </c>
      <c r="CC41" s="216">
        <f>0+(SUM(CC36:CC40))</f>
        <v>6635</v>
      </c>
      <c r="CD41" s="216">
        <f>0+(SUM(CD36:CD40))</f>
        <v>6699</v>
      </c>
      <c r="CE41" s="572">
        <f t="shared" si="105"/>
        <v>6699</v>
      </c>
      <c r="CF41" s="216">
        <f>0+(SUM(CF36:CF40))</f>
        <v>6528</v>
      </c>
      <c r="CG41" s="216">
        <f>0+(SUM(CG36:CG40))</f>
        <v>6420</v>
      </c>
      <c r="CH41" s="216">
        <f>0+(SUM(CH36:CH40))</f>
        <v>6430</v>
      </c>
      <c r="CI41" s="216">
        <f>0+(SUM(CI36:CI40))</f>
        <v>6427</v>
      </c>
      <c r="CJ41" s="218">
        <f t="shared" si="106"/>
        <v>6427</v>
      </c>
      <c r="CK41" s="876">
        <f t="shared" ref="CK41:CS41" si="178">0+(SUM(CK36:CK40))</f>
        <v>5429</v>
      </c>
      <c r="CL41" s="216">
        <f t="shared" si="178"/>
        <v>5429</v>
      </c>
      <c r="CM41" s="216">
        <f t="shared" si="178"/>
        <v>5429</v>
      </c>
      <c r="CN41" s="216">
        <f t="shared" si="178"/>
        <v>5429</v>
      </c>
      <c r="CO41" s="218">
        <v>5429</v>
      </c>
      <c r="CP41" s="876">
        <f t="shared" si="178"/>
        <v>5884</v>
      </c>
      <c r="CQ41" s="216">
        <f t="shared" si="178"/>
        <v>5884</v>
      </c>
      <c r="CR41" s="216">
        <f t="shared" si="178"/>
        <v>5884</v>
      </c>
      <c r="CS41" s="216">
        <f t="shared" si="178"/>
        <v>5884</v>
      </c>
      <c r="CT41" s="218">
        <v>5884</v>
      </c>
      <c r="CU41" s="216">
        <f t="shared" ref="CU41:DC41" si="179">0+(SUM(CU36:CU40))</f>
        <v>6769</v>
      </c>
      <c r="CV41" s="216">
        <f t="shared" si="179"/>
        <v>7280</v>
      </c>
      <c r="CW41" s="216">
        <f t="shared" si="179"/>
        <v>10983</v>
      </c>
      <c r="CX41" s="216">
        <f t="shared" si="179"/>
        <v>11134</v>
      </c>
      <c r="CY41" s="218">
        <f t="shared" si="179"/>
        <v>11134</v>
      </c>
      <c r="CZ41" s="216">
        <f t="shared" si="179"/>
        <v>10963</v>
      </c>
      <c r="DA41" s="216">
        <f t="shared" si="179"/>
        <v>11698</v>
      </c>
      <c r="DB41" s="216">
        <f t="shared" si="179"/>
        <v>11575</v>
      </c>
      <c r="DC41" s="216">
        <f t="shared" si="179"/>
        <v>11645</v>
      </c>
      <c r="DD41" s="218">
        <f t="shared" si="107"/>
        <v>11645</v>
      </c>
      <c r="DE41" s="219">
        <f>0+(SUM(DE36:DE40))</f>
        <v>11660.65177389378</v>
      </c>
      <c r="DF41" s="219">
        <f>0+(SUM(DF36:DF40))</f>
        <v>11623.79906138375</v>
      </c>
      <c r="DG41" s="219">
        <f>0+(SUM(DG36:DG40))</f>
        <v>11593.883432452099</v>
      </c>
      <c r="DH41" s="219">
        <f>0+(SUM(DH36:DH40))</f>
        <v>11811.300407624944</v>
      </c>
      <c r="DI41" s="241">
        <f t="shared" si="160"/>
        <v>11811.300407624944</v>
      </c>
      <c r="DJ41" s="219">
        <f>0+(SUM(DJ36:DJ40))</f>
        <v>11471.619301530274</v>
      </c>
      <c r="DK41" s="219">
        <f>0+(SUM(DK36:DK40))</f>
        <v>11455.71277004136</v>
      </c>
      <c r="DL41" s="219">
        <f>0+(SUM(DL36:DL40))</f>
        <v>11436.860726495392</v>
      </c>
      <c r="DM41" s="219">
        <f>0+(SUM(DM36:DM40))</f>
        <v>11799.938280655528</v>
      </c>
      <c r="DN41" s="241">
        <f t="shared" si="109"/>
        <v>11799.938280655528</v>
      </c>
      <c r="DO41" s="219">
        <f>0+(SUM(DO36:DO40))</f>
        <v>11401.522488168459</v>
      </c>
      <c r="DP41" s="219">
        <f>0+(SUM(DP36:DP40))</f>
        <v>11420.747610895742</v>
      </c>
      <c r="DQ41" s="219">
        <f>0+(SUM(DQ36:DQ40))</f>
        <v>11436.997321078848</v>
      </c>
      <c r="DR41" s="219">
        <f>0+(SUM(DR36:DR40))</f>
        <v>11886.891093282908</v>
      </c>
      <c r="DS41" s="241">
        <f t="shared" si="110"/>
        <v>11886.891093282908</v>
      </c>
      <c r="DT41" s="219">
        <f>0+(SUM(DT36:DT40))</f>
        <v>11466.88882748632</v>
      </c>
      <c r="DU41" s="219">
        <f>0+(SUM(DU36:DU40))</f>
        <v>11491.829287261653</v>
      </c>
      <c r="DV41" s="219">
        <f>0+(SUM(DV36:DV40))</f>
        <v>11509.896834322739</v>
      </c>
      <c r="DW41" s="219">
        <f>0+(SUM(DW36:DW40))</f>
        <v>12028.492943313206</v>
      </c>
      <c r="DX41" s="241">
        <f t="shared" si="161"/>
        <v>12028.492943313206</v>
      </c>
      <c r="DY41" s="219">
        <f>0+(SUM(DY36:DY40))</f>
        <v>11550.350746384467</v>
      </c>
      <c r="DZ41" s="219">
        <f>0+(SUM(DZ36:DZ40))</f>
        <v>11587.044943334133</v>
      </c>
      <c r="EA41" s="219">
        <f>0+(SUM(EA36:EA40))</f>
        <v>11612.451008586435</v>
      </c>
      <c r="EB41" s="219">
        <f>0+(SUM(EB36:EB40))</f>
        <v>12227.311367192182</v>
      </c>
      <c r="EC41" s="241">
        <f t="shared" si="162"/>
        <v>12227.311367192182</v>
      </c>
      <c r="ED41" s="469"/>
      <c r="EE41" s="172"/>
      <c r="EF41"/>
      <c r="EG41"/>
      <c r="EH41"/>
      <c r="EI41"/>
      <c r="EJ41"/>
      <c r="EK41"/>
      <c r="EL41"/>
      <c r="EM41"/>
      <c r="EN41"/>
      <c r="EO41"/>
      <c r="EP41"/>
      <c r="EQ41"/>
      <c r="ER41"/>
      <c r="ES41"/>
      <c r="ET41"/>
      <c r="EU41"/>
      <c r="EV41"/>
      <c r="EW41"/>
      <c r="EX41"/>
      <c r="EY41"/>
      <c r="EZ41"/>
      <c r="FA41"/>
    </row>
    <row r="42" spans="1:157" s="179" customFormat="1" ht="2.1" customHeight="1" x14ac:dyDescent="0.2">
      <c r="A42" s="450"/>
      <c r="G42" s="180"/>
      <c r="H42" s="238"/>
      <c r="I42" s="239"/>
      <c r="J42" s="239"/>
      <c r="K42" s="239"/>
      <c r="L42" s="240"/>
      <c r="M42" s="238"/>
      <c r="N42" s="216"/>
      <c r="O42" s="216"/>
      <c r="P42" s="216"/>
      <c r="Q42" s="216"/>
      <c r="R42" s="218"/>
      <c r="S42" s="216"/>
      <c r="T42" s="216"/>
      <c r="U42" s="216"/>
      <c r="V42" s="216"/>
      <c r="W42" s="218"/>
      <c r="X42" s="215"/>
      <c r="Y42" s="216"/>
      <c r="Z42" s="216"/>
      <c r="AA42" s="216"/>
      <c r="AB42" s="218"/>
      <c r="AC42" s="216"/>
      <c r="AD42" s="216"/>
      <c r="AE42" s="216"/>
      <c r="AF42" s="216"/>
      <c r="AG42" s="218"/>
      <c r="AH42" s="216"/>
      <c r="AI42" s="216"/>
      <c r="AJ42" s="216"/>
      <c r="AK42" s="216"/>
      <c r="AL42" s="218"/>
      <c r="AM42" s="216"/>
      <c r="AN42" s="216"/>
      <c r="AO42" s="216"/>
      <c r="AP42" s="216"/>
      <c r="AQ42" s="218"/>
      <c r="AR42" s="216"/>
      <c r="AS42" s="216"/>
      <c r="AT42" s="216"/>
      <c r="AU42" s="216"/>
      <c r="AV42" s="215"/>
      <c r="AW42" s="215"/>
      <c r="AX42" s="216"/>
      <c r="AY42" s="216"/>
      <c r="AZ42" s="216"/>
      <c r="BA42" s="218"/>
      <c r="BB42" s="215"/>
      <c r="BC42" s="216"/>
      <c r="BD42" s="216"/>
      <c r="BE42" s="216"/>
      <c r="BF42" s="218"/>
      <c r="BG42" s="215"/>
      <c r="BH42" s="216"/>
      <c r="BI42" s="216"/>
      <c r="BJ42" s="216"/>
      <c r="BK42" s="218"/>
      <c r="BL42" s="215"/>
      <c r="BM42" s="216"/>
      <c r="BN42" s="216"/>
      <c r="BO42" s="216"/>
      <c r="BP42" s="572"/>
      <c r="BQ42" s="216"/>
      <c r="BR42" s="216"/>
      <c r="BS42" s="216"/>
      <c r="BT42" s="216"/>
      <c r="BU42" s="218"/>
      <c r="BV42" s="215"/>
      <c r="BW42" s="216"/>
      <c r="BX42" s="216"/>
      <c r="BY42" s="216"/>
      <c r="BZ42" s="218"/>
      <c r="CA42" s="215"/>
      <c r="CB42" s="216"/>
      <c r="CC42" s="216"/>
      <c r="CD42" s="216"/>
      <c r="CE42" s="572"/>
      <c r="CF42" s="216"/>
      <c r="CG42" s="219"/>
      <c r="CH42" s="216"/>
      <c r="CI42" s="216"/>
      <c r="CJ42" s="218"/>
      <c r="CK42" s="876"/>
      <c r="CL42" s="216"/>
      <c r="CM42" s="216"/>
      <c r="CN42" s="216"/>
      <c r="CO42" s="218"/>
      <c r="CP42" s="876"/>
      <c r="CQ42" s="216"/>
      <c r="CR42" s="216"/>
      <c r="CS42" s="216"/>
      <c r="CT42" s="218"/>
      <c r="CU42" s="216">
        <v>0</v>
      </c>
      <c r="CV42" s="216">
        <v>0</v>
      </c>
      <c r="CW42" s="216">
        <v>0</v>
      </c>
      <c r="CX42" s="216"/>
      <c r="CY42" s="2041"/>
      <c r="CZ42" s="216"/>
      <c r="DA42" s="219"/>
      <c r="DB42" s="216"/>
      <c r="DC42" s="216"/>
      <c r="DD42" s="218"/>
      <c r="DE42" s="219"/>
      <c r="DF42" s="219"/>
      <c r="DG42" s="219"/>
      <c r="DH42" s="219"/>
      <c r="DI42" s="241"/>
      <c r="DJ42" s="219"/>
      <c r="DK42" s="219"/>
      <c r="DL42" s="219"/>
      <c r="DM42" s="219"/>
      <c r="DN42" s="241"/>
      <c r="DO42" s="219"/>
      <c r="DP42" s="219"/>
      <c r="DQ42" s="219"/>
      <c r="DR42" s="219"/>
      <c r="DS42" s="241"/>
      <c r="DT42" s="219"/>
      <c r="DU42" s="219"/>
      <c r="DV42" s="219"/>
      <c r="DW42" s="219"/>
      <c r="DX42" s="241"/>
      <c r="DY42" s="219"/>
      <c r="DZ42" s="219"/>
      <c r="EA42" s="219"/>
      <c r="EB42" s="219"/>
      <c r="EC42" s="241"/>
      <c r="ED42" s="469"/>
      <c r="EE42" s="172"/>
      <c r="EF42"/>
      <c r="EG42"/>
      <c r="EH42"/>
      <c r="EI42"/>
      <c r="EJ42"/>
      <c r="EK42"/>
      <c r="EL42"/>
      <c r="EM42"/>
      <c r="EN42"/>
      <c r="EO42"/>
      <c r="EP42"/>
      <c r="EQ42"/>
      <c r="ER42"/>
      <c r="ES42"/>
      <c r="ET42"/>
      <c r="EU42"/>
      <c r="EV42"/>
      <c r="EW42"/>
      <c r="EX42"/>
      <c r="EY42"/>
      <c r="EZ42"/>
      <c r="FA42"/>
    </row>
    <row r="43" spans="1:157" s="172" customFormat="1" x14ac:dyDescent="0.2">
      <c r="A43" s="451" t="s">
        <v>349</v>
      </c>
      <c r="G43" s="182"/>
      <c r="H43" s="221"/>
      <c r="I43" s="222"/>
      <c r="J43" s="222"/>
      <c r="K43" s="222"/>
      <c r="L43" s="408"/>
      <c r="M43" s="221"/>
      <c r="N43" s="196"/>
      <c r="O43" s="196"/>
      <c r="P43" s="196"/>
      <c r="Q43" s="196"/>
      <c r="R43" s="194"/>
      <c r="S43" s="196"/>
      <c r="T43" s="196"/>
      <c r="U43" s="196"/>
      <c r="V43" s="196"/>
      <c r="W43" s="194"/>
      <c r="X43" s="195"/>
      <c r="Y43" s="196"/>
      <c r="Z43" s="196"/>
      <c r="AA43" s="196"/>
      <c r="AB43" s="194"/>
      <c r="AC43" s="196"/>
      <c r="AD43" s="196"/>
      <c r="AE43" s="196"/>
      <c r="AF43" s="196"/>
      <c r="AG43" s="194"/>
      <c r="AH43" s="196"/>
      <c r="AI43" s="196"/>
      <c r="AJ43" s="196"/>
      <c r="AK43" s="196"/>
      <c r="AL43" s="194"/>
      <c r="AM43" s="196"/>
      <c r="AN43" s="196"/>
      <c r="AO43" s="196"/>
      <c r="AP43" s="196"/>
      <c r="AQ43" s="194">
        <v>0</v>
      </c>
      <c r="AR43" s="196">
        <v>0</v>
      </c>
      <c r="AS43" s="196"/>
      <c r="AT43" s="196">
        <v>0</v>
      </c>
      <c r="AU43" s="196">
        <v>0</v>
      </c>
      <c r="AV43" s="195">
        <v>0</v>
      </c>
      <c r="AW43" s="195">
        <v>0</v>
      </c>
      <c r="AX43" s="196">
        <v>0</v>
      </c>
      <c r="AY43" s="196">
        <v>0</v>
      </c>
      <c r="AZ43" s="197">
        <v>0</v>
      </c>
      <c r="BA43" s="194">
        <v>0</v>
      </c>
      <c r="BB43" s="195">
        <v>0</v>
      </c>
      <c r="BC43" s="196">
        <v>0</v>
      </c>
      <c r="BD43" s="196">
        <v>0</v>
      </c>
      <c r="BE43" s="196">
        <v>0</v>
      </c>
      <c r="BF43" s="194">
        <v>0</v>
      </c>
      <c r="BG43" s="195">
        <v>0</v>
      </c>
      <c r="BH43" s="196">
        <v>0</v>
      </c>
      <c r="BI43" s="196">
        <v>0</v>
      </c>
      <c r="BJ43" s="196">
        <v>0</v>
      </c>
      <c r="BK43" s="194">
        <v>0</v>
      </c>
      <c r="BL43" s="195">
        <v>0</v>
      </c>
      <c r="BM43" s="196">
        <v>0</v>
      </c>
      <c r="BN43" s="196">
        <v>0</v>
      </c>
      <c r="BO43" s="196">
        <v>0</v>
      </c>
      <c r="BP43" s="566">
        <v>0</v>
      </c>
      <c r="BQ43" s="196">
        <v>0</v>
      </c>
      <c r="BR43" s="196">
        <v>0</v>
      </c>
      <c r="BS43" s="196">
        <v>0</v>
      </c>
      <c r="BT43" s="196">
        <v>0</v>
      </c>
      <c r="BU43" s="194">
        <v>0</v>
      </c>
      <c r="BV43" s="195">
        <v>0</v>
      </c>
      <c r="BW43" s="196">
        <v>0</v>
      </c>
      <c r="BX43" s="196">
        <v>0</v>
      </c>
      <c r="BY43" s="196">
        <f>BZ43</f>
        <v>0</v>
      </c>
      <c r="BZ43" s="194">
        <v>0</v>
      </c>
      <c r="CA43" s="195">
        <v>0</v>
      </c>
      <c r="CB43" s="196">
        <v>0</v>
      </c>
      <c r="CC43" s="196">
        <v>0</v>
      </c>
      <c r="CD43" s="196">
        <v>0</v>
      </c>
      <c r="CE43" s="566">
        <v>0</v>
      </c>
      <c r="CF43" s="196">
        <v>0</v>
      </c>
      <c r="CG43" s="196">
        <v>0</v>
      </c>
      <c r="CH43" s="196">
        <v>0</v>
      </c>
      <c r="CI43" s="196">
        <v>0</v>
      </c>
      <c r="CJ43" s="194">
        <v>0</v>
      </c>
      <c r="CK43" s="873">
        <f t="shared" ref="CK43:CK51" si="180">CO43</f>
        <v>0</v>
      </c>
      <c r="CL43" s="196">
        <f t="shared" ref="CL43:CL51" si="181">CO43</f>
        <v>0</v>
      </c>
      <c r="CM43" s="196">
        <f t="shared" ref="CM43:CM51" si="182">CO43</f>
        <v>0</v>
      </c>
      <c r="CN43" s="196">
        <f t="shared" ref="CN43:CN51" si="183">CO43</f>
        <v>0</v>
      </c>
      <c r="CO43" s="194">
        <v>0</v>
      </c>
      <c r="CP43" s="873">
        <f t="shared" ref="CP43:CP51" si="184">CT43</f>
        <v>0</v>
      </c>
      <c r="CQ43" s="196">
        <f t="shared" ref="CQ43:CQ51" si="185">CT43</f>
        <v>0</v>
      </c>
      <c r="CR43" s="196">
        <f t="shared" ref="CR43:CR51" si="186">CT43</f>
        <v>0</v>
      </c>
      <c r="CS43" s="196">
        <f t="shared" ref="CS43:CS51" si="187">CT43</f>
        <v>0</v>
      </c>
      <c r="CT43" s="194">
        <v>0</v>
      </c>
      <c r="CU43" s="196">
        <v>0</v>
      </c>
      <c r="CV43" s="196">
        <v>0</v>
      </c>
      <c r="CW43" s="196">
        <v>0</v>
      </c>
      <c r="CX43" s="196">
        <v>0</v>
      </c>
      <c r="CY43" s="2035">
        <v>0</v>
      </c>
      <c r="CZ43" s="196">
        <v>0</v>
      </c>
      <c r="DA43" s="196">
        <v>0</v>
      </c>
      <c r="DB43" s="196">
        <v>0</v>
      </c>
      <c r="DC43" s="196">
        <v>0</v>
      </c>
      <c r="DD43" s="194">
        <v>0</v>
      </c>
      <c r="DE43" s="199">
        <v>0</v>
      </c>
      <c r="DF43" s="199">
        <v>0</v>
      </c>
      <c r="DG43" s="199">
        <v>0</v>
      </c>
      <c r="DH43" s="199">
        <v>0</v>
      </c>
      <c r="DI43" s="200">
        <v>0</v>
      </c>
      <c r="DJ43" s="199">
        <v>0</v>
      </c>
      <c r="DK43" s="199">
        <v>0</v>
      </c>
      <c r="DL43" s="199">
        <v>0</v>
      </c>
      <c r="DM43" s="199">
        <v>0</v>
      </c>
      <c r="DN43" s="200">
        <v>0</v>
      </c>
      <c r="DO43" s="199">
        <v>0</v>
      </c>
      <c r="DP43" s="199">
        <v>0</v>
      </c>
      <c r="DQ43" s="199">
        <v>0</v>
      </c>
      <c r="DR43" s="199">
        <v>0</v>
      </c>
      <c r="DS43" s="200">
        <v>0</v>
      </c>
      <c r="DT43" s="199">
        <v>0</v>
      </c>
      <c r="DU43" s="199">
        <v>0</v>
      </c>
      <c r="DV43" s="199">
        <v>0</v>
      </c>
      <c r="DW43" s="199">
        <v>0</v>
      </c>
      <c r="DX43" s="200">
        <v>0</v>
      </c>
      <c r="DY43" s="199">
        <v>0</v>
      </c>
      <c r="DZ43" s="199">
        <v>0</v>
      </c>
      <c r="EA43" s="199">
        <v>0</v>
      </c>
      <c r="EB43" s="199">
        <v>0</v>
      </c>
      <c r="EC43" s="200">
        <v>0</v>
      </c>
      <c r="ED43" s="469"/>
      <c r="EF43"/>
      <c r="EG43"/>
      <c r="EH43"/>
      <c r="EI43"/>
      <c r="EJ43"/>
      <c r="EK43"/>
      <c r="EL43"/>
      <c r="EM43"/>
      <c r="EN43"/>
      <c r="EO43"/>
      <c r="EP43"/>
      <c r="EQ43"/>
      <c r="ER43"/>
      <c r="ES43"/>
      <c r="ET43"/>
      <c r="EU43"/>
      <c r="EV43"/>
      <c r="EW43"/>
      <c r="EX43"/>
      <c r="EY43"/>
      <c r="EZ43"/>
      <c r="FA43"/>
    </row>
    <row r="44" spans="1:157" s="172" customFormat="1" x14ac:dyDescent="0.2">
      <c r="A44" s="451" t="s">
        <v>350</v>
      </c>
      <c r="G44" s="182"/>
      <c r="H44" s="221"/>
      <c r="I44" s="222"/>
      <c r="J44" s="222"/>
      <c r="K44" s="222"/>
      <c r="L44" s="408"/>
      <c r="M44" s="221"/>
      <c r="N44" s="196"/>
      <c r="O44" s="196"/>
      <c r="P44" s="196"/>
      <c r="Q44" s="196"/>
      <c r="R44" s="194"/>
      <c r="S44" s="196"/>
      <c r="T44" s="196"/>
      <c r="U44" s="196"/>
      <c r="V44" s="196"/>
      <c r="W44" s="194"/>
      <c r="X44" s="195"/>
      <c r="Y44" s="196"/>
      <c r="Z44" s="196"/>
      <c r="AA44" s="196"/>
      <c r="AB44" s="194"/>
      <c r="AC44" s="196"/>
      <c r="AD44" s="196"/>
      <c r="AE44" s="196"/>
      <c r="AF44" s="196"/>
      <c r="AG44" s="194"/>
      <c r="AH44" s="196"/>
      <c r="AI44" s="196"/>
      <c r="AJ44" s="196"/>
      <c r="AK44" s="196"/>
      <c r="AL44" s="194"/>
      <c r="AM44" s="196"/>
      <c r="AN44" s="196"/>
      <c r="AO44" s="196"/>
      <c r="AP44" s="196"/>
      <c r="AQ44" s="194">
        <v>659</v>
      </c>
      <c r="AR44" s="196">
        <v>628</v>
      </c>
      <c r="AS44" s="196">
        <v>328</v>
      </c>
      <c r="AT44" s="196">
        <v>174</v>
      </c>
      <c r="AU44" s="196">
        <v>0</v>
      </c>
      <c r="AV44" s="195">
        <v>0</v>
      </c>
      <c r="AW44" s="195">
        <v>0</v>
      </c>
      <c r="AX44" s="196">
        <v>0</v>
      </c>
      <c r="AY44" s="196">
        <v>0</v>
      </c>
      <c r="AZ44" s="197">
        <v>0</v>
      </c>
      <c r="BA44" s="194">
        <v>0</v>
      </c>
      <c r="BB44" s="195">
        <v>0</v>
      </c>
      <c r="BC44" s="196">
        <v>0</v>
      </c>
      <c r="BD44" s="196">
        <v>0</v>
      </c>
      <c r="BE44" s="196">
        <v>0</v>
      </c>
      <c r="BF44" s="194">
        <v>0</v>
      </c>
      <c r="BG44" s="195">
        <v>0</v>
      </c>
      <c r="BH44" s="196">
        <v>51</v>
      </c>
      <c r="BI44" s="196">
        <v>9</v>
      </c>
      <c r="BJ44" s="196">
        <v>7</v>
      </c>
      <c r="BK44" s="194">
        <v>7</v>
      </c>
      <c r="BL44" s="195">
        <v>63</v>
      </c>
      <c r="BM44" s="196">
        <v>170</v>
      </c>
      <c r="BN44" s="196">
        <v>202</v>
      </c>
      <c r="BO44" s="196">
        <v>253</v>
      </c>
      <c r="BP44" s="566">
        <f>BO44</f>
        <v>253</v>
      </c>
      <c r="BQ44" s="196">
        <v>154</v>
      </c>
      <c r="BR44" s="196">
        <v>87</v>
      </c>
      <c r="BS44" s="196">
        <v>112</v>
      </c>
      <c r="BT44" s="196">
        <v>86</v>
      </c>
      <c r="BU44" s="194">
        <f>BT44</f>
        <v>86</v>
      </c>
      <c r="BV44" s="195">
        <v>0</v>
      </c>
      <c r="BW44" s="196">
        <v>0</v>
      </c>
      <c r="BX44" s="196">
        <v>0</v>
      </c>
      <c r="BY44" s="196">
        <f>BZ44</f>
        <v>18</v>
      </c>
      <c r="BZ44" s="194">
        <v>18</v>
      </c>
      <c r="CA44" s="195">
        <v>5</v>
      </c>
      <c r="CB44" s="196">
        <v>0</v>
      </c>
      <c r="CC44" s="196">
        <v>0</v>
      </c>
      <c r="CD44" s="196">
        <v>0</v>
      </c>
      <c r="CE44" s="566">
        <f>CD44</f>
        <v>0</v>
      </c>
      <c r="CF44" s="196">
        <f>CE44</f>
        <v>0</v>
      </c>
      <c r="CG44" s="196">
        <v>0</v>
      </c>
      <c r="CH44" s="196">
        <f>CG44</f>
        <v>0</v>
      </c>
      <c r="CI44" s="196">
        <v>0</v>
      </c>
      <c r="CJ44" s="194">
        <f t="shared" ref="CJ44" si="188">CI44</f>
        <v>0</v>
      </c>
      <c r="CK44" s="873">
        <f t="shared" si="180"/>
        <v>0</v>
      </c>
      <c r="CL44" s="196">
        <f t="shared" si="181"/>
        <v>0</v>
      </c>
      <c r="CM44" s="196">
        <f t="shared" si="182"/>
        <v>0</v>
      </c>
      <c r="CN44" s="196">
        <f t="shared" si="183"/>
        <v>0</v>
      </c>
      <c r="CO44" s="194">
        <v>0</v>
      </c>
      <c r="CP44" s="873">
        <f t="shared" si="184"/>
        <v>0</v>
      </c>
      <c r="CQ44" s="196">
        <f t="shared" si="185"/>
        <v>0</v>
      </c>
      <c r="CR44" s="196">
        <f t="shared" si="186"/>
        <v>0</v>
      </c>
      <c r="CS44" s="196">
        <f t="shared" si="187"/>
        <v>0</v>
      </c>
      <c r="CT44" s="194">
        <v>0</v>
      </c>
      <c r="CU44" s="196">
        <v>2</v>
      </c>
      <c r="CV44" s="196">
        <v>0.63</v>
      </c>
      <c r="CW44" s="196"/>
      <c r="CX44" s="196">
        <f t="shared" ref="CX44:CX45" si="189">CW44</f>
        <v>0</v>
      </c>
      <c r="CY44" s="2035">
        <f t="shared" ref="CY44:CY45" si="190">CX44</f>
        <v>0</v>
      </c>
      <c r="CZ44" s="196">
        <f t="shared" ref="CZ44:DS44" si="191">CY44</f>
        <v>0</v>
      </c>
      <c r="DA44" s="196">
        <v>0</v>
      </c>
      <c r="DB44" s="196">
        <f t="shared" si="191"/>
        <v>0</v>
      </c>
      <c r="DC44" s="196">
        <f t="shared" si="191"/>
        <v>0</v>
      </c>
      <c r="DD44" s="194">
        <f t="shared" si="191"/>
        <v>0</v>
      </c>
      <c r="DE44" s="199">
        <f>DD44</f>
        <v>0</v>
      </c>
      <c r="DF44" s="199">
        <f t="shared" ref="DF44:DF45" si="192">DE44</f>
        <v>0</v>
      </c>
      <c r="DG44" s="199">
        <f t="shared" ref="DG44:DG45" si="193">DF44</f>
        <v>0</v>
      </c>
      <c r="DH44" s="199">
        <f t="shared" ref="DH44:DH45" si="194">DG44</f>
        <v>0</v>
      </c>
      <c r="DI44" s="200">
        <f t="shared" ref="DI44:DI45" si="195">DH44</f>
        <v>0</v>
      </c>
      <c r="DJ44" s="199">
        <f t="shared" si="191"/>
        <v>0</v>
      </c>
      <c r="DK44" s="199">
        <f t="shared" si="191"/>
        <v>0</v>
      </c>
      <c r="DL44" s="199">
        <f t="shared" si="191"/>
        <v>0</v>
      </c>
      <c r="DM44" s="199">
        <f t="shared" si="191"/>
        <v>0</v>
      </c>
      <c r="DN44" s="200">
        <f t="shared" si="191"/>
        <v>0</v>
      </c>
      <c r="DO44" s="199">
        <f t="shared" si="191"/>
        <v>0</v>
      </c>
      <c r="DP44" s="199">
        <f t="shared" si="191"/>
        <v>0</v>
      </c>
      <c r="DQ44" s="199">
        <f t="shared" si="191"/>
        <v>0</v>
      </c>
      <c r="DR44" s="199">
        <f t="shared" si="191"/>
        <v>0</v>
      </c>
      <c r="DS44" s="200">
        <f t="shared" si="191"/>
        <v>0</v>
      </c>
      <c r="DT44" s="199">
        <f t="shared" ref="DT44:DT45" si="196">DS44</f>
        <v>0</v>
      </c>
      <c r="DU44" s="199">
        <f t="shared" ref="DU44:DU45" si="197">DT44</f>
        <v>0</v>
      </c>
      <c r="DV44" s="199">
        <f t="shared" ref="DV44:DV45" si="198">DU44</f>
        <v>0</v>
      </c>
      <c r="DW44" s="199">
        <f t="shared" ref="DW44:DW45" si="199">DV44</f>
        <v>0</v>
      </c>
      <c r="DX44" s="200">
        <f t="shared" ref="DX44:DX45" si="200">DW44</f>
        <v>0</v>
      </c>
      <c r="DY44" s="199">
        <f t="shared" ref="DY44:DY45" si="201">DX44</f>
        <v>0</v>
      </c>
      <c r="DZ44" s="199">
        <f t="shared" ref="DZ44:DZ45" si="202">DY44</f>
        <v>0</v>
      </c>
      <c r="EA44" s="199">
        <f t="shared" ref="EA44:EA45" si="203">DZ44</f>
        <v>0</v>
      </c>
      <c r="EB44" s="199">
        <f t="shared" ref="EB44:EB45" si="204">EA44</f>
        <v>0</v>
      </c>
      <c r="EC44" s="200">
        <f t="shared" ref="EC44:EC45" si="205">EB44</f>
        <v>0</v>
      </c>
      <c r="ED44" s="469"/>
      <c r="EF44"/>
      <c r="EG44"/>
      <c r="EH44"/>
      <c r="EI44"/>
      <c r="EJ44"/>
      <c r="EK44"/>
      <c r="EL44"/>
      <c r="EM44"/>
      <c r="EN44"/>
      <c r="EO44"/>
      <c r="EP44"/>
      <c r="EQ44"/>
      <c r="ER44"/>
      <c r="ES44"/>
      <c r="ET44"/>
      <c r="EU44"/>
      <c r="EV44"/>
      <c r="EW44"/>
      <c r="EX44"/>
      <c r="EY44"/>
      <c r="EZ44"/>
      <c r="FA44"/>
    </row>
    <row r="45" spans="1:157" s="172" customFormat="1" x14ac:dyDescent="0.2">
      <c r="A45" s="451" t="s">
        <v>601</v>
      </c>
      <c r="G45" s="182"/>
      <c r="H45" s="221"/>
      <c r="I45" s="222"/>
      <c r="J45" s="222"/>
      <c r="K45" s="222"/>
      <c r="L45" s="408"/>
      <c r="M45" s="221"/>
      <c r="N45" s="196"/>
      <c r="O45" s="196"/>
      <c r="P45" s="196"/>
      <c r="Q45" s="196"/>
      <c r="R45" s="194"/>
      <c r="S45" s="196"/>
      <c r="T45" s="196"/>
      <c r="U45" s="196"/>
      <c r="V45" s="196"/>
      <c r="W45" s="194"/>
      <c r="X45" s="195"/>
      <c r="Y45" s="196"/>
      <c r="Z45" s="196"/>
      <c r="AA45" s="196"/>
      <c r="AB45" s="194"/>
      <c r="AC45" s="196"/>
      <c r="AD45" s="196"/>
      <c r="AE45" s="196"/>
      <c r="AF45" s="196"/>
      <c r="AG45" s="194"/>
      <c r="AH45" s="196"/>
      <c r="AI45" s="196"/>
      <c r="AJ45" s="196"/>
      <c r="AK45" s="196"/>
      <c r="AL45" s="194"/>
      <c r="AM45" s="196"/>
      <c r="AN45" s="196"/>
      <c r="AO45" s="196"/>
      <c r="AP45" s="196"/>
      <c r="AQ45" s="194"/>
      <c r="AR45" s="196"/>
      <c r="AS45" s="196"/>
      <c r="AT45" s="196"/>
      <c r="AU45" s="196"/>
      <c r="AV45" s="195"/>
      <c r="AW45" s="195"/>
      <c r="AX45" s="196"/>
      <c r="AY45" s="196"/>
      <c r="AZ45" s="197"/>
      <c r="BA45" s="194"/>
      <c r="BB45" s="195"/>
      <c r="BC45" s="196"/>
      <c r="BD45" s="196"/>
      <c r="BE45" s="196"/>
      <c r="BF45" s="194"/>
      <c r="BG45" s="195"/>
      <c r="BH45" s="196"/>
      <c r="BI45" s="196"/>
      <c r="BJ45" s="196"/>
      <c r="BK45" s="194"/>
      <c r="BL45" s="195"/>
      <c r="BM45" s="196"/>
      <c r="BN45" s="196"/>
      <c r="BO45" s="196"/>
      <c r="BP45" s="566"/>
      <c r="BQ45" s="196"/>
      <c r="BR45" s="196"/>
      <c r="BS45" s="196"/>
      <c r="BT45" s="196"/>
      <c r="BU45" s="194"/>
      <c r="BV45" s="195"/>
      <c r="BW45" s="196"/>
      <c r="BX45" s="196"/>
      <c r="BY45" s="196"/>
      <c r="BZ45" s="194"/>
      <c r="CA45" s="195"/>
      <c r="CB45" s="196"/>
      <c r="CC45" s="196"/>
      <c r="CD45" s="196"/>
      <c r="CE45" s="566"/>
      <c r="CF45" s="196"/>
      <c r="CG45" s="196"/>
      <c r="CH45" s="196"/>
      <c r="CI45" s="196"/>
      <c r="CJ45" s="194"/>
      <c r="CK45" s="873">
        <f t="shared" si="180"/>
        <v>0</v>
      </c>
      <c r="CL45" s="196">
        <f t="shared" si="181"/>
        <v>0</v>
      </c>
      <c r="CM45" s="196">
        <f t="shared" si="182"/>
        <v>0</v>
      </c>
      <c r="CN45" s="196">
        <f t="shared" si="183"/>
        <v>0</v>
      </c>
      <c r="CO45" s="194">
        <v>0</v>
      </c>
      <c r="CP45" s="873">
        <f t="shared" si="184"/>
        <v>0</v>
      </c>
      <c r="CQ45" s="196">
        <f t="shared" si="185"/>
        <v>0</v>
      </c>
      <c r="CR45" s="196">
        <f t="shared" si="186"/>
        <v>0</v>
      </c>
      <c r="CS45" s="196">
        <f t="shared" si="187"/>
        <v>0</v>
      </c>
      <c r="CT45" s="194">
        <v>0</v>
      </c>
      <c r="CU45" s="196">
        <v>7</v>
      </c>
      <c r="CV45" s="196"/>
      <c r="CW45" s="196"/>
      <c r="CX45" s="196">
        <f t="shared" si="189"/>
        <v>0</v>
      </c>
      <c r="CY45" s="2035">
        <f t="shared" si="190"/>
        <v>0</v>
      </c>
      <c r="CZ45" s="196">
        <f t="shared" ref="CZ45:DS45" si="206">CY45</f>
        <v>0</v>
      </c>
      <c r="DA45" s="196">
        <v>0</v>
      </c>
      <c r="DB45" s="196">
        <f t="shared" si="206"/>
        <v>0</v>
      </c>
      <c r="DC45" s="196">
        <f t="shared" si="206"/>
        <v>0</v>
      </c>
      <c r="DD45" s="194">
        <f t="shared" si="206"/>
        <v>0</v>
      </c>
      <c r="DE45" s="199">
        <f>DD45</f>
        <v>0</v>
      </c>
      <c r="DF45" s="199">
        <f t="shared" si="192"/>
        <v>0</v>
      </c>
      <c r="DG45" s="199">
        <f t="shared" si="193"/>
        <v>0</v>
      </c>
      <c r="DH45" s="199">
        <f t="shared" si="194"/>
        <v>0</v>
      </c>
      <c r="DI45" s="200">
        <f t="shared" si="195"/>
        <v>0</v>
      </c>
      <c r="DJ45" s="199">
        <f t="shared" si="206"/>
        <v>0</v>
      </c>
      <c r="DK45" s="199">
        <f t="shared" si="206"/>
        <v>0</v>
      </c>
      <c r="DL45" s="199">
        <f t="shared" si="206"/>
        <v>0</v>
      </c>
      <c r="DM45" s="199">
        <f t="shared" si="206"/>
        <v>0</v>
      </c>
      <c r="DN45" s="200">
        <f t="shared" si="206"/>
        <v>0</v>
      </c>
      <c r="DO45" s="199">
        <f t="shared" si="206"/>
        <v>0</v>
      </c>
      <c r="DP45" s="199">
        <f t="shared" si="206"/>
        <v>0</v>
      </c>
      <c r="DQ45" s="199">
        <f t="shared" si="206"/>
        <v>0</v>
      </c>
      <c r="DR45" s="199">
        <f t="shared" si="206"/>
        <v>0</v>
      </c>
      <c r="DS45" s="200">
        <f t="shared" si="206"/>
        <v>0</v>
      </c>
      <c r="DT45" s="199">
        <f t="shared" si="196"/>
        <v>0</v>
      </c>
      <c r="DU45" s="199">
        <f t="shared" si="197"/>
        <v>0</v>
      </c>
      <c r="DV45" s="199">
        <f t="shared" si="198"/>
        <v>0</v>
      </c>
      <c r="DW45" s="199">
        <f t="shared" si="199"/>
        <v>0</v>
      </c>
      <c r="DX45" s="200">
        <f t="shared" si="200"/>
        <v>0</v>
      </c>
      <c r="DY45" s="199">
        <f t="shared" si="201"/>
        <v>0</v>
      </c>
      <c r="DZ45" s="199">
        <f t="shared" si="202"/>
        <v>0</v>
      </c>
      <c r="EA45" s="199">
        <f t="shared" si="203"/>
        <v>0</v>
      </c>
      <c r="EB45" s="199">
        <f t="shared" si="204"/>
        <v>0</v>
      </c>
      <c r="EC45" s="200">
        <f t="shared" si="205"/>
        <v>0</v>
      </c>
      <c r="ED45" s="469"/>
      <c r="EF45"/>
      <c r="EG45"/>
      <c r="EH45"/>
      <c r="EI45"/>
      <c r="EJ45"/>
      <c r="EK45"/>
      <c r="EL45"/>
      <c r="EM45"/>
      <c r="EN45"/>
      <c r="EO45"/>
      <c r="EP45"/>
      <c r="EQ45"/>
      <c r="ER45"/>
      <c r="ES45"/>
      <c r="ET45"/>
      <c r="EU45"/>
      <c r="EV45"/>
      <c r="EW45"/>
      <c r="EX45"/>
      <c r="EY45"/>
      <c r="EZ45"/>
      <c r="FA45"/>
    </row>
    <row r="46" spans="1:157" s="1297" customFormat="1" x14ac:dyDescent="0.2">
      <c r="A46" s="1282" t="s">
        <v>674</v>
      </c>
      <c r="G46" s="1298"/>
      <c r="H46" s="1299"/>
      <c r="I46" s="1300"/>
      <c r="J46" s="1300"/>
      <c r="K46" s="1300"/>
      <c r="L46" s="1301"/>
      <c r="M46" s="1299"/>
      <c r="N46" s="1302"/>
      <c r="O46" s="1302"/>
      <c r="P46" s="1302"/>
      <c r="Q46" s="1302"/>
      <c r="R46" s="1303"/>
      <c r="S46" s="1302"/>
      <c r="T46" s="1302"/>
      <c r="U46" s="1302"/>
      <c r="V46" s="1302"/>
      <c r="W46" s="1303"/>
      <c r="X46" s="1304"/>
      <c r="Y46" s="1302"/>
      <c r="Z46" s="1302"/>
      <c r="AA46" s="1302"/>
      <c r="AB46" s="1303"/>
      <c r="AC46" s="1302"/>
      <c r="AD46" s="1302"/>
      <c r="AE46" s="1302"/>
      <c r="AF46" s="1302"/>
      <c r="AG46" s="1303"/>
      <c r="AH46" s="1302"/>
      <c r="AI46" s="1302"/>
      <c r="AJ46" s="1302"/>
      <c r="AK46" s="1302"/>
      <c r="AL46" s="1303"/>
      <c r="AM46" s="1302"/>
      <c r="AN46" s="1302"/>
      <c r="AO46" s="1302"/>
      <c r="AP46" s="1302"/>
      <c r="AQ46" s="1303"/>
      <c r="AR46" s="1302"/>
      <c r="AS46" s="1302"/>
      <c r="AT46" s="1302"/>
      <c r="AU46" s="1302"/>
      <c r="AV46" s="1304"/>
      <c r="AW46" s="1304"/>
      <c r="AX46" s="1302"/>
      <c r="AY46" s="1302"/>
      <c r="AZ46" s="1305"/>
      <c r="BA46" s="1303"/>
      <c r="BB46" s="1304"/>
      <c r="BC46" s="1302"/>
      <c r="BD46" s="1302"/>
      <c r="BE46" s="1302"/>
      <c r="BF46" s="1303"/>
      <c r="BG46" s="1304"/>
      <c r="BH46" s="1302"/>
      <c r="BI46" s="1302"/>
      <c r="BJ46" s="1302"/>
      <c r="BK46" s="1303"/>
      <c r="BL46" s="1304"/>
      <c r="BM46" s="1302"/>
      <c r="BN46" s="1302"/>
      <c r="BO46" s="1302"/>
      <c r="BP46" s="1306"/>
      <c r="BQ46" s="1302"/>
      <c r="BR46" s="1302"/>
      <c r="BS46" s="1302"/>
      <c r="BT46" s="1302"/>
      <c r="BU46" s="1303"/>
      <c r="BV46" s="1304"/>
      <c r="BW46" s="1302"/>
      <c r="BX46" s="1302"/>
      <c r="BY46" s="1302"/>
      <c r="BZ46" s="1303"/>
      <c r="CA46" s="1304"/>
      <c r="CB46" s="1302"/>
      <c r="CC46" s="1302"/>
      <c r="CD46" s="1302"/>
      <c r="CE46" s="1306"/>
      <c r="CF46" s="1302"/>
      <c r="CG46" s="1302"/>
      <c r="CH46" s="1302"/>
      <c r="CI46" s="1302"/>
      <c r="CJ46" s="1303"/>
      <c r="CK46" s="1307">
        <f t="shared" si="180"/>
        <v>-1671</v>
      </c>
      <c r="CL46" s="1302">
        <f t="shared" si="181"/>
        <v>-1671</v>
      </c>
      <c r="CM46" s="1302">
        <f t="shared" si="182"/>
        <v>-1671</v>
      </c>
      <c r="CN46" s="1302">
        <f t="shared" si="183"/>
        <v>-1671</v>
      </c>
      <c r="CO46" s="1303">
        <v>-1671</v>
      </c>
      <c r="CP46" s="1307">
        <f t="shared" si="184"/>
        <v>-1791</v>
      </c>
      <c r="CQ46" s="1302">
        <f t="shared" si="185"/>
        <v>-1791</v>
      </c>
      <c r="CR46" s="1302">
        <f t="shared" si="186"/>
        <v>-1791</v>
      </c>
      <c r="CS46" s="1302">
        <f t="shared" si="187"/>
        <v>-1791</v>
      </c>
      <c r="CT46" s="1303">
        <v>-1791</v>
      </c>
      <c r="CU46" s="1288">
        <f>CS46</f>
        <v>-1791</v>
      </c>
      <c r="CV46" s="1288">
        <f t="shared" ref="CV46" si="207">CT46</f>
        <v>-1791</v>
      </c>
      <c r="CW46" s="1288">
        <f t="shared" ref="CW46" si="208">CU46</f>
        <v>-1791</v>
      </c>
      <c r="CX46" s="1288">
        <f t="shared" ref="CX46" si="209">CV46</f>
        <v>-1791</v>
      </c>
      <c r="CY46" s="2040">
        <f>CX46</f>
        <v>-1791</v>
      </c>
      <c r="CZ46" s="1288">
        <f>CX46</f>
        <v>-1791</v>
      </c>
      <c r="DA46" s="1288">
        <v>0</v>
      </c>
      <c r="DB46" s="1288">
        <v>0</v>
      </c>
      <c r="DC46" s="1288">
        <f t="shared" ref="DC46" si="210">DA46</f>
        <v>0</v>
      </c>
      <c r="DD46" s="1291">
        <f>DC46</f>
        <v>0</v>
      </c>
      <c r="DE46" s="1281">
        <f>DC46</f>
        <v>0</v>
      </c>
      <c r="DF46" s="1281">
        <f>DD46</f>
        <v>0</v>
      </c>
      <c r="DG46" s="1281">
        <f t="shared" ref="DG46" si="211">DE46</f>
        <v>0</v>
      </c>
      <c r="DH46" s="1281">
        <f t="shared" ref="DH46" si="212">DF46</f>
        <v>0</v>
      </c>
      <c r="DI46" s="1295">
        <f>DH46</f>
        <v>0</v>
      </c>
      <c r="DJ46" s="1281">
        <f>DH46</f>
        <v>0</v>
      </c>
      <c r="DK46" s="1281">
        <f t="shared" ref="DK46" si="213">DI46</f>
        <v>0</v>
      </c>
      <c r="DL46" s="1281">
        <f t="shared" ref="DL46" si="214">DJ46</f>
        <v>0</v>
      </c>
      <c r="DM46" s="1281">
        <f t="shared" ref="DM46" si="215">DK46</f>
        <v>0</v>
      </c>
      <c r="DN46" s="1295">
        <f>DM46</f>
        <v>0</v>
      </c>
      <c r="DO46" s="1281">
        <f>DM46</f>
        <v>0</v>
      </c>
      <c r="DP46" s="1281">
        <f t="shared" ref="DP46" si="216">DN46</f>
        <v>0</v>
      </c>
      <c r="DQ46" s="1281">
        <f t="shared" ref="DQ46" si="217">DO46</f>
        <v>0</v>
      </c>
      <c r="DR46" s="1281">
        <f t="shared" ref="DR46" si="218">DP46</f>
        <v>0</v>
      </c>
      <c r="DS46" s="1295">
        <f>DR46</f>
        <v>0</v>
      </c>
      <c r="DT46" s="1281">
        <f>DR46</f>
        <v>0</v>
      </c>
      <c r="DU46" s="1281">
        <f t="shared" ref="DU46" si="219">DS46</f>
        <v>0</v>
      </c>
      <c r="DV46" s="1281">
        <f t="shared" ref="DV46" si="220">DT46</f>
        <v>0</v>
      </c>
      <c r="DW46" s="1281">
        <f t="shared" ref="DW46" si="221">DU46</f>
        <v>0</v>
      </c>
      <c r="DX46" s="1295">
        <f>DW46</f>
        <v>0</v>
      </c>
      <c r="DY46" s="1281">
        <f>DW46</f>
        <v>0</v>
      </c>
      <c r="DZ46" s="1281">
        <f t="shared" ref="DZ46" si="222">DX46</f>
        <v>0</v>
      </c>
      <c r="EA46" s="1281">
        <f t="shared" ref="EA46" si="223">DY46</f>
        <v>0</v>
      </c>
      <c r="EB46" s="1281">
        <f t="shared" ref="EB46" si="224">DZ46</f>
        <v>0</v>
      </c>
      <c r="EC46" s="1295">
        <f>EB46</f>
        <v>0</v>
      </c>
      <c r="ED46" s="1296"/>
      <c r="EF46"/>
      <c r="EG46"/>
      <c r="EH46"/>
      <c r="EI46"/>
      <c r="EJ46"/>
      <c r="EK46"/>
      <c r="EL46" s="1021"/>
      <c r="EM46" s="1021"/>
      <c r="EN46" s="1021"/>
      <c r="EO46" s="1021"/>
      <c r="EP46" s="1021"/>
      <c r="EQ46" s="1021"/>
      <c r="ER46" s="1021"/>
      <c r="ES46" s="1021"/>
      <c r="ET46" s="1021"/>
      <c r="EU46" s="1021"/>
      <c r="EV46" s="1021"/>
      <c r="EW46" s="1021"/>
      <c r="EX46" s="1021"/>
      <c r="EY46" s="1021"/>
      <c r="EZ46" s="1021"/>
      <c r="FA46" s="1021"/>
    </row>
    <row r="47" spans="1:157" s="172" customFormat="1" x14ac:dyDescent="0.2">
      <c r="A47" s="451" t="s">
        <v>330</v>
      </c>
      <c r="G47" s="182"/>
      <c r="H47" s="221"/>
      <c r="I47" s="222"/>
      <c r="J47" s="222"/>
      <c r="K47" s="222"/>
      <c r="L47" s="408"/>
      <c r="M47" s="221"/>
      <c r="N47" s="196"/>
      <c r="O47" s="196"/>
      <c r="P47" s="196"/>
      <c r="Q47" s="196"/>
      <c r="R47" s="194"/>
      <c r="S47" s="196"/>
      <c r="T47" s="196"/>
      <c r="U47" s="196"/>
      <c r="V47" s="196"/>
      <c r="W47" s="194"/>
      <c r="X47" s="195"/>
      <c r="Y47" s="196"/>
      <c r="Z47" s="196"/>
      <c r="AA47" s="196"/>
      <c r="AB47" s="194"/>
      <c r="AC47" s="196"/>
      <c r="AD47" s="196"/>
      <c r="AE47" s="196"/>
      <c r="AF47" s="196"/>
      <c r="AG47" s="194"/>
      <c r="AH47" s="196"/>
      <c r="AI47" s="196"/>
      <c r="AJ47" s="196"/>
      <c r="AK47" s="196"/>
      <c r="AL47" s="194"/>
      <c r="AM47" s="196"/>
      <c r="AN47" s="196"/>
      <c r="AO47" s="196"/>
      <c r="AP47" s="196"/>
      <c r="AQ47" s="194">
        <v>1067</v>
      </c>
      <c r="AR47" s="196">
        <v>1205</v>
      </c>
      <c r="AS47" s="196">
        <v>1359</v>
      </c>
      <c r="AT47" s="196">
        <v>1573</v>
      </c>
      <c r="AU47" s="196">
        <v>1619</v>
      </c>
      <c r="AV47" s="195">
        <v>1619</v>
      </c>
      <c r="AW47" s="195">
        <v>1484</v>
      </c>
      <c r="AX47" s="196">
        <v>1548</v>
      </c>
      <c r="AY47" s="196">
        <v>1462</v>
      </c>
      <c r="AZ47" s="197">
        <v>1593</v>
      </c>
      <c r="BA47" s="194">
        <v>1593</v>
      </c>
      <c r="BB47" s="195">
        <v>1613</v>
      </c>
      <c r="BC47" s="196">
        <v>1579</v>
      </c>
      <c r="BD47" s="196">
        <v>1541</v>
      </c>
      <c r="BE47" s="196">
        <v>1119</v>
      </c>
      <c r="BF47" s="194">
        <v>1119</v>
      </c>
      <c r="BG47" s="195">
        <v>374</v>
      </c>
      <c r="BH47" s="196">
        <v>504</v>
      </c>
      <c r="BI47" s="196">
        <v>349</v>
      </c>
      <c r="BJ47" s="196">
        <v>299</v>
      </c>
      <c r="BK47" s="194">
        <v>299</v>
      </c>
      <c r="BL47" s="195">
        <v>521</v>
      </c>
      <c r="BM47" s="196">
        <v>646</v>
      </c>
      <c r="BN47" s="196">
        <v>979</v>
      </c>
      <c r="BO47" s="196">
        <v>996</v>
      </c>
      <c r="BP47" s="566">
        <f>BO47</f>
        <v>996</v>
      </c>
      <c r="BQ47" s="196">
        <v>1138</v>
      </c>
      <c r="BR47" s="196">
        <v>1325</v>
      </c>
      <c r="BS47" s="196">
        <v>1681</v>
      </c>
      <c r="BT47" s="196">
        <v>1717</v>
      </c>
      <c r="BU47" s="194">
        <f>BT47</f>
        <v>1717</v>
      </c>
      <c r="BV47" s="195">
        <v>1960</v>
      </c>
      <c r="BW47" s="196">
        <v>1907</v>
      </c>
      <c r="BX47" s="196">
        <v>2082</v>
      </c>
      <c r="BY47" s="196">
        <f>BZ47</f>
        <v>2052</v>
      </c>
      <c r="BZ47" s="194">
        <v>2052</v>
      </c>
      <c r="CA47" s="195">
        <v>2362</v>
      </c>
      <c r="CB47" s="196">
        <v>2378</v>
      </c>
      <c r="CC47" s="196">
        <v>2450</v>
      </c>
      <c r="CD47" s="196">
        <v>2286</v>
      </c>
      <c r="CE47" s="566">
        <f>CD47</f>
        <v>2286</v>
      </c>
      <c r="CF47" s="196">
        <v>2413</v>
      </c>
      <c r="CG47" s="196">
        <v>2324</v>
      </c>
      <c r="CH47" s="196">
        <v>2326</v>
      </c>
      <c r="CI47" s="196">
        <v>2102</v>
      </c>
      <c r="CJ47" s="194">
        <f>CI47</f>
        <v>2102</v>
      </c>
      <c r="CK47" s="873">
        <f t="shared" si="180"/>
        <v>66</v>
      </c>
      <c r="CL47" s="196">
        <f t="shared" si="181"/>
        <v>66</v>
      </c>
      <c r="CM47" s="196">
        <f t="shared" si="182"/>
        <v>66</v>
      </c>
      <c r="CN47" s="196">
        <f t="shared" si="183"/>
        <v>66</v>
      </c>
      <c r="CO47" s="194">
        <v>66</v>
      </c>
      <c r="CP47" s="873">
        <f t="shared" si="184"/>
        <v>-641</v>
      </c>
      <c r="CQ47" s="196">
        <f t="shared" si="185"/>
        <v>-641</v>
      </c>
      <c r="CR47" s="196">
        <f t="shared" si="186"/>
        <v>-641</v>
      </c>
      <c r="CS47" s="196">
        <f t="shared" si="187"/>
        <v>-641</v>
      </c>
      <c r="CT47" s="194">
        <v>-641</v>
      </c>
      <c r="CU47" s="196">
        <f>CT47+'IS '!CS49+CF!CS59+CF!CS61+CF!CS60+CF!CS62+CF!CS27-92.5+20.85+11+32-10-22</f>
        <v>-1515.3000000000002</v>
      </c>
      <c r="CV47" s="196">
        <f>CU47+'IS '!CT49+CF!CT59+CF!CT61+CF!CT60+CF!CT62+CF!CT27-92.5+209.78+22</f>
        <v>-1851.0450000000003</v>
      </c>
      <c r="CW47" s="196">
        <f>-3597.53-2.43+41.92+32-10-22</f>
        <v>-3558.04</v>
      </c>
      <c r="CX47" s="196">
        <f>CY47</f>
        <v>-5223</v>
      </c>
      <c r="CY47" s="2035">
        <v>-5223</v>
      </c>
      <c r="CZ47" s="196">
        <f>CY47+'IS '!CX49+CF!CX59+CF!CX61+CF!CX60+CF!CX62+CF!CX27+0.5*SUM(CF!CX40:CX47)</f>
        <v>-5433</v>
      </c>
      <c r="DA47" s="196">
        <v>-5710</v>
      </c>
      <c r="DB47" s="196">
        <v>-5817</v>
      </c>
      <c r="DC47" s="196">
        <v>-6063</v>
      </c>
      <c r="DD47" s="194">
        <f>DC47</f>
        <v>-6063</v>
      </c>
      <c r="DE47" s="199">
        <f>DD47+'IS '!DC49+CF!DC59+CF!DC61+CF!DC60+CF!DC62+CF!DC27</f>
        <v>-6498.5919546454543</v>
      </c>
      <c r="DF47" s="199">
        <f>DE47+'IS '!DD49+CF!DD59+CF!DD61+CF!DD60+CF!DD62+CF!DD27</f>
        <v>-6915.1365567034654</v>
      </c>
      <c r="DG47" s="199">
        <f>DF47+'IS '!DE49+CF!DE59+CF!DE61+CF!DE60+CF!DE62+CF!DE27</f>
        <v>-7301.9964578800427</v>
      </c>
      <c r="DH47" s="199">
        <f>DG47+'IS '!DF49+CF!DF59+CF!DF61+CF!DF60+CF!DF62+CF!DF27</f>
        <v>-7640.0030285849789</v>
      </c>
      <c r="DI47" s="200">
        <f>DH47</f>
        <v>-7640.0030285849789</v>
      </c>
      <c r="DJ47" s="199">
        <f>DI47+'IS '!DH49+CF!DH59+CF!DH61+CF!DH60+CF!DH62+CF!DH27</f>
        <v>-7871.6092544922367</v>
      </c>
      <c r="DK47" s="199">
        <f>DJ47+'IS '!DI49+CF!DI59+CF!DI61+CF!DI60+CF!DI62+CF!DI27</f>
        <v>-8085.4163529164416</v>
      </c>
      <c r="DL47" s="199">
        <f>DK47+'IS '!DJ49+CF!DJ59+CF!DJ61+CF!DJ60+CF!DJ62+CF!DJ27</f>
        <v>-8266.565635228566</v>
      </c>
      <c r="DM47" s="199">
        <f>DL47+'IS '!DK49+CF!DK59+CF!DK61+CF!DK60+CF!DK62+CF!DK27</f>
        <v>-8391.3801533186779</v>
      </c>
      <c r="DN47" s="200">
        <f>DM47</f>
        <v>-8391.3801533186779</v>
      </c>
      <c r="DO47" s="199">
        <f>DN47+'IS '!DM49+CF!DM59+CF!DM61+CF!DM60+CF!DM62+CF!DM27</f>
        <v>-8443.7872081392525</v>
      </c>
      <c r="DP47" s="199">
        <f>DO47+'IS '!DN49+CF!DN59+CF!DN61+CF!DN60+CF!DN62+CF!DN27</f>
        <v>-8474.9622975912498</v>
      </c>
      <c r="DQ47" s="199">
        <f>DP47+'IS '!DO49+CF!DO59+CF!DO61+CF!DO60+CF!DO62+CF!DO27</f>
        <v>-8467.9729628129935</v>
      </c>
      <c r="DR47" s="199">
        <f>DQ47+'IS '!DP49+CF!DP59+CF!DP61+CF!DP60+CF!DP62+CF!DP27</f>
        <v>-8396.0438215393406</v>
      </c>
      <c r="DS47" s="200">
        <f>DR47</f>
        <v>-8396.0438215393406</v>
      </c>
      <c r="DT47" s="199">
        <f>DS47+'IS '!DR49+CF!DR59+CF!DR61+CF!DR60+CF!DR62+CF!DR27</f>
        <v>-8431.4247617552137</v>
      </c>
      <c r="DU47" s="199">
        <f>DT47+'IS '!DS49+CF!DS59+CF!DS61+CF!DS60+CF!DS62+CF!DS27</f>
        <v>-8444.5951582008875</v>
      </c>
      <c r="DV47" s="199">
        <f>DU47+'IS '!DT49+CF!DT59+CF!DT61+CF!DT60+CF!DT62+CF!DT27</f>
        <v>-8415.7475583069372</v>
      </c>
      <c r="DW47" s="199">
        <f>DV47+'IS '!DU49+CF!DU59+CF!DU61+CF!DU60+CF!DU62+CF!DU27</f>
        <v>-8315.4177435973597</v>
      </c>
      <c r="DX47" s="200">
        <f>DW47</f>
        <v>-8315.4177435973597</v>
      </c>
      <c r="DY47" s="199">
        <f>DX47+'IS '!DW49+CF!DW59+CF!DW61+CF!DW60+CF!DW62+CF!DW27</f>
        <v>-8334.543321677429</v>
      </c>
      <c r="DZ47" s="199">
        <f>DY47+'IS '!DX49+CF!DX59+CF!DX61+CF!DX60+CF!DX62+CF!DX27</f>
        <v>-8329.8771186640079</v>
      </c>
      <c r="EA47" s="199">
        <f>DZ47+'IS '!DY49+CF!DY59+CF!DY61+CF!DY60+CF!DY62+CF!DY27</f>
        <v>-8278.4175599873452</v>
      </c>
      <c r="EB47" s="199">
        <f>EA47+'IS '!DZ49+CF!DZ59+CF!DZ61+CF!DZ60+CF!DZ62+CF!DZ27</f>
        <v>-8148.2383174132874</v>
      </c>
      <c r="EC47" s="200">
        <f>EB47</f>
        <v>-8148.2383174132874</v>
      </c>
      <c r="ED47" s="469"/>
      <c r="EF47"/>
      <c r="EG47"/>
      <c r="EH47"/>
      <c r="EI47"/>
      <c r="EJ47"/>
      <c r="EK47"/>
      <c r="EL47"/>
      <c r="EM47"/>
      <c r="EN47"/>
      <c r="EO47"/>
      <c r="EP47"/>
      <c r="EQ47"/>
      <c r="ER47"/>
      <c r="ES47"/>
      <c r="ET47"/>
      <c r="EU47"/>
      <c r="EV47"/>
      <c r="EW47"/>
      <c r="EX47"/>
      <c r="EY47"/>
      <c r="EZ47"/>
      <c r="FA47"/>
    </row>
    <row r="48" spans="1:157" s="172" customFormat="1" x14ac:dyDescent="0.2">
      <c r="A48" s="451" t="s">
        <v>331</v>
      </c>
      <c r="G48" s="182"/>
      <c r="H48" s="221"/>
      <c r="I48" s="222"/>
      <c r="J48" s="222"/>
      <c r="K48" s="222"/>
      <c r="L48" s="408"/>
      <c r="M48" s="221"/>
      <c r="N48" s="196"/>
      <c r="O48" s="196"/>
      <c r="P48" s="196"/>
      <c r="Q48" s="196"/>
      <c r="R48" s="194"/>
      <c r="S48" s="196"/>
      <c r="T48" s="196"/>
      <c r="U48" s="196"/>
      <c r="V48" s="196"/>
      <c r="W48" s="194"/>
      <c r="X48" s="195"/>
      <c r="Y48" s="196"/>
      <c r="Z48" s="196"/>
      <c r="AA48" s="196"/>
      <c r="AB48" s="194"/>
      <c r="AC48" s="196"/>
      <c r="AD48" s="196"/>
      <c r="AE48" s="196"/>
      <c r="AF48" s="196"/>
      <c r="AG48" s="194"/>
      <c r="AH48" s="196"/>
      <c r="AI48" s="196"/>
      <c r="AJ48" s="196"/>
      <c r="AK48" s="196"/>
      <c r="AL48" s="194"/>
      <c r="AM48" s="196"/>
      <c r="AN48" s="196"/>
      <c r="AO48" s="196"/>
      <c r="AP48" s="196"/>
      <c r="AQ48" s="194">
        <v>-131</v>
      </c>
      <c r="AR48" s="196">
        <v>-125</v>
      </c>
      <c r="AS48" s="196">
        <v>-140</v>
      </c>
      <c r="AT48" s="196">
        <v>-147</v>
      </c>
      <c r="AU48" s="196">
        <v>-170</v>
      </c>
      <c r="AV48" s="195">
        <v>-170</v>
      </c>
      <c r="AW48" s="195">
        <v>-154</v>
      </c>
      <c r="AX48" s="196">
        <v>-143</v>
      </c>
      <c r="AY48" s="196">
        <v>-134</v>
      </c>
      <c r="AZ48" s="197">
        <v>-156</v>
      </c>
      <c r="BA48" s="194">
        <v>-156</v>
      </c>
      <c r="BB48" s="195">
        <v>-154</v>
      </c>
      <c r="BC48" s="196">
        <v>-122</v>
      </c>
      <c r="BD48" s="196">
        <v>-119</v>
      </c>
      <c r="BE48" s="196">
        <v>20</v>
      </c>
      <c r="BF48" s="194">
        <v>20</v>
      </c>
      <c r="BG48" s="195">
        <v>5</v>
      </c>
      <c r="BH48" s="196">
        <v>27</v>
      </c>
      <c r="BI48" s="196">
        <v>8</v>
      </c>
      <c r="BJ48" s="196">
        <v>-418</v>
      </c>
      <c r="BK48" s="194">
        <v>-418</v>
      </c>
      <c r="BL48" s="195">
        <v>-416</v>
      </c>
      <c r="BM48" s="196">
        <v>-340</v>
      </c>
      <c r="BN48" s="196">
        <v>-279</v>
      </c>
      <c r="BO48" s="196">
        <v>-224</v>
      </c>
      <c r="BP48" s="566">
        <f>BO48</f>
        <v>-224</v>
      </c>
      <c r="BQ48" s="196">
        <v>-249</v>
      </c>
      <c r="BR48" s="196">
        <v>-263</v>
      </c>
      <c r="BS48" s="196">
        <v>-237</v>
      </c>
      <c r="BT48" s="196">
        <v>-227</v>
      </c>
      <c r="BU48" s="194">
        <f>BT48</f>
        <v>-227</v>
      </c>
      <c r="BV48" s="195">
        <v>-177</v>
      </c>
      <c r="BW48" s="196">
        <v>-102</v>
      </c>
      <c r="BX48" s="196">
        <v>-89</v>
      </c>
      <c r="BY48" s="196">
        <f>BZ48</f>
        <v>-247</v>
      </c>
      <c r="BZ48" s="194">
        <v>-247</v>
      </c>
      <c r="CA48" s="195">
        <v>-225</v>
      </c>
      <c r="CB48" s="196">
        <v>-243</v>
      </c>
      <c r="CC48" s="196">
        <v>-253</v>
      </c>
      <c r="CD48" s="196">
        <v>-132</v>
      </c>
      <c r="CE48" s="566">
        <f>CD48</f>
        <v>-132</v>
      </c>
      <c r="CF48" s="196">
        <v>-120</v>
      </c>
      <c r="CG48" s="196">
        <v>-101</v>
      </c>
      <c r="CH48" s="196">
        <v>-132</v>
      </c>
      <c r="CI48" s="196">
        <v>64</v>
      </c>
      <c r="CJ48" s="194">
        <f>CI48</f>
        <v>64</v>
      </c>
      <c r="CK48" s="873">
        <f t="shared" si="180"/>
        <v>-407</v>
      </c>
      <c r="CL48" s="196">
        <f t="shared" si="181"/>
        <v>-407</v>
      </c>
      <c r="CM48" s="196">
        <f t="shared" si="182"/>
        <v>-407</v>
      </c>
      <c r="CN48" s="196">
        <f t="shared" si="183"/>
        <v>-407</v>
      </c>
      <c r="CO48" s="194">
        <v>-407</v>
      </c>
      <c r="CP48" s="873">
        <f t="shared" si="184"/>
        <v>-369</v>
      </c>
      <c r="CQ48" s="196">
        <f t="shared" si="185"/>
        <v>-369</v>
      </c>
      <c r="CR48" s="196">
        <f t="shared" si="186"/>
        <v>-369</v>
      </c>
      <c r="CS48" s="196">
        <f t="shared" si="187"/>
        <v>-369</v>
      </c>
      <c r="CT48" s="194">
        <v>-369</v>
      </c>
      <c r="CU48" s="196">
        <f>CT48+CF!CS28+CF!CS15+CF!CS16</f>
        <v>-409</v>
      </c>
      <c r="CV48" s="196">
        <f>CU48+CF!CT28+CF!CT15+CF!CT16</f>
        <v>-532</v>
      </c>
      <c r="CW48" s="196">
        <v>-397</v>
      </c>
      <c r="CX48" s="196">
        <f>CY48</f>
        <v>-433</v>
      </c>
      <c r="CY48" s="194">
        <v>-433</v>
      </c>
      <c r="CZ48" s="196">
        <v>-367</v>
      </c>
      <c r="DA48" s="196">
        <v>-392</v>
      </c>
      <c r="DB48" s="196">
        <v>-304</v>
      </c>
      <c r="DC48" s="196">
        <v>-271</v>
      </c>
      <c r="DD48" s="194">
        <f>DC48</f>
        <v>-271</v>
      </c>
      <c r="DE48" s="199">
        <f>DD48+CF!DC28+CF!DC15+CF!DC16+CF!DC66+CF!DC63</f>
        <v>-239.92500000000001</v>
      </c>
      <c r="DF48" s="199">
        <f>DE48+CF!DD28+CF!DD15+CF!DD16+CF!DD66+CF!DD63</f>
        <v>-208.85000000000002</v>
      </c>
      <c r="DG48" s="199">
        <f>DF48+CF!DE28+CF!DE15+CF!DE16+CF!DE66+CF!DE63</f>
        <v>-178.77500000000003</v>
      </c>
      <c r="DH48" s="199">
        <f>DG48+CF!DF28+CF!DF15+CF!DF16+CF!DF66+CF!DF63</f>
        <v>-147.70000000000005</v>
      </c>
      <c r="DI48" s="200">
        <f>DH48</f>
        <v>-147.70000000000005</v>
      </c>
      <c r="DJ48" s="199">
        <f>DI48+CF!DH28+CF!DH15+CF!DH16+CF!DH66+CF!DH63</f>
        <v>-123.70000000000005</v>
      </c>
      <c r="DK48" s="199">
        <f>DJ48+CF!DI28+CF!DI15+CF!DI16+CF!DI66+CF!DI63</f>
        <v>-99.700000000000045</v>
      </c>
      <c r="DL48" s="199">
        <f>DK48+CF!DJ28+CF!DJ15+CF!DJ16+CF!DJ66+CF!DJ63</f>
        <v>-76.700000000000045</v>
      </c>
      <c r="DM48" s="199">
        <f>DL48+CF!DK28+CF!DK15+CF!DK16+CF!DK66+CF!DK63</f>
        <v>-52.700000000000045</v>
      </c>
      <c r="DN48" s="200">
        <f>DM48</f>
        <v>-52.700000000000045</v>
      </c>
      <c r="DO48" s="199">
        <f>DN48+CF!DM28+CF!DM15+CF!DM16+CF!DM66+CF!DM63</f>
        <v>-28.700000000000045</v>
      </c>
      <c r="DP48" s="199">
        <f>DO48+CF!DN28+CF!DN15+CF!DN16+CF!DN66+CF!DN63</f>
        <v>-4.7000000000000455</v>
      </c>
      <c r="DQ48" s="199">
        <f>DP48+CF!DO28+CF!DO15+CF!DO16+CF!DO66+CF!DO63</f>
        <v>18.299999999999955</v>
      </c>
      <c r="DR48" s="199">
        <f>DQ48+CF!DP28+CF!DP15+CF!DP16+CF!DP66+CF!DP63</f>
        <v>42.299999999999955</v>
      </c>
      <c r="DS48" s="200">
        <f>DR48</f>
        <v>42.299999999999955</v>
      </c>
      <c r="DT48" s="199">
        <f>DS48+CF!DR28+CF!DR15+CF!DR16+CF!DR66+CF!DR63</f>
        <v>66.299999999999955</v>
      </c>
      <c r="DU48" s="199">
        <f>DT48+CF!DS28+CF!DS15+CF!DS16+CF!DS66+CF!DS63</f>
        <v>90.299999999999955</v>
      </c>
      <c r="DV48" s="199">
        <f>DU48+CF!DT28+CF!DT15+CF!DT16+CF!DT66+CF!DT63</f>
        <v>113.29999999999995</v>
      </c>
      <c r="DW48" s="199">
        <f>DV48+CF!DU28+CF!DU15+CF!DU16+CF!DU66+CF!DU63</f>
        <v>137.29999999999995</v>
      </c>
      <c r="DX48" s="200">
        <f>DW48</f>
        <v>137.29999999999995</v>
      </c>
      <c r="DY48" s="199">
        <f>DX48+CF!DW28+CF!DW15+CF!DW16+CF!DW66+CF!DW63</f>
        <v>161.29999999999995</v>
      </c>
      <c r="DZ48" s="199">
        <f>DY48+CF!DX28+CF!DX15+CF!DX16+CF!DX66+CF!DX63</f>
        <v>185.29999999999995</v>
      </c>
      <c r="EA48" s="199">
        <f>DZ48+CF!DY28+CF!DY15+CF!DY16+CF!DY66+CF!DY63</f>
        <v>208.29999999999995</v>
      </c>
      <c r="EB48" s="199">
        <f>EA48+CF!DZ28+CF!DZ15+CF!DZ16+CF!DZ66+CF!DZ63</f>
        <v>232.29999999999995</v>
      </c>
      <c r="EC48" s="200">
        <f>EB48</f>
        <v>232.29999999999995</v>
      </c>
      <c r="ED48" s="469"/>
      <c r="EF48"/>
      <c r="EG48"/>
      <c r="EH48"/>
      <c r="EI48"/>
      <c r="EJ48"/>
      <c r="EK48"/>
      <c r="EL48"/>
      <c r="EM48"/>
      <c r="EN48"/>
      <c r="EO48"/>
      <c r="EP48"/>
      <c r="EQ48"/>
      <c r="ER48"/>
      <c r="ES48"/>
      <c r="ET48"/>
      <c r="EU48"/>
      <c r="EV48"/>
      <c r="EW48"/>
      <c r="EX48"/>
      <c r="EY48"/>
      <c r="EZ48"/>
      <c r="FA48"/>
    </row>
    <row r="49" spans="1:157" s="172" customFormat="1" x14ac:dyDescent="0.2">
      <c r="A49" s="451" t="s">
        <v>383</v>
      </c>
      <c r="G49" s="182"/>
      <c r="H49" s="221"/>
      <c r="I49" s="222"/>
      <c r="J49" s="222"/>
      <c r="K49" s="222"/>
      <c r="L49" s="408"/>
      <c r="M49" s="221"/>
      <c r="N49" s="196"/>
      <c r="O49" s="196"/>
      <c r="P49" s="196"/>
      <c r="Q49" s="196"/>
      <c r="R49" s="194"/>
      <c r="S49" s="196"/>
      <c r="T49" s="196"/>
      <c r="U49" s="196"/>
      <c r="V49" s="196"/>
      <c r="W49" s="194"/>
      <c r="X49" s="195"/>
      <c r="Y49" s="196"/>
      <c r="Z49" s="196"/>
      <c r="AA49" s="196"/>
      <c r="AB49" s="194"/>
      <c r="AC49" s="196"/>
      <c r="AD49" s="196"/>
      <c r="AE49" s="196"/>
      <c r="AF49" s="196"/>
      <c r="AG49" s="194"/>
      <c r="AH49" s="196"/>
      <c r="AI49" s="196"/>
      <c r="AJ49" s="196"/>
      <c r="AK49" s="196"/>
      <c r="AL49" s="194"/>
      <c r="AM49" s="196"/>
      <c r="AN49" s="196"/>
      <c r="AO49" s="196"/>
      <c r="AP49" s="196"/>
      <c r="AQ49" s="194"/>
      <c r="AR49" s="196"/>
      <c r="AS49" s="196"/>
      <c r="AT49" s="196"/>
      <c r="AU49" s="196"/>
      <c r="AV49" s="195"/>
      <c r="AW49" s="195"/>
      <c r="AX49" s="196"/>
      <c r="AY49" s="196"/>
      <c r="AZ49" s="196"/>
      <c r="BA49" s="194"/>
      <c r="BB49" s="195"/>
      <c r="BC49" s="196"/>
      <c r="BD49" s="196"/>
      <c r="BE49" s="196"/>
      <c r="BF49" s="194"/>
      <c r="BG49" s="195"/>
      <c r="BH49" s="196"/>
      <c r="BI49" s="196"/>
      <c r="BJ49" s="196"/>
      <c r="BK49" s="194"/>
      <c r="BL49" s="195">
        <f>SUM(BL43:BL48)</f>
        <v>168</v>
      </c>
      <c r="BM49" s="196">
        <f t="shared" ref="BM49:CE49" si="225">SUM(BM43:BM48)</f>
        <v>476</v>
      </c>
      <c r="BN49" s="196">
        <f t="shared" si="225"/>
        <v>902</v>
      </c>
      <c r="BO49" s="196">
        <f t="shared" si="225"/>
        <v>1025</v>
      </c>
      <c r="BP49" s="566">
        <f t="shared" si="225"/>
        <v>1025</v>
      </c>
      <c r="BQ49" s="196">
        <f t="shared" si="225"/>
        <v>1043</v>
      </c>
      <c r="BR49" s="196">
        <f t="shared" si="225"/>
        <v>1149</v>
      </c>
      <c r="BS49" s="196">
        <f t="shared" si="225"/>
        <v>1556</v>
      </c>
      <c r="BT49" s="196">
        <f t="shared" si="225"/>
        <v>1576</v>
      </c>
      <c r="BU49" s="194">
        <f t="shared" si="225"/>
        <v>1576</v>
      </c>
      <c r="BV49" s="195">
        <f t="shared" si="225"/>
        <v>1783</v>
      </c>
      <c r="BW49" s="196">
        <f t="shared" si="225"/>
        <v>1805</v>
      </c>
      <c r="BX49" s="196">
        <f t="shared" si="225"/>
        <v>1993</v>
      </c>
      <c r="BY49" s="196">
        <f t="shared" si="225"/>
        <v>1823</v>
      </c>
      <c r="BZ49" s="194">
        <f t="shared" si="225"/>
        <v>1823</v>
      </c>
      <c r="CA49" s="195">
        <f t="shared" si="225"/>
        <v>2142</v>
      </c>
      <c r="CB49" s="196">
        <f t="shared" si="225"/>
        <v>2135</v>
      </c>
      <c r="CC49" s="196">
        <f t="shared" si="225"/>
        <v>2197</v>
      </c>
      <c r="CD49" s="196">
        <f t="shared" si="225"/>
        <v>2154</v>
      </c>
      <c r="CE49" s="566">
        <f t="shared" si="225"/>
        <v>2154</v>
      </c>
      <c r="CF49" s="196">
        <f t="shared" ref="CF49:CJ49" si="226">SUM(CF43:CF48)</f>
        <v>2293</v>
      </c>
      <c r="CG49" s="196">
        <f t="shared" si="226"/>
        <v>2223</v>
      </c>
      <c r="CH49" s="196">
        <f t="shared" si="226"/>
        <v>2194</v>
      </c>
      <c r="CI49" s="196">
        <f t="shared" si="226"/>
        <v>2166</v>
      </c>
      <c r="CJ49" s="194">
        <f t="shared" si="226"/>
        <v>2166</v>
      </c>
      <c r="CK49" s="873">
        <f t="shared" si="180"/>
        <v>-341</v>
      </c>
      <c r="CL49" s="196">
        <f t="shared" si="181"/>
        <v>-341</v>
      </c>
      <c r="CM49" s="196">
        <f t="shared" si="182"/>
        <v>-341</v>
      </c>
      <c r="CN49" s="196">
        <f t="shared" si="183"/>
        <v>-341</v>
      </c>
      <c r="CO49" s="194">
        <v>-341</v>
      </c>
      <c r="CP49" s="873">
        <f t="shared" si="184"/>
        <v>-1010</v>
      </c>
      <c r="CQ49" s="196">
        <f t="shared" si="185"/>
        <v>-1010</v>
      </c>
      <c r="CR49" s="196">
        <f t="shared" si="186"/>
        <v>-1010</v>
      </c>
      <c r="CS49" s="196">
        <f t="shared" si="187"/>
        <v>-1010</v>
      </c>
      <c r="CT49" s="194">
        <v>-1010</v>
      </c>
      <c r="CU49" s="196">
        <f t="shared" ref="CU49:CW49" si="227">SUM(CU47:CU48)-CU44+CU45</f>
        <v>-1919.3000000000002</v>
      </c>
      <c r="CV49" s="196">
        <f t="shared" si="227"/>
        <v>-2383.6750000000002</v>
      </c>
      <c r="CW49" s="196">
        <f t="shared" si="227"/>
        <v>-3955.04</v>
      </c>
      <c r="CX49" s="196">
        <f t="shared" ref="CX49:CY49" si="228">SUM(CX47:CX48)-CX44+CX45</f>
        <v>-5656</v>
      </c>
      <c r="CY49" s="2035">
        <f t="shared" si="228"/>
        <v>-5656</v>
      </c>
      <c r="CZ49" s="196">
        <f t="shared" ref="CZ49:DD49" si="229">SUM(CZ47:CZ48)-CZ44+CZ45</f>
        <v>-5800</v>
      </c>
      <c r="DA49" s="196">
        <f t="shared" si="229"/>
        <v>-6102</v>
      </c>
      <c r="DB49" s="196">
        <f>SUM(DB47:DB48)-DB44+DB45</f>
        <v>-6121</v>
      </c>
      <c r="DC49" s="196">
        <f>SUM(DC47:DC48)-DC44+DC45</f>
        <v>-6334</v>
      </c>
      <c r="DD49" s="2035">
        <f t="shared" si="229"/>
        <v>-6334</v>
      </c>
      <c r="DE49" s="199">
        <f t="shared" ref="DE49:DS49" si="230">SUM(DE47:DE48)-DE44+DE45</f>
        <v>-6738.5169546454545</v>
      </c>
      <c r="DF49" s="199">
        <f t="shared" si="230"/>
        <v>-7123.9865567034658</v>
      </c>
      <c r="DG49" s="199">
        <f t="shared" si="230"/>
        <v>-7480.7714578800424</v>
      </c>
      <c r="DH49" s="199">
        <f t="shared" si="230"/>
        <v>-7787.7030285849787</v>
      </c>
      <c r="DI49" s="1235">
        <f t="shared" si="230"/>
        <v>-7787.7030285849787</v>
      </c>
      <c r="DJ49" s="199">
        <f t="shared" si="230"/>
        <v>-7995.3092544922365</v>
      </c>
      <c r="DK49" s="199">
        <f t="shared" si="230"/>
        <v>-8185.1163529164414</v>
      </c>
      <c r="DL49" s="199">
        <f t="shared" si="230"/>
        <v>-8343.2656352285667</v>
      </c>
      <c r="DM49" s="199">
        <f t="shared" si="230"/>
        <v>-8444.0801533186786</v>
      </c>
      <c r="DN49" s="1235">
        <f t="shared" si="230"/>
        <v>-8444.0801533186786</v>
      </c>
      <c r="DO49" s="199">
        <f t="shared" si="230"/>
        <v>-8472.4872081392532</v>
      </c>
      <c r="DP49" s="199">
        <f t="shared" si="230"/>
        <v>-8479.6622975912505</v>
      </c>
      <c r="DQ49" s="199">
        <f t="shared" si="230"/>
        <v>-8449.6729628129942</v>
      </c>
      <c r="DR49" s="199">
        <f t="shared" si="230"/>
        <v>-8353.7438215393413</v>
      </c>
      <c r="DS49" s="1235">
        <f t="shared" si="230"/>
        <v>-8353.7438215393413</v>
      </c>
      <c r="DT49" s="199">
        <f t="shared" ref="DT49:EC49" si="231">SUM(DT47:DT48)-DT44+DT45</f>
        <v>-8365.1247617552144</v>
      </c>
      <c r="DU49" s="199">
        <f t="shared" si="231"/>
        <v>-8354.2951582008882</v>
      </c>
      <c r="DV49" s="199">
        <f t="shared" si="231"/>
        <v>-8302.4475583069379</v>
      </c>
      <c r="DW49" s="199">
        <f t="shared" si="231"/>
        <v>-8178.1177435973595</v>
      </c>
      <c r="DX49" s="1235">
        <f t="shared" si="231"/>
        <v>-8178.1177435973595</v>
      </c>
      <c r="DY49" s="199">
        <f t="shared" si="231"/>
        <v>-8173.2433216774289</v>
      </c>
      <c r="DZ49" s="199">
        <f t="shared" si="231"/>
        <v>-8144.5771186640077</v>
      </c>
      <c r="EA49" s="199">
        <f t="shared" si="231"/>
        <v>-8070.117559987345</v>
      </c>
      <c r="EB49" s="199">
        <f t="shared" si="231"/>
        <v>-7915.9383174132872</v>
      </c>
      <c r="EC49" s="1235">
        <f t="shared" si="231"/>
        <v>-7915.9383174132872</v>
      </c>
      <c r="ED49" s="469"/>
      <c r="EF49"/>
      <c r="EG49"/>
      <c r="EH49"/>
      <c r="EI49"/>
      <c r="EJ49"/>
      <c r="EK49"/>
      <c r="EL49"/>
      <c r="EM49"/>
      <c r="EN49"/>
      <c r="EO49"/>
      <c r="EP49"/>
      <c r="EQ49"/>
      <c r="ER49"/>
      <c r="ES49"/>
      <c r="ET49"/>
      <c r="EU49"/>
      <c r="EV49"/>
      <c r="EW49"/>
      <c r="EX49"/>
      <c r="EY49"/>
      <c r="EZ49"/>
      <c r="FA49"/>
    </row>
    <row r="50" spans="1:157" s="172" customFormat="1" x14ac:dyDescent="0.2">
      <c r="A50" s="451" t="s">
        <v>385</v>
      </c>
      <c r="G50" s="182"/>
      <c r="H50" s="221"/>
      <c r="I50" s="222"/>
      <c r="J50" s="222"/>
      <c r="K50" s="222"/>
      <c r="L50" s="408"/>
      <c r="M50" s="221"/>
      <c r="N50" s="196"/>
      <c r="O50" s="196"/>
      <c r="P50" s="196"/>
      <c r="Q50" s="196"/>
      <c r="R50" s="194"/>
      <c r="S50" s="196"/>
      <c r="T50" s="196"/>
      <c r="U50" s="196"/>
      <c r="V50" s="196"/>
      <c r="W50" s="194"/>
      <c r="X50" s="195"/>
      <c r="Y50" s="196"/>
      <c r="Z50" s="196"/>
      <c r="AA50" s="196"/>
      <c r="AB50" s="194"/>
      <c r="AC50" s="196"/>
      <c r="AD50" s="196"/>
      <c r="AE50" s="196"/>
      <c r="AF50" s="196"/>
      <c r="AG50" s="194"/>
      <c r="AH50" s="196"/>
      <c r="AI50" s="196"/>
      <c r="AJ50" s="196"/>
      <c r="AK50" s="196"/>
      <c r="AL50" s="194"/>
      <c r="AM50" s="196"/>
      <c r="AN50" s="196"/>
      <c r="AO50" s="196"/>
      <c r="AP50" s="196"/>
      <c r="AQ50" s="194"/>
      <c r="AR50" s="196"/>
      <c r="AS50" s="196"/>
      <c r="AT50" s="196"/>
      <c r="AU50" s="196"/>
      <c r="AV50" s="195"/>
      <c r="AW50" s="195"/>
      <c r="AX50" s="196"/>
      <c r="AY50" s="196"/>
      <c r="AZ50" s="196"/>
      <c r="BA50" s="194"/>
      <c r="BB50" s="195"/>
      <c r="BC50" s="196"/>
      <c r="BD50" s="196"/>
      <c r="BE50" s="196"/>
      <c r="BF50" s="194"/>
      <c r="BG50" s="195"/>
      <c r="BH50" s="196"/>
      <c r="BI50" s="196"/>
      <c r="BJ50" s="196"/>
      <c r="BK50" s="194">
        <v>0</v>
      </c>
      <c r="BL50" s="195">
        <v>8</v>
      </c>
      <c r="BM50" s="196">
        <v>81</v>
      </c>
      <c r="BN50" s="196">
        <v>87</v>
      </c>
      <c r="BO50" s="196">
        <v>89</v>
      </c>
      <c r="BP50" s="566">
        <f>BO50</f>
        <v>89</v>
      </c>
      <c r="BQ50" s="196">
        <v>74</v>
      </c>
      <c r="BR50" s="196">
        <v>77</v>
      </c>
      <c r="BS50" s="196">
        <v>87</v>
      </c>
      <c r="BT50" s="196">
        <v>93</v>
      </c>
      <c r="BU50" s="194">
        <f>BT50</f>
        <v>93</v>
      </c>
      <c r="BV50" s="195">
        <v>76</v>
      </c>
      <c r="BW50" s="196">
        <v>83</v>
      </c>
      <c r="BX50" s="196">
        <v>90</v>
      </c>
      <c r="BY50" s="196">
        <f>BZ50</f>
        <v>93</v>
      </c>
      <c r="BZ50" s="194">
        <v>93</v>
      </c>
      <c r="CA50" s="195">
        <v>137</v>
      </c>
      <c r="CB50" s="196">
        <f>45+92</f>
        <v>137</v>
      </c>
      <c r="CC50" s="196">
        <f>45+97</f>
        <v>142</v>
      </c>
      <c r="CD50" s="196">
        <f>59+99</f>
        <v>158</v>
      </c>
      <c r="CE50" s="566">
        <f>CD50</f>
        <v>158</v>
      </c>
      <c r="CF50" s="196">
        <f>65+59</f>
        <v>124</v>
      </c>
      <c r="CG50" s="196">
        <f>62+59</f>
        <v>121</v>
      </c>
      <c r="CH50" s="196">
        <f>40+66</f>
        <v>106</v>
      </c>
      <c r="CI50" s="196">
        <f>63+39</f>
        <v>102</v>
      </c>
      <c r="CJ50" s="194">
        <f>CI50</f>
        <v>102</v>
      </c>
      <c r="CK50" s="873">
        <f t="shared" si="180"/>
        <v>0</v>
      </c>
      <c r="CL50" s="196">
        <f t="shared" si="181"/>
        <v>0</v>
      </c>
      <c r="CM50" s="196">
        <f t="shared" si="182"/>
        <v>0</v>
      </c>
      <c r="CN50" s="196">
        <f t="shared" si="183"/>
        <v>0</v>
      </c>
      <c r="CO50" s="194">
        <v>0</v>
      </c>
      <c r="CP50" s="873">
        <f t="shared" si="184"/>
        <v>0</v>
      </c>
      <c r="CQ50" s="196">
        <f t="shared" si="185"/>
        <v>0</v>
      </c>
      <c r="CR50" s="196">
        <f t="shared" si="186"/>
        <v>0</v>
      </c>
      <c r="CS50" s="196">
        <f t="shared" si="187"/>
        <v>0</v>
      </c>
      <c r="CT50" s="194">
        <v>0</v>
      </c>
      <c r="CU50" s="196">
        <f t="shared" ref="CU50" si="232">CT50</f>
        <v>0</v>
      </c>
      <c r="CV50" s="196">
        <f t="shared" ref="CV50" si="233">CU50</f>
        <v>0</v>
      </c>
      <c r="CW50" s="196">
        <f t="shared" ref="CW50" si="234">CV50</f>
        <v>0</v>
      </c>
      <c r="CX50" s="196">
        <v>0</v>
      </c>
      <c r="CY50" s="2035">
        <f t="shared" ref="CY50" si="235">CX50</f>
        <v>0</v>
      </c>
      <c r="CZ50" s="196">
        <f t="shared" ref="CZ50" si="236">CY50</f>
        <v>0</v>
      </c>
      <c r="DA50" s="196">
        <f t="shared" ref="DA50" si="237">CZ50</f>
        <v>0</v>
      </c>
      <c r="DB50" s="196">
        <f t="shared" ref="DB50" si="238">DA50</f>
        <v>0</v>
      </c>
      <c r="DC50" s="196">
        <v>0</v>
      </c>
      <c r="DD50" s="194">
        <f t="shared" ref="DD50" si="239">DC50</f>
        <v>0</v>
      </c>
      <c r="DE50" s="199">
        <f>DD50</f>
        <v>0</v>
      </c>
      <c r="DF50" s="199">
        <f t="shared" ref="DF50" si="240">DE50</f>
        <v>0</v>
      </c>
      <c r="DG50" s="199">
        <f t="shared" ref="DG50" si="241">DF50</f>
        <v>0</v>
      </c>
      <c r="DH50" s="199">
        <f t="shared" ref="DH50" si="242">DG50</f>
        <v>0</v>
      </c>
      <c r="DI50" s="200">
        <f t="shared" ref="DI50" si="243">DH50</f>
        <v>0</v>
      </c>
      <c r="DJ50" s="199">
        <f t="shared" ref="DJ50:DS50" si="244">DI50</f>
        <v>0</v>
      </c>
      <c r="DK50" s="199">
        <f t="shared" si="244"/>
        <v>0</v>
      </c>
      <c r="DL50" s="199">
        <f t="shared" si="244"/>
        <v>0</v>
      </c>
      <c r="DM50" s="199">
        <f t="shared" si="244"/>
        <v>0</v>
      </c>
      <c r="DN50" s="200">
        <f t="shared" si="244"/>
        <v>0</v>
      </c>
      <c r="DO50" s="199">
        <f t="shared" si="244"/>
        <v>0</v>
      </c>
      <c r="DP50" s="199">
        <f t="shared" si="244"/>
        <v>0</v>
      </c>
      <c r="DQ50" s="199">
        <f t="shared" si="244"/>
        <v>0</v>
      </c>
      <c r="DR50" s="199">
        <f t="shared" si="244"/>
        <v>0</v>
      </c>
      <c r="DS50" s="200">
        <f t="shared" si="244"/>
        <v>0</v>
      </c>
      <c r="DT50" s="199">
        <f t="shared" ref="DT50" si="245">DS50</f>
        <v>0</v>
      </c>
      <c r="DU50" s="199">
        <f t="shared" ref="DU50" si="246">DT50</f>
        <v>0</v>
      </c>
      <c r="DV50" s="199">
        <f t="shared" ref="DV50" si="247">DU50</f>
        <v>0</v>
      </c>
      <c r="DW50" s="199">
        <f t="shared" ref="DW50" si="248">DV50</f>
        <v>0</v>
      </c>
      <c r="DX50" s="200">
        <f t="shared" ref="DX50" si="249">DW50</f>
        <v>0</v>
      </c>
      <c r="DY50" s="199">
        <f t="shared" ref="DY50" si="250">DX50</f>
        <v>0</v>
      </c>
      <c r="DZ50" s="199">
        <f t="shared" ref="DZ50" si="251">DY50</f>
        <v>0</v>
      </c>
      <c r="EA50" s="199">
        <f t="shared" ref="EA50" si="252">DZ50</f>
        <v>0</v>
      </c>
      <c r="EB50" s="199">
        <f t="shared" ref="EB50" si="253">EA50</f>
        <v>0</v>
      </c>
      <c r="EC50" s="200">
        <f t="shared" ref="EC50" si="254">EB50</f>
        <v>0</v>
      </c>
      <c r="ED50" s="469"/>
      <c r="EF50"/>
      <c r="EG50"/>
      <c r="EH50"/>
      <c r="EI50"/>
      <c r="EJ50"/>
      <c r="EK50"/>
      <c r="EL50"/>
      <c r="EM50"/>
      <c r="EN50"/>
      <c r="EO50"/>
      <c r="EP50"/>
      <c r="EQ50"/>
      <c r="ER50"/>
      <c r="ES50"/>
      <c r="ET50"/>
      <c r="EU50"/>
      <c r="EV50"/>
      <c r="EW50"/>
      <c r="EX50"/>
      <c r="EY50"/>
      <c r="EZ50"/>
      <c r="FA50"/>
    </row>
    <row r="51" spans="1:157" s="179" customFormat="1" x14ac:dyDescent="0.2">
      <c r="A51" s="450" t="s">
        <v>555</v>
      </c>
      <c r="G51" s="180"/>
      <c r="H51" s="238">
        <f>H28-H41</f>
        <v>-1620</v>
      </c>
      <c r="I51" s="239"/>
      <c r="J51" s="239"/>
      <c r="K51" s="239"/>
      <c r="L51" s="240"/>
      <c r="M51" s="238">
        <v>-1163</v>
      </c>
      <c r="N51" s="239">
        <v>-1004</v>
      </c>
      <c r="O51" s="239">
        <v>-821</v>
      </c>
      <c r="P51" s="239">
        <v>-616</v>
      </c>
      <c r="Q51" s="213">
        <v>-560</v>
      </c>
      <c r="R51" s="194">
        <f t="shared" si="127"/>
        <v>-560</v>
      </c>
      <c r="S51" s="196">
        <v>-528</v>
      </c>
      <c r="T51" s="196">
        <v>-508</v>
      </c>
      <c r="U51" s="196">
        <v>-448</v>
      </c>
      <c r="V51" s="196">
        <v>-322</v>
      </c>
      <c r="W51" s="194">
        <f t="shared" si="128"/>
        <v>-322</v>
      </c>
      <c r="X51" s="195">
        <v>-214</v>
      </c>
      <c r="Y51" s="196">
        <v>-117</v>
      </c>
      <c r="Z51" s="196">
        <v>-61</v>
      </c>
      <c r="AA51" s="196">
        <f>AA28-AA41</f>
        <v>104</v>
      </c>
      <c r="AB51" s="194">
        <f t="shared" si="129"/>
        <v>104</v>
      </c>
      <c r="AC51" s="196">
        <f>AC28-AC41</f>
        <v>264</v>
      </c>
      <c r="AD51" s="196">
        <v>396</v>
      </c>
      <c r="AE51" s="196">
        <v>533</v>
      </c>
      <c r="AF51" s="196">
        <v>594</v>
      </c>
      <c r="AG51" s="194">
        <f t="shared" si="130"/>
        <v>594</v>
      </c>
      <c r="AH51" s="196">
        <v>690</v>
      </c>
      <c r="AI51" s="196">
        <v>830</v>
      </c>
      <c r="AJ51" s="196">
        <v>1003</v>
      </c>
      <c r="AK51" s="196">
        <v>1120</v>
      </c>
      <c r="AL51" s="194">
        <f t="shared" si="131"/>
        <v>1120</v>
      </c>
      <c r="AM51" s="196">
        <v>1192</v>
      </c>
      <c r="AN51" s="196">
        <v>1273</v>
      </c>
      <c r="AO51" s="196">
        <v>1514</v>
      </c>
      <c r="AP51" s="196">
        <v>1595</v>
      </c>
      <c r="AQ51" s="194">
        <f t="shared" si="132"/>
        <v>1595</v>
      </c>
      <c r="AR51" s="196">
        <f>SUM(AR43:AR49)</f>
        <v>1708</v>
      </c>
      <c r="AS51" s="196">
        <f>SUM(AS43:AS49)</f>
        <v>1547</v>
      </c>
      <c r="AT51" s="196">
        <f>SUM(AT43:AT49)</f>
        <v>1600</v>
      </c>
      <c r="AU51" s="196">
        <f>SUM(AU43:AU49)</f>
        <v>1449</v>
      </c>
      <c r="AV51" s="195">
        <v>1449</v>
      </c>
      <c r="AW51" s="195">
        <f t="shared" ref="AW51:BE51" si="255">SUM(AW43:AW49)</f>
        <v>1330</v>
      </c>
      <c r="AX51" s="196">
        <f t="shared" si="255"/>
        <v>1405</v>
      </c>
      <c r="AY51" s="196">
        <f t="shared" si="255"/>
        <v>1328</v>
      </c>
      <c r="AZ51" s="196">
        <f t="shared" si="255"/>
        <v>1437</v>
      </c>
      <c r="BA51" s="194">
        <f t="shared" si="255"/>
        <v>1437</v>
      </c>
      <c r="BB51" s="195">
        <f t="shared" si="255"/>
        <v>1459</v>
      </c>
      <c r="BC51" s="196">
        <f t="shared" si="255"/>
        <v>1457</v>
      </c>
      <c r="BD51" s="196">
        <f t="shared" si="255"/>
        <v>1422</v>
      </c>
      <c r="BE51" s="196">
        <f t="shared" si="255"/>
        <v>1139</v>
      </c>
      <c r="BF51" s="194">
        <f>SUM(BF43:BF49)</f>
        <v>1139</v>
      </c>
      <c r="BG51" s="195">
        <f>SUM(BG43:BG49)</f>
        <v>379</v>
      </c>
      <c r="BH51" s="196">
        <f>SUM(BH43:BH49)</f>
        <v>582</v>
      </c>
      <c r="BI51" s="196">
        <f>SUM(BI43:BI49)</f>
        <v>366</v>
      </c>
      <c r="BJ51" s="196">
        <f>SUM(BJ43:BJ49)</f>
        <v>-112</v>
      </c>
      <c r="BK51" s="194">
        <f>SUM(BK43:BK50)</f>
        <v>-112</v>
      </c>
      <c r="BL51" s="195">
        <f>BL49+BL50</f>
        <v>176</v>
      </c>
      <c r="BM51" s="196">
        <f t="shared" ref="BM51:CE51" si="256">BM49+BM50</f>
        <v>557</v>
      </c>
      <c r="BN51" s="196">
        <f t="shared" si="256"/>
        <v>989</v>
      </c>
      <c r="BO51" s="196">
        <f t="shared" si="256"/>
        <v>1114</v>
      </c>
      <c r="BP51" s="566">
        <f t="shared" si="256"/>
        <v>1114</v>
      </c>
      <c r="BQ51" s="196">
        <f t="shared" si="256"/>
        <v>1117</v>
      </c>
      <c r="BR51" s="196">
        <f t="shared" si="256"/>
        <v>1226</v>
      </c>
      <c r="BS51" s="196">
        <f t="shared" si="256"/>
        <v>1643</v>
      </c>
      <c r="BT51" s="196">
        <f t="shared" si="256"/>
        <v>1669</v>
      </c>
      <c r="BU51" s="194">
        <f t="shared" si="256"/>
        <v>1669</v>
      </c>
      <c r="BV51" s="195">
        <f t="shared" si="256"/>
        <v>1859</v>
      </c>
      <c r="BW51" s="196">
        <f t="shared" si="256"/>
        <v>1888</v>
      </c>
      <c r="BX51" s="196">
        <f t="shared" si="256"/>
        <v>2083</v>
      </c>
      <c r="BY51" s="196">
        <f t="shared" si="256"/>
        <v>1916</v>
      </c>
      <c r="BZ51" s="194">
        <f t="shared" si="256"/>
        <v>1916</v>
      </c>
      <c r="CA51" s="195">
        <f t="shared" si="256"/>
        <v>2279</v>
      </c>
      <c r="CB51" s="196">
        <f t="shared" si="256"/>
        <v>2272</v>
      </c>
      <c r="CC51" s="196">
        <f t="shared" si="256"/>
        <v>2339</v>
      </c>
      <c r="CD51" s="196">
        <f t="shared" si="256"/>
        <v>2312</v>
      </c>
      <c r="CE51" s="566">
        <f t="shared" si="256"/>
        <v>2312</v>
      </c>
      <c r="CF51" s="196">
        <f t="shared" ref="CF51:CJ51" si="257">CF49+CF50</f>
        <v>2417</v>
      </c>
      <c r="CG51" s="196">
        <f t="shared" si="257"/>
        <v>2344</v>
      </c>
      <c r="CH51" s="196">
        <f t="shared" si="257"/>
        <v>2300</v>
      </c>
      <c r="CI51" s="196">
        <f>CI49+CI50</f>
        <v>2268</v>
      </c>
      <c r="CJ51" s="194">
        <f t="shared" si="257"/>
        <v>2268</v>
      </c>
      <c r="CK51" s="873">
        <f t="shared" si="180"/>
        <v>-341</v>
      </c>
      <c r="CL51" s="196">
        <f t="shared" si="181"/>
        <v>-341</v>
      </c>
      <c r="CM51" s="196">
        <f t="shared" si="182"/>
        <v>-341</v>
      </c>
      <c r="CN51" s="196">
        <f t="shared" si="183"/>
        <v>-341</v>
      </c>
      <c r="CO51" s="194">
        <v>-341</v>
      </c>
      <c r="CP51" s="873">
        <f t="shared" si="184"/>
        <v>-1010</v>
      </c>
      <c r="CQ51" s="196">
        <f t="shared" si="185"/>
        <v>-1010</v>
      </c>
      <c r="CR51" s="196">
        <f t="shared" si="186"/>
        <v>-1010</v>
      </c>
      <c r="CS51" s="196">
        <f t="shared" si="187"/>
        <v>-1010</v>
      </c>
      <c r="CT51" s="194">
        <v>-1010</v>
      </c>
      <c r="CU51" s="196">
        <f t="shared" ref="CU51:CW51" si="258">CU49+CU50</f>
        <v>-1919.3000000000002</v>
      </c>
      <c r="CV51" s="196">
        <f t="shared" si="258"/>
        <v>-2383.6750000000002</v>
      </c>
      <c r="CW51" s="196">
        <f t="shared" si="258"/>
        <v>-3955.04</v>
      </c>
      <c r="CX51" s="196">
        <f t="shared" ref="CX51:DD51" si="259">CX49+CX50</f>
        <v>-5656</v>
      </c>
      <c r="CY51" s="2035">
        <f t="shared" si="259"/>
        <v>-5656</v>
      </c>
      <c r="CZ51" s="196">
        <f t="shared" si="259"/>
        <v>-5800</v>
      </c>
      <c r="DA51" s="196">
        <f t="shared" si="259"/>
        <v>-6102</v>
      </c>
      <c r="DB51" s="196">
        <f>DB49+DB50</f>
        <v>-6121</v>
      </c>
      <c r="DC51" s="196">
        <f>DC49+DC50</f>
        <v>-6334</v>
      </c>
      <c r="DD51" s="194">
        <f t="shared" si="259"/>
        <v>-6334</v>
      </c>
      <c r="DE51" s="199">
        <f t="shared" ref="DE51:DI51" si="260">DE49+DE50</f>
        <v>-6738.5169546454545</v>
      </c>
      <c r="DF51" s="199">
        <f t="shared" si="260"/>
        <v>-7123.9865567034658</v>
      </c>
      <c r="DG51" s="199">
        <f t="shared" si="260"/>
        <v>-7480.7714578800424</v>
      </c>
      <c r="DH51" s="199">
        <f t="shared" si="260"/>
        <v>-7787.7030285849787</v>
      </c>
      <c r="DI51" s="200">
        <f t="shared" si="260"/>
        <v>-7787.7030285849787</v>
      </c>
      <c r="DJ51" s="199">
        <f t="shared" ref="DJ51:DS51" si="261">DJ49+DJ50</f>
        <v>-7995.3092544922365</v>
      </c>
      <c r="DK51" s="199">
        <f t="shared" si="261"/>
        <v>-8185.1163529164414</v>
      </c>
      <c r="DL51" s="199">
        <f t="shared" si="261"/>
        <v>-8343.2656352285667</v>
      </c>
      <c r="DM51" s="199">
        <f t="shared" si="261"/>
        <v>-8444.0801533186786</v>
      </c>
      <c r="DN51" s="200">
        <f t="shared" si="261"/>
        <v>-8444.0801533186786</v>
      </c>
      <c r="DO51" s="199">
        <f t="shared" si="261"/>
        <v>-8472.4872081392532</v>
      </c>
      <c r="DP51" s="199">
        <f t="shared" si="261"/>
        <v>-8479.6622975912505</v>
      </c>
      <c r="DQ51" s="199">
        <f t="shared" si="261"/>
        <v>-8449.6729628129942</v>
      </c>
      <c r="DR51" s="199">
        <f t="shared" si="261"/>
        <v>-8353.7438215393413</v>
      </c>
      <c r="DS51" s="200">
        <f t="shared" si="261"/>
        <v>-8353.7438215393413</v>
      </c>
      <c r="DT51" s="199">
        <f t="shared" ref="DT51:EC51" si="262">DT49+DT50</f>
        <v>-8365.1247617552144</v>
      </c>
      <c r="DU51" s="199">
        <f t="shared" si="262"/>
        <v>-8354.2951582008882</v>
      </c>
      <c r="DV51" s="199">
        <f t="shared" si="262"/>
        <v>-8302.4475583069379</v>
      </c>
      <c r="DW51" s="199">
        <f t="shared" si="262"/>
        <v>-8178.1177435973595</v>
      </c>
      <c r="DX51" s="200">
        <f t="shared" si="262"/>
        <v>-8178.1177435973595</v>
      </c>
      <c r="DY51" s="199">
        <f t="shared" si="262"/>
        <v>-8173.2433216774289</v>
      </c>
      <c r="DZ51" s="199">
        <f t="shared" si="262"/>
        <v>-8144.5771186640077</v>
      </c>
      <c r="EA51" s="199">
        <f t="shared" si="262"/>
        <v>-8070.117559987345</v>
      </c>
      <c r="EB51" s="199">
        <f t="shared" si="262"/>
        <v>-7915.9383174132872</v>
      </c>
      <c r="EC51" s="200">
        <f t="shared" si="262"/>
        <v>-7915.9383174132872</v>
      </c>
      <c r="ED51" s="469"/>
      <c r="EE51" s="172"/>
      <c r="EF51"/>
      <c r="EG51"/>
      <c r="EH51"/>
      <c r="EI51"/>
      <c r="EJ51"/>
      <c r="EK51"/>
      <c r="EL51"/>
      <c r="EM51"/>
      <c r="EN51"/>
      <c r="EO51"/>
      <c r="EP51"/>
      <c r="EQ51"/>
      <c r="ER51"/>
      <c r="ES51"/>
      <c r="ET51"/>
      <c r="EU51"/>
      <c r="EV51"/>
      <c r="EW51"/>
      <c r="EX51"/>
      <c r="EY51"/>
      <c r="EZ51"/>
      <c r="FA51"/>
    </row>
    <row r="52" spans="1:157" s="179" customFormat="1" ht="22.5" x14ac:dyDescent="0.2">
      <c r="A52" s="662" t="s">
        <v>602</v>
      </c>
      <c r="B52" s="663"/>
      <c r="C52" s="664"/>
      <c r="D52" s="664"/>
      <c r="E52" s="664"/>
      <c r="F52" s="664"/>
      <c r="G52" s="665"/>
      <c r="H52" s="666">
        <f>SUM(H41:H51)</f>
        <v>5098</v>
      </c>
      <c r="I52" s="667"/>
      <c r="J52" s="667"/>
      <c r="K52" s="667"/>
      <c r="L52" s="668"/>
      <c r="M52" s="666">
        <f>SUM(M41:M51)</f>
        <v>4531</v>
      </c>
      <c r="N52" s="669">
        <f>SUM(N41:N51)</f>
        <v>4463</v>
      </c>
      <c r="O52" s="670">
        <f>SUM(O41:O51)</f>
        <v>4419</v>
      </c>
      <c r="P52" s="670">
        <f>SUM(P41:P51)</f>
        <v>4253</v>
      </c>
      <c r="Q52" s="671">
        <f>SUM(Q41:Q51)</f>
        <v>3961</v>
      </c>
      <c r="R52" s="672">
        <f t="shared" si="127"/>
        <v>3961</v>
      </c>
      <c r="S52" s="669">
        <f>SUM(S41:S51)</f>
        <v>4372</v>
      </c>
      <c r="T52" s="670">
        <f>SUM(T41:T51)</f>
        <v>4311</v>
      </c>
      <c r="U52" s="670">
        <f>SUM(U41:U51)</f>
        <v>4296</v>
      </c>
      <c r="V52" s="671">
        <f>SUM(V41:V51)</f>
        <v>4149</v>
      </c>
      <c r="W52" s="672">
        <f t="shared" si="128"/>
        <v>4149</v>
      </c>
      <c r="X52" s="669">
        <f>SUM(X41:X51)</f>
        <v>4302</v>
      </c>
      <c r="Y52" s="670">
        <f>SUM(Y41:Y51)</f>
        <v>4357</v>
      </c>
      <c r="Z52" s="670">
        <f>SUM(Z41:Z51)</f>
        <v>4369</v>
      </c>
      <c r="AA52" s="671">
        <f>SUM(AA41:AA51)</f>
        <v>4388</v>
      </c>
      <c r="AB52" s="672">
        <f t="shared" si="129"/>
        <v>4388</v>
      </c>
      <c r="AC52" s="669">
        <f>SUM(AC41:AC51)</f>
        <v>4402</v>
      </c>
      <c r="AD52" s="670">
        <f>SUM(AD41:AD51)</f>
        <v>5073</v>
      </c>
      <c r="AE52" s="670">
        <f>SUM(AE41:AE51)</f>
        <v>5158</v>
      </c>
      <c r="AF52" s="671">
        <f>SUM(AF41:AF51)</f>
        <v>5400</v>
      </c>
      <c r="AG52" s="672">
        <f t="shared" si="130"/>
        <v>5400</v>
      </c>
      <c r="AH52" s="670">
        <f>SUM(AH41:AH51)</f>
        <v>5538</v>
      </c>
      <c r="AI52" s="670">
        <f>SUM(AI41:AI51)</f>
        <v>5609</v>
      </c>
      <c r="AJ52" s="670">
        <f>SUM(AJ41:AJ51)</f>
        <v>5655</v>
      </c>
      <c r="AK52" s="671">
        <f>SUM(AK41:AK51)</f>
        <v>5620</v>
      </c>
      <c r="AL52" s="672">
        <f t="shared" si="131"/>
        <v>5620</v>
      </c>
      <c r="AM52" s="670">
        <f>SUM(AM41:AM51)</f>
        <v>5694</v>
      </c>
      <c r="AN52" s="670">
        <f>SUM(AN41:AN51)</f>
        <v>5683</v>
      </c>
      <c r="AO52" s="670">
        <f>SUM(AO41:AO51)</f>
        <v>5984</v>
      </c>
      <c r="AP52" s="671">
        <f>SUM(AP41:AP51)</f>
        <v>5696</v>
      </c>
      <c r="AQ52" s="672">
        <f t="shared" si="132"/>
        <v>5696</v>
      </c>
      <c r="AR52" s="670">
        <f>AR51+AR41</f>
        <v>5798</v>
      </c>
      <c r="AS52" s="670">
        <f>AS51+AS41</f>
        <v>5675</v>
      </c>
      <c r="AT52" s="673">
        <f>AT51+AT41</f>
        <v>5874</v>
      </c>
      <c r="AU52" s="671">
        <f>AU51+AU41</f>
        <v>5698</v>
      </c>
      <c r="AV52" s="669">
        <f t="shared" ref="AV52:BE52" si="263">AV51+AV41</f>
        <v>5698</v>
      </c>
      <c r="AW52" s="674">
        <f t="shared" si="263"/>
        <v>5717</v>
      </c>
      <c r="AX52" s="673">
        <f t="shared" si="263"/>
        <v>5864</v>
      </c>
      <c r="AY52" s="673">
        <f t="shared" si="263"/>
        <v>5901</v>
      </c>
      <c r="AZ52" s="673">
        <f t="shared" si="263"/>
        <v>6381</v>
      </c>
      <c r="BA52" s="675">
        <f t="shared" si="263"/>
        <v>6381</v>
      </c>
      <c r="BB52" s="674">
        <f t="shared" si="263"/>
        <v>6344</v>
      </c>
      <c r="BC52" s="673">
        <f t="shared" si="263"/>
        <v>6430</v>
      </c>
      <c r="BD52" s="673">
        <f t="shared" si="263"/>
        <v>6598</v>
      </c>
      <c r="BE52" s="673">
        <f t="shared" si="263"/>
        <v>7242</v>
      </c>
      <c r="BF52" s="675">
        <f t="shared" ref="BF52:BU52" si="264">BF51+BF41</f>
        <v>7242</v>
      </c>
      <c r="BG52" s="674">
        <f t="shared" si="264"/>
        <v>6913</v>
      </c>
      <c r="BH52" s="673">
        <f t="shared" si="264"/>
        <v>6826</v>
      </c>
      <c r="BI52" s="673">
        <f t="shared" si="264"/>
        <v>6820</v>
      </c>
      <c r="BJ52" s="673">
        <f t="shared" si="264"/>
        <v>6506</v>
      </c>
      <c r="BK52" s="675">
        <f t="shared" si="264"/>
        <v>6506</v>
      </c>
      <c r="BL52" s="674">
        <f t="shared" si="264"/>
        <v>6570</v>
      </c>
      <c r="BM52" s="673">
        <f t="shared" si="264"/>
        <v>6924</v>
      </c>
      <c r="BN52" s="673">
        <f t="shared" si="264"/>
        <v>7121</v>
      </c>
      <c r="BO52" s="673">
        <f t="shared" si="264"/>
        <v>7148</v>
      </c>
      <c r="BP52" s="676">
        <f t="shared" si="264"/>
        <v>7148</v>
      </c>
      <c r="BQ52" s="673">
        <f t="shared" si="264"/>
        <v>7141</v>
      </c>
      <c r="BR52" s="673">
        <f t="shared" si="264"/>
        <v>7145</v>
      </c>
      <c r="BS52" s="673">
        <f t="shared" si="264"/>
        <v>8088</v>
      </c>
      <c r="BT52" s="673">
        <f t="shared" si="264"/>
        <v>8316</v>
      </c>
      <c r="BU52" s="675">
        <f t="shared" si="264"/>
        <v>8316</v>
      </c>
      <c r="BV52" s="674">
        <f t="shared" ref="BV52:CE52" si="265">BV51+BV41</f>
        <v>8426</v>
      </c>
      <c r="BW52" s="673">
        <f t="shared" si="265"/>
        <v>8207</v>
      </c>
      <c r="BX52" s="673">
        <f t="shared" si="265"/>
        <v>8549</v>
      </c>
      <c r="BY52" s="673">
        <f t="shared" si="265"/>
        <v>8834</v>
      </c>
      <c r="BZ52" s="675">
        <f t="shared" si="265"/>
        <v>8834</v>
      </c>
      <c r="CA52" s="674">
        <f t="shared" si="265"/>
        <v>9343</v>
      </c>
      <c r="CB52" s="673">
        <f t="shared" si="265"/>
        <v>9177</v>
      </c>
      <c r="CC52" s="673">
        <f t="shared" si="265"/>
        <v>8974</v>
      </c>
      <c r="CD52" s="673">
        <f t="shared" si="265"/>
        <v>9011</v>
      </c>
      <c r="CE52" s="676">
        <f t="shared" si="265"/>
        <v>9011</v>
      </c>
      <c r="CF52" s="673">
        <f t="shared" ref="CF52:CN52" si="266">CF51+CF41</f>
        <v>8945</v>
      </c>
      <c r="CG52" s="673">
        <f t="shared" si="266"/>
        <v>8764</v>
      </c>
      <c r="CH52" s="673">
        <f t="shared" si="266"/>
        <v>8730</v>
      </c>
      <c r="CI52" s="673">
        <f t="shared" si="266"/>
        <v>8695</v>
      </c>
      <c r="CJ52" s="675">
        <f t="shared" si="266"/>
        <v>8695</v>
      </c>
      <c r="CK52" s="878">
        <f t="shared" si="266"/>
        <v>5088</v>
      </c>
      <c r="CL52" s="673">
        <f t="shared" si="266"/>
        <v>5088</v>
      </c>
      <c r="CM52" s="673">
        <f t="shared" si="266"/>
        <v>5088</v>
      </c>
      <c r="CN52" s="673">
        <f t="shared" si="266"/>
        <v>5088</v>
      </c>
      <c r="CO52" s="1133">
        <v>5088</v>
      </c>
      <c r="CP52" s="878">
        <f t="shared" ref="CP52:DS52" si="267">CP51+CP41</f>
        <v>4874</v>
      </c>
      <c r="CQ52" s="673">
        <f t="shared" si="267"/>
        <v>4874</v>
      </c>
      <c r="CR52" s="673">
        <f t="shared" si="267"/>
        <v>4874</v>
      </c>
      <c r="CS52" s="673">
        <f t="shared" si="267"/>
        <v>4874</v>
      </c>
      <c r="CT52" s="1133">
        <v>4874</v>
      </c>
      <c r="CU52" s="673">
        <f t="shared" ref="CU52:CW52" si="268">CU51+CU41</f>
        <v>4849.7</v>
      </c>
      <c r="CV52" s="673">
        <f t="shared" si="268"/>
        <v>4896.3249999999998</v>
      </c>
      <c r="CW52" s="673">
        <f t="shared" si="268"/>
        <v>7027.96</v>
      </c>
      <c r="CX52" s="673">
        <f t="shared" ref="CX52:DD52" si="269">CX51+CX41</f>
        <v>5478</v>
      </c>
      <c r="CY52" s="1133">
        <f t="shared" si="269"/>
        <v>5478</v>
      </c>
      <c r="CZ52" s="673">
        <f t="shared" si="269"/>
        <v>5163</v>
      </c>
      <c r="DA52" s="673">
        <f>DA51+DA41</f>
        <v>5596</v>
      </c>
      <c r="DB52" s="673">
        <f>DB51+DB41</f>
        <v>5454</v>
      </c>
      <c r="DC52" s="673">
        <f>DC51+DC41</f>
        <v>5311</v>
      </c>
      <c r="DD52" s="675">
        <f t="shared" si="269"/>
        <v>5311</v>
      </c>
      <c r="DE52" s="677">
        <f t="shared" ref="DE52:DI52" si="270">DE51+DE41</f>
        <v>4922.1348192483256</v>
      </c>
      <c r="DF52" s="677">
        <f t="shared" si="270"/>
        <v>4499.8125046802843</v>
      </c>
      <c r="DG52" s="677">
        <f t="shared" si="270"/>
        <v>4113.1119745720571</v>
      </c>
      <c r="DH52" s="677">
        <f t="shared" si="270"/>
        <v>4023.5973790399648</v>
      </c>
      <c r="DI52" s="678">
        <f t="shared" si="270"/>
        <v>4023.5973790399648</v>
      </c>
      <c r="DJ52" s="677">
        <f t="shared" si="267"/>
        <v>3476.3100470380377</v>
      </c>
      <c r="DK52" s="677">
        <f t="shared" si="267"/>
        <v>3270.5964171249188</v>
      </c>
      <c r="DL52" s="677">
        <f t="shared" si="267"/>
        <v>3093.595091266825</v>
      </c>
      <c r="DM52" s="677">
        <f t="shared" si="267"/>
        <v>3355.8581273368491</v>
      </c>
      <c r="DN52" s="678">
        <f t="shared" si="267"/>
        <v>3355.8581273368491</v>
      </c>
      <c r="DO52" s="677">
        <f t="shared" si="267"/>
        <v>2929.0352800292058</v>
      </c>
      <c r="DP52" s="677">
        <f t="shared" si="267"/>
        <v>2941.0853133044911</v>
      </c>
      <c r="DQ52" s="677">
        <f t="shared" si="267"/>
        <v>2987.3243582658542</v>
      </c>
      <c r="DR52" s="677">
        <f t="shared" si="267"/>
        <v>3533.1472717435663</v>
      </c>
      <c r="DS52" s="678">
        <f t="shared" si="267"/>
        <v>3533.1472717435663</v>
      </c>
      <c r="DT52" s="677">
        <f t="shared" ref="DT52:EC52" si="271">DT51+DT41</f>
        <v>3101.7640657311058</v>
      </c>
      <c r="DU52" s="677">
        <f t="shared" si="271"/>
        <v>3137.5341290607648</v>
      </c>
      <c r="DV52" s="677">
        <f t="shared" si="271"/>
        <v>3207.4492760158009</v>
      </c>
      <c r="DW52" s="677">
        <f t="shared" si="271"/>
        <v>3850.3751997158461</v>
      </c>
      <c r="DX52" s="678">
        <f t="shared" si="271"/>
        <v>3850.3751997158461</v>
      </c>
      <c r="DY52" s="677">
        <f t="shared" si="271"/>
        <v>3377.1074247070383</v>
      </c>
      <c r="DZ52" s="677">
        <f t="shared" si="271"/>
        <v>3442.4678246701251</v>
      </c>
      <c r="EA52" s="677">
        <f t="shared" si="271"/>
        <v>3542.3334485990899</v>
      </c>
      <c r="EB52" s="677">
        <f t="shared" si="271"/>
        <v>4311.3730497788947</v>
      </c>
      <c r="EC52" s="678">
        <f t="shared" si="271"/>
        <v>4311.3730497788947</v>
      </c>
      <c r="ED52" s="469"/>
      <c r="EE52" s="172"/>
      <c r="EF52"/>
      <c r="EG52"/>
      <c r="EH52"/>
      <c r="EI52"/>
      <c r="EJ52"/>
      <c r="EK52"/>
      <c r="EL52"/>
      <c r="EM52"/>
      <c r="EN52"/>
      <c r="EO52"/>
      <c r="EP52"/>
      <c r="EQ52"/>
      <c r="ER52"/>
      <c r="ES52"/>
      <c r="ET52"/>
      <c r="EU52"/>
      <c r="EV52"/>
      <c r="EW52"/>
      <c r="EX52"/>
      <c r="EY52"/>
      <c r="EZ52"/>
      <c r="FA52"/>
    </row>
    <row r="53" spans="1:157" s="456" customFormat="1" x14ac:dyDescent="0.2">
      <c r="A53" s="458" t="s">
        <v>332</v>
      </c>
      <c r="AR53" s="456">
        <f>AR28-AR52</f>
        <v>0</v>
      </c>
      <c r="AS53" s="456">
        <f>AS28-AS52</f>
        <v>0</v>
      </c>
      <c r="AT53" s="456">
        <f>AT28-AT52</f>
        <v>0</v>
      </c>
      <c r="AU53" s="456">
        <f>AU28-AU52</f>
        <v>0</v>
      </c>
      <c r="AV53" s="456">
        <f>AV28-AV52</f>
        <v>0</v>
      </c>
      <c r="AW53" s="455">
        <f t="shared" ref="AW53:BT53" si="272">AW28-AW52</f>
        <v>0</v>
      </c>
      <c r="AX53" s="456">
        <f t="shared" si="272"/>
        <v>0</v>
      </c>
      <c r="AY53" s="456">
        <f t="shared" si="272"/>
        <v>0</v>
      </c>
      <c r="AZ53" s="456">
        <f t="shared" si="272"/>
        <v>0</v>
      </c>
      <c r="BA53" s="457">
        <f t="shared" si="272"/>
        <v>0</v>
      </c>
      <c r="BB53" s="468">
        <f t="shared" si="272"/>
        <v>0</v>
      </c>
      <c r="BC53" s="469">
        <f t="shared" si="272"/>
        <v>0</v>
      </c>
      <c r="BD53" s="469">
        <f t="shared" si="272"/>
        <v>0</v>
      </c>
      <c r="BE53" s="469">
        <f t="shared" si="272"/>
        <v>0</v>
      </c>
      <c r="BF53" s="470">
        <f t="shared" si="272"/>
        <v>0</v>
      </c>
      <c r="BG53" s="468">
        <f t="shared" si="272"/>
        <v>0</v>
      </c>
      <c r="BH53" s="469">
        <f t="shared" si="272"/>
        <v>0</v>
      </c>
      <c r="BI53" s="469">
        <f t="shared" si="272"/>
        <v>0</v>
      </c>
      <c r="BJ53" s="469">
        <f t="shared" si="272"/>
        <v>0</v>
      </c>
      <c r="BK53" s="470">
        <f t="shared" si="272"/>
        <v>0</v>
      </c>
      <c r="BL53" s="468">
        <f t="shared" si="272"/>
        <v>0</v>
      </c>
      <c r="BM53" s="469">
        <f t="shared" si="272"/>
        <v>0</v>
      </c>
      <c r="BN53" s="469">
        <f t="shared" si="272"/>
        <v>0</v>
      </c>
      <c r="BO53" s="469">
        <f t="shared" si="272"/>
        <v>0</v>
      </c>
      <c r="BP53" s="470">
        <f t="shared" si="272"/>
        <v>0</v>
      </c>
      <c r="BQ53" s="469">
        <f>BQ28-BQ52</f>
        <v>0</v>
      </c>
      <c r="BR53" s="469">
        <f t="shared" si="272"/>
        <v>0</v>
      </c>
      <c r="BS53" s="469">
        <f t="shared" si="272"/>
        <v>0</v>
      </c>
      <c r="BT53" s="469">
        <f t="shared" si="272"/>
        <v>0</v>
      </c>
      <c r="BU53" s="470"/>
      <c r="BV53" s="468"/>
      <c r="BW53" s="469"/>
      <c r="BX53" s="469"/>
      <c r="BY53" s="469"/>
      <c r="BZ53" s="470"/>
      <c r="CA53" s="468"/>
      <c r="CB53" s="469"/>
      <c r="CC53" s="469"/>
      <c r="CD53" s="469"/>
      <c r="CE53" s="470"/>
      <c r="CF53" s="468"/>
      <c r="CG53" s="469"/>
      <c r="CH53" s="469"/>
      <c r="CI53" s="469"/>
      <c r="CJ53" s="470"/>
      <c r="CK53" s="469"/>
      <c r="CL53" s="469"/>
      <c r="CM53" s="469"/>
      <c r="CN53" s="469"/>
      <c r="CO53" s="469"/>
      <c r="CP53" s="469">
        <f t="shared" ref="CP53:DS53" si="273">CP52-CP28</f>
        <v>0</v>
      </c>
      <c r="CQ53" s="469">
        <f t="shared" si="273"/>
        <v>0</v>
      </c>
      <c r="CR53" s="469">
        <f t="shared" si="273"/>
        <v>0</v>
      </c>
      <c r="CS53" s="469">
        <f t="shared" si="273"/>
        <v>0</v>
      </c>
      <c r="CT53" s="469">
        <f t="shared" si="273"/>
        <v>0</v>
      </c>
      <c r="CU53" s="469">
        <f t="shared" ref="CU53:CW53" si="274">CU52-CU28</f>
        <v>7.002699377623685</v>
      </c>
      <c r="CV53" s="469">
        <f t="shared" si="274"/>
        <v>12</v>
      </c>
      <c r="CW53" s="469">
        <f t="shared" si="274"/>
        <v>1.5158004052691467</v>
      </c>
      <c r="CX53" s="469">
        <f>CX52-CX28</f>
        <v>0</v>
      </c>
      <c r="CY53" s="469">
        <f t="shared" si="273"/>
        <v>0</v>
      </c>
      <c r="CZ53" s="469">
        <f t="shared" si="273"/>
        <v>0</v>
      </c>
      <c r="DA53" s="469">
        <f>DA52-DA28</f>
        <v>0</v>
      </c>
      <c r="DB53" s="469">
        <f t="shared" si="273"/>
        <v>0</v>
      </c>
      <c r="DC53" s="469">
        <f>DC52-DC28</f>
        <v>0</v>
      </c>
      <c r="DD53" s="469">
        <f t="shared" si="273"/>
        <v>0</v>
      </c>
      <c r="DE53" s="469">
        <f t="shared" ref="DE53:DI53" si="275">DE52-DE28</f>
        <v>0</v>
      </c>
      <c r="DF53" s="469">
        <f t="shared" si="275"/>
        <v>0</v>
      </c>
      <c r="DG53" s="469">
        <f t="shared" si="275"/>
        <v>0</v>
      </c>
      <c r="DH53" s="469">
        <f t="shared" si="275"/>
        <v>0</v>
      </c>
      <c r="DI53" s="469">
        <f t="shared" si="275"/>
        <v>0</v>
      </c>
      <c r="DJ53" s="469">
        <f t="shared" si="273"/>
        <v>0</v>
      </c>
      <c r="DK53" s="469">
        <f t="shared" si="273"/>
        <v>0</v>
      </c>
      <c r="DL53" s="469">
        <f t="shared" si="273"/>
        <v>0</v>
      </c>
      <c r="DM53" s="469">
        <f t="shared" si="273"/>
        <v>0</v>
      </c>
      <c r="DN53" s="469">
        <f t="shared" si="273"/>
        <v>0</v>
      </c>
      <c r="DO53" s="469">
        <f t="shared" si="273"/>
        <v>0</v>
      </c>
      <c r="DP53" s="469">
        <f t="shared" si="273"/>
        <v>0</v>
      </c>
      <c r="DQ53" s="469">
        <f t="shared" si="273"/>
        <v>0</v>
      </c>
      <c r="DR53" s="469">
        <f t="shared" si="273"/>
        <v>0</v>
      </c>
      <c r="DS53" s="469">
        <f t="shared" si="273"/>
        <v>0</v>
      </c>
      <c r="DT53" s="469">
        <f t="shared" ref="DT53:EC53" si="276">DT52-DT28</f>
        <v>0</v>
      </c>
      <c r="DU53" s="469">
        <f t="shared" si="276"/>
        <v>0</v>
      </c>
      <c r="DV53" s="469">
        <f t="shared" si="276"/>
        <v>0</v>
      </c>
      <c r="DW53" s="469">
        <f t="shared" si="276"/>
        <v>0</v>
      </c>
      <c r="DX53" s="469">
        <f t="shared" si="276"/>
        <v>0</v>
      </c>
      <c r="DY53" s="469">
        <f t="shared" si="276"/>
        <v>0</v>
      </c>
      <c r="DZ53" s="469">
        <f t="shared" si="276"/>
        <v>0</v>
      </c>
      <c r="EA53" s="469">
        <f t="shared" si="276"/>
        <v>4.5474735088646412E-12</v>
      </c>
      <c r="EB53" s="469">
        <f t="shared" si="276"/>
        <v>0</v>
      </c>
      <c r="EC53" s="469">
        <f t="shared" si="276"/>
        <v>0</v>
      </c>
      <c r="ED53" s="469"/>
      <c r="EF53"/>
      <c r="EG53"/>
      <c r="EH53"/>
      <c r="EI53"/>
      <c r="EJ53"/>
      <c r="EK53"/>
      <c r="EL53"/>
      <c r="EM53"/>
      <c r="EN53"/>
      <c r="EO53"/>
      <c r="EP53"/>
      <c r="EQ53"/>
      <c r="ER53"/>
      <c r="ES53"/>
      <c r="ET53"/>
      <c r="EU53"/>
      <c r="EV53"/>
      <c r="EW53"/>
      <c r="EX53"/>
      <c r="EY53"/>
      <c r="EZ53"/>
      <c r="FA53"/>
    </row>
    <row r="54" spans="1:157" s="172" customFormat="1" x14ac:dyDescent="0.2">
      <c r="A54" s="459" t="s">
        <v>427</v>
      </c>
      <c r="B54" s="7"/>
      <c r="C54" s="7"/>
      <c r="D54" s="7"/>
      <c r="E54" s="7"/>
      <c r="F54" s="7"/>
      <c r="G54" s="7"/>
      <c r="H54" s="8" t="s">
        <v>573</v>
      </c>
      <c r="I54" s="8"/>
      <c r="J54" s="8"/>
      <c r="K54" s="8"/>
      <c r="L54" s="8"/>
      <c r="M54" s="8" t="s">
        <v>578</v>
      </c>
      <c r="N54" s="8" t="s">
        <v>579</v>
      </c>
      <c r="O54" s="8" t="s">
        <v>580</v>
      </c>
      <c r="P54" s="8" t="s">
        <v>581</v>
      </c>
      <c r="Q54" s="8" t="s">
        <v>582</v>
      </c>
      <c r="R54" s="8" t="s">
        <v>276</v>
      </c>
      <c r="S54" s="8" t="s">
        <v>277</v>
      </c>
      <c r="T54" s="8" t="s">
        <v>284</v>
      </c>
      <c r="U54" s="8" t="s">
        <v>285</v>
      </c>
      <c r="V54" s="162" t="s">
        <v>286</v>
      </c>
      <c r="W54" s="8" t="s">
        <v>287</v>
      </c>
      <c r="X54" s="8" t="s">
        <v>288</v>
      </c>
      <c r="Y54" s="8" t="s">
        <v>289</v>
      </c>
      <c r="Z54" s="8" t="s">
        <v>291</v>
      </c>
      <c r="AA54" s="162" t="s">
        <v>292</v>
      </c>
      <c r="AB54" s="8" t="s">
        <v>293</v>
      </c>
      <c r="AC54" s="8" t="s">
        <v>294</v>
      </c>
      <c r="AD54" s="8" t="s">
        <v>295</v>
      </c>
      <c r="AE54" s="8" t="s">
        <v>296</v>
      </c>
      <c r="AF54" s="8" t="s">
        <v>297</v>
      </c>
      <c r="AG54" s="8" t="s">
        <v>298</v>
      </c>
      <c r="AH54" s="8" t="s">
        <v>299</v>
      </c>
      <c r="AI54" s="8" t="s">
        <v>300</v>
      </c>
      <c r="AJ54" s="8" t="s">
        <v>301</v>
      </c>
      <c r="AK54" s="8" t="s">
        <v>302</v>
      </c>
      <c r="AL54" s="8" t="s">
        <v>303</v>
      </c>
      <c r="AM54" s="8" t="str">
        <f t="shared" ref="AM54:BR54" si="277">AM9</f>
        <v>1Q04A</v>
      </c>
      <c r="AN54" s="8" t="str">
        <f t="shared" si="277"/>
        <v>2Q04A</v>
      </c>
      <c r="AO54" s="8" t="str">
        <f t="shared" si="277"/>
        <v>3Q04A</v>
      </c>
      <c r="AP54" s="8" t="str">
        <f t="shared" si="277"/>
        <v>4Q04A</v>
      </c>
      <c r="AQ54" s="8" t="str">
        <f t="shared" si="277"/>
        <v>2004A</v>
      </c>
      <c r="AR54" s="8" t="str">
        <f t="shared" si="277"/>
        <v>1Q05A</v>
      </c>
      <c r="AS54" s="8" t="str">
        <f t="shared" si="277"/>
        <v>2Q05A</v>
      </c>
      <c r="AT54" s="8" t="str">
        <f t="shared" si="277"/>
        <v>3Q05A</v>
      </c>
      <c r="AU54" s="8" t="str">
        <f t="shared" si="277"/>
        <v>4Q05A</v>
      </c>
      <c r="AV54" s="8" t="str">
        <f t="shared" si="277"/>
        <v>2005A</v>
      </c>
      <c r="AW54" s="8" t="str">
        <f t="shared" si="277"/>
        <v>1Q06A</v>
      </c>
      <c r="AX54" s="8" t="str">
        <f t="shared" si="277"/>
        <v>2Q06A</v>
      </c>
      <c r="AY54" s="8" t="str">
        <f t="shared" si="277"/>
        <v>3Q06A</v>
      </c>
      <c r="AZ54" s="8" t="str">
        <f t="shared" si="277"/>
        <v>4Q06A</v>
      </c>
      <c r="BA54" s="36" t="str">
        <f t="shared" si="277"/>
        <v>2006A</v>
      </c>
      <c r="BB54" s="8" t="str">
        <f t="shared" si="277"/>
        <v>1Q07A</v>
      </c>
      <c r="BC54" s="8" t="str">
        <f t="shared" si="277"/>
        <v>2Q07A</v>
      </c>
      <c r="BD54" s="8" t="str">
        <f t="shared" si="277"/>
        <v>3Q07A</v>
      </c>
      <c r="BE54" s="8" t="str">
        <f t="shared" si="277"/>
        <v>4Q07A</v>
      </c>
      <c r="BF54" s="36" t="str">
        <f t="shared" si="277"/>
        <v>2007A</v>
      </c>
      <c r="BG54" s="8" t="str">
        <f t="shared" si="277"/>
        <v>1Q08A</v>
      </c>
      <c r="BH54" s="8" t="str">
        <f t="shared" si="277"/>
        <v>2Q08A</v>
      </c>
      <c r="BI54" s="8" t="str">
        <f t="shared" si="277"/>
        <v>3Q08A</v>
      </c>
      <c r="BJ54" s="8" t="str">
        <f t="shared" si="277"/>
        <v>4Q08A</v>
      </c>
      <c r="BK54" s="36" t="str">
        <f t="shared" si="277"/>
        <v>2008A</v>
      </c>
      <c r="BL54" s="8" t="str">
        <f t="shared" si="277"/>
        <v>1Q09A</v>
      </c>
      <c r="BM54" s="8" t="str">
        <f t="shared" si="277"/>
        <v>2Q09A</v>
      </c>
      <c r="BN54" s="8" t="str">
        <f t="shared" si="277"/>
        <v>3Q09A</v>
      </c>
      <c r="BO54" s="8" t="str">
        <f t="shared" si="277"/>
        <v>4Q09A</v>
      </c>
      <c r="BP54" s="36" t="str">
        <f t="shared" si="277"/>
        <v>2009A</v>
      </c>
      <c r="BQ54" s="8" t="str">
        <f t="shared" si="277"/>
        <v>1Q10A</v>
      </c>
      <c r="BR54" s="8" t="str">
        <f t="shared" si="277"/>
        <v>2Q10A</v>
      </c>
      <c r="BS54" s="8" t="str">
        <f t="shared" ref="BS54:CX54" si="278">BS9</f>
        <v>3Q10A</v>
      </c>
      <c r="BT54" s="8" t="str">
        <f t="shared" si="278"/>
        <v>4Q10A</v>
      </c>
      <c r="BU54" s="36" t="str">
        <f t="shared" si="278"/>
        <v>2010A</v>
      </c>
      <c r="BV54" s="8" t="str">
        <f t="shared" si="278"/>
        <v>1Q11A</v>
      </c>
      <c r="BW54" s="8" t="str">
        <f t="shared" si="278"/>
        <v>2Q11A</v>
      </c>
      <c r="BX54" s="8" t="str">
        <f t="shared" si="278"/>
        <v>3Q11A</v>
      </c>
      <c r="BY54" s="8" t="str">
        <f t="shared" si="278"/>
        <v>4Q11A</v>
      </c>
      <c r="BZ54" s="36" t="str">
        <f t="shared" si="278"/>
        <v>2011A</v>
      </c>
      <c r="CA54" s="8" t="str">
        <f t="shared" si="278"/>
        <v>1Q12A</v>
      </c>
      <c r="CB54" s="8" t="str">
        <f t="shared" si="278"/>
        <v>2Q12A</v>
      </c>
      <c r="CC54" s="8" t="str">
        <f t="shared" si="278"/>
        <v>3Q12A</v>
      </c>
      <c r="CD54" s="8" t="str">
        <f t="shared" si="278"/>
        <v>4Q12A</v>
      </c>
      <c r="CE54" s="36" t="str">
        <f t="shared" si="278"/>
        <v>2012A</v>
      </c>
      <c r="CF54" s="8" t="str">
        <f t="shared" si="278"/>
        <v>1Q13A</v>
      </c>
      <c r="CG54" s="8" t="str">
        <f t="shared" si="278"/>
        <v>2Q13A</v>
      </c>
      <c r="CH54" s="8" t="str">
        <f t="shared" si="278"/>
        <v>3Q13A</v>
      </c>
      <c r="CI54" s="8" t="str">
        <f t="shared" si="278"/>
        <v>4Q13A</v>
      </c>
      <c r="CJ54" s="36" t="str">
        <f t="shared" si="278"/>
        <v>2013A</v>
      </c>
      <c r="CK54" s="8" t="str">
        <f t="shared" si="278"/>
        <v>1Q14A</v>
      </c>
      <c r="CL54" s="8" t="str">
        <f t="shared" si="278"/>
        <v>2Q14A</v>
      </c>
      <c r="CM54" s="8" t="str">
        <f t="shared" si="278"/>
        <v>3Q14A</v>
      </c>
      <c r="CN54" s="8" t="str">
        <f t="shared" si="278"/>
        <v>4Q14A</v>
      </c>
      <c r="CO54" s="36" t="str">
        <f t="shared" si="278"/>
        <v>2014A</v>
      </c>
      <c r="CP54" s="879" t="str">
        <f t="shared" si="278"/>
        <v>1Q15A</v>
      </c>
      <c r="CQ54" s="8" t="str">
        <f t="shared" si="278"/>
        <v>2Q15A</v>
      </c>
      <c r="CR54" s="8" t="str">
        <f t="shared" si="278"/>
        <v>3Q15A</v>
      </c>
      <c r="CS54" s="8" t="str">
        <f t="shared" si="278"/>
        <v>4Q15A</v>
      </c>
      <c r="CT54" s="36" t="str">
        <f t="shared" si="278"/>
        <v>2015A</v>
      </c>
      <c r="CU54" s="8" t="str">
        <f t="shared" si="278"/>
        <v>1Q16PF</v>
      </c>
      <c r="CV54" s="8" t="str">
        <f t="shared" si="278"/>
        <v>2Q16PF</v>
      </c>
      <c r="CW54" s="8" t="str">
        <f t="shared" si="278"/>
        <v>3Q16PF</v>
      </c>
      <c r="CX54" s="8" t="str">
        <f t="shared" si="278"/>
        <v>4Q16A</v>
      </c>
      <c r="CY54" s="36" t="str">
        <f t="shared" ref="CY54:DS54" si="279">CY9</f>
        <v>2016A</v>
      </c>
      <c r="CZ54" s="8" t="str">
        <f t="shared" si="279"/>
        <v>1Q17A</v>
      </c>
      <c r="DA54" s="8" t="str">
        <f t="shared" si="279"/>
        <v>2Q17A</v>
      </c>
      <c r="DB54" s="8" t="str">
        <f t="shared" si="279"/>
        <v>3Q17A</v>
      </c>
      <c r="DC54" s="8" t="str">
        <f t="shared" si="279"/>
        <v>4Q17A</v>
      </c>
      <c r="DD54" s="36" t="str">
        <f t="shared" si="279"/>
        <v>2017A</v>
      </c>
      <c r="DE54" s="34" t="str">
        <f t="shared" si="279"/>
        <v>1Q18E</v>
      </c>
      <c r="DF54" s="34" t="str">
        <f t="shared" si="279"/>
        <v>2Q18E</v>
      </c>
      <c r="DG54" s="34" t="str">
        <f t="shared" si="279"/>
        <v>3Q18E</v>
      </c>
      <c r="DH54" s="34" t="str">
        <f t="shared" si="279"/>
        <v>4Q18E</v>
      </c>
      <c r="DI54" s="146" t="str">
        <f t="shared" si="279"/>
        <v>2018E</v>
      </c>
      <c r="DJ54" s="34" t="str">
        <f t="shared" si="279"/>
        <v>1Q19E</v>
      </c>
      <c r="DK54" s="34" t="str">
        <f t="shared" si="279"/>
        <v>2Q19E</v>
      </c>
      <c r="DL54" s="34" t="str">
        <f t="shared" si="279"/>
        <v>3Q19E</v>
      </c>
      <c r="DM54" s="34" t="str">
        <f t="shared" si="279"/>
        <v>4Q19E</v>
      </c>
      <c r="DN54" s="146" t="str">
        <f t="shared" si="279"/>
        <v>2019E</v>
      </c>
      <c r="DO54" s="34" t="str">
        <f t="shared" si="279"/>
        <v>1Q20E</v>
      </c>
      <c r="DP54" s="34" t="str">
        <f t="shared" si="279"/>
        <v>2Q20E</v>
      </c>
      <c r="DQ54" s="34" t="str">
        <f t="shared" si="279"/>
        <v>3Q20E</v>
      </c>
      <c r="DR54" s="34" t="str">
        <f t="shared" si="279"/>
        <v>4Q20E</v>
      </c>
      <c r="DS54" s="146" t="str">
        <f t="shared" si="279"/>
        <v>2020E</v>
      </c>
      <c r="DT54" s="34" t="str">
        <f t="shared" ref="DT54:EC54" si="280">DT9</f>
        <v>1Q21E</v>
      </c>
      <c r="DU54" s="34" t="str">
        <f t="shared" si="280"/>
        <v>2Q21E</v>
      </c>
      <c r="DV54" s="34" t="str">
        <f t="shared" si="280"/>
        <v>3Q21E</v>
      </c>
      <c r="DW54" s="34" t="str">
        <f t="shared" si="280"/>
        <v>4Q21E</v>
      </c>
      <c r="DX54" s="146" t="str">
        <f t="shared" si="280"/>
        <v>2021E</v>
      </c>
      <c r="DY54" s="34" t="str">
        <f t="shared" si="280"/>
        <v>1Q22E</v>
      </c>
      <c r="DZ54" s="34" t="str">
        <f t="shared" si="280"/>
        <v>2Q22E</v>
      </c>
      <c r="EA54" s="34" t="str">
        <f t="shared" si="280"/>
        <v>3Q22E</v>
      </c>
      <c r="EB54" s="34" t="str">
        <f t="shared" si="280"/>
        <v>4Q22E</v>
      </c>
      <c r="EC54" s="146" t="str">
        <f t="shared" si="280"/>
        <v>2022E</v>
      </c>
      <c r="EF54"/>
      <c r="EG54"/>
      <c r="EH54"/>
      <c r="EI54"/>
      <c r="EJ54"/>
      <c r="EK54"/>
      <c r="EL54"/>
      <c r="EM54"/>
      <c r="EN54"/>
      <c r="EO54"/>
      <c r="EP54"/>
      <c r="EQ54"/>
      <c r="ER54"/>
      <c r="ES54"/>
      <c r="ET54"/>
      <c r="EU54"/>
      <c r="EV54"/>
      <c r="EW54"/>
      <c r="EX54"/>
      <c r="EY54"/>
      <c r="EZ54"/>
      <c r="FA54"/>
    </row>
    <row r="55" spans="1:157" s="172" customFormat="1" x14ac:dyDescent="0.2">
      <c r="A55" s="460" t="s">
        <v>160</v>
      </c>
      <c r="B55" s="102"/>
      <c r="C55" s="102"/>
      <c r="D55" s="102"/>
      <c r="E55" s="102"/>
      <c r="F55" s="102"/>
      <c r="G55" s="102"/>
      <c r="H55" s="181"/>
      <c r="I55" s="245">
        <f>('IS '!G49+'IS '!E49+'IS '!D49+'IS '!C49)/('IS '!G22+'IS '!E22+'IS '!D22+'IS '!C22)</f>
        <v>2.6707672385885398E-2</v>
      </c>
      <c r="J55" s="245">
        <f>('IS '!H49+'IS '!G49+'IS '!E49+'IS '!D49)/('IS '!H22+'IS '!G22+'IS '!E22+'IS '!D22)</f>
        <v>2.3603243363323336E-2</v>
      </c>
      <c r="K55" s="245">
        <f>('IS '!I49+'IS '!H49+'IS '!G49+'IS '!E49)/('IS '!I22+'IS '!H22+'IS '!G22+'IS '!E22)</f>
        <v>2.4393039730392717E-2</v>
      </c>
      <c r="L55" s="245">
        <f>'IS '!K49/'IS '!K22</f>
        <v>3.0004245883851487E-2</v>
      </c>
      <c r="M55" s="244">
        <f>L55</f>
        <v>3.0004245883851487E-2</v>
      </c>
      <c r="N55" s="245">
        <f>('IS '!L49+'IS '!J49+'IS '!I49+'IS '!H49)/('IS '!L22+'IS '!J22+'IS '!I22+'IS '!H22)</f>
        <v>3.6335158659939262E-2</v>
      </c>
      <c r="O55" s="245">
        <f>('IS '!M49+'IS '!L49+'IS '!J49+'IS '!I49)/('IS '!M22+'IS '!L22+'IS '!J22+'IS '!I22)</f>
        <v>4.3873048200950442E-2</v>
      </c>
      <c r="P55" s="245">
        <f>('IS '!N49+'IS '!M49+'IS '!L49+'IS '!J49)/('IS '!N22+'IS '!M22+'IS '!L22+'IS '!J22)</f>
        <v>4.7587064676616921E-2</v>
      </c>
      <c r="Q55" s="245">
        <f>'IS '!P49/'IS '!P22</f>
        <v>5.3566862694962927E-2</v>
      </c>
      <c r="R55" s="244">
        <f>Q55</f>
        <v>5.3566862694962927E-2</v>
      </c>
      <c r="S55" s="245">
        <f>('IS '!Q49+'IS '!O49+'IS '!N49+'IS '!M49)/('IS '!Q22+'IS '!O22+'IS '!N22+'IS '!M22)</f>
        <v>5.6310807257428347E-2</v>
      </c>
      <c r="T55" s="245">
        <f>('IS '!R49+'IS '!Q49+'IS '!O49+'IS '!N49)/('IS '!R22+'IS '!Q22+'IS '!O22+'IS '!N22)</f>
        <v>6.0235900216919741E-2</v>
      </c>
      <c r="U55" s="245">
        <f>('IS '!S49+'IS '!R49+'IS '!Q49+'IS '!O49)/('IS '!S22+'IS '!R22+'IS '!Q22+'IS '!O22)</f>
        <v>6.1537092096493926E-2</v>
      </c>
      <c r="V55" s="245">
        <f>'IS '!U49/'IS '!U22</f>
        <v>6.2233311591834081E-2</v>
      </c>
      <c r="W55" s="244">
        <f>V55</f>
        <v>6.2233311591834081E-2</v>
      </c>
      <c r="X55" s="245">
        <f>('IS '!V49+'IS '!T49+'IS '!S49+'IS '!R49)/('IS '!V22+'IS '!T22+'IS '!S22+'IS '!R22)</f>
        <v>6.1856737949282939E-2</v>
      </c>
      <c r="Y55" s="245">
        <f>('IS '!W49+'IS '!V49+'IS '!T49+'IS '!S49)/('IS '!W22+'IS '!V22+'IS '!T22+'IS '!S22)</f>
        <v>6.2022857016383132E-2</v>
      </c>
      <c r="Z55" s="245">
        <f>('IS '!X49+'IS '!W49+'IS '!V49+'IS '!T49)/('IS '!X22+'IS '!W22+'IS '!V22+'IS '!T22)</f>
        <v>6.4041540458675897E-2</v>
      </c>
      <c r="AA55" s="245">
        <f>'IS '!Z49/'IS '!Z22</f>
        <v>7.0185531425284053E-2</v>
      </c>
      <c r="AB55" s="244">
        <f>AA55</f>
        <v>7.0185531425284053E-2</v>
      </c>
      <c r="AC55" s="245">
        <f>('IS '!AA49+'IS '!Y49+'IS '!X49+'IS '!W49)/('IS '!AA22+'IS '!Y22+'IS '!X22+'IS '!W22)</f>
        <v>7.3148279280555159E-2</v>
      </c>
      <c r="AD55" s="245">
        <f>('IS '!AB49+'IS '!AA49+'IS '!Y49+'IS '!X49)/('IS '!AB22+'IS '!AA22+'IS '!Y22+'IS '!X22)</f>
        <v>7.4691956250865291E-2</v>
      </c>
      <c r="AE55" s="245">
        <f>('IS '!AC49+'IS '!AB49+'IS '!AA49+'IS '!Y49)/('IS '!AC22+'IS '!AB22+'IS '!AA22+'IS '!Y22)</f>
        <v>7.4353160842891439E-2</v>
      </c>
      <c r="AF55" s="245">
        <f>'IS '!AE49/'IS '!AE22</f>
        <v>7.2914786644321258E-2</v>
      </c>
      <c r="AG55" s="244">
        <f>AF55</f>
        <v>7.2914786644321258E-2</v>
      </c>
      <c r="AH55" s="245">
        <f>('IS '!AF49+'IS '!AD49+'IS '!AC49+'IS '!AB49)/('IS '!AF22+'IS '!AD22+'IS '!AC22+'IS '!AB22)</f>
        <v>7.1113908118313404E-2</v>
      </c>
      <c r="AI55" s="245">
        <f>('IS '!AG49+'IS '!AF49+'IS '!AD49+'IS '!AC49)/('IS '!AG22+'IS '!AF22+'IS '!AD22+'IS '!AC22)</f>
        <v>7.0988415085038212E-2</v>
      </c>
      <c r="AJ55" s="245">
        <f>('IS '!AH49+'IS '!AG49+'IS '!AF49+'IS '!AD49)/('IS '!AH22+'IS '!AG22+'IS '!AF22+'IS '!AD22)</f>
        <v>7.3155837811431368E-2</v>
      </c>
      <c r="AK55" s="245">
        <f>'IS '!AJ49/'IS '!AJ22</f>
        <v>7.4880668257756564E-2</v>
      </c>
      <c r="AL55" s="244">
        <f>AK55</f>
        <v>7.4880668257756564E-2</v>
      </c>
      <c r="AM55" s="245">
        <f>('IS '!AK49+'IS '!AI49+'IS '!AH49+'IS '!AG49)/('IS '!AK22+'IS '!AI22+'IS '!AH22+'IS '!AG22)</f>
        <v>7.6216658867571369E-2</v>
      </c>
      <c r="AN55" s="245">
        <f>('IS '!AL49+'IS '!AK49+'IS '!AI49+'IS '!AH49)/('IS '!AL22+'IS '!AK22+'IS '!AI22+'IS '!AH22)</f>
        <v>7.7695937392104966E-2</v>
      </c>
      <c r="AO55" s="245">
        <f>('IS '!AM49+'IS '!AL49+'IS '!AK49+'IS '!AI49)/('IS '!AM22+'IS '!AL22+'IS '!AK22+'IS '!AI22)</f>
        <v>7.8173217704696471E-2</v>
      </c>
      <c r="AP55" s="245">
        <f>'IS '!AO49/'IS '!AO22</f>
        <v>7.9968926867162365E-2</v>
      </c>
      <c r="AQ55" s="244">
        <f>AP55</f>
        <v>7.9968926867162365E-2</v>
      </c>
      <c r="AR55" s="245">
        <f>('IS '!AP49+'IS '!AN49+'IS '!AM49+'IS '!AL49)/('IS '!AP22+'IS '!AN22+'IS '!AM22+'IS '!AL22)</f>
        <v>8.0439802089059931E-2</v>
      </c>
      <c r="AS55" s="245">
        <f>('IS '!AQ49+'IS '!AP49+'IS '!AN49+'IS '!AM49)/('IS '!AQ22+'IS '!AP22+'IS '!AN22+'IS '!AM22)</f>
        <v>8.079816813869807E-2</v>
      </c>
      <c r="AT55" s="245">
        <f>('IS '!AR49+'IS '!AQ49+'IS '!AP49+'IS '!AN49)/('IS '!AR22+'IS '!AQ22+'IS '!AP22+'IS '!AN22)</f>
        <v>8.2403898213318894E-2</v>
      </c>
      <c r="AU55" s="245">
        <f>'IS '!AT49/'IS '!AT22</f>
        <v>8.1292116803936249E-2</v>
      </c>
      <c r="AV55" s="246">
        <f>AU55</f>
        <v>8.1292116803936249E-2</v>
      </c>
      <c r="AW55" s="246">
        <f>('IS '!AU49+'IS '!AS49+'IS '!AR49+'IS '!AQ49)/('IS '!AU22+'IS '!AS22+'IS '!AR22+'IS '!AQ22)</f>
        <v>8.2835820895522383E-2</v>
      </c>
      <c r="AX55" s="245">
        <f>('IS '!AV49+'IS '!AU49+'IS '!AS49+'IS '!AR49)/('IS '!AV22+'IS '!AU22+'IS '!AS22+'IS '!AR22)</f>
        <v>8.4068445105749817E-2</v>
      </c>
      <c r="AY55" s="245">
        <f>('IS '!AW49+'IS '!AV49+'IS '!AU49+'IS '!AS49)/('IS '!AW22+'IS '!AV22+'IS '!AU22+'IS '!AS22)</f>
        <v>8.6404066073697591E-2</v>
      </c>
      <c r="AZ55" s="245">
        <f>'IS '!AY49/'IS '!AY22</f>
        <v>8.6183453613638744E-2</v>
      </c>
      <c r="BA55" s="244">
        <f>AZ55</f>
        <v>8.6183453613638744E-2</v>
      </c>
      <c r="BB55" s="246">
        <f>('IS '!AZ49+'IS '!AX49+'IS '!AW49+'IS '!AV49)/('IS '!AZ22+'IS '!AX22+'IS '!AW22+'IS '!AV22)</f>
        <v>8.739045262398186E-2</v>
      </c>
      <c r="BC55" s="245">
        <f>('IS '!BA49+'IS '!AZ49+'IS '!AX49+'IS '!AW49)/('IS '!BA22+'IS '!AZ22+'IS '!AX22+'IS '!AW22)</f>
        <v>8.7980574666127076E-2</v>
      </c>
      <c r="BD55" s="245">
        <f>('IS '!BB49+'IS '!BA49+'IS '!AZ49+'IS '!AX49)/('IS '!BB22+'IS '!BA22+'IS '!AZ22+'IS '!AX22)</f>
        <v>8.9439528023598822E-2</v>
      </c>
      <c r="BE55" s="245">
        <f>'IS '!BD49/'IS '!BD22</f>
        <v>8.7231182795698914E-2</v>
      </c>
      <c r="BF55" s="244">
        <f>BE55</f>
        <v>8.7231182795698914E-2</v>
      </c>
      <c r="BG55" s="246">
        <f>('IS '!BE49+'IS '!BC49+'IS '!BB49+'IS '!BA49)/('IS '!BE22+'IS '!BC22+'IS '!BB22+'IS '!BA22)</f>
        <v>9.1363379219309829E-2</v>
      </c>
      <c r="BH55" s="245">
        <f>('IS '!BF49+'IS '!BE49+'IS '!BC49+'IS '!BB49)/('IS '!BF22+'IS '!BE22+'IS '!BC22+'IS '!BB22)</f>
        <v>8.9882482556004409E-2</v>
      </c>
      <c r="BI55" s="245">
        <f>('IS '!BG49+'IS '!BF49+'IS '!BE49+'IS '!BC49)/('IS '!BG22+'IS '!BF22+'IS '!BE22+'IS '!BC22)</f>
        <v>8.8719785138764551E-2</v>
      </c>
      <c r="BJ55" s="245">
        <f>'IS '!BI49/'IS '!BI22</f>
        <v>8.5466300593392969E-2</v>
      </c>
      <c r="BK55" s="244">
        <f>BJ55</f>
        <v>8.5466300593392969E-2</v>
      </c>
      <c r="BL55" s="246">
        <f>('IS '!BJ49+'IS '!BH49+'IS '!BG49+'IS '!BF49)/('IS '!BJ22+'IS '!BH22+'IS '!BG22+'IS '!BF22)</f>
        <v>8.3731410545290666E-2</v>
      </c>
      <c r="BM55" s="245">
        <f>('IS '!BK49+'IS '!BJ49+'IS '!BH49+'IS '!BG49)/('IS '!BK22+'IS '!BJ22+'IS '!BH22+'IS '!BG22)</f>
        <v>9.2324601575380111E-2</v>
      </c>
      <c r="BN55" s="245">
        <f>('IS '!BL49+'IS '!BK49+'IS '!BJ49+'IS '!BH49)/('IS '!BL22+'IS '!BK22+'IS '!BJ22+'IS '!BH22)</f>
        <v>9.7659848903629998E-2</v>
      </c>
      <c r="BO55" s="245">
        <f>'IS '!BN49/'IS '!BN22</f>
        <v>9.8837209302325577E-2</v>
      </c>
      <c r="BP55" s="244">
        <f>BO55</f>
        <v>9.8837209302325577E-2</v>
      </c>
      <c r="BQ55" s="246">
        <f>('IS '!BO49+'IS '!BM49+'IS '!BL49+'IS '!BK49)/('IS '!BO22+'IS '!BM22+'IS '!BL22+'IS '!BK22)</f>
        <v>9.9781101787668733E-2</v>
      </c>
      <c r="BR55" s="245">
        <f>('IS '!BP49+'IS '!BO49+'IS '!BM49+'IS '!BL49)/('IS '!BP22+'IS '!BO22+'IS '!BM22+'IS '!BL22)</f>
        <v>9.7360332670403185E-2</v>
      </c>
      <c r="BS55" s="245">
        <f>('IS '!BQ49+'IS '!BP49+'IS '!BO49+'IS '!BM49)/('IS '!BQ22+'IS '!BP22+'IS '!BO22+'IS '!BM22)</f>
        <v>9.869011304503858E-2</v>
      </c>
      <c r="BT55" s="245">
        <f>'IS '!BS49/'IS '!BS22</f>
        <v>0.10208939434012167</v>
      </c>
      <c r="BU55" s="244">
        <f>BT55</f>
        <v>0.10208939434012167</v>
      </c>
      <c r="BV55" s="246">
        <f>('IS '!BT49+'IS '!BR49+'IS '!BQ49+'IS '!BP49)/('IS '!BT22+'IS '!BR22+'IS '!BQ22+'IS '!BP22)</f>
        <v>0.10338790160203098</v>
      </c>
      <c r="BW55" s="245">
        <f>('IS '!BU49+'IS '!BT49+'IS '!BR49+'IS '!BQ49)/('IS '!BU22+'IS '!BT22+'IS '!BR22+'IS '!BQ22)</f>
        <v>0.10381483069009859</v>
      </c>
      <c r="BX55" s="245">
        <f>('IS '!BV49+'IS '!BU49+'IS '!BT49+'IS '!BR49)/('IS '!BV22+'IS '!BU22+'IS '!BT22+'IS '!BR22)</f>
        <v>0.1024260991968204</v>
      </c>
      <c r="BY55" s="245">
        <f>'IS '!BX49/'IS '!BX22</f>
        <v>0.1044669729130366</v>
      </c>
      <c r="BZ55" s="244">
        <f>BY55</f>
        <v>0.1044669729130366</v>
      </c>
      <c r="CA55" s="246">
        <f>('IS '!BY49+'IS '!BW49+'IS '!BV49+'IS '!BU49)/('IS '!BY22+'IS '!BW22+'IS '!BV22+'IS '!BU22)</f>
        <v>0.11688813349814586</v>
      </c>
      <c r="CB55" s="245">
        <f>('IS '!BZ49+'IS '!BY49+'IS '!BW49+'IS '!BV49)/('IS '!BZ22+'IS '!BY22+'IS '!BW22+'IS '!BV22)</f>
        <v>0.11492178098676294</v>
      </c>
      <c r="CC55" s="245">
        <f>('IS '!CA49+'IS '!BZ49+'IS '!BY49+'IS '!BW49)/('IS '!CA22+'IS '!BZ22+'IS '!BY22+'IS '!BW22)</f>
        <v>0.11890221470090501</v>
      </c>
      <c r="CD55" s="245">
        <f>'IS '!CC49/'IS '!CC22</f>
        <v>0.1171422284163427</v>
      </c>
      <c r="CE55" s="244">
        <f>CD55</f>
        <v>0.1171422284163427</v>
      </c>
      <c r="CF55" s="246">
        <f>('IS '!CD49+'IS '!CB49+'IS '!CA49+'IS '!BZ49)/('IS '!CD22+'IS '!CB22+'IS '!CA22+'IS '!BZ22)</f>
        <v>0.11299830599082887</v>
      </c>
      <c r="CG55" s="245">
        <f>('IS '!CE49+'IS '!CD49+'IS '!CB49+'IS '!CA49)/('IS '!CE22+'IS '!CD22+'IS '!CB22+'IS '!CA22)</f>
        <v>0.12154402024645919</v>
      </c>
      <c r="CH55" s="245">
        <f>('IS '!CF49+'IS '!CE49+'IS '!CD49+'IS '!CB49)/('IS '!CF22+'IS '!CE22+'IS '!CD22+'IS '!CB22)</f>
        <v>0.12629093104756925</v>
      </c>
      <c r="CI55" s="245">
        <f>'IS '!CH49/'IS '!CH22</f>
        <v>0.14477170017141966</v>
      </c>
      <c r="CJ55" s="244">
        <f>CI55</f>
        <v>0.14477170017141966</v>
      </c>
      <c r="CK55" s="246">
        <f>('IS '!CI49+'IS '!CG49+'IS '!CF49+'IS '!CE49)/('IS '!CI22+'IS '!CG22+'IS '!CF22+'IS '!CE22)</f>
        <v>0.14295947362755859</v>
      </c>
      <c r="CL55" s="245">
        <f>('IS '!CJ49+'IS '!CI49+'IS '!CG49+'IS '!CF49)/('IS '!CJ22+'IS '!CI22+'IS '!CG22+'IS '!CF22)</f>
        <v>0.13973858904080644</v>
      </c>
      <c r="CM55" s="245">
        <f>('IS '!CK49+'IS '!CJ49+'IS '!CI49+'IS '!CG49)/('IS '!CK22+'IS '!CJ22+'IS '!CI22+'IS '!CG22)</f>
        <v>0.14450163115871351</v>
      </c>
      <c r="CN55" s="245">
        <f>'IS '!CM49/'IS '!CM22</f>
        <v>0.1525732503415819</v>
      </c>
      <c r="CO55" s="244">
        <f>CN55</f>
        <v>0.1525732503415819</v>
      </c>
      <c r="CP55" s="880">
        <f>('IS '!CN49+'IS '!CL49+'IS '!CK49+'IS '!CJ49)/('IS '!CN22+'IS '!CL22+'IS '!CK22+'IS '!CJ22)</f>
        <v>0.16411986210490639</v>
      </c>
      <c r="CQ55" s="245">
        <f>('IS '!CO49+'IS '!CN49+'IS '!CL49+'IS '!CK49)/('IS '!CO22+'IS '!CN22+'IS '!CL22+'IS '!CK22)</f>
        <v>0.15722095126940641</v>
      </c>
      <c r="CR55" s="245">
        <f>('IS '!CP49+'IS '!CO49+'IS '!CN49+'IS '!CL49)/('IS '!CP22+'IS '!CO22+'IS '!CN22+'IS '!CL22)</f>
        <v>0.14478240765867315</v>
      </c>
      <c r="CS55" s="245">
        <f>'IS '!CR49/'IS '!CR22</f>
        <v>0.14286874846311817</v>
      </c>
      <c r="CT55" s="244">
        <f>CS55</f>
        <v>0.14286874846311817</v>
      </c>
      <c r="CU55" s="246">
        <f>('IS '!CS49+'IS '!CQ49+'IS '!CP49+'IS '!CO49)/('IS '!CS22+'IS '!CQ22+'IS '!CP22+'IS '!CO22)</f>
        <v>0.1278512532603335</v>
      </c>
      <c r="CV55" s="245">
        <f>('IS '!CT49+'IS '!CS49+'IS '!CQ49+'IS '!CP49)/('IS '!CT22+'IS '!CS22+'IS '!CQ22+'IS '!CP22)</f>
        <v>0.14337663826567731</v>
      </c>
      <c r="CW55" s="245">
        <f>('IS '!CU49+'IS '!CT49+'IS '!CS49+'IS '!CQ49)/('IS '!CU22+'IS '!CT22+'IS '!CS22+'IS '!CQ22)</f>
        <v>0.14438334642576592</v>
      </c>
      <c r="CX55" s="245">
        <f>'IS '!CW49/'IS '!CW22</f>
        <v>0.16029573698285354</v>
      </c>
      <c r="CY55" s="244">
        <f>CX55</f>
        <v>0.16029573698285354</v>
      </c>
      <c r="CZ55" s="246">
        <f>('IS '!CX49+'IS '!CV49+'IS '!CU49+'IS '!CT49)/('IS '!CX22+'IS '!CV22+'IS '!CU22+'IS '!CT22)</f>
        <v>0.16948349391881221</v>
      </c>
      <c r="DA55" s="245">
        <f>('IS '!CY49+'IS '!CX49+'IS '!CV49+'IS '!CU49)/('IS '!CY22+'IS '!CX22+'IS '!CV22+'IS '!CU22)</f>
        <v>0.16142925506460359</v>
      </c>
      <c r="DB55" s="245">
        <f>('IS '!CZ49+'IS '!CY49+'IS '!CX49+'IS '!CV49)/('IS '!CZ22+'IS '!CY22+'IS '!CX22+'IS '!CV22)</f>
        <v>0.19602456367162249</v>
      </c>
      <c r="DC55" s="245">
        <f>'IS '!DB49/'IS '!DB22</f>
        <v>0.22796869683565837</v>
      </c>
      <c r="DD55" s="244">
        <f>DC55</f>
        <v>0.22796869683565837</v>
      </c>
      <c r="DE55" s="247">
        <f>('IS '!DC49+'IS '!DA49+'IS '!CZ49+'IS '!CY49)/('IS '!DC22+'IS '!DA22+'IS '!CZ22+'IS '!CY22)</f>
        <v>0.23091608310064821</v>
      </c>
      <c r="DF55" s="248">
        <f>('IS '!DD49+'IS '!DC49+'IS '!DA49+'IS '!CZ49)/('IS '!DD22+'IS '!DC22+'IS '!DA22+'IS '!CZ22)</f>
        <v>0.25402312608862232</v>
      </c>
      <c r="DG55" s="248">
        <f>('IS '!DE49+'IS '!DD49+'IS '!DC49+'IS '!DA49)/('IS '!DE22+'IS '!DD22+'IS '!DC22+'IS '!DA22)</f>
        <v>0.24221751575447398</v>
      </c>
      <c r="DH55" s="248">
        <f>'IS '!DG49/'IS '!DG22</f>
        <v>0.2303050556804698</v>
      </c>
      <c r="DI55" s="249">
        <f>DH55</f>
        <v>0.2303050556804698</v>
      </c>
      <c r="DJ55" s="247">
        <f>('IS '!DH49+'IS '!DF49+'IS '!DE49+'IS '!DD49)/('IS '!DH22+'IS '!DF22+'IS '!DE22+'IS '!DD22)</f>
        <v>0.24255960171114127</v>
      </c>
      <c r="DK55" s="248">
        <f>('IS '!DI49+'IS '!DH49+'IS '!DF49+'IS '!DE49)/('IS '!DI22+'IS '!DH22+'IS '!DF22+'IS '!DE22)</f>
        <v>0.25396375749486849</v>
      </c>
      <c r="DL55" s="248">
        <f>('IS '!DJ49+'IS '!DI49+'IS '!DH49+'IS '!DF49)/('IS '!DJ22+'IS '!DI22+'IS '!DH22+'IS '!DF22)</f>
        <v>0.26546521768974651</v>
      </c>
      <c r="DM55" s="248">
        <f>'IS '!DL49/'IS '!DL22</f>
        <v>0.28024128599317344</v>
      </c>
      <c r="DN55" s="249">
        <f>DM55</f>
        <v>0.28024128599317344</v>
      </c>
      <c r="DO55" s="247">
        <f>('IS '!DM49+'IS '!DK49+'IS '!DJ49+'IS '!DI49)/('IS '!DM22+'IS '!DK22+'IS '!DJ22+'IS '!DI22)</f>
        <v>0.28609268938921517</v>
      </c>
      <c r="DP55" s="248">
        <f>('IS '!DN49+'IS '!DM49+'IS '!DK49+'IS '!DJ49)/('IS '!DN22+'IS '!DM22+'IS '!DK22+'IS '!DJ22)</f>
        <v>0.29065045101489456</v>
      </c>
      <c r="DQ55" s="248">
        <f>('IS '!DO49+'IS '!DN49+'IS '!DM49+'IS '!DK49)/('IS '!DO22+'IS '!DN22+'IS '!DM22+'IS '!DK22)</f>
        <v>0.294123317160706</v>
      </c>
      <c r="DR55" s="248">
        <f>'IS '!DQ49/'IS '!DQ22</f>
        <v>0.29600474631473223</v>
      </c>
      <c r="DS55" s="249">
        <f>DR55</f>
        <v>0.29600474631473223</v>
      </c>
      <c r="DT55" s="247">
        <f>('IS '!DR49+'IS '!DP49+'IS '!DO49+'IS '!DN49)/('IS '!DR22+'IS '!DP22+'IS '!DO22+'IS '!DN22)</f>
        <v>0.29705999776448089</v>
      </c>
      <c r="DU55" s="248">
        <f>('IS '!DS49+'IS '!DR49+'IS '!DP49+'IS '!DO49)/('IS '!DS22+'IS '!DR22+'IS '!DP22+'IS '!DO22)</f>
        <v>0.29807116590624722</v>
      </c>
      <c r="DV55" s="248">
        <f>('IS '!DT49+'IS '!DS49+'IS '!DR49+'IS '!DP49)/('IS '!DT22+'IS '!DS22+'IS '!DR22+'IS '!DP22)</f>
        <v>0.29971324760170276</v>
      </c>
      <c r="DW55" s="248">
        <f>'IS '!DV49/'IS '!DV22</f>
        <v>0.30120704875135818</v>
      </c>
      <c r="DX55" s="249">
        <f>DW55</f>
        <v>0.30120704875135818</v>
      </c>
      <c r="DY55" s="247">
        <f>('IS '!DW49+'IS '!DU49+'IS '!DT49+'IS '!DS49)/('IS '!DW22+'IS '!DU22+'IS '!DT22+'IS '!DS22)</f>
        <v>0.30177933905386434</v>
      </c>
      <c r="DZ55" s="248">
        <f>('IS '!DX49+'IS '!DW49+'IS '!DU49+'IS '!DT49)/('IS '!DX22+'IS '!DW22+'IS '!DU22+'IS '!DT22)</f>
        <v>0.30216971850056606</v>
      </c>
      <c r="EA55" s="248">
        <f>('IS '!DY49+'IS '!DX49+'IS '!DW49+'IS '!DU49)/('IS '!DY22+'IS '!DX22+'IS '!DW22+'IS '!DU22)</f>
        <v>0.30305843118067893</v>
      </c>
      <c r="EB55" s="248">
        <f>'IS '!EA49/'IS '!EA22</f>
        <v>0.30337806187805744</v>
      </c>
      <c r="EC55" s="249">
        <f>EB55</f>
        <v>0.30337806187805744</v>
      </c>
      <c r="EF55"/>
      <c r="EG55"/>
      <c r="EH55"/>
      <c r="EI55"/>
      <c r="EJ55"/>
      <c r="EK55"/>
      <c r="EL55"/>
      <c r="EM55"/>
      <c r="EN55"/>
      <c r="EO55"/>
      <c r="EP55"/>
      <c r="EQ55"/>
      <c r="ER55"/>
      <c r="ES55"/>
      <c r="ET55"/>
      <c r="EU55"/>
      <c r="EV55"/>
      <c r="EW55"/>
      <c r="EX55"/>
      <c r="EY55"/>
      <c r="EZ55"/>
      <c r="FA55"/>
    </row>
    <row r="56" spans="1:157" s="172" customFormat="1" x14ac:dyDescent="0.2">
      <c r="A56" s="460" t="s">
        <v>483</v>
      </c>
      <c r="B56" s="102"/>
      <c r="C56" s="102"/>
      <c r="D56" s="102"/>
      <c r="E56" s="102"/>
      <c r="F56" s="102"/>
      <c r="G56" s="102"/>
      <c r="H56" s="181"/>
      <c r="I56" s="245">
        <f>('IS '!G38+'IS '!E38+'IS '!D38+'IS '!C38)/('IS '!G22+'IS '!E22+'IS '!D22+'IS '!C22)</f>
        <v>7.0626955864896951E-2</v>
      </c>
      <c r="J56" s="245">
        <f>('IS '!H38+'IS '!G38+'IS '!E38+'IS '!D38)/('IS '!H22+'IS '!G22+'IS '!E22+'IS '!D22)</f>
        <v>7.2253693213373327E-2</v>
      </c>
      <c r="K56" s="245">
        <f>('IS '!I38+'IS '!H38+'IS '!G38+'IS '!E38)/('IS '!I22+'IS '!H22+'IS '!G22+'IS '!E22)</f>
        <v>8.1535569361975285E-2</v>
      </c>
      <c r="L56" s="245">
        <f>(SUM('IS '!G38:J38))/(SUM('IS '!G22:J22))</f>
        <v>9.0513171560759137E-2</v>
      </c>
      <c r="M56" s="244">
        <f>L56</f>
        <v>9.0513171560759137E-2</v>
      </c>
      <c r="N56" s="245">
        <f>('IS '!L38+'IS '!J38+'IS '!I38+'IS '!H38)/('IS '!L22+'IS '!J22+'IS '!I22+'IS '!H22)</f>
        <v>9.9285013988856752E-2</v>
      </c>
      <c r="O56" s="245">
        <f>('IS '!M38+'IS '!L38+'IS '!J38+'IS '!I38)/('IS '!M22+'IS '!L22+'IS '!J22+'IS '!I22)</f>
        <v>0.10369993211133741</v>
      </c>
      <c r="P56" s="245">
        <f>('IS '!N38+'IS '!M38+'IS '!L38+'IS '!J38)/('IS '!N22+'IS '!M22+'IS '!L22+'IS '!J22)</f>
        <v>0.10791044776119403</v>
      </c>
      <c r="Q56" s="245">
        <f>(SUM('IS '!L38:O38))/(SUM('IS '!L22:O22))</f>
        <v>0.11403733060598313</v>
      </c>
      <c r="R56" s="244">
        <f>Q56</f>
        <v>0.11403733060598313</v>
      </c>
      <c r="S56" s="245">
        <f>('IS '!Q38+'IS '!O38+'IS '!N38+'IS '!M38)/('IS '!Q22+'IS '!O22+'IS '!N22+'IS '!M22)</f>
        <v>0.11688140941362082</v>
      </c>
      <c r="T56" s="245">
        <f>('IS '!R38+'IS '!Q38+'IS '!O38+'IS '!N38)/('IS '!R22+'IS '!Q22+'IS '!O22+'IS '!N22)</f>
        <v>0.1221529284164859</v>
      </c>
      <c r="U56" s="245">
        <f>('IS '!S38+'IS '!R38+'IS '!Q38+'IS '!O38)/('IS '!S22+'IS '!R22+'IS '!Q22+'IS '!O22)</f>
        <v>0.12309609526446967</v>
      </c>
      <c r="V56" s="245">
        <f>(SUM('IS '!Q38:T38))/(SUM('IS '!Q22:T22))</f>
        <v>0.1250528690258001</v>
      </c>
      <c r="W56" s="244">
        <f>V56</f>
        <v>0.1250528690258001</v>
      </c>
      <c r="X56" s="245">
        <f>('IS '!V38+'IS '!T38+'IS '!S38+'IS '!R38)/('IS '!V22+'IS '!T22+'IS '!S22+'IS '!R22)</f>
        <v>0.1239645815481291</v>
      </c>
      <c r="Y56" s="245">
        <f>('IS '!W38+'IS '!V38+'IS '!T38+'IS '!S38)/('IS '!W22+'IS '!V22+'IS '!T22+'IS '!S22)</f>
        <v>0.12012660048913826</v>
      </c>
      <c r="Z56" s="245">
        <f>('IS '!X38+'IS '!W38+'IS '!V38+'IS '!T38)/('IS '!X22+'IS '!W22+'IS '!V22+'IS '!T22)</f>
        <v>0.12072695802682822</v>
      </c>
      <c r="AA56" s="245">
        <f>(SUM('IS '!V38:Y38))/(SUM('IS '!V22:Y22))</f>
        <v>0.12785847835466704</v>
      </c>
      <c r="AB56" s="244">
        <f>AA56</f>
        <v>0.12785847835466704</v>
      </c>
      <c r="AC56" s="245">
        <f>('IS '!AA38+'IS '!Y38+'IS '!X38+'IS '!W38)/('IS '!AA22+'IS '!Y22+'IS '!X22+'IS '!W22)</f>
        <v>0.13085965160742105</v>
      </c>
      <c r="AD56" s="245">
        <f>('IS '!AB38+'IS '!AA38+'IS '!Y38+'IS '!X38)/('IS '!AB22+'IS '!AA22+'IS '!Y22+'IS '!X22)</f>
        <v>0.13332410355807836</v>
      </c>
      <c r="AE56" s="245">
        <f>('IS '!AC38+'IS '!AB38+'IS '!AA38+'IS '!Y38)/('IS '!AC22+'IS '!AB22+'IS '!AA22+'IS '!Y22)</f>
        <v>0.13270205388103495</v>
      </c>
      <c r="AF56" s="245">
        <f>(SUM('IS '!AA38:AD38))/(SUM('IS '!AA22:AD22))</f>
        <v>0.12930256542477761</v>
      </c>
      <c r="AG56" s="244">
        <f>AF56</f>
        <v>0.12930256542477761</v>
      </c>
      <c r="AH56" s="245">
        <f>('IS '!AF38+'IS '!AD38+'IS '!AC38+'IS '!AB38)/('IS '!AF22+'IS '!AD22+'IS '!AC22+'IS '!AB22)</f>
        <v>0.12649465072372562</v>
      </c>
      <c r="AI56" s="245">
        <f>('IS '!AG38+'IS '!AF38+'IS '!AD38+'IS '!AC38)/('IS '!AG22+'IS '!AF22+'IS '!AD22+'IS '!AC22)</f>
        <v>0.12694108947498151</v>
      </c>
      <c r="AJ56" s="245">
        <f>('IS '!AH38+'IS '!AG38+'IS '!AF38+'IS '!AD38)/('IS '!AH22+'IS '!AG22+'IS '!AF22+'IS '!AD22)</f>
        <v>0.12811431362970199</v>
      </c>
      <c r="AK56" s="245">
        <f>(SUM('IS '!AF38:AI38))/(SUM('IS '!AF22:AI22))</f>
        <v>0.12828162291169451</v>
      </c>
      <c r="AL56" s="244">
        <f>AK56</f>
        <v>0.12828162291169451</v>
      </c>
      <c r="AM56" s="245">
        <f>('IS '!AK38+'IS '!AI38+'IS '!AH38+'IS '!AG38)/('IS '!AK22+'IS '!AI22+'IS '!AH22+'IS '!AG22)</f>
        <v>0.12880205896116051</v>
      </c>
      <c r="AN56" s="245">
        <f>('IS '!AL38+'IS '!AK38+'IS '!AI38+'IS '!AH38)/('IS '!AL22+'IS '!AK22+'IS '!AI22+'IS '!AH22)</f>
        <v>0.12717228679940154</v>
      </c>
      <c r="AO56" s="245">
        <f>('IS '!AM38+'IS '!AL38+'IS '!AK38+'IS '!AI38)/('IS '!AM22+'IS '!AL22+'IS '!AK22+'IS '!AI22)</f>
        <v>0.12647820700529339</v>
      </c>
      <c r="AP56" s="245">
        <f>(SUM('IS '!AK38:AN38))/(SUM('IS '!AK22:AN22))</f>
        <v>0.12484740872267229</v>
      </c>
      <c r="AQ56" s="244">
        <f>AP56</f>
        <v>0.12484740872267229</v>
      </c>
      <c r="AR56" s="245">
        <f>('IS '!AP38+'IS '!AN38+'IS '!AM38+'IS '!AL38)/('IS '!AP22+'IS '!AN22+'IS '!AM22+'IS '!AL22)</f>
        <v>0.1245739417262232</v>
      </c>
      <c r="AS56" s="245">
        <f>('IS '!AQ38+'IS '!AP38+'IS '!AN38+'IS '!AM38)/('IS '!AQ22+'IS '!AP22+'IS '!AN22+'IS '!AM22)</f>
        <v>0.12354159851706466</v>
      </c>
      <c r="AT56" s="245">
        <f>('IS '!AR38+'IS '!AQ38+'IS '!AP38+'IS '!AN38)/('IS '!AR22+'IS '!AQ22+'IS '!AP22+'IS '!AN22)</f>
        <v>0.12452625879805089</v>
      </c>
      <c r="AU56" s="245">
        <f>(SUM('IS '!AP38:AS38))/(SUM('IS '!AP22:AS22))</f>
        <v>0.12311477163332976</v>
      </c>
      <c r="AV56" s="246">
        <f>AU56</f>
        <v>0.12311477163332976</v>
      </c>
      <c r="AW56" s="246">
        <f>('IS '!AU38+'IS '!AS38+'IS '!AR38+'IS '!AQ38)/('IS '!AU22+'IS '!AS22+'IS '!AR22+'IS '!AQ22)</f>
        <v>0.12601279317697228</v>
      </c>
      <c r="AX56" s="245">
        <f>('IS '!AV38+'IS '!AU38+'IS '!AS38+'IS '!AR38)/('IS '!AV22+'IS '!AU22+'IS '!AS22+'IS '!AR22)</f>
        <v>0.13051333829312362</v>
      </c>
      <c r="AY56" s="245">
        <f>('IS '!AW38+'IS '!AV38+'IS '!AU38+'IS '!AS38)/('IS '!AW22+'IS '!AV22+'IS '!AU22+'IS '!AS22)</f>
        <v>0.13384159254553155</v>
      </c>
      <c r="AZ56" s="245">
        <f>(SUM('IS '!AU38:AX38))/(SUM('IS '!AU22:AX22))</f>
        <v>0.1319945612383642</v>
      </c>
      <c r="BA56" s="244">
        <f>AZ56</f>
        <v>0.1319945612383642</v>
      </c>
      <c r="BB56" s="246">
        <f>('IS '!AZ38+'IS '!AX38+'IS '!AW38+'IS '!AV38)/('IS '!AZ22+'IS '!AX22+'IS '!AW22+'IS '!AV22)</f>
        <v>0.13362202288895764</v>
      </c>
      <c r="BC56" s="245">
        <f>('IS '!BA38+'IS '!AZ38+'IS '!AX38+'IS '!AW38)/('IS '!BA22+'IS '!AZ22+'IS '!AX22+'IS '!AW22)</f>
        <v>0.13142452448401457</v>
      </c>
      <c r="BD56" s="245">
        <f>('IS '!BB38+'IS '!BA38+'IS '!AZ38+'IS '!AX38)/('IS '!BB22+'IS '!BA22+'IS '!AZ22+'IS '!AX22)</f>
        <v>0.13333333333333333</v>
      </c>
      <c r="BE56" s="245">
        <f>(SUM('IS '!AZ38:BC38))/(SUM('IS '!AZ22:BC22))</f>
        <v>0.13028033794162827</v>
      </c>
      <c r="BF56" s="244">
        <f>BE56</f>
        <v>0.13028033794162827</v>
      </c>
      <c r="BG56" s="246">
        <f>('IS '!BE38+'IS '!BC38+'IS '!BB38+'IS '!BA38)/('IS '!BE22+'IS '!BC22+'IS '!BB22+'IS '!BA22)</f>
        <v>0.13831793324533284</v>
      </c>
      <c r="BH56" s="245">
        <f>('IS '!BF38+'IS '!BE38+'IS '!BC38+'IS '!BB38)/('IS '!BF22+'IS '!BE22+'IS '!BC22+'IS '!BB22)</f>
        <v>0.13514506059493206</v>
      </c>
      <c r="BI56" s="245">
        <f>('IS '!BG38+'IS '!BF38+'IS '!BE38+'IS '!BC38)/('IS '!BG22+'IS '!BF22+'IS '!BE22+'IS '!BC22)</f>
        <v>0.13267681289167413</v>
      </c>
      <c r="BJ56" s="245">
        <f>(SUM('IS '!BE38:BH38))/(SUM('IS '!BE22:BH22))</f>
        <v>0.13417766362589673</v>
      </c>
      <c r="BK56" s="244">
        <f>BJ56</f>
        <v>0.13417766362589673</v>
      </c>
      <c r="BL56" s="246">
        <f>('IS '!BJ38+'IS '!BH38+'IS '!BG38+'IS '!BF38)/('IS '!BJ22+'IS '!BH22+'IS '!BG22+'IS '!BF22)</f>
        <v>0.12978819287967552</v>
      </c>
      <c r="BM56" s="245">
        <f>('IS '!BK38+'IS '!BJ38+'IS '!BH38+'IS '!BG38)/('IS '!BK22+'IS '!BJ22+'IS '!BH22+'IS '!BG22)</f>
        <v>0.13912804542956586</v>
      </c>
      <c r="BN56" s="245">
        <f>('IS '!BL38+'IS '!BK38+'IS '!BJ38+'IS '!BH38)/('IS '!BL22+'IS '!BK22+'IS '!BJ22+'IS '!BH22)</f>
        <v>0.14538419016030957</v>
      </c>
      <c r="BO56" s="245">
        <f>(SUM('IS '!BJ38:BM38))/(SUM('IS '!BJ22:BM22))</f>
        <v>0.14673311184939092</v>
      </c>
      <c r="BP56" s="244">
        <f>BO56</f>
        <v>0.14673311184939092</v>
      </c>
      <c r="BQ56" s="246">
        <f>('IS '!BO38+'IS '!BM38+'IS '!BL38+'IS '!BK38)/('IS '!BO22+'IS '!BM22+'IS '!BL22+'IS '!BK22)</f>
        <v>0.1462057643195914</v>
      </c>
      <c r="BR56" s="245">
        <f>('IS '!BP38+'IS '!BO38+'IS '!BM38+'IS '!BL38)/('IS '!BP22+'IS '!BO22+'IS '!BM22+'IS '!BL22)</f>
        <v>0.14735129271379496</v>
      </c>
      <c r="BS56" s="245">
        <f>('IS '!BQ38+'IS '!BP38+'IS '!BO38+'IS '!BM38)/('IS '!BQ22+'IS '!BP22+'IS '!BO22+'IS '!BM22)</f>
        <v>0.15287995693522341</v>
      </c>
      <c r="BT56" s="245">
        <f>(SUM('IS '!BO38:BR38))/(SUM('IS '!BO22:BR22))</f>
        <v>0.15595521466984044</v>
      </c>
      <c r="BU56" s="244">
        <f>BT56</f>
        <v>0.15595521466984044</v>
      </c>
      <c r="BV56" s="246">
        <f>('IS '!BT38+'IS '!BR38+'IS '!BQ38+'IS '!BP38)/('IS '!BT22+'IS '!BR22+'IS '!BQ22+'IS '!BP22)</f>
        <v>0.15810207476144619</v>
      </c>
      <c r="BW56" s="245">
        <f>('IS '!BU38+'IS '!BT38+'IS '!BR38+'IS '!BQ38)/('IS '!BU22+'IS '!BT22+'IS '!BR22+'IS '!BQ22)</f>
        <v>0.1546506643806258</v>
      </c>
      <c r="BX56" s="245">
        <f>('IS '!BV38+'IS '!BU38+'IS '!BT38+'IS '!BR38)/('IS '!BV22+'IS '!BU22+'IS '!BT22+'IS '!BR22)</f>
        <v>0.14473793160553117</v>
      </c>
      <c r="BY56" s="245">
        <f>(SUM('IS '!BT38:BW38))/(SUM('IS '!BT22:BW22))</f>
        <v>0.14375099002059244</v>
      </c>
      <c r="BZ56" s="244">
        <f>BY56</f>
        <v>0.14375099002059244</v>
      </c>
      <c r="CA56" s="246">
        <f>('IS '!BY38+'IS '!BW38+'IS '!BV38+'IS '!BU38)/('IS '!BY22+'IS '!BW22+'IS '!BV22+'IS '!BU22)</f>
        <v>0.1590698393077874</v>
      </c>
      <c r="CB56" s="245">
        <f>('IS '!BZ38+'IS '!BY38+'IS '!BW38+'IS '!BV38)/('IS '!BZ22+'IS '!BY22+'IS '!BW22+'IS '!BV22)</f>
        <v>0.15891997593261131</v>
      </c>
      <c r="CC56" s="245">
        <f>('IS '!CA38+'IS '!BZ38+'IS '!BY38+'IS '!BW38)/('IS '!CA22+'IS '!BZ22+'IS '!BY22+'IS '!BW22)</f>
        <v>0.16893532484732543</v>
      </c>
      <c r="CD56" s="245">
        <f>(SUM('IS '!BY38:CB38))/(SUM('IS '!BY22:CB22))</f>
        <v>0.16826817281596126</v>
      </c>
      <c r="CE56" s="244">
        <f>CD56</f>
        <v>0.16826817281596126</v>
      </c>
      <c r="CF56" s="246">
        <f>('IS '!CD38+'IS '!CB38+'IS '!CA38+'IS '!BZ38)/('IS '!CD22+'IS '!CB22+'IS '!CA22+'IS '!BZ22)</f>
        <v>0.16467165418771082</v>
      </c>
      <c r="CG56" s="245">
        <f>('IS '!CE38+'IS '!CD38+'IS '!CB38+'IS '!CA38)/('IS '!CE22+'IS '!CD22+'IS '!CB22+'IS '!CA22)</f>
        <v>0.17925854051199011</v>
      </c>
      <c r="CH56" s="245">
        <f>('IS '!CF38+'IS '!CE38+'IS '!CD38+'IS '!CB38)/('IS '!CF22+'IS '!CE22+'IS '!CD22+'IS '!CB22)</f>
        <v>0.18967499717074249</v>
      </c>
      <c r="CI56" s="245">
        <f>(SUM('IS '!CD38:CG38))/(SUM('IS '!CD22:CG22))</f>
        <v>0.23858500857098333</v>
      </c>
      <c r="CJ56" s="244">
        <f>CI56</f>
        <v>0.23858500857098333</v>
      </c>
      <c r="CK56" s="246">
        <f>('IS '!CI38+'IS '!CG38+'IS '!CF38+'IS '!CE38)/('IS '!CI22+'IS '!CG22+'IS '!CF22+'IS '!CE22)</f>
        <v>0.23185163874912176</v>
      </c>
      <c r="CL56" s="245">
        <f>('IS '!CJ38+'IS '!CI38+'IS '!CG38+'IS '!CF38)/('IS '!CJ22+'IS '!CI22+'IS '!CG22+'IS '!CF22)</f>
        <v>0.22429959387380757</v>
      </c>
      <c r="CM56" s="245">
        <f>('IS '!CK38+'IS '!CJ38+'IS '!CI38+'IS '!CG38)/('IS '!CK22+'IS '!CJ22+'IS '!CI22+'IS '!CG22)</f>
        <v>0.22387022726262268</v>
      </c>
      <c r="CN56" s="245">
        <f>(SUM('IS '!CI38:CL38))/(SUM('IS '!CI22:CL22))</f>
        <v>0.23015029603764989</v>
      </c>
      <c r="CO56" s="244">
        <f>CN56</f>
        <v>0.23015029603764989</v>
      </c>
      <c r="CP56" s="880">
        <f>('IS '!CN38+'IS '!CL38+'IS '!CK38+'IS '!CJ38)/('IS '!CN22+'IS '!CL22+'IS '!CK22+'IS '!CJ22)</f>
        <v>0.24196817885084476</v>
      </c>
      <c r="CQ56" s="245">
        <f>('IS '!CO38+'IS '!CN38+'IS '!CL38+'IS '!CK38)/('IS '!CO22+'IS '!CN22+'IS '!CL22+'IS '!CK22)</f>
        <v>0.2376037122429854</v>
      </c>
      <c r="CR56" s="245">
        <f>('IS '!CP38+'IS '!CO38+'IS '!CN38+'IS '!CL38)/('IS '!CP22+'IS '!CO22+'IS '!CN22+'IS '!CL22)</f>
        <v>0.22785486385110051</v>
      </c>
      <c r="CS56" s="245">
        <f>(SUM('IS '!CN38:CQ38))/(SUM('IS '!CN22:CQ22))</f>
        <v>0.21542134661292664</v>
      </c>
      <c r="CT56" s="244">
        <f>CS56</f>
        <v>0.21542134661292664</v>
      </c>
      <c r="CU56" s="246">
        <f>('IS '!CS38+'IS '!CQ38+'IS '!CP38+'IS '!CO38)/('IS '!CS22+'IS '!CQ22+'IS '!CP22+'IS '!CO22)</f>
        <v>0.20440153141257886</v>
      </c>
      <c r="CV56" s="245">
        <f>('IS '!CT38+'IS '!CS38+'IS '!CQ38+'IS '!CP38)/('IS '!CT22+'IS '!CS22+'IS '!CQ22+'IS '!CP22)</f>
        <v>0.22598437284671202</v>
      </c>
      <c r="CW56" s="245">
        <f>('IS '!CU38+'IS '!CT38+'IS '!CS38+'IS '!CQ38)/('IS '!CU22+'IS '!CT22+'IS '!CS22+'IS '!CQ22)</f>
        <v>0.23723487824037706</v>
      </c>
      <c r="CX56" s="245">
        <f>(SUM('IS '!CS38:CV38))/(SUM('IS '!CS22:CV22))</f>
        <v>0.26474752241623406</v>
      </c>
      <c r="CY56" s="244">
        <f>CX56</f>
        <v>0.26474752241623406</v>
      </c>
      <c r="CZ56" s="246">
        <f>('IS '!CX38+'IS '!CV38+'IS '!CU38+'IS '!CT38)/('IS '!CX22+'IS '!CV22+'IS '!CU22+'IS '!CT22)</f>
        <v>0.28715842678881692</v>
      </c>
      <c r="DA56" s="245">
        <f>('IS '!CY38+'IS '!CX38+'IS '!CV38+'IS '!CU38)/('IS '!CY22+'IS '!CX22+'IS '!CV22+'IS '!CU22)</f>
        <v>0.29047695007178176</v>
      </c>
      <c r="DB56" s="245">
        <f>('IS '!CZ38+'IS '!CY38+'IS '!CX38+'IS '!CV38)/('IS '!CZ22+'IS '!CY22+'IS '!CX22+'IS '!CV22)</f>
        <v>0.33403361344537813</v>
      </c>
      <c r="DC56" s="245">
        <f>(SUM('IS '!CX38:DA38))/(SUM('IS '!CX22:DA22))</f>
        <v>0.46971759101735283</v>
      </c>
      <c r="DD56" s="244">
        <f>DC56</f>
        <v>0.46971759101735283</v>
      </c>
      <c r="DE56" s="247">
        <f>('IS '!DC38+'IS '!DA38+'IS '!CZ38+'IS '!CY38)/('IS '!DC22+'IS '!DA22+'IS '!CZ22+'IS '!CY22)</f>
        <v>0.47950269692773528</v>
      </c>
      <c r="DF56" s="248">
        <f>('IS '!DD38+'IS '!DC38+'IS '!DA38+'IS '!CZ38)/('IS '!DD22+'IS '!DC22+'IS '!DA22+'IS '!CZ22)</f>
        <v>0.51166124862550344</v>
      </c>
      <c r="DG56" s="248">
        <f>('IS '!DE38+'IS '!DD38+'IS '!DC38+'IS '!DA38)/('IS '!DE22+'IS '!DD22+'IS '!DC22+'IS '!DA22)</f>
        <v>0.50919423689706589</v>
      </c>
      <c r="DH56" s="248">
        <f>(SUM('IS '!DC38:DF38))/(SUM('IS '!DC22:DF22))</f>
        <v>0.38456619537849596</v>
      </c>
      <c r="DI56" s="249">
        <f>DH56</f>
        <v>0.38456619537849596</v>
      </c>
      <c r="DJ56" s="247">
        <f>('IS '!DH38+'IS '!DF38+'IS '!DE38+'IS '!DD38)/('IS '!DH22+'IS '!DF22+'IS '!DE22+'IS '!DD22)</f>
        <v>0.40186716887040091</v>
      </c>
      <c r="DK56" s="248">
        <f>('IS '!DI38+'IS '!DH38+'IS '!DF38+'IS '!DE38)/('IS '!DI22+'IS '!DH22+'IS '!DF22+'IS '!DE22)</f>
        <v>0.41815623004029756</v>
      </c>
      <c r="DL56" s="248">
        <f>('IS '!DJ38+'IS '!DI38+'IS '!DH38+'IS '!DF38)/('IS '!DJ22+'IS '!DI22+'IS '!DH22+'IS '!DF22)</f>
        <v>0.43423849629607925</v>
      </c>
      <c r="DM56" s="248">
        <f>(SUM('IS '!DH38:DK38))/(SUM('IS '!DH22:DK22))</f>
        <v>0.45469223130900777</v>
      </c>
      <c r="DN56" s="249">
        <f>DM56</f>
        <v>0.45469223130900777</v>
      </c>
      <c r="DO56" s="247">
        <f>('IS '!DM38+'IS '!DK38+'IS '!DJ38+'IS '!DI38)/('IS '!DM22+'IS '!DK22+'IS '!DJ22+'IS '!DI22)</f>
        <v>0.46390675563767031</v>
      </c>
      <c r="DP56" s="248">
        <f>('IS '!DN38+'IS '!DM38+'IS '!DK38+'IS '!DJ38)/('IS '!DN22+'IS '!DM22+'IS '!DK22+'IS '!DJ22)</f>
        <v>0.47071698221023855</v>
      </c>
      <c r="DQ56" s="248">
        <f>('IS '!DO38+'IS '!DN38+'IS '!DM38+'IS '!DK38)/('IS '!DO22+'IS '!DN22+'IS '!DM22+'IS '!DK22)</f>
        <v>0.47543832982975903</v>
      </c>
      <c r="DR56" s="248">
        <f>(SUM('IS '!DM38:DP38))/(SUM('IS '!DM22:DP22))</f>
        <v>0.47727302884174827</v>
      </c>
      <c r="DS56" s="249">
        <f>DR56</f>
        <v>0.47727302884174827</v>
      </c>
      <c r="DT56" s="247">
        <f>('IS '!DR38+'IS '!DP38+'IS '!DO38+'IS '!DN38)/('IS '!DR22+'IS '!DP22+'IS '!DO22+'IS '!DN22)</f>
        <v>0.47677955732604349</v>
      </c>
      <c r="DU56" s="248">
        <f>('IS '!DS38+'IS '!DR38+'IS '!DP38+'IS '!DO38)/('IS '!DS22+'IS '!DR22+'IS '!DP22+'IS '!DO22)</f>
        <v>0.47622299350491848</v>
      </c>
      <c r="DV56" s="248">
        <f>('IS '!DT38+'IS '!DS38+'IS '!DR38+'IS '!DP38)/('IS '!DT22+'IS '!DS22+'IS '!DR22+'IS '!DP22)</f>
        <v>0.4763996522003065</v>
      </c>
      <c r="DW56" s="248">
        <f>(SUM('IS '!DR38:DU38))/(SUM('IS '!DR22:DU22))</f>
        <v>0.47598305151650161</v>
      </c>
      <c r="DX56" s="249">
        <f>DW56</f>
        <v>0.47598305151650161</v>
      </c>
      <c r="DY56" s="247">
        <f>('IS '!DW38+'IS '!DU38+'IS '!DT38+'IS '!DS38)/('IS '!DW22+'IS '!DU22+'IS '!DT22+'IS '!DS22)</f>
        <v>0.47495559463190223</v>
      </c>
      <c r="DZ56" s="248">
        <f>('IS '!DX38+'IS '!DW38+'IS '!DU38+'IS '!DT38)/('IS '!DX22+'IS '!DW22+'IS '!DU22+'IS '!DT22)</f>
        <v>0.47361390731434505</v>
      </c>
      <c r="EA56" s="248">
        <f>('IS '!DY38+'IS '!DX38+'IS '!DW38+'IS '!DU38)/('IS '!DY22+'IS '!DX22+'IS '!DW22+'IS '!DU22)</f>
        <v>0.47283884131639009</v>
      </c>
      <c r="EB56" s="248">
        <f>(SUM('IS '!DW38:DZ38))/(SUM('IS '!DW22:DZ22))</f>
        <v>0.4708522880410006</v>
      </c>
      <c r="EC56" s="249">
        <f>EB56</f>
        <v>0.4708522880410006</v>
      </c>
      <c r="EF56"/>
      <c r="EG56"/>
      <c r="EH56"/>
      <c r="EI56"/>
      <c r="EJ56"/>
      <c r="EK56"/>
      <c r="EL56"/>
      <c r="EM56"/>
      <c r="EN56"/>
      <c r="EO56"/>
      <c r="EP56"/>
      <c r="EQ56"/>
      <c r="ER56"/>
      <c r="ES56"/>
      <c r="ET56"/>
      <c r="EU56"/>
      <c r="EV56"/>
      <c r="EW56"/>
      <c r="EX56"/>
      <c r="EY56"/>
      <c r="EZ56"/>
      <c r="FA56"/>
    </row>
    <row r="57" spans="1:157" s="172" customFormat="1" x14ac:dyDescent="0.2">
      <c r="A57" s="446" t="s">
        <v>556</v>
      </c>
      <c r="B57" s="19"/>
      <c r="C57" s="19"/>
      <c r="D57" s="19"/>
      <c r="E57" s="19"/>
      <c r="F57" s="19"/>
      <c r="G57" s="19"/>
      <c r="H57" s="181"/>
      <c r="I57" s="251"/>
      <c r="J57" s="251"/>
      <c r="K57" s="251"/>
      <c r="L57" s="251"/>
      <c r="M57" s="250"/>
      <c r="N57" s="251">
        <f>('IS '!L22+'IS '!J22+'IS '!I22+'IS '!H22)/((BS!N28+BS!I28)/2)</f>
        <v>3.7480618418104412</v>
      </c>
      <c r="O57" s="251">
        <f>('IS '!M22+'IS '!L22+'IS '!J22+'IS '!I22)/((BS!O28+BS!J28)/2)</f>
        <v>3.7333333333333329</v>
      </c>
      <c r="P57" s="251">
        <f>('IS '!N22+'IS '!M22+'IS '!L22+'IS '!J22)/((BS!P28+BS!K28)/2)</f>
        <v>3.7808605690101107</v>
      </c>
      <c r="Q57" s="251">
        <f>('IS '!P22)/((BS!Q28+BS!L28)/2)</f>
        <v>3.9495077000757384</v>
      </c>
      <c r="R57" s="250">
        <f>Q57</f>
        <v>3.9495077000757384</v>
      </c>
      <c r="S57" s="251">
        <f>('IS '!Q22+'IS '!O22+'IS '!N22+'IS '!M22)/((BS!S28+BS!N28)/2)</f>
        <v>1.7217883418222977</v>
      </c>
      <c r="T57" s="251">
        <f>('IS '!R22+'IS '!Q22+'IS '!O22+'IS '!N22)/((BS!T28+BS!O28)/2)</f>
        <v>1.6898052691867125</v>
      </c>
      <c r="U57" s="251">
        <f>('IS '!S22+'IS '!R22+'IS '!Q22+'IS '!O22)/((BS!U28+BS!P28)/2)</f>
        <v>1.6895543338402153</v>
      </c>
      <c r="V57" s="251">
        <f>('IS '!U22)/((BS!V28+BS!Q28)/2)</f>
        <v>1.7491985203452527</v>
      </c>
      <c r="W57" s="250">
        <f>V57</f>
        <v>1.7491985203452527</v>
      </c>
      <c r="X57" s="251">
        <f>('IS '!V22+'IS '!T22+'IS '!S22+'IS '!R22)/((BS!X28+BS!S28)/2)</f>
        <v>1.6144800553377912</v>
      </c>
      <c r="Y57" s="251">
        <f>('IS '!W22+'IS '!V22+'IS '!T22+'IS '!S22)/((BS!Y28+BS!T28)/2)</f>
        <v>1.603830179972312</v>
      </c>
      <c r="Z57" s="251">
        <f>('IS '!X22+'IS '!W22+'IS '!V22+'IS '!T22)/((BS!Z28+BS!U28)/2)</f>
        <v>1.6002308136180035</v>
      </c>
      <c r="AA57" s="251">
        <f>('IS '!Z22)/((BS!AA28+BS!V28)/2)</f>
        <v>1.6289094529694272</v>
      </c>
      <c r="AB57" s="250">
        <f>AA57</f>
        <v>1.6289094529694272</v>
      </c>
      <c r="AC57" s="251">
        <f>('IS '!AA22+'IS '!Y22+'IS '!X22+'IS '!W22)/((BS!AC28+BS!X28)/2)</f>
        <v>1.6224724264705883</v>
      </c>
      <c r="AD57" s="251">
        <f>('IS '!AB22+'IS '!AA22+'IS '!Y22+'IS '!X22)/((BS!AD28+BS!Y28)/2)</f>
        <v>1.5319194061505832</v>
      </c>
      <c r="AE57" s="251">
        <f>('IS '!AC22+'IS '!AB22+'IS '!AA22+'IS '!Y22)/((BS!AE28+BS!Z28)/2)</f>
        <v>1.5740526923480633</v>
      </c>
      <c r="AF57" s="251">
        <f>('IS '!AE22)/((BS!AF28+BS!AA28)/2)</f>
        <v>1.5850020433183489</v>
      </c>
      <c r="AG57" s="250">
        <f>AF57</f>
        <v>1.5850020433183489</v>
      </c>
      <c r="AH57" s="251">
        <f>('IS '!AF22+'IS '!AD22+'IS '!AC22+'IS '!AB22)/((BS!AH28+BS!AC28)/2)</f>
        <v>1.5985915492957747</v>
      </c>
      <c r="AI57" s="251">
        <f>('IS '!AG22+'IS '!AF22+'IS '!AD22+'IS '!AC22)/((BS!AI28+BS!AD28)/2)</f>
        <v>1.5191911627036137</v>
      </c>
      <c r="AJ57" s="251">
        <f>('IS '!AH22+'IS '!AG22+'IS '!AF22+'IS '!AD22)/((BS!AJ28+BS!AE28)/2)</f>
        <v>1.5144733191528716</v>
      </c>
      <c r="AK57" s="251">
        <f>('IS '!AJ22)/((BS!AK28+BS!AF28)/2)</f>
        <v>1.5208711433756805</v>
      </c>
      <c r="AL57" s="250">
        <f>AK57</f>
        <v>1.5208711433756805</v>
      </c>
      <c r="AM57" s="251">
        <f>('IS '!AK22+'IS '!AI22+'IS '!AH22+'IS '!AG22)/((BS!AM28+BS!AH28)/2)</f>
        <v>1.5220797720797721</v>
      </c>
      <c r="AN57" s="251">
        <f>('IS '!AL22+'IS '!AK22+'IS '!AI22+'IS '!AH22)/((BS!AN28+BS!AI28)/2)</f>
        <v>1.5389656393907192</v>
      </c>
      <c r="AO57" s="251">
        <f>('IS '!AM22+'IS '!AL22+'IS '!AK22+'IS '!AI22)/((BS!AO28+BS!AJ28)/2)</f>
        <v>1.5257324512415156</v>
      </c>
      <c r="AP57" s="251">
        <f>('IS '!AO22)/((BS!AP28+BS!AK28)/2)</f>
        <v>1.5926122304701309</v>
      </c>
      <c r="AQ57" s="250">
        <f>AP57</f>
        <v>1.5926122304701309</v>
      </c>
      <c r="AR57" s="251">
        <f>('IS '!AP22+'IS '!AN22+'IS '!AM22+'IS '!AL22)/((BS!AR28+BS!AM28)/2)</f>
        <v>1.5828402366863905</v>
      </c>
      <c r="AS57" s="251">
        <f>('IS '!AQ22+'IS '!AP22+'IS '!AN22+'IS '!AM22)/((BS!AS28+BS!AN28)/2)</f>
        <v>1.6148969889064977</v>
      </c>
      <c r="AT57" s="251">
        <f>('IS '!AR22+'IS '!AQ22+'IS '!AP22+'IS '!AN22)/((BS!AT28+BS!AO28)/2)</f>
        <v>1.5575982459099342</v>
      </c>
      <c r="AU57" s="251">
        <f>('IS '!AT22)/((BS!AU28+BS!AP28)/2)</f>
        <v>1.6410391434088116</v>
      </c>
      <c r="AV57" s="254">
        <f>AU57</f>
        <v>1.6410391434088116</v>
      </c>
      <c r="AW57" s="254">
        <f>('IS '!AU22+'IS '!AS22+'IS '!AR22+'IS '!AQ22)/((BS!AW28+BS!AR28)/2)</f>
        <v>1.6291793313069909</v>
      </c>
      <c r="AX57" s="251">
        <f>('IS '!AV22+'IS '!AU22+'IS '!AS22+'IS '!AR22)/((BS!AX28+BS!AS28)/2)</f>
        <v>1.6308172285293352</v>
      </c>
      <c r="AY57" s="251">
        <f>('IS '!AW22+'IS '!AV22+'IS '!AU22+'IS '!AS22)/((BS!AY28+BS!AT28)/2)</f>
        <v>1.6040764331210191</v>
      </c>
      <c r="AZ57" s="251">
        <f>('IS '!AY22)/((BS!AZ28+BS!AU28)/2)</f>
        <v>1.583078069376604</v>
      </c>
      <c r="BA57" s="250">
        <f>AZ57</f>
        <v>1.583078069376604</v>
      </c>
      <c r="BB57" s="254">
        <f>('IS '!AZ22+'IS '!AX22+'IS '!AW22+'IS '!AV22)/((BS!BB28+BS!AW28)/2)</f>
        <v>1.6083243512146588</v>
      </c>
      <c r="BC57" s="251">
        <f>('IS '!BA22+'IS '!AZ22+'IS '!AX22+'IS '!AW22)/((BS!BC28+BS!AX28)/2)</f>
        <v>1.607938831950545</v>
      </c>
      <c r="BD57" s="251">
        <f>('IS '!BB22+'IS '!BA22+'IS '!AZ22+'IS '!AX22)/((BS!BD28+BS!AY28)/2)</f>
        <v>1.6273301864149132</v>
      </c>
      <c r="BE57" s="251">
        <f>('IS '!BD22)/((BS!BE28+BS!AZ28)/2)</f>
        <v>1.5291785950231227</v>
      </c>
      <c r="BF57" s="250">
        <f>BE57</f>
        <v>1.5291785950231227</v>
      </c>
      <c r="BG57" s="254">
        <f>('IS '!BE22+'IS '!BC22+'IS '!BB22+'IS '!BA22)/((BS!BG28+BS!BB28)/2)</f>
        <v>1.6000603454778608</v>
      </c>
      <c r="BH57" s="251">
        <f>('IS '!BF22+'IS '!BE22+'IS '!BC22+'IS '!BB22)/((BS!BH28+BS!BC28)/2)</f>
        <v>1.6433313216656609</v>
      </c>
      <c r="BI57" s="251">
        <f>('IS '!BG22+'IS '!BF22+'IS '!BE22+'IS '!BC22)/((BS!BI28+BS!BD28)/2)</f>
        <v>1.6649277090475481</v>
      </c>
      <c r="BJ57" s="251">
        <f>('IS '!BI22)/((BS!BJ28+BS!BE28)/2)</f>
        <v>1.6425661914460286</v>
      </c>
      <c r="BK57" s="250">
        <f>BJ57</f>
        <v>1.6425661914460286</v>
      </c>
      <c r="BL57" s="254">
        <f>('IS '!BJ22+'IS '!BH22+'IS '!BG22+'IS '!BF22)/((BS!BL28+BS!BG28)/2)</f>
        <v>1.6457761625750946</v>
      </c>
      <c r="BM57" s="251">
        <f>('IS '!BK22+'IS '!BJ22+'IS '!BH22+'IS '!BG22)/((BS!BM28+BS!BH28)/2)</f>
        <v>1.5880727272727273</v>
      </c>
      <c r="BN57" s="251">
        <f>('IS '!BL22+'IS '!BK22+'IS '!BJ22+'IS '!BH22)/((BS!BN28+BS!BI28)/2)</f>
        <v>1.5571336346029696</v>
      </c>
      <c r="BO57" s="251">
        <f>('IS '!BN22)/((BS!BO28+BS!BJ28)/2)</f>
        <v>1.5872271861725502</v>
      </c>
      <c r="BP57" s="250">
        <f>BO57</f>
        <v>1.5872271861725502</v>
      </c>
      <c r="BQ57" s="254">
        <f>('IS '!BO22+'IS '!BM22+'IS '!BL22+'IS '!BK22)/((BS!BQ28+BS!BL28)/2)</f>
        <v>1.5992998322514769</v>
      </c>
      <c r="BR57" s="251">
        <f>('IS '!BP22+'IS '!BO22+'IS '!BM22+'IS '!BL22)/((BS!BR28+BS!BM28)/2)</f>
        <v>1.5725353614329376</v>
      </c>
      <c r="BS57" s="251">
        <f>('IS '!BQ22+'IS '!BP22+'IS '!BO22+'IS '!BM22)/((BS!BS28+BS!BN28)/2)</f>
        <v>1.46571109211651</v>
      </c>
      <c r="BT57" s="251">
        <f>('IS '!BS22)/((BS!BT28+BS!BO28)/2)</f>
        <v>1.4670201758923953</v>
      </c>
      <c r="BU57" s="250">
        <f>BT57</f>
        <v>1.4670201758923953</v>
      </c>
      <c r="BV57" s="254">
        <f>('IS '!BT22+'IS '!BR22+'IS '!BQ22+'IS '!BP22)/((BS!BV28+BS!BQ28)/2)</f>
        <v>1.4675917003918546</v>
      </c>
      <c r="BW57" s="251">
        <f>('IS '!BU22+'IS '!BT22+'IS '!BR22+'IS '!BQ22)/((BS!BW28+BS!BR28)/2)</f>
        <v>1.5196717040125065</v>
      </c>
      <c r="BX57" s="251">
        <f>('IS '!BV22+'IS '!BU22+'IS '!BT22+'IS '!BR22)/((BS!BX28+BS!BS28)/2)</f>
        <v>1.4518242471599447</v>
      </c>
      <c r="BY57" s="251">
        <f>('IS '!BX22)/((BS!BY28+BS!BT28)/2)</f>
        <v>1.4724198250728864</v>
      </c>
      <c r="BZ57" s="250">
        <f>BY57</f>
        <v>1.4724198250728864</v>
      </c>
      <c r="CA57" s="254">
        <f>('IS '!BY22+'IS '!BW22+'IS '!BV22+'IS '!BU22)/((BS!CA28+BS!BV28)/2)</f>
        <v>1.4569193539310035</v>
      </c>
      <c r="CB57" s="251">
        <f>('IS '!BZ22+'IS '!BY22+'IS '!BW22+'IS '!BV22)/((BS!CB28+BS!BW28)/2)</f>
        <v>1.5296824666359872</v>
      </c>
      <c r="CC57" s="251">
        <f>('IS '!CA22+'IS '!BZ22+'IS '!BY22+'IS '!BW22)/((BS!CC28+BS!BX28)/2)</f>
        <v>1.5512183986760257</v>
      </c>
      <c r="CD57" s="251">
        <f>('IS '!CC22)/((BS!CD28+BS!BY28)/2)</f>
        <v>1.527934995797142</v>
      </c>
      <c r="CE57" s="250">
        <f>CD57</f>
        <v>1.527934995797142</v>
      </c>
      <c r="CF57" s="254">
        <f>('IS '!CD22+'IS '!CB22+'IS '!CA22+'IS '!BZ22)/((BS!CF28+BS!CA28)/2)</f>
        <v>1.3463830380577426</v>
      </c>
      <c r="CG57" s="251">
        <f>('IS '!CE22+'IS '!CD22+'IS '!CB22+'IS '!CA22)/((BS!CG28+BS!CB28)/2)</f>
        <v>1.1865597235382643</v>
      </c>
      <c r="CH57" s="251">
        <f>('IS '!CF22+'IS '!CE22+'IS '!CD22+'IS '!CB22)/((BS!CH28+BS!CC28)/2)</f>
        <v>0.96877219837324902</v>
      </c>
      <c r="CI57" s="251">
        <f>('IS '!CH22)/((BS!CI28+BS!CD28)/2)</f>
        <v>0.72483903761436796</v>
      </c>
      <c r="CJ57" s="250">
        <f>CI57</f>
        <v>0.72483903761436796</v>
      </c>
      <c r="CK57" s="254">
        <f>('IS '!CI22+'IS '!CG22+'IS '!CF22+'IS '!CE22)/((BS!CK28+BS!CF28)/2)</f>
        <v>0.91029893821705965</v>
      </c>
      <c r="CL57" s="251">
        <f>('IS '!CJ22+'IS '!CI22+'IS '!CG22+'IS '!CF22)/((BS!CL28+BS!CG28)/2)</f>
        <v>0.92945538550389828</v>
      </c>
      <c r="CM57" s="251">
        <f>('IS '!CK22+'IS '!CJ22+'IS '!CI22+'IS '!CG22)/((BS!CM28+BS!CH28)/2)</f>
        <v>0.94246280214213352</v>
      </c>
      <c r="CN57" s="251">
        <f>('IS '!CM22)/((BS!CN28+BS!CI28)/2)</f>
        <v>0.95581513458608436</v>
      </c>
      <c r="CO57" s="250">
        <f>CN57</f>
        <v>0.95581513458608436</v>
      </c>
      <c r="CP57" s="881">
        <f>('IS '!CN22+'IS '!CL22+'IS '!CK22+'IS '!CJ22)/((BS!CP28+BS!CK28)/2)</f>
        <v>1.339466673358763</v>
      </c>
      <c r="CQ57" s="251">
        <f>('IS '!CO22+'IS '!CN22+'IS '!CL22+'IS '!CK22)/((BS!CQ28+BS!CL28)/2)</f>
        <v>1.3353536438466169</v>
      </c>
      <c r="CR57" s="251">
        <f>('IS '!CP22+'IS '!CO22+'IS '!CN22+'IS '!CL22)/((BS!CR28+BS!CM28)/2)</f>
        <v>1.3242790604296326</v>
      </c>
      <c r="CS57" s="251">
        <f>('IS '!CR22)/((BS!CS28+BS!CN28)/2)</f>
        <v>1.2891549889580405</v>
      </c>
      <c r="CT57" s="250">
        <f>CS57</f>
        <v>1.2891549889580405</v>
      </c>
      <c r="CU57" s="254">
        <f>('IS '!CS22+'IS '!CQ22+'IS '!CP22+'IS '!CO22)/((BS!CU28+BS!CP28)/2)</f>
        <v>1.3148415150466481</v>
      </c>
      <c r="CV57" s="251">
        <f>('IS '!CT22+'IS '!CS22+'IS '!CQ22+'IS '!CP22)/((BS!CV28+BS!CQ28)/2)</f>
        <v>1.3050277583499217</v>
      </c>
      <c r="CW57" s="251">
        <f>('IS '!CU22+'IS '!CT22+'IS '!CS22+'IS '!CQ22)/((BS!CW28+BS!CR28)/2)</f>
        <v>1.0697079694246641</v>
      </c>
      <c r="CX57" s="251">
        <f>('IS '!CW22)/((BS!CX28+BS!CS28)/2)</f>
        <v>1.2281684698608963</v>
      </c>
      <c r="CY57" s="250">
        <f>CX57</f>
        <v>1.2281684698608963</v>
      </c>
      <c r="CZ57" s="254">
        <f>('IS '!CX22+'IS '!CV22+'IS '!CU22+'IS '!CT22)/((BS!CZ28+BS!CU28)/2)</f>
        <v>1.2654790185599953</v>
      </c>
      <c r="DA57" s="251">
        <f>('IS '!CY22+'IS '!CX22+'IS '!CV22+'IS '!CU22)/((BS!DA28+BS!CV28)/2)</f>
        <v>1.1963369456576967</v>
      </c>
      <c r="DB57" s="251">
        <f>('IS '!CZ22+'IS '!CY22+'IS '!CX22+'IS '!CV22)/((BS!DB28+BS!CW28)/2)</f>
        <v>0.99163137161431136</v>
      </c>
      <c r="DC57" s="251">
        <f>('IS '!DB22)/((BS!DC28+BS!CX28)/2)</f>
        <v>1.089628325145982</v>
      </c>
      <c r="DD57" s="250">
        <f>DC57</f>
        <v>1.089628325145982</v>
      </c>
      <c r="DE57" s="255">
        <f>('IS '!DC22+'IS '!DA22+'IS '!CZ22+'IS '!CY22)/((BS!DE28+BS!CZ28)/2)</f>
        <v>1.100111477145814</v>
      </c>
      <c r="DF57" s="256">
        <f>('IS '!DD22+'IS '!DC22+'IS '!DA22+'IS '!CZ22)/((BS!DF28+BS!DA28)/2)</f>
        <v>1.0236978948868618</v>
      </c>
      <c r="DG57" s="256">
        <f>('IS '!DE22+'IS '!DD22+'IS '!DC22+'IS '!DA22)/((BS!DG28+BS!DB28)/2)</f>
        <v>1.0009754722946023</v>
      </c>
      <c r="DH57" s="256">
        <f>('IS '!DG22)/((BS!DH28+BS!DC28)/2)</f>
        <v>0.96380926939445477</v>
      </c>
      <c r="DI57" s="257">
        <f>DH57</f>
        <v>0.96380926939445477</v>
      </c>
      <c r="DJ57" s="255">
        <f>('IS '!DH22+'IS '!DF22+'IS '!DE22+'IS '!DD22)/((BS!DJ28+BS!DE28)/2)</f>
        <v>1.0492915478522005</v>
      </c>
      <c r="DK57" s="256">
        <f>('IS '!DI22+'IS '!DH22+'IS '!DF22+'IS '!DE22)/((BS!DK28+BS!DF28)/2)</f>
        <v>1.1159109699224559</v>
      </c>
      <c r="DL57" s="256">
        <f>('IS '!DJ22+'IS '!DI22+'IS '!DH22+'IS '!DF22)/((BS!DL28+BS!DG28)/2)</f>
        <v>1.1887370965223674</v>
      </c>
      <c r="DM57" s="256">
        <f>('IS '!DL22)/((BS!DM28+BS!DH28)/2)</f>
        <v>1.1425417211371707</v>
      </c>
      <c r="DN57" s="257">
        <f>DM57</f>
        <v>1.1425417211371707</v>
      </c>
      <c r="DO57" s="255">
        <f>('IS '!DM22+'IS '!DK22+'IS '!DJ22+'IS '!DI22)/((BS!DO28+BS!DJ28)/2)</f>
        <v>1.3022265863959013</v>
      </c>
      <c r="DP57" s="256">
        <f>('IS '!DN22+'IS '!DM22+'IS '!DK22+'IS '!DJ22)/((BS!DP28+BS!DK28)/2)</f>
        <v>1.3395061366444074</v>
      </c>
      <c r="DQ57" s="256">
        <f>('IS '!DO22+'IS '!DN22+'IS '!DM22+'IS '!DK22)/((BS!DQ28+BS!DL28)/2)</f>
        <v>1.3770988750759419</v>
      </c>
      <c r="DR57" s="256">
        <f>('IS '!DQ22)/((BS!DR28+BS!DM28)/2)</f>
        <v>1.238967067358306</v>
      </c>
      <c r="DS57" s="257">
        <f>DR57</f>
        <v>1.238967067358306</v>
      </c>
      <c r="DT57" s="255">
        <f>('IS '!DR22+'IS '!DP22+'IS '!DO22+'IS '!DN22)/((BS!DT28+BS!DO28)/2)</f>
        <v>1.4420625650572925</v>
      </c>
      <c r="DU57" s="256">
        <f>('IS '!DS22+'IS '!DR22+'IS '!DP22+'IS '!DO22)/((BS!DU28+BS!DP28)/2)</f>
        <v>1.4583954591425019</v>
      </c>
      <c r="DV57" s="256">
        <f>('IS '!DT22+'IS '!DS22+'IS '!DR22+'IS '!DP22)/((BS!DV28+BS!DQ28)/2)</f>
        <v>1.4591047487739164</v>
      </c>
      <c r="DW57" s="256">
        <f>('IS '!DV22)/((BS!DW28+BS!DR28)/2)</f>
        <v>1.2540148685837751</v>
      </c>
      <c r="DX57" s="257">
        <f>DW57</f>
        <v>1.2540148685837751</v>
      </c>
      <c r="DY57" s="255">
        <f>('IS '!DW22+'IS '!DU22+'IS '!DT22+'IS '!DS22)/((BS!DY28+BS!DT28)/2)</f>
        <v>1.4560475194026135</v>
      </c>
      <c r="DZ57" s="256">
        <f>('IS '!DX22+'IS '!DW22+'IS '!DU22+'IS '!DT22)/((BS!DZ28+BS!DU28)/2)</f>
        <v>1.4625536226594045</v>
      </c>
      <c r="EA57" s="256">
        <f>('IS '!DY22+'IS '!DX22+'IS '!DW22+'IS '!DU22)/((BS!EA28+BS!DV28)/2)</f>
        <v>1.4561279919924546</v>
      </c>
      <c r="EB57" s="256">
        <f>('IS '!EA22)/((BS!EB28+BS!DW28)/2)</f>
        <v>1.2373832629250563</v>
      </c>
      <c r="EC57" s="257">
        <f>EB57</f>
        <v>1.2373832629250563</v>
      </c>
      <c r="EF57"/>
      <c r="EG57"/>
      <c r="EH57"/>
      <c r="EI57"/>
      <c r="EJ57"/>
      <c r="EK57"/>
      <c r="EL57"/>
      <c r="EM57"/>
      <c r="EN57"/>
      <c r="EO57"/>
      <c r="EP57"/>
      <c r="EQ57"/>
      <c r="ER57"/>
      <c r="ES57"/>
      <c r="ET57"/>
      <c r="EU57"/>
      <c r="EV57"/>
      <c r="EW57"/>
      <c r="EX57"/>
      <c r="EY57"/>
      <c r="EZ57"/>
      <c r="FA57"/>
    </row>
    <row r="58" spans="1:157" s="172" customFormat="1" x14ac:dyDescent="0.2">
      <c r="A58" s="460" t="s">
        <v>557</v>
      </c>
      <c r="B58" s="102"/>
      <c r="C58" s="102"/>
      <c r="D58" s="102"/>
      <c r="E58" s="102"/>
      <c r="F58" s="102"/>
      <c r="G58" s="102"/>
      <c r="H58" s="181"/>
      <c r="I58" s="251"/>
      <c r="J58" s="251"/>
      <c r="K58" s="251"/>
      <c r="L58" s="251"/>
      <c r="M58" s="250"/>
      <c r="N58" s="251">
        <f>((N28+I28)/2)/((N51+I51)/2)</f>
        <v>-4.4452191235059759</v>
      </c>
      <c r="O58" s="251">
        <f>((O28+J28)/2)/((O51+J51)/2)</f>
        <v>-5.3824604141291106</v>
      </c>
      <c r="P58" s="251">
        <f>((P28+K28)/2)/((P51+K51)/2)</f>
        <v>-6.904220779220779</v>
      </c>
      <c r="Q58" s="251">
        <f>((Q28+L28)/2)/((Q51+L51)/2)</f>
        <v>-7.0732142857142861</v>
      </c>
      <c r="R58" s="250">
        <f>Q58</f>
        <v>-7.0732142857142861</v>
      </c>
      <c r="S58" s="251">
        <f>((S28+N28)/2)/((S51+N51)/2)</f>
        <v>-5.7669712793733678</v>
      </c>
      <c r="T58" s="251">
        <f>((T28+O28)/2)/((T51+O51)/2)</f>
        <v>-6.5688487584650117</v>
      </c>
      <c r="U58" s="251">
        <f>((U28+P28)/2)/((U51+P51)/2)</f>
        <v>-8.0347744360902258</v>
      </c>
      <c r="V58" s="251">
        <f>((V28+Q28)/2)/((V51+Q51)/2)</f>
        <v>-9.1950113378684808</v>
      </c>
      <c r="W58" s="250">
        <f>V58</f>
        <v>-9.1950113378684808</v>
      </c>
      <c r="X58" s="251">
        <f>((X28+S28)/2)/((X51+S51)/2)</f>
        <v>-11.690026954177897</v>
      </c>
      <c r="Y58" s="251">
        <f>((Y28+T28)/2)/((Y51+T51)/2)</f>
        <v>-13.8688</v>
      </c>
      <c r="Z58" s="251">
        <f>((Z28+U28)/2)/((Z51+U51)/2)</f>
        <v>-17.023575638506877</v>
      </c>
      <c r="AA58" s="251">
        <f>((AA28+V28)/2)/((AA51+V51)/2)</f>
        <v>-39.160550458715598</v>
      </c>
      <c r="AB58" s="250">
        <f>AA58</f>
        <v>-39.160550458715598</v>
      </c>
      <c r="AC58" s="251">
        <f>((AC28+X28)/2)/((AC51+X51)/2)</f>
        <v>174.08</v>
      </c>
      <c r="AD58" s="251">
        <f>((AD28+Y28)/2)/((AD51+Y51)/2)</f>
        <v>33.799283154121866</v>
      </c>
      <c r="AE58" s="251">
        <f>((AE28+Z28)/2)/((AE51+Z51)/2)</f>
        <v>20.184322033898304</v>
      </c>
      <c r="AF58" s="251">
        <f>((AF28+AA28)/2)/((AF51+AA51)/2)</f>
        <v>14.022922636103152</v>
      </c>
      <c r="AG58" s="250">
        <f>AF58</f>
        <v>14.022922636103152</v>
      </c>
      <c r="AH58" s="251">
        <f>((AH28+AC28)/2)/((AH51+AC51)/2)</f>
        <v>10.419287211740041</v>
      </c>
      <c r="AI58" s="251">
        <f>((AI28+AD28)/2)/((AI51+AD51)/2)</f>
        <v>8.7128874388254491</v>
      </c>
      <c r="AJ58" s="251">
        <f>((AJ28+AE28)/2)/((AJ51+AE51)/2)</f>
        <v>7.039713541666667</v>
      </c>
      <c r="AK58" s="251">
        <f>((AK28+AF28)/2)/((AK51+AF51)/2)</f>
        <v>6.4294049008168024</v>
      </c>
      <c r="AL58" s="250">
        <f>AK58</f>
        <v>6.4294049008168024</v>
      </c>
      <c r="AM58" s="251">
        <f>((AM28+AH28)/2)/((AM51+AH51)/2)</f>
        <v>5.9681190223166842</v>
      </c>
      <c r="AN58" s="251">
        <f>((AN28+AI28)/2)/((AN51+AI51)/2)</f>
        <v>5.369472182596291</v>
      </c>
      <c r="AO58" s="251">
        <f>((AO28+AJ28)/2)/((AO51+AJ51)/2)</f>
        <v>4.624155740961462</v>
      </c>
      <c r="AP58" s="251">
        <f>((AP28+AK28)/2)/((AP51+AK51)/2)</f>
        <v>4.1679558011049727</v>
      </c>
      <c r="AQ58" s="250">
        <f>AP58</f>
        <v>4.1679558011049727</v>
      </c>
      <c r="AR58" s="251">
        <f>((AR28+AM28)/2)/((AR51+AM51)/2)</f>
        <v>3.9627586206896552</v>
      </c>
      <c r="AS58" s="251">
        <f>((AS28+AN28)/2)/((AS51+AN51)/2)</f>
        <v>4.0276595744680854</v>
      </c>
      <c r="AT58" s="251">
        <f>((AT28+AO28)/2)/((AT51+AO51)/2)</f>
        <v>3.8079640333975595</v>
      </c>
      <c r="AU58" s="251">
        <f>((AU28+AP28)/2)/((AU51+AP51)/2)</f>
        <v>3.7431011826544021</v>
      </c>
      <c r="AV58" s="254">
        <f>AU58</f>
        <v>3.7431011826544021</v>
      </c>
      <c r="AW58" s="254">
        <f>((AW28+AR28)/2)/((AW51+AR51)/2)</f>
        <v>3.7903225806451615</v>
      </c>
      <c r="AX58" s="251">
        <f>((AX28+AS28)/2)/((AX51+AS51)/2)</f>
        <v>3.9088753387533877</v>
      </c>
      <c r="AY58" s="251">
        <f>((AY28+AT28)/2)/((AY51+AT51)/2)</f>
        <v>4.0215163934426226</v>
      </c>
      <c r="AZ58" s="251">
        <f>((AZ28+AU28)/2)/((AZ51+AU51)/2)</f>
        <v>4.1853776853776852</v>
      </c>
      <c r="BA58" s="250">
        <f>AZ58</f>
        <v>4.1853776853776852</v>
      </c>
      <c r="BB58" s="254">
        <f>((BB28+AW28)/2)/((BB51+AW51)/2)</f>
        <v>4.3244890641807103</v>
      </c>
      <c r="BC58" s="251">
        <f>((BC28+AX28)/2)/((BC51+AX51)/2)</f>
        <v>4.2955974842767297</v>
      </c>
      <c r="BD58" s="251">
        <f>((BD28+AY28)/2)/((BD51+AY51)/2)</f>
        <v>4.5450909090909093</v>
      </c>
      <c r="BE58" s="251">
        <f>((BE28+AZ28)/2)/((BE51+AZ51)/2)</f>
        <v>5.2884316770186333</v>
      </c>
      <c r="BF58" s="250">
        <f>BE58</f>
        <v>5.2884316770186333</v>
      </c>
      <c r="BG58" s="254">
        <f>((BG28+BB28)/2)/((BG51+BB51)/2)</f>
        <v>7.2127312295973889</v>
      </c>
      <c r="BH58" s="251">
        <f>((BH28+BC28)/2)/((BH51+BC51)/2)</f>
        <v>6.501226091221187</v>
      </c>
      <c r="BI58" s="251">
        <f>((BI28+BD28)/2)/((BI51+BD51)/2)</f>
        <v>7.5044742729306488</v>
      </c>
      <c r="BJ58" s="251">
        <f>((BJ28+BE28)/2)/((BJ51+BE51)/2)</f>
        <v>13.386562804284324</v>
      </c>
      <c r="BK58" s="250">
        <f>BJ58</f>
        <v>13.386562804284324</v>
      </c>
      <c r="BL58" s="254">
        <f>((BL28+BG28)/2)/((BL51+BG51)/2)</f>
        <v>24.293693693693694</v>
      </c>
      <c r="BM58" s="251">
        <f>((BM28+BH28)/2)/((BM51+BH51)/2)</f>
        <v>12.071992976294995</v>
      </c>
      <c r="BN58" s="251">
        <f>((BN28+BI28)/2)/((BN51+BI51)/2)</f>
        <v>10.288560885608856</v>
      </c>
      <c r="BO58" s="251">
        <f>((BO28+BJ28)/2)/((BO51+BJ51)/2)</f>
        <v>13.626746506986027</v>
      </c>
      <c r="BP58" s="250">
        <f>BO58</f>
        <v>13.626746506986027</v>
      </c>
      <c r="BQ58" s="254">
        <f>((BQ28+BL28)/2)/((BQ51+BL51)/2)</f>
        <v>10.604021655065738</v>
      </c>
      <c r="BR58" s="251">
        <f>((BR28+BM28)/2)/((BR51+BM51)/2)</f>
        <v>7.8906337633202464</v>
      </c>
      <c r="BS58" s="251">
        <f>((BS28+BN28)/2)/((BS51+BN51)/2)</f>
        <v>5.7784954407294835</v>
      </c>
      <c r="BT58" s="251">
        <f>((BT28+BO28)/2)/((BT51+BO51)/2)</f>
        <v>5.5565936040244344</v>
      </c>
      <c r="BU58" s="250">
        <f>BT58</f>
        <v>5.5565936040244344</v>
      </c>
      <c r="BV58" s="254">
        <f>((BV28+BQ28)/2)/((BV51+BQ51)/2)</f>
        <v>5.230846774193548</v>
      </c>
      <c r="BW58" s="251">
        <f>((BW28+BR28)/2)/((BW51+BR51)/2)</f>
        <v>4.9299935773924215</v>
      </c>
      <c r="BX58" s="251">
        <f>((BX28+BS28)/2)/((BX51+BS51)/2)</f>
        <v>4.4651100375738055</v>
      </c>
      <c r="BY58" s="251">
        <f>((BY28+BT28)/2)/((BY51+BT51)/2)</f>
        <v>4.7838214783821478</v>
      </c>
      <c r="BZ58" s="250">
        <f>BY58</f>
        <v>4.7838214783821478</v>
      </c>
      <c r="CA58" s="254">
        <f>((CA28+BV28)/2)/((CA51+BV51)/2)</f>
        <v>4.2941034316094733</v>
      </c>
      <c r="CB58" s="251">
        <f>((CB28+BW28)/2)/((CB51+BW51)/2)</f>
        <v>4.1788461538461537</v>
      </c>
      <c r="CC58" s="251">
        <f>((CC28+BX28)/2)/((CC51+BX51)/2)</f>
        <v>3.9626865671641789</v>
      </c>
      <c r="CD58" s="251">
        <f>((CD28+BY28)/2)/((CD51+BY51)/2)</f>
        <v>4.2206717123935666</v>
      </c>
      <c r="CE58" s="250">
        <f>CD58</f>
        <v>4.2206717123935666</v>
      </c>
      <c r="CF58" s="254">
        <f>((CF28+CA28)/2)/((CF51+CA51)/2)</f>
        <v>3.8943781942078366</v>
      </c>
      <c r="CG58" s="251">
        <f>((CG28+CB28)/2)/((CG51+CB51)/2)</f>
        <v>3.8866984402079723</v>
      </c>
      <c r="CH58" s="251">
        <f>((CH28+CC28)/2)/((CH51+CC51)/2)</f>
        <v>3.8163397283897393</v>
      </c>
      <c r="CI58" s="251">
        <f>((CI28+CD28)/2)/((CI51+CD51)/2)</f>
        <v>3.8659388646288209</v>
      </c>
      <c r="CJ58" s="250">
        <f>CI58</f>
        <v>3.8659388646288209</v>
      </c>
      <c r="CK58" s="254">
        <f>((CK28+CF28)/2)/((CK51+CF51)/2)</f>
        <v>6.7596339113680157</v>
      </c>
      <c r="CL58" s="251">
        <f>((CL28+CG28)/2)/((CL51+CG51)/2)</f>
        <v>6.91562656015976</v>
      </c>
      <c r="CM58" s="251">
        <f>((CM28+CH28)/2)/((CM51+CH51)/2)</f>
        <v>7.0535987748851454</v>
      </c>
      <c r="CN58" s="251">
        <f>((CN28+CI28)/2)/((CN51+CI51)/2)</f>
        <v>7.1525687597301504</v>
      </c>
      <c r="CO58" s="250">
        <f>CN58</f>
        <v>7.1525687597301504</v>
      </c>
      <c r="CP58" s="881">
        <f>((CP28+CK28)/2)/((CP51+CK51)/2)</f>
        <v>-7.37379718726869</v>
      </c>
      <c r="CQ58" s="251">
        <f>((CQ28+CL28)/2)/((CQ51+CL51)/2)</f>
        <v>-7.37379718726869</v>
      </c>
      <c r="CR58" s="251">
        <f>((CR28+CM28)/2)/((CR51+CM51)/2)</f>
        <v>-7.37379718726869</v>
      </c>
      <c r="CS58" s="251">
        <f>((CS28+CN28)/2)/((CS51+CN51)/2)</f>
        <v>-7.37379718726869</v>
      </c>
      <c r="CT58" s="250">
        <f>CS58</f>
        <v>-7.37379718726869</v>
      </c>
      <c r="CU58" s="254">
        <f>((CU28+CP28)/2)/((CU51+CP51)/2)</f>
        <v>-3.3170714165918054</v>
      </c>
      <c r="CV58" s="251">
        <f>((CV28+CQ28)/2)/((CV51+CQ51)/2)</f>
        <v>-2.8754447612101925</v>
      </c>
      <c r="CW58" s="251">
        <f>((CW28+CR28)/2)/((CW51+CR51)/2)</f>
        <v>-2.3968475983264446</v>
      </c>
      <c r="CX58" s="251">
        <f>((CX28+CS28)/2)/((CX51+CS51)/2)</f>
        <v>-1.5529552955295529</v>
      </c>
      <c r="CY58" s="250">
        <f>CX58</f>
        <v>-1.5529552955295529</v>
      </c>
      <c r="CZ58" s="254">
        <f>((CZ28+CU28)/2)/((CZ51+CU51)/2)</f>
        <v>-1.2961923102641919</v>
      </c>
      <c r="DA58" s="251">
        <f>((DA28+CV28)/2)/((DA51+CV51)/2)</f>
        <v>-1.2350608525544522</v>
      </c>
      <c r="DB58" s="251">
        <f>((DB28+CW28)/2)/((DB51+CW51)/2)</f>
        <v>-1.2386259085508522</v>
      </c>
      <c r="DC58" s="251">
        <f>((DC28+CX28)/2)/((DC51+CX51)/2)</f>
        <v>-0.8998331943286072</v>
      </c>
      <c r="DD58" s="250">
        <f>DC58</f>
        <v>-0.8998331943286072</v>
      </c>
      <c r="DE58" s="255">
        <f>((DE28+CZ28)/2)/((DE51+CZ51)/2)</f>
        <v>-0.80433235092542887</v>
      </c>
      <c r="DF58" s="256">
        <f>((DF28+DA28)/2)/((DF51+DA51)/2)</f>
        <v>-0.76333152626435408</v>
      </c>
      <c r="DG58" s="256">
        <f>((DG28+DB28)/2)/((DG51+DB51)/2)</f>
        <v>-0.70337249851595263</v>
      </c>
      <c r="DH58" s="256">
        <f>((DH28+DC28)/2)/((DH51+DC51)/2)</f>
        <v>-0.66101074071200794</v>
      </c>
      <c r="DI58" s="257">
        <f>DH58</f>
        <v>-0.66101074071200794</v>
      </c>
      <c r="DJ58" s="255">
        <f>((DJ28+DE28)/2)/((DJ51+DE51)/2)</f>
        <v>-0.57001112590005842</v>
      </c>
      <c r="DK58" s="256">
        <f>((DK28+DF28)/2)/((DK51+DF51)/2)</f>
        <v>-0.50756788086664761</v>
      </c>
      <c r="DL58" s="256">
        <f>((DL28+DG28)/2)/((DL51+DG51)/2)</f>
        <v>-0.45542784205033338</v>
      </c>
      <c r="DM58" s="256">
        <f>((DM28+DH28)/2)/((DM51+DH51)/2)</f>
        <v>-0.45462999497208384</v>
      </c>
      <c r="DN58" s="257">
        <f>DM58</f>
        <v>-0.45462999497208384</v>
      </c>
      <c r="DO58" s="255">
        <f>((DO28+DJ28)/2)/((DO51+DJ51)/2)</f>
        <v>-0.38896189551541821</v>
      </c>
      <c r="DP58" s="256">
        <f>((DP28+DK28)/2)/((DP51+DK51)/2)</f>
        <v>-0.37274312852875313</v>
      </c>
      <c r="DQ58" s="256">
        <f>((DQ28+DL28)/2)/((DQ51+DL51)/2)</f>
        <v>-0.36211169439051322</v>
      </c>
      <c r="DR58" s="256">
        <f>((DR28+DM28)/2)/((DR51+DM51)/2)</f>
        <v>-0.41011296519069784</v>
      </c>
      <c r="DS58" s="257">
        <f>DR58</f>
        <v>-0.41011296519069784</v>
      </c>
      <c r="DT58" s="255">
        <f>((DT28+DO28)/2)/((DT51+DO51)/2)</f>
        <v>-0.35817426821234144</v>
      </c>
      <c r="DU58" s="256">
        <f>((DU28+DP28)/2)/((DU51+DP51)/2)</f>
        <v>-0.36109271740340282</v>
      </c>
      <c r="DV58" s="256">
        <f>((DV28+DQ28)/2)/((DV51+DQ51)/2)</f>
        <v>-0.36979041706819765</v>
      </c>
      <c r="DW58" s="256">
        <f>((DW28+DR28)/2)/((DW51+DR51)/2)</f>
        <v>-0.44662377811281634</v>
      </c>
      <c r="DX58" s="257">
        <f>DW58</f>
        <v>-0.44662377811281634</v>
      </c>
      <c r="DY58" s="255">
        <f>((DY28+DT28)/2)/((DY51+DT51)/2)</f>
        <v>-0.39174793170363459</v>
      </c>
      <c r="DZ58" s="256">
        <f>((DZ28+DU28)/2)/((DZ51+DU51)/2)</f>
        <v>-0.39881525496488146</v>
      </c>
      <c r="EA58" s="256">
        <f>((EA28+DV28)/2)/((EA51+DV51)/2)</f>
        <v>-0.41226177302375505</v>
      </c>
      <c r="EB58" s="256">
        <f>((EB28+DW28)/2)/((EB51+DW51)/2)</f>
        <v>-0.5071281110587984</v>
      </c>
      <c r="EC58" s="257">
        <f>EB58</f>
        <v>-0.5071281110587984</v>
      </c>
      <c r="EF58"/>
      <c r="EG58"/>
      <c r="EH58"/>
      <c r="EI58"/>
      <c r="EJ58"/>
      <c r="EK58"/>
      <c r="EL58"/>
      <c r="EM58"/>
      <c r="EN58"/>
      <c r="EO58"/>
      <c r="EP58"/>
      <c r="EQ58"/>
      <c r="ER58"/>
      <c r="ES58"/>
      <c r="ET58"/>
      <c r="EU58"/>
      <c r="EV58"/>
      <c r="EW58"/>
      <c r="EX58"/>
      <c r="EY58"/>
      <c r="EZ58"/>
      <c r="FA58"/>
    </row>
    <row r="59" spans="1:157" s="179" customFormat="1" x14ac:dyDescent="0.2">
      <c r="A59" s="694" t="s">
        <v>558</v>
      </c>
      <c r="B59" s="55"/>
      <c r="C59" s="55"/>
      <c r="D59" s="55"/>
      <c r="E59" s="55"/>
      <c r="F59" s="55"/>
      <c r="G59" s="55"/>
      <c r="H59" s="178"/>
      <c r="I59" s="738"/>
      <c r="J59" s="738"/>
      <c r="K59" s="738"/>
      <c r="L59" s="738"/>
      <c r="M59" s="739"/>
      <c r="N59" s="738">
        <f t="shared" ref="N59:W59" si="281">N56*N57</f>
        <v>0.37212637239524987</v>
      </c>
      <c r="O59" s="738">
        <f t="shared" si="281"/>
        <v>0.38714641321565962</v>
      </c>
      <c r="P59" s="738">
        <f t="shared" si="281"/>
        <v>0.4079943569245239</v>
      </c>
      <c r="Q59" s="738">
        <f t="shared" si="281"/>
        <v>0.45039131532441307</v>
      </c>
      <c r="R59" s="739">
        <f t="shared" si="281"/>
        <v>0.45039131532441307</v>
      </c>
      <c r="S59" s="738">
        <f t="shared" si="281"/>
        <v>0.2012450481041313</v>
      </c>
      <c r="T59" s="738">
        <f t="shared" si="281"/>
        <v>0.20641466208476517</v>
      </c>
      <c r="U59" s="738">
        <f t="shared" si="281"/>
        <v>0.20797754123289272</v>
      </c>
      <c r="V59" s="738">
        <f t="shared" si="281"/>
        <v>0.21874229346485821</v>
      </c>
      <c r="W59" s="739">
        <f t="shared" si="281"/>
        <v>0.21874229346485821</v>
      </c>
      <c r="X59" s="738">
        <f t="shared" ref="X59:BC59" si="282">X56*X57</f>
        <v>0.20013834447774959</v>
      </c>
      <c r="Y59" s="738">
        <f t="shared" si="282"/>
        <v>0.19266266728195663</v>
      </c>
      <c r="Z59" s="738">
        <f t="shared" si="282"/>
        <v>0.19319099826889788</v>
      </c>
      <c r="AA59" s="738">
        <f t="shared" si="282"/>
        <v>0.20826988403420404</v>
      </c>
      <c r="AB59" s="739">
        <f t="shared" si="282"/>
        <v>0.20826988403420404</v>
      </c>
      <c r="AC59" s="738">
        <f t="shared" si="282"/>
        <v>0.21231617647058826</v>
      </c>
      <c r="AD59" s="738">
        <f t="shared" si="282"/>
        <v>0.20424178154825026</v>
      </c>
      <c r="AE59" s="738">
        <f t="shared" si="282"/>
        <v>0.20888002519156085</v>
      </c>
      <c r="AF59" s="738">
        <f t="shared" si="282"/>
        <v>0.20494483040457701</v>
      </c>
      <c r="AG59" s="739">
        <f t="shared" si="282"/>
        <v>0.20494483040457701</v>
      </c>
      <c r="AH59" s="738">
        <f t="shared" si="282"/>
        <v>0.20221327967806843</v>
      </c>
      <c r="AI59" s="738">
        <f t="shared" si="282"/>
        <v>0.19284778131436062</v>
      </c>
      <c r="AJ59" s="738">
        <f t="shared" si="282"/>
        <v>0.19402570979376677</v>
      </c>
      <c r="AK59" s="738">
        <f t="shared" si="282"/>
        <v>0.19509981851179672</v>
      </c>
      <c r="AL59" s="739">
        <f t="shared" si="282"/>
        <v>0.19509981851179672</v>
      </c>
      <c r="AM59" s="738">
        <f t="shared" si="282"/>
        <v>0.19604700854700854</v>
      </c>
      <c r="AN59" s="738">
        <f t="shared" si="282"/>
        <v>0.19571377966702092</v>
      </c>
      <c r="AO59" s="738">
        <f t="shared" si="282"/>
        <v>0.19297190480281812</v>
      </c>
      <c r="AP59" s="738">
        <f t="shared" si="282"/>
        <v>0.1988335100742312</v>
      </c>
      <c r="AQ59" s="739">
        <f t="shared" si="282"/>
        <v>0.1988335100742312</v>
      </c>
      <c r="AR59" s="738">
        <f t="shared" si="282"/>
        <v>0.19718064740689176</v>
      </c>
      <c r="AS59" s="738">
        <f t="shared" si="282"/>
        <v>0.19950695544990316</v>
      </c>
      <c r="AT59" s="738">
        <f t="shared" si="282"/>
        <v>0.19396188227357058</v>
      </c>
      <c r="AU59" s="738">
        <f t="shared" si="282"/>
        <v>0.20203615938213093</v>
      </c>
      <c r="AV59" s="740">
        <f t="shared" si="282"/>
        <v>0.20203615938213093</v>
      </c>
      <c r="AW59" s="740">
        <f t="shared" si="282"/>
        <v>0.20529743812418585</v>
      </c>
      <c r="AX59" s="738">
        <f t="shared" si="282"/>
        <v>0.21284340064130342</v>
      </c>
      <c r="AY59" s="738">
        <f t="shared" si="282"/>
        <v>0.21469214437367301</v>
      </c>
      <c r="AZ59" s="738">
        <f t="shared" si="282"/>
        <v>0.20895769517344154</v>
      </c>
      <c r="BA59" s="739">
        <f t="shared" si="282"/>
        <v>0.20895769517344154</v>
      </c>
      <c r="BB59" s="740">
        <f t="shared" si="282"/>
        <v>0.21490755327087308</v>
      </c>
      <c r="BC59" s="738">
        <f t="shared" si="282"/>
        <v>0.21132259638848219</v>
      </c>
      <c r="BD59" s="738">
        <f t="shared" ref="BD59:BU59" si="283">BD56*BD57</f>
        <v>0.2169773581886551</v>
      </c>
      <c r="BE59" s="738">
        <f t="shared" si="283"/>
        <v>0.19922190413271673</v>
      </c>
      <c r="BF59" s="739">
        <f t="shared" si="283"/>
        <v>0.19922190413271673</v>
      </c>
      <c r="BG59" s="740">
        <f t="shared" si="283"/>
        <v>0.22131704005431097</v>
      </c>
      <c r="BH59" s="738">
        <f t="shared" si="283"/>
        <v>0.22208811104405551</v>
      </c>
      <c r="BI59" s="738">
        <f t="shared" si="283"/>
        <v>0.22089730213146519</v>
      </c>
      <c r="BJ59" s="738">
        <f t="shared" si="283"/>
        <v>0.22039569391911551</v>
      </c>
      <c r="BK59" s="739">
        <f t="shared" si="283"/>
        <v>0.22039569391911551</v>
      </c>
      <c r="BL59" s="740">
        <f t="shared" si="283"/>
        <v>0.2136023140250686</v>
      </c>
      <c r="BM59" s="738">
        <f t="shared" si="283"/>
        <v>0.22094545454545456</v>
      </c>
      <c r="BN59" s="738">
        <f t="shared" si="283"/>
        <v>0.22638261243813212</v>
      </c>
      <c r="BO59" s="738">
        <f t="shared" si="283"/>
        <v>0.23289878423905083</v>
      </c>
      <c r="BP59" s="739">
        <f t="shared" si="283"/>
        <v>0.23289878423905083</v>
      </c>
      <c r="BQ59" s="740">
        <f t="shared" si="283"/>
        <v>0.23382685435052147</v>
      </c>
      <c r="BR59" s="738">
        <f t="shared" si="283"/>
        <v>0.23171511834529815</v>
      </c>
      <c r="BS59" s="738">
        <f t="shared" si="283"/>
        <v>0.2240778486422513</v>
      </c>
      <c r="BT59" s="738">
        <f t="shared" si="283"/>
        <v>0.2287894464562856</v>
      </c>
      <c r="BU59" s="739">
        <f t="shared" si="283"/>
        <v>0.2287894464562856</v>
      </c>
      <c r="BV59" s="740">
        <f t="shared" ref="BV59:CE59" si="284">BV56*BV57</f>
        <v>0.23202929273463094</v>
      </c>
      <c r="BW59" s="738">
        <f t="shared" si="284"/>
        <v>0.23501823866597185</v>
      </c>
      <c r="BX59" s="738">
        <f t="shared" si="284"/>
        <v>0.21013403858868787</v>
      </c>
      <c r="BY59" s="738">
        <f t="shared" si="284"/>
        <v>0.21166180758017494</v>
      </c>
      <c r="BZ59" s="739">
        <f t="shared" si="284"/>
        <v>0.21166180758017494</v>
      </c>
      <c r="CA59" s="740">
        <f t="shared" si="284"/>
        <v>0.23175192751421014</v>
      </c>
      <c r="CB59" s="738">
        <f t="shared" si="284"/>
        <v>0.2430971007823286</v>
      </c>
      <c r="CC59" s="738">
        <f>CC56*CC57</f>
        <v>0.26205558408948237</v>
      </c>
      <c r="CD59" s="738">
        <f>CD56*CD57</f>
        <v>0.25710282992434852</v>
      </c>
      <c r="CE59" s="739">
        <f t="shared" si="284"/>
        <v>0.25710282992434852</v>
      </c>
      <c r="CF59" s="740">
        <f>CF56*CF57</f>
        <v>0.22171112204724408</v>
      </c>
      <c r="CG59" s="738">
        <f t="shared" ref="CG59:CO59" si="285">CG56*CG57</f>
        <v>0.21270096427177973</v>
      </c>
      <c r="CH59" s="738">
        <f t="shared" si="285"/>
        <v>0.18375186398554</v>
      </c>
      <c r="CI59" s="738">
        <f t="shared" si="285"/>
        <v>0.17293572800180729</v>
      </c>
      <c r="CJ59" s="739">
        <f t="shared" si="285"/>
        <v>0.17293572800180729</v>
      </c>
      <c r="CK59" s="740">
        <f t="shared" si="285"/>
        <v>0.21105430057721083</v>
      </c>
      <c r="CL59" s="738">
        <f t="shared" si="285"/>
        <v>0.20847646549234763</v>
      </c>
      <c r="CM59" s="738">
        <f t="shared" si="285"/>
        <v>0.21098936170212762</v>
      </c>
      <c r="CN59" s="738">
        <f t="shared" si="285"/>
        <v>0.21998113618225348</v>
      </c>
      <c r="CO59" s="739">
        <f t="shared" si="285"/>
        <v>0.21998113618225348</v>
      </c>
      <c r="CP59" s="882">
        <f>CP56*CP57</f>
        <v>0.3241083115840192</v>
      </c>
      <c r="CQ59" s="738">
        <f>CQ56*CQ57</f>
        <v>0.31728498293515356</v>
      </c>
      <c r="CR59" s="738">
        <f>CR56*CR57</f>
        <v>0.30174342501505724</v>
      </c>
      <c r="CS59" s="738">
        <f>CS56*CS57</f>
        <v>0.27771150371411363</v>
      </c>
      <c r="CT59" s="739">
        <f>CT56*CT57</f>
        <v>0.27771150371411363</v>
      </c>
      <c r="CU59" s="740">
        <f t="shared" ref="CU59:DD59" si="286">CU56*CU57</f>
        <v>0.26875561924037022</v>
      </c>
      <c r="CV59" s="738">
        <f t="shared" si="286"/>
        <v>0.29491587951825748</v>
      </c>
      <c r="CW59" s="738">
        <f t="shared" si="286"/>
        <v>0.25377203987922115</v>
      </c>
      <c r="CX59" s="738">
        <f t="shared" si="286"/>
        <v>0.32515455950540956</v>
      </c>
      <c r="CY59" s="739">
        <f t="shared" si="286"/>
        <v>0.32515455950540956</v>
      </c>
      <c r="CZ59" s="740">
        <f t="shared" si="286"/>
        <v>0.36339296410394434</v>
      </c>
      <c r="DA59" s="738">
        <f t="shared" si="286"/>
        <v>0.34750830723283865</v>
      </c>
      <c r="DB59" s="738">
        <f t="shared" si="286"/>
        <v>0.33123821026612499</v>
      </c>
      <c r="DC59" s="738">
        <f t="shared" si="286"/>
        <v>0.51181759199184351</v>
      </c>
      <c r="DD59" s="739">
        <f t="shared" si="286"/>
        <v>0.51181759199184351</v>
      </c>
      <c r="DE59" s="743">
        <f t="shared" ref="DE59:DI59" si="287">DE56*DE57</f>
        <v>0.52750642021257244</v>
      </c>
      <c r="DF59" s="741">
        <f t="shared" si="287"/>
        <v>0.52378654311311112</v>
      </c>
      <c r="DG59" s="741">
        <f t="shared" si="287"/>
        <v>0.50969094176773011</v>
      </c>
      <c r="DH59" s="741">
        <f t="shared" si="287"/>
        <v>0.37064846380155336</v>
      </c>
      <c r="DI59" s="742">
        <f t="shared" si="287"/>
        <v>0.37064846380155336</v>
      </c>
      <c r="DJ59" s="743">
        <f t="shared" ref="DJ59:DN59" si="288">DJ56*DJ57</f>
        <v>0.42167582365500461</v>
      </c>
      <c r="DK59" s="741">
        <f t="shared" si="288"/>
        <v>0.46662512424338604</v>
      </c>
      <c r="DL59" s="741">
        <f t="shared" si="288"/>
        <v>0.51619540928523999</v>
      </c>
      <c r="DM59" s="741">
        <f t="shared" si="288"/>
        <v>0.51950484454749424</v>
      </c>
      <c r="DN59" s="742">
        <f t="shared" si="288"/>
        <v>0.51950484454749424</v>
      </c>
      <c r="DO59" s="743">
        <f t="shared" ref="DO59:EC59" si="289">DO56*DO57</f>
        <v>0.60411171080004089</v>
      </c>
      <c r="DP59" s="741">
        <f t="shared" si="289"/>
        <v>0.63052828629335089</v>
      </c>
      <c r="DQ59" s="741">
        <f t="shared" si="289"/>
        <v>0.65472558917654577</v>
      </c>
      <c r="DR59" s="741">
        <f t="shared" si="289"/>
        <v>0.59132556487327703</v>
      </c>
      <c r="DS59" s="742">
        <f t="shared" si="289"/>
        <v>0.59132556487327703</v>
      </c>
      <c r="DT59" s="743">
        <f t="shared" si="289"/>
        <v>0.68754595140447472</v>
      </c>
      <c r="DU59" s="741">
        <f t="shared" si="289"/>
        <v>0.6945214512668223</v>
      </c>
      <c r="DV59" s="741">
        <f t="shared" si="289"/>
        <v>0.69511699483970935</v>
      </c>
      <c r="DW59" s="741">
        <f t="shared" si="289"/>
        <v>0.59688982379556998</v>
      </c>
      <c r="DX59" s="742">
        <f t="shared" si="289"/>
        <v>0.59688982379556998</v>
      </c>
      <c r="DY59" s="743">
        <f t="shared" si="289"/>
        <v>0.69155791539017453</v>
      </c>
      <c r="DZ59" s="741">
        <f t="shared" si="289"/>
        <v>0.6926857358844708</v>
      </c>
      <c r="EA59" s="741">
        <f t="shared" si="289"/>
        <v>0.68851387254207397</v>
      </c>
      <c r="EB59" s="741">
        <f t="shared" si="289"/>
        <v>0.58262474053190183</v>
      </c>
      <c r="EC59" s="742">
        <f t="shared" si="289"/>
        <v>0.58262474053190183</v>
      </c>
      <c r="EF59"/>
      <c r="EG59"/>
      <c r="EH59"/>
      <c r="EI59"/>
      <c r="EJ59"/>
      <c r="EK59"/>
      <c r="EL59"/>
      <c r="EM59"/>
      <c r="EN59"/>
      <c r="EO59"/>
      <c r="EP59"/>
      <c r="EQ59"/>
      <c r="ER59"/>
      <c r="ES59"/>
      <c r="ET59"/>
      <c r="EU59"/>
      <c r="EV59"/>
      <c r="EW59"/>
      <c r="EX59"/>
      <c r="EY59"/>
      <c r="EZ59"/>
      <c r="FA59"/>
    </row>
    <row r="60" spans="1:157" s="179" customFormat="1" x14ac:dyDescent="0.2">
      <c r="A60" s="744" t="s">
        <v>559</v>
      </c>
      <c r="B60" s="745"/>
      <c r="C60" s="745"/>
      <c r="D60" s="745"/>
      <c r="E60" s="745"/>
      <c r="F60" s="745"/>
      <c r="G60" s="745"/>
      <c r="H60" s="746"/>
      <c r="I60" s="747"/>
      <c r="J60" s="747"/>
      <c r="K60" s="747"/>
      <c r="L60" s="747"/>
      <c r="M60" s="748"/>
      <c r="N60" s="747">
        <f t="shared" ref="N60:W60" si="290">N55*N57*N58</f>
        <v>-0.60537848605577682</v>
      </c>
      <c r="O60" s="747">
        <f t="shared" si="290"/>
        <v>-0.88160779537149803</v>
      </c>
      <c r="P60" s="747">
        <f t="shared" si="290"/>
        <v>-1.2422077922077923</v>
      </c>
      <c r="Q60" s="747">
        <f t="shared" si="290"/>
        <v>-1.4964285714285717</v>
      </c>
      <c r="R60" s="748">
        <f t="shared" si="290"/>
        <v>-1.4964285714285717</v>
      </c>
      <c r="S60" s="747">
        <f t="shared" si="290"/>
        <v>-0.55913838120104442</v>
      </c>
      <c r="T60" s="747">
        <f t="shared" si="290"/>
        <v>-0.6686230248306998</v>
      </c>
      <c r="U60" s="747">
        <f t="shared" si="290"/>
        <v>-0.83537759233247966</v>
      </c>
      <c r="V60" s="747">
        <f t="shared" si="290"/>
        <v>-1.0009543744237621</v>
      </c>
      <c r="W60" s="748">
        <f t="shared" si="290"/>
        <v>-1.0009543744237621</v>
      </c>
      <c r="X60" s="747">
        <f t="shared" ref="X60:AW60" si="291">X55*X57*X58</f>
        <v>-1.1674417226977873</v>
      </c>
      <c r="Y60" s="747">
        <f t="shared" si="291"/>
        <v>-1.3795868131868132</v>
      </c>
      <c r="Z60" s="747">
        <f t="shared" si="291"/>
        <v>-1.7445972495088409</v>
      </c>
      <c r="AA60" s="747">
        <f t="shared" si="291"/>
        <v>-4.4770642201834869</v>
      </c>
      <c r="AB60" s="748">
        <f t="shared" si="291"/>
        <v>-4.4770642201834869</v>
      </c>
      <c r="AC60" s="747">
        <f t="shared" si="291"/>
        <v>20.66</v>
      </c>
      <c r="AD60" s="747">
        <f t="shared" si="291"/>
        <v>3.8673835125448033</v>
      </c>
      <c r="AE60" s="747">
        <f t="shared" si="291"/>
        <v>2.3622881355932202</v>
      </c>
      <c r="AF60" s="747">
        <f t="shared" si="291"/>
        <v>1.6206303724928366</v>
      </c>
      <c r="AG60" s="748">
        <f t="shared" si="291"/>
        <v>1.6206303724928366</v>
      </c>
      <c r="AH60" s="747">
        <f t="shared" si="291"/>
        <v>1.1844863731656186</v>
      </c>
      <c r="AI60" s="747">
        <f t="shared" si="291"/>
        <v>0.93964110929853195</v>
      </c>
      <c r="AJ60" s="747">
        <f t="shared" si="291"/>
        <v>0.77994791666666685</v>
      </c>
      <c r="AK60" s="747">
        <f t="shared" si="291"/>
        <v>0.7322053675612602</v>
      </c>
      <c r="AL60" s="748">
        <f t="shared" si="291"/>
        <v>0.7322053675612602</v>
      </c>
      <c r="AM60" s="747">
        <f t="shared" si="291"/>
        <v>0.69234856535600431</v>
      </c>
      <c r="AN60" s="747">
        <f t="shared" si="291"/>
        <v>0.64203518782691393</v>
      </c>
      <c r="AO60" s="747">
        <f t="shared" si="291"/>
        <v>0.55152959872864515</v>
      </c>
      <c r="AP60" s="747">
        <f t="shared" si="291"/>
        <v>0.53082872928176816</v>
      </c>
      <c r="AQ60" s="748">
        <f t="shared" si="291"/>
        <v>0.53082872928176816</v>
      </c>
      <c r="AR60" s="747">
        <f t="shared" si="291"/>
        <v>0.50455172413793103</v>
      </c>
      <c r="AS60" s="747">
        <f t="shared" si="291"/>
        <v>0.52553191489361706</v>
      </c>
      <c r="AT60" s="747">
        <f t="shared" si="291"/>
        <v>0.4887604367373154</v>
      </c>
      <c r="AU60" s="747">
        <f t="shared" si="291"/>
        <v>0.49934296977660975</v>
      </c>
      <c r="AV60" s="749">
        <f t="shared" si="291"/>
        <v>0.49934296977660975</v>
      </c>
      <c r="AW60" s="750">
        <f t="shared" si="291"/>
        <v>0.51152073732718895</v>
      </c>
      <c r="AX60" s="747">
        <f>AX55*AX57*AX58</f>
        <v>0.53590785907859084</v>
      </c>
      <c r="AY60" s="747">
        <f>AY55*AY57*AY58</f>
        <v>0.55737704918032782</v>
      </c>
      <c r="AZ60" s="747">
        <f>AZ55*AZ57*AZ58</f>
        <v>0.57103257103257099</v>
      </c>
      <c r="BA60" s="748">
        <f t="shared" ref="BA60:BU60" si="292">BA55*BA57*BA58</f>
        <v>0.57103257103257099</v>
      </c>
      <c r="BB60" s="750">
        <f t="shared" si="292"/>
        <v>0.60781642165650773</v>
      </c>
      <c r="BC60" s="747">
        <f t="shared" si="292"/>
        <v>0.60768693221523418</v>
      </c>
      <c r="BD60" s="747">
        <f t="shared" si="292"/>
        <v>0.66152727272727274</v>
      </c>
      <c r="BE60" s="747">
        <f t="shared" si="292"/>
        <v>0.70543478260869552</v>
      </c>
      <c r="BF60" s="748">
        <f t="shared" si="292"/>
        <v>0.70543478260869552</v>
      </c>
      <c r="BG60" s="750">
        <f t="shared" si="292"/>
        <v>1.054406964091404</v>
      </c>
      <c r="BH60" s="747">
        <f t="shared" si="292"/>
        <v>0.96027464443354604</v>
      </c>
      <c r="BI60" s="747">
        <f t="shared" si="292"/>
        <v>1.1085011185682325</v>
      </c>
      <c r="BJ60" s="747">
        <f t="shared" si="292"/>
        <v>1.8792599805258035</v>
      </c>
      <c r="BK60" s="748">
        <f t="shared" si="292"/>
        <v>1.8792599805258035</v>
      </c>
      <c r="BL60" s="750">
        <f t="shared" si="292"/>
        <v>3.3477477477477477</v>
      </c>
      <c r="BM60" s="747">
        <f t="shared" si="292"/>
        <v>1.7699736611062338</v>
      </c>
      <c r="BN60" s="747">
        <f t="shared" si="292"/>
        <v>1.5645756457564575</v>
      </c>
      <c r="BO60" s="747">
        <f t="shared" si="292"/>
        <v>2.1377245508982035</v>
      </c>
      <c r="BP60" s="748">
        <f t="shared" si="292"/>
        <v>2.1377245508982035</v>
      </c>
      <c r="BQ60" s="750">
        <f t="shared" si="292"/>
        <v>1.6921887084300076</v>
      </c>
      <c r="BR60" s="747">
        <f t="shared" si="292"/>
        <v>1.2080762759394277</v>
      </c>
      <c r="BS60" s="747">
        <f t="shared" si="292"/>
        <v>0.83586626139817644</v>
      </c>
      <c r="BT60" s="747">
        <f t="shared" si="292"/>
        <v>0.83219547251167825</v>
      </c>
      <c r="BU60" s="748">
        <f t="shared" si="292"/>
        <v>0.83219547251167825</v>
      </c>
      <c r="BV60" s="750">
        <f t="shared" ref="BV60:CE60" si="293">BV55*BV57*BV58</f>
        <v>0.79368279569892464</v>
      </c>
      <c r="BW60" s="747">
        <f t="shared" si="293"/>
        <v>0.77777777777777779</v>
      </c>
      <c r="BX60" s="747">
        <f t="shared" si="293"/>
        <v>0.66398282340311321</v>
      </c>
      <c r="BY60" s="747">
        <f t="shared" si="293"/>
        <v>0.73584379358437935</v>
      </c>
      <c r="BZ60" s="748">
        <f t="shared" si="293"/>
        <v>0.73584379358437935</v>
      </c>
      <c r="CA60" s="750">
        <f t="shared" si="293"/>
        <v>0.73127114548090877</v>
      </c>
      <c r="CB60" s="747">
        <f t="shared" si="293"/>
        <v>0.73461538461538456</v>
      </c>
      <c r="CC60" s="747">
        <f>CC55*CC57*CC58</f>
        <v>0.73089099954771586</v>
      </c>
      <c r="CD60" s="747">
        <f>CD55*CD57*CD58</f>
        <v>0.75543992431409646</v>
      </c>
      <c r="CE60" s="748">
        <f t="shared" si="293"/>
        <v>0.75543992431409646</v>
      </c>
      <c r="CF60" s="750">
        <f>CF55*CF57*CF58</f>
        <v>0.5924868138841568</v>
      </c>
      <c r="CG60" s="747">
        <f t="shared" ref="CG60:CO60" si="294">CG55*CG57*CG58</f>
        <v>0.56053669150779895</v>
      </c>
      <c r="CH60" s="747">
        <f t="shared" si="294"/>
        <v>0.46691826212545812</v>
      </c>
      <c r="CI60" s="747">
        <f t="shared" si="294"/>
        <v>0.40567685589519642</v>
      </c>
      <c r="CJ60" s="748">
        <f t="shared" si="294"/>
        <v>0.40567685589519642</v>
      </c>
      <c r="CK60" s="750">
        <f t="shared" si="294"/>
        <v>0.87967075240847747</v>
      </c>
      <c r="CL60" s="747">
        <f t="shared" si="294"/>
        <v>0.89820700049925073</v>
      </c>
      <c r="CM60" s="747">
        <f t="shared" si="294"/>
        <v>0.96061136396120428</v>
      </c>
      <c r="CN60" s="747">
        <f t="shared" si="294"/>
        <v>1.043072132848988</v>
      </c>
      <c r="CO60" s="748">
        <f t="shared" si="294"/>
        <v>1.043072132848988</v>
      </c>
      <c r="CP60" s="883">
        <f>CP55*CP57*CP58</f>
        <v>-1.6210045891931903</v>
      </c>
      <c r="CQ60" s="747">
        <f>CQ55*CQ57*CQ58</f>
        <v>-1.5480960547742415</v>
      </c>
      <c r="CR60" s="747">
        <f>CR55*CR57*CR58</f>
        <v>-1.4137951739452261</v>
      </c>
      <c r="CS60" s="747">
        <f>CS55*CS57*CS58</f>
        <v>-1.3581056698741671</v>
      </c>
      <c r="CT60" s="748">
        <f>CT55*CT57*CT58</f>
        <v>-1.3581056698741671</v>
      </c>
      <c r="CU60" s="750">
        <f t="shared" ref="CU60:DD60" si="295">CU55*CU57*CU58</f>
        <v>-0.5576134230020825</v>
      </c>
      <c r="CV60" s="747">
        <f t="shared" si="295"/>
        <v>-0.5380258863915961</v>
      </c>
      <c r="CW60" s="747">
        <f t="shared" si="295"/>
        <v>-0.37018835699208874</v>
      </c>
      <c r="CX60" s="747">
        <f t="shared" si="295"/>
        <v>-0.30573057305730567</v>
      </c>
      <c r="CY60" s="748">
        <f t="shared" si="295"/>
        <v>-0.30573057305730567</v>
      </c>
      <c r="CZ60" s="750">
        <f t="shared" si="295"/>
        <v>-0.2780044822717086</v>
      </c>
      <c r="DA60" s="747">
        <f t="shared" si="295"/>
        <v>-0.23851962277603139</v>
      </c>
      <c r="DB60" s="747">
        <f t="shared" si="295"/>
        <v>-0.24076919107109532</v>
      </c>
      <c r="DC60" s="747">
        <f t="shared" si="295"/>
        <v>-0.22351959966638862</v>
      </c>
      <c r="DD60" s="748">
        <f t="shared" si="295"/>
        <v>-0.22351959966638862</v>
      </c>
      <c r="DE60" s="753">
        <f t="shared" ref="DE60:DI60" si="296">DE55*DE57*DE58</f>
        <v>-0.20432730860100937</v>
      </c>
      <c r="DF60" s="751">
        <f t="shared" si="296"/>
        <v>-0.19849897384899115</v>
      </c>
      <c r="DG60" s="751">
        <f t="shared" si="296"/>
        <v>-0.17053532961573586</v>
      </c>
      <c r="DH60" s="751">
        <f t="shared" si="296"/>
        <v>-0.14672465158402165</v>
      </c>
      <c r="DI60" s="752">
        <f t="shared" si="296"/>
        <v>-0.14672465158402165</v>
      </c>
      <c r="DJ60" s="753">
        <f t="shared" ref="DJ60:DN60" si="297">DJ55*DJ57*DJ58</f>
        <v>-0.14507680347444679</v>
      </c>
      <c r="DK60" s="751">
        <f t="shared" si="297"/>
        <v>-0.1438452160493757</v>
      </c>
      <c r="DL60" s="751">
        <f t="shared" si="297"/>
        <v>-0.14371861361818988</v>
      </c>
      <c r="DM60" s="751">
        <f t="shared" si="297"/>
        <v>-0.14556677842718102</v>
      </c>
      <c r="DN60" s="752">
        <f t="shared" si="297"/>
        <v>-0.14556677842718102</v>
      </c>
      <c r="DO60" s="753">
        <f t="shared" ref="DO60:EC60" si="298">DO55*DO57*DO58</f>
        <v>-0.14491067383744419</v>
      </c>
      <c r="DP60" s="751">
        <f t="shared" si="298"/>
        <v>-0.14511936013456062</v>
      </c>
      <c r="DQ60" s="751">
        <f t="shared" si="298"/>
        <v>-0.14666859423728587</v>
      </c>
      <c r="DR60" s="751">
        <f t="shared" si="298"/>
        <v>-0.15040488317993883</v>
      </c>
      <c r="DS60" s="752">
        <f t="shared" si="298"/>
        <v>-0.15040488317993883</v>
      </c>
      <c r="DT60" s="753">
        <f t="shared" si="298"/>
        <v>-0.15343437150244493</v>
      </c>
      <c r="DU60" s="751">
        <f t="shared" si="298"/>
        <v>-0.15696903896180131</v>
      </c>
      <c r="DV60" s="751">
        <f t="shared" si="298"/>
        <v>-0.1617141651076125</v>
      </c>
      <c r="DW60" s="751">
        <f t="shared" si="298"/>
        <v>-0.16869789276938102</v>
      </c>
      <c r="DX60" s="752">
        <f t="shared" si="298"/>
        <v>-0.16869789276938102</v>
      </c>
      <c r="DY60" s="753">
        <f t="shared" si="298"/>
        <v>-0.17213602266585148</v>
      </c>
      <c r="DZ60" s="751">
        <f t="shared" si="298"/>
        <v>-0.17625218105092669</v>
      </c>
      <c r="EA60" s="751">
        <f t="shared" si="298"/>
        <v>-0.18192776662464094</v>
      </c>
      <c r="EB60" s="751">
        <f t="shared" si="298"/>
        <v>-0.19037332484875319</v>
      </c>
      <c r="EC60" s="752">
        <f t="shared" si="298"/>
        <v>-0.19037332484875319</v>
      </c>
      <c r="EF60"/>
      <c r="EG60"/>
      <c r="EH60"/>
      <c r="EI60"/>
      <c r="EJ60"/>
      <c r="EK60"/>
      <c r="EL60"/>
      <c r="EM60"/>
      <c r="EN60"/>
      <c r="EO60"/>
      <c r="EP60"/>
      <c r="EQ60"/>
      <c r="ER60"/>
      <c r="ES60"/>
      <c r="ET60"/>
      <c r="EU60"/>
      <c r="EV60"/>
      <c r="EW60"/>
      <c r="EX60"/>
      <c r="EY60"/>
      <c r="EZ60"/>
      <c r="FA60"/>
    </row>
    <row r="61" spans="1:157" s="172" customFormat="1" ht="2.1" customHeight="1" x14ac:dyDescent="0.2">
      <c r="A61" s="461"/>
      <c r="B61" s="15"/>
      <c r="C61" s="15"/>
      <c r="D61" s="15"/>
      <c r="E61" s="15"/>
      <c r="F61" s="15"/>
      <c r="G61" s="15"/>
      <c r="H61" s="181"/>
      <c r="M61" s="181"/>
      <c r="R61" s="181"/>
      <c r="W61" s="181"/>
      <c r="AB61" s="181"/>
      <c r="AG61" s="181"/>
      <c r="AL61" s="181"/>
      <c r="AQ61" s="181"/>
      <c r="AV61" s="174"/>
      <c r="AW61" s="174"/>
      <c r="BA61" s="181"/>
      <c r="BB61" s="174"/>
      <c r="BF61" s="181"/>
      <c r="BG61" s="174"/>
      <c r="BK61" s="181"/>
      <c r="BL61" s="174"/>
      <c r="BP61" s="181"/>
      <c r="BQ61" s="174"/>
      <c r="BU61" s="181"/>
      <c r="BV61" s="174"/>
      <c r="BZ61" s="181"/>
      <c r="CA61" s="174"/>
      <c r="CE61" s="181"/>
      <c r="CF61" s="176"/>
      <c r="CJ61" s="181"/>
      <c r="CK61" s="174"/>
      <c r="CO61" s="181"/>
      <c r="CP61" s="884"/>
      <c r="CT61" s="181"/>
      <c r="CU61" s="174"/>
      <c r="CY61" s="181"/>
      <c r="CZ61" s="174"/>
      <c r="DD61" s="181"/>
      <c r="DE61" s="176"/>
      <c r="DF61" s="175"/>
      <c r="DG61" s="175"/>
      <c r="DH61" s="175"/>
      <c r="DI61" s="177"/>
      <c r="DJ61" s="176"/>
      <c r="DK61" s="175"/>
      <c r="DL61" s="175"/>
      <c r="DM61" s="175"/>
      <c r="DN61" s="177"/>
      <c r="DO61" s="176"/>
      <c r="DP61" s="175"/>
      <c r="DQ61" s="175"/>
      <c r="DR61" s="175"/>
      <c r="DS61" s="177"/>
      <c r="DT61" s="176"/>
      <c r="DU61" s="175"/>
      <c r="DV61" s="175"/>
      <c r="DW61" s="175"/>
      <c r="DX61" s="177"/>
      <c r="DY61" s="176"/>
      <c r="DZ61" s="175"/>
      <c r="EA61" s="175"/>
      <c r="EB61" s="175"/>
      <c r="EC61" s="177"/>
      <c r="EF61"/>
      <c r="EG61"/>
      <c r="EH61"/>
      <c r="EI61"/>
      <c r="EJ61"/>
      <c r="EK61"/>
      <c r="EL61"/>
      <c r="EM61"/>
      <c r="EN61"/>
      <c r="EO61"/>
      <c r="EP61"/>
      <c r="EQ61"/>
      <c r="ER61"/>
      <c r="ES61"/>
      <c r="ET61"/>
      <c r="EU61"/>
      <c r="EV61"/>
      <c r="EW61"/>
      <c r="EX61"/>
      <c r="EY61"/>
      <c r="EZ61"/>
      <c r="FA61"/>
    </row>
    <row r="62" spans="1:157" s="172" customFormat="1" x14ac:dyDescent="0.2">
      <c r="A62" s="461" t="s">
        <v>560</v>
      </c>
      <c r="B62" s="15"/>
      <c r="C62" s="15"/>
      <c r="D62" s="15"/>
      <c r="E62" s="15"/>
      <c r="F62" s="15"/>
      <c r="G62" s="15"/>
      <c r="H62" s="259">
        <f t="shared" ref="H62:R62" si="299">H20-H36</f>
        <v>-896</v>
      </c>
      <c r="I62" s="260">
        <f t="shared" si="299"/>
        <v>0</v>
      </c>
      <c r="J62" s="261">
        <f t="shared" si="299"/>
        <v>0</v>
      </c>
      <c r="K62" s="261">
        <f t="shared" si="299"/>
        <v>0</v>
      </c>
      <c r="L62" s="262">
        <f t="shared" si="299"/>
        <v>0</v>
      </c>
      <c r="M62" s="259">
        <f t="shared" si="299"/>
        <v>-848</v>
      </c>
      <c r="N62" s="260">
        <f t="shared" si="299"/>
        <v>-693</v>
      </c>
      <c r="O62" s="261">
        <f t="shared" si="299"/>
        <v>-644</v>
      </c>
      <c r="P62" s="261">
        <f t="shared" si="299"/>
        <v>-721</v>
      </c>
      <c r="Q62" s="262">
        <f t="shared" si="299"/>
        <v>-812</v>
      </c>
      <c r="R62" s="259">
        <f t="shared" si="299"/>
        <v>-812</v>
      </c>
      <c r="S62" s="260">
        <f>S20-S36</f>
        <v>-606</v>
      </c>
      <c r="T62" s="261">
        <f>T20-T36</f>
        <v>-560</v>
      </c>
      <c r="U62" s="261">
        <f>U20-U36</f>
        <v>-688</v>
      </c>
      <c r="V62" s="262">
        <f>V20-V36</f>
        <v>-528</v>
      </c>
      <c r="W62" s="259">
        <f>W20-W36</f>
        <v>-528</v>
      </c>
      <c r="X62" s="260">
        <f t="shared" ref="X62:AO62" si="300">X20-X36</f>
        <v>-517</v>
      </c>
      <c r="Y62" s="261">
        <f t="shared" si="300"/>
        <v>-567</v>
      </c>
      <c r="Z62" s="261">
        <f t="shared" si="300"/>
        <v>-730</v>
      </c>
      <c r="AA62" s="262">
        <f t="shared" si="300"/>
        <v>-1258</v>
      </c>
      <c r="AB62" s="259">
        <f t="shared" si="300"/>
        <v>-1258</v>
      </c>
      <c r="AC62" s="260">
        <f t="shared" si="300"/>
        <v>-1190</v>
      </c>
      <c r="AD62" s="261">
        <f t="shared" si="300"/>
        <v>-818</v>
      </c>
      <c r="AE62" s="261">
        <f t="shared" si="300"/>
        <v>-806</v>
      </c>
      <c r="AF62" s="262">
        <f t="shared" si="300"/>
        <v>-790</v>
      </c>
      <c r="AG62" s="259">
        <f t="shared" si="300"/>
        <v>-790</v>
      </c>
      <c r="AH62" s="260">
        <f t="shared" si="300"/>
        <v>-636</v>
      </c>
      <c r="AI62" s="261">
        <f t="shared" si="300"/>
        <v>-683</v>
      </c>
      <c r="AJ62" s="261">
        <f t="shared" si="300"/>
        <v>-664</v>
      </c>
      <c r="AK62" s="262">
        <f t="shared" si="300"/>
        <v>-655</v>
      </c>
      <c r="AL62" s="259">
        <f t="shared" si="300"/>
        <v>-655</v>
      </c>
      <c r="AM62" s="260">
        <f t="shared" si="300"/>
        <v>-646</v>
      </c>
      <c r="AN62" s="261">
        <f t="shared" si="300"/>
        <v>-821</v>
      </c>
      <c r="AO62" s="261">
        <f t="shared" si="300"/>
        <v>-662</v>
      </c>
      <c r="AP62" s="262">
        <f t="shared" ref="AP62:AV62" si="301">AP20-AP36</f>
        <v>-629</v>
      </c>
      <c r="AQ62" s="259">
        <f t="shared" si="301"/>
        <v>-629</v>
      </c>
      <c r="AR62" s="260">
        <f t="shared" si="301"/>
        <v>-533</v>
      </c>
      <c r="AS62" s="261">
        <f t="shared" si="301"/>
        <v>-773</v>
      </c>
      <c r="AT62" s="261">
        <f t="shared" si="301"/>
        <v>-698</v>
      </c>
      <c r="AU62" s="262">
        <f>AU20-AU36</f>
        <v>-768</v>
      </c>
      <c r="AV62" s="260">
        <f t="shared" si="301"/>
        <v>-768</v>
      </c>
      <c r="AW62" s="260">
        <f>AW20-AW36</f>
        <v>-758</v>
      </c>
      <c r="AX62" s="261">
        <f t="shared" ref="AX62:BF62" si="302">AX20-AX36</f>
        <v>-356</v>
      </c>
      <c r="AY62" s="261">
        <f t="shared" si="302"/>
        <v>-551</v>
      </c>
      <c r="AZ62" s="261">
        <f t="shared" si="302"/>
        <v>-826</v>
      </c>
      <c r="BA62" s="259">
        <f t="shared" si="302"/>
        <v>-826</v>
      </c>
      <c r="BB62" s="260">
        <f t="shared" si="302"/>
        <v>-482</v>
      </c>
      <c r="BC62" s="261">
        <f t="shared" si="302"/>
        <v>-591</v>
      </c>
      <c r="BD62" s="261">
        <f t="shared" si="302"/>
        <v>-701</v>
      </c>
      <c r="BE62" s="261">
        <f t="shared" si="302"/>
        <v>-581</v>
      </c>
      <c r="BF62" s="259">
        <f t="shared" si="302"/>
        <v>-581</v>
      </c>
      <c r="BG62" s="260">
        <f t="shared" ref="BG62:BP62" si="303">BG20-BG36</f>
        <v>-660</v>
      </c>
      <c r="BH62" s="261">
        <f t="shared" si="303"/>
        <v>-490</v>
      </c>
      <c r="BI62" s="261">
        <v>4</v>
      </c>
      <c r="BJ62" s="261">
        <f t="shared" si="303"/>
        <v>-778</v>
      </c>
      <c r="BK62" s="259">
        <f t="shared" si="303"/>
        <v>-778</v>
      </c>
      <c r="BL62" s="260">
        <f t="shared" si="303"/>
        <v>-440</v>
      </c>
      <c r="BM62" s="261">
        <f t="shared" si="303"/>
        <v>-481</v>
      </c>
      <c r="BN62" s="261">
        <f t="shared" si="303"/>
        <v>-328</v>
      </c>
      <c r="BO62" s="261">
        <f t="shared" si="303"/>
        <v>-445</v>
      </c>
      <c r="BP62" s="259">
        <f t="shared" si="303"/>
        <v>-445</v>
      </c>
      <c r="BQ62" s="260">
        <f t="shared" ref="BQ62:CE62" si="304">BQ20-BQ36</f>
        <v>-192</v>
      </c>
      <c r="BR62" s="261">
        <f t="shared" si="304"/>
        <v>-749</v>
      </c>
      <c r="BS62" s="261">
        <f t="shared" si="304"/>
        <v>-126</v>
      </c>
      <c r="BT62" s="261">
        <f t="shared" si="304"/>
        <v>-135</v>
      </c>
      <c r="BU62" s="259">
        <f t="shared" si="304"/>
        <v>-135</v>
      </c>
      <c r="BV62" s="260">
        <f t="shared" si="304"/>
        <v>148</v>
      </c>
      <c r="BW62" s="261">
        <f t="shared" si="304"/>
        <v>130</v>
      </c>
      <c r="BX62" s="261">
        <f t="shared" si="304"/>
        <v>84</v>
      </c>
      <c r="BY62" s="261">
        <f t="shared" si="304"/>
        <v>-129</v>
      </c>
      <c r="BZ62" s="259">
        <f t="shared" si="304"/>
        <v>-129</v>
      </c>
      <c r="CA62" s="260">
        <f t="shared" si="304"/>
        <v>34</v>
      </c>
      <c r="CB62" s="261">
        <f t="shared" si="304"/>
        <v>-82</v>
      </c>
      <c r="CC62" s="261">
        <f>CC20-CC36</f>
        <v>22</v>
      </c>
      <c r="CD62" s="261">
        <f>CD20-CD36</f>
        <v>-279</v>
      </c>
      <c r="CE62" s="259">
        <f t="shared" si="304"/>
        <v>-279</v>
      </c>
      <c r="CF62" s="260">
        <f>CF20-CF36</f>
        <v>-191</v>
      </c>
      <c r="CG62" s="261">
        <f t="shared" ref="CG62:CO62" si="305">CG20-CG36</f>
        <v>-385</v>
      </c>
      <c r="CH62" s="261">
        <f t="shared" si="305"/>
        <v>-159</v>
      </c>
      <c r="CI62" s="261">
        <f t="shared" si="305"/>
        <v>-574</v>
      </c>
      <c r="CJ62" s="259">
        <f t="shared" si="305"/>
        <v>-574</v>
      </c>
      <c r="CK62" s="260">
        <f t="shared" si="305"/>
        <v>-373</v>
      </c>
      <c r="CL62" s="261">
        <f t="shared" si="305"/>
        <v>-373</v>
      </c>
      <c r="CM62" s="261">
        <f t="shared" si="305"/>
        <v>-373</v>
      </c>
      <c r="CN62" s="261">
        <f t="shared" si="305"/>
        <v>-373</v>
      </c>
      <c r="CO62" s="259">
        <f t="shared" si="305"/>
        <v>-373</v>
      </c>
      <c r="CP62" s="885">
        <f>CP20-CP36</f>
        <v>-1251</v>
      </c>
      <c r="CQ62" s="261">
        <f>CQ20-CQ36</f>
        <v>-1251</v>
      </c>
      <c r="CR62" s="261">
        <f>CR20-CR36</f>
        <v>-1251</v>
      </c>
      <c r="CS62" s="261">
        <f>CS20-CS36</f>
        <v>-1251</v>
      </c>
      <c r="CT62" s="259">
        <f>CT20-CT36</f>
        <v>-1251</v>
      </c>
      <c r="CU62" s="260">
        <f t="shared" ref="CU62:DD62" si="306">CU20-CU36</f>
        <v>-2794.3026993776234</v>
      </c>
      <c r="CV62" s="261">
        <f t="shared" si="306"/>
        <v>-430.67500000000007</v>
      </c>
      <c r="CW62" s="261">
        <f t="shared" si="306"/>
        <v>1656.4441995947313</v>
      </c>
      <c r="CX62" s="261">
        <f t="shared" si="306"/>
        <v>113</v>
      </c>
      <c r="CY62" s="259">
        <f t="shared" si="306"/>
        <v>113</v>
      </c>
      <c r="CZ62" s="260">
        <f t="shared" si="306"/>
        <v>-281</v>
      </c>
      <c r="DA62" s="261">
        <f t="shared" si="306"/>
        <v>307</v>
      </c>
      <c r="DB62" s="261">
        <f t="shared" si="306"/>
        <v>596</v>
      </c>
      <c r="DC62" s="261">
        <f t="shared" si="306"/>
        <v>995</v>
      </c>
      <c r="DD62" s="259">
        <f t="shared" si="306"/>
        <v>995</v>
      </c>
      <c r="DE62" s="263">
        <f t="shared" ref="DE62:DI62" si="307">DE20-DE36</f>
        <v>778.10090274529284</v>
      </c>
      <c r="DF62" s="264">
        <f t="shared" si="307"/>
        <v>589.4391957733551</v>
      </c>
      <c r="DG62" s="264">
        <f t="shared" si="307"/>
        <v>327.98933363346555</v>
      </c>
      <c r="DH62" s="264">
        <f t="shared" si="307"/>
        <v>68.322899852148794</v>
      </c>
      <c r="DI62" s="265">
        <f t="shared" si="307"/>
        <v>68.322899852148794</v>
      </c>
      <c r="DJ62" s="263">
        <f t="shared" ref="DJ62:DN62" si="308">DJ20-DJ36</f>
        <v>-38.24525907646057</v>
      </c>
      <c r="DK62" s="264">
        <f t="shared" si="308"/>
        <v>-125.96174361939529</v>
      </c>
      <c r="DL62" s="264">
        <f t="shared" si="308"/>
        <v>-180.2333220849921</v>
      </c>
      <c r="DM62" s="264">
        <f t="shared" si="308"/>
        <v>-173.94089447819988</v>
      </c>
      <c r="DN62" s="265">
        <f t="shared" si="308"/>
        <v>-173.94089447819988</v>
      </c>
      <c r="DO62" s="263">
        <f t="shared" ref="DO62:EC62" si="309">DO20-DO36</f>
        <v>-186.63335389719578</v>
      </c>
      <c r="DP62" s="264">
        <f t="shared" si="309"/>
        <v>-176.28147380594805</v>
      </c>
      <c r="DQ62" s="264">
        <f t="shared" si="309"/>
        <v>-139.48297068657598</v>
      </c>
      <c r="DR62" s="264">
        <f t="shared" si="309"/>
        <v>-26.632473484049115</v>
      </c>
      <c r="DS62" s="265">
        <f t="shared" si="309"/>
        <v>-26.632473484049115</v>
      </c>
      <c r="DT62" s="263">
        <f t="shared" si="309"/>
        <v>-20.146994699130119</v>
      </c>
      <c r="DU62" s="264">
        <f t="shared" si="309"/>
        <v>10.651421274950962</v>
      </c>
      <c r="DV62" s="264">
        <f t="shared" si="309"/>
        <v>70.41547963945618</v>
      </c>
      <c r="DW62" s="264">
        <f t="shared" si="309"/>
        <v>212.33623031678667</v>
      </c>
      <c r="DX62" s="265">
        <f t="shared" si="309"/>
        <v>212.33623031678667</v>
      </c>
      <c r="DY62" s="263">
        <f t="shared" si="309"/>
        <v>235.43345311633084</v>
      </c>
      <c r="DZ62" s="264">
        <f t="shared" si="309"/>
        <v>284.51961785089952</v>
      </c>
      <c r="EA62" s="264">
        <f t="shared" si="309"/>
        <v>367.02681983178763</v>
      </c>
      <c r="EB62" s="264">
        <f t="shared" si="309"/>
        <v>541.67686351322936</v>
      </c>
      <c r="EC62" s="265">
        <f t="shared" si="309"/>
        <v>541.67686351322936</v>
      </c>
      <c r="EF62"/>
      <c r="EG62"/>
      <c r="EH62"/>
      <c r="EI62"/>
      <c r="EJ62"/>
      <c r="EK62"/>
      <c r="EL62"/>
      <c r="EM62"/>
      <c r="EN62"/>
      <c r="EO62"/>
      <c r="EP62"/>
      <c r="EQ62"/>
      <c r="ER62"/>
      <c r="ES62"/>
      <c r="ET62"/>
      <c r="EU62"/>
      <c r="EV62"/>
      <c r="EW62"/>
      <c r="EX62"/>
      <c r="EY62"/>
      <c r="EZ62"/>
      <c r="FA62"/>
    </row>
    <row r="63" spans="1:157" s="172" customFormat="1" x14ac:dyDescent="0.2">
      <c r="A63" s="461" t="s">
        <v>588</v>
      </c>
      <c r="B63" s="15"/>
      <c r="C63" s="15"/>
      <c r="D63" s="15"/>
      <c r="E63" s="15"/>
      <c r="F63" s="15"/>
      <c r="G63" s="15"/>
      <c r="H63" s="259">
        <f t="shared" ref="H63:W63" si="310">H13+H14+H15+H17+H19-H36</f>
        <v>-1164</v>
      </c>
      <c r="I63" s="260">
        <f t="shared" si="310"/>
        <v>0</v>
      </c>
      <c r="J63" s="261">
        <f t="shared" si="310"/>
        <v>0</v>
      </c>
      <c r="K63" s="261">
        <f t="shared" si="310"/>
        <v>0</v>
      </c>
      <c r="L63" s="262">
        <f t="shared" si="310"/>
        <v>0</v>
      </c>
      <c r="M63" s="259">
        <f t="shared" si="310"/>
        <v>-969</v>
      </c>
      <c r="N63" s="260">
        <f t="shared" si="310"/>
        <v>-803</v>
      </c>
      <c r="O63" s="261">
        <f t="shared" si="310"/>
        <v>-810</v>
      </c>
      <c r="P63" s="261">
        <f t="shared" si="310"/>
        <v>-872</v>
      </c>
      <c r="Q63" s="262">
        <f t="shared" si="310"/>
        <v>-901</v>
      </c>
      <c r="R63" s="259">
        <f t="shared" si="310"/>
        <v>-901</v>
      </c>
      <c r="S63" s="260">
        <f t="shared" si="310"/>
        <v>-708</v>
      </c>
      <c r="T63" s="261">
        <f t="shared" si="310"/>
        <v>-717</v>
      </c>
      <c r="U63" s="261">
        <f t="shared" si="310"/>
        <v>-803</v>
      </c>
      <c r="V63" s="262">
        <f t="shared" si="310"/>
        <v>-661</v>
      </c>
      <c r="W63" s="259">
        <f t="shared" si="310"/>
        <v>-661</v>
      </c>
      <c r="X63" s="260">
        <f t="shared" ref="X63:AK63" si="311">X13+X14+X15+X17+X19-X36</f>
        <v>-675</v>
      </c>
      <c r="Y63" s="261">
        <f t="shared" si="311"/>
        <v>-750</v>
      </c>
      <c r="Z63" s="261">
        <f t="shared" si="311"/>
        <v>-914</v>
      </c>
      <c r="AA63" s="262">
        <f t="shared" si="311"/>
        <v>-1368</v>
      </c>
      <c r="AB63" s="259">
        <f t="shared" si="311"/>
        <v>-1368</v>
      </c>
      <c r="AC63" s="260">
        <f t="shared" si="311"/>
        <v>-1326</v>
      </c>
      <c r="AD63" s="261">
        <f t="shared" si="311"/>
        <v>-987</v>
      </c>
      <c r="AE63" s="261">
        <f t="shared" si="311"/>
        <v>-992</v>
      </c>
      <c r="AF63" s="262">
        <f t="shared" si="311"/>
        <v>-1031</v>
      </c>
      <c r="AG63" s="259">
        <f t="shared" si="311"/>
        <v>-1031</v>
      </c>
      <c r="AH63" s="260">
        <f t="shared" si="311"/>
        <v>-911</v>
      </c>
      <c r="AI63" s="261">
        <f t="shared" si="311"/>
        <v>-948</v>
      </c>
      <c r="AJ63" s="261">
        <f t="shared" si="311"/>
        <v>-1057</v>
      </c>
      <c r="AK63" s="262">
        <f t="shared" si="311"/>
        <v>-999</v>
      </c>
      <c r="AL63" s="259">
        <f t="shared" ref="AL63:AQ63" si="312">AL13+AL14+AL15+AL17+AL19-AL36</f>
        <v>-999</v>
      </c>
      <c r="AM63" s="260">
        <f t="shared" si="312"/>
        <v>-879</v>
      </c>
      <c r="AN63" s="261">
        <f t="shared" si="312"/>
        <v>-1175</v>
      </c>
      <c r="AO63" s="261">
        <f t="shared" si="312"/>
        <v>-1216</v>
      </c>
      <c r="AP63" s="262">
        <f t="shared" si="312"/>
        <v>-763</v>
      </c>
      <c r="AQ63" s="259">
        <f t="shared" si="312"/>
        <v>-763</v>
      </c>
      <c r="AR63" s="260">
        <f t="shared" ref="AR63:BA63" si="313">AR13+AR14+AR15+AR17+AR19-AR36</f>
        <v>-727</v>
      </c>
      <c r="AS63" s="261">
        <f t="shared" si="313"/>
        <v>-964</v>
      </c>
      <c r="AT63" s="261">
        <f t="shared" si="313"/>
        <v>-1037</v>
      </c>
      <c r="AU63" s="262">
        <f t="shared" si="313"/>
        <v>-1003</v>
      </c>
      <c r="AV63" s="260">
        <f t="shared" si="313"/>
        <v>-1003</v>
      </c>
      <c r="AW63" s="260">
        <f>AW13+AW14+AW15+AW17+AW19-AW36</f>
        <v>-994</v>
      </c>
      <c r="AX63" s="261">
        <f t="shared" si="313"/>
        <v>-720</v>
      </c>
      <c r="AY63" s="261">
        <f t="shared" si="313"/>
        <v>-921</v>
      </c>
      <c r="AZ63" s="261">
        <f t="shared" si="313"/>
        <v>-1219</v>
      </c>
      <c r="BA63" s="259">
        <f t="shared" si="313"/>
        <v>-1219</v>
      </c>
      <c r="BB63" s="260">
        <f>BB13+BB14+BB15+BB17+BB19-BB36</f>
        <v>-913</v>
      </c>
      <c r="BC63" s="261">
        <f>BC13+BC14+BC15+BC17+BC19-BC36</f>
        <v>-1103</v>
      </c>
      <c r="BD63" s="261">
        <f>BD13+BD14+BD15+BD17+BD19-BD36</f>
        <v>-1284</v>
      </c>
      <c r="BE63" s="261">
        <f>BE13+BE14+BE15+BE17+BE19-BE36</f>
        <v>-1442</v>
      </c>
      <c r="BF63" s="259">
        <f t="shared" ref="BF63:BP63" si="314">BF13+BF14+BF15+BF17+BF19+BF18-BF36</f>
        <v>-1370</v>
      </c>
      <c r="BG63" s="260">
        <f t="shared" si="314"/>
        <v>-1141</v>
      </c>
      <c r="BH63" s="261">
        <f t="shared" si="314"/>
        <v>-815</v>
      </c>
      <c r="BI63" s="261">
        <f t="shared" si="314"/>
        <v>-859</v>
      </c>
      <c r="BJ63" s="261">
        <f t="shared" si="314"/>
        <v>-942</v>
      </c>
      <c r="BK63" s="259">
        <f t="shared" si="314"/>
        <v>-942</v>
      </c>
      <c r="BL63" s="260">
        <f t="shared" si="314"/>
        <v>-729</v>
      </c>
      <c r="BM63" s="261">
        <f t="shared" si="314"/>
        <v>-765</v>
      </c>
      <c r="BN63" s="261">
        <f t="shared" si="314"/>
        <v>-752</v>
      </c>
      <c r="BO63" s="261">
        <f t="shared" si="314"/>
        <v>-798</v>
      </c>
      <c r="BP63" s="259">
        <f t="shared" si="314"/>
        <v>-798</v>
      </c>
      <c r="BQ63" s="260">
        <f t="shared" ref="BQ63:CO63" si="315">BQ13+BQ14+BQ15+BQ17+BQ19+BQ18-BQ36</f>
        <v>-636</v>
      </c>
      <c r="BR63" s="261">
        <f t="shared" si="315"/>
        <v>-1279</v>
      </c>
      <c r="BS63" s="261">
        <f t="shared" si="315"/>
        <v>-1400</v>
      </c>
      <c r="BT63" s="261">
        <f t="shared" si="315"/>
        <v>-1561</v>
      </c>
      <c r="BU63" s="259">
        <f t="shared" si="315"/>
        <v>-1561</v>
      </c>
      <c r="BV63" s="260">
        <f t="shared" si="315"/>
        <v>-1381</v>
      </c>
      <c r="BW63" s="261">
        <f t="shared" si="315"/>
        <v>-825</v>
      </c>
      <c r="BX63" s="261">
        <f t="shared" si="315"/>
        <v>-1152</v>
      </c>
      <c r="BY63" s="261">
        <f t="shared" si="315"/>
        <v>-1327</v>
      </c>
      <c r="BZ63" s="259">
        <f t="shared" si="315"/>
        <v>-1327</v>
      </c>
      <c r="CA63" s="260">
        <f t="shared" si="315"/>
        <v>-1065</v>
      </c>
      <c r="CB63" s="261">
        <f t="shared" si="315"/>
        <v>-1066</v>
      </c>
      <c r="CC63" s="261">
        <f>CC13+CC14+CC15+CC17+CC19+CC18-CC36</f>
        <v>-920</v>
      </c>
      <c r="CD63" s="261">
        <f>CD13+CD14+CD15+CD17+CD19+CD18-CD36</f>
        <v>-1055</v>
      </c>
      <c r="CE63" s="259">
        <f t="shared" si="315"/>
        <v>-1055</v>
      </c>
      <c r="CF63" s="260">
        <f>CF13+CF14+CF15+CF17+CF19+CF18-CF36</f>
        <v>-953</v>
      </c>
      <c r="CG63" s="261">
        <f t="shared" si="315"/>
        <v>-885</v>
      </c>
      <c r="CH63" s="261">
        <f t="shared" si="315"/>
        <v>-912</v>
      </c>
      <c r="CI63" s="261">
        <f t="shared" si="315"/>
        <v>-1147</v>
      </c>
      <c r="CJ63" s="259">
        <f t="shared" si="315"/>
        <v>-1147</v>
      </c>
      <c r="CK63" s="260">
        <f t="shared" si="315"/>
        <v>-713</v>
      </c>
      <c r="CL63" s="261">
        <f t="shared" si="315"/>
        <v>-713</v>
      </c>
      <c r="CM63" s="261">
        <f t="shared" si="315"/>
        <v>-713</v>
      </c>
      <c r="CN63" s="261">
        <f t="shared" si="315"/>
        <v>-713</v>
      </c>
      <c r="CO63" s="259">
        <f t="shared" si="315"/>
        <v>-713</v>
      </c>
      <c r="CP63" s="885">
        <f>CP13+CP14+CP15+CP17+CP19+CP18-CP36</f>
        <v>-1563</v>
      </c>
      <c r="CQ63" s="261">
        <f>CQ13+CQ14+CQ15+CQ17+CQ19+CQ18-CQ36</f>
        <v>-1563</v>
      </c>
      <c r="CR63" s="261">
        <f>CR13+CR14+CR15+CR17+CR19+CR18-CR36</f>
        <v>-1563</v>
      </c>
      <c r="CS63" s="261">
        <f>CS13+CS14+CS15+CS17+CS19+CS18-CS36</f>
        <v>-1563</v>
      </c>
      <c r="CT63" s="259">
        <f>CT13+CT14+CT15+CT17+CT19+CT18-CT36</f>
        <v>-1563</v>
      </c>
      <c r="CU63" s="260">
        <f t="shared" ref="CU63:DD63" si="316">CU13+CU14+CU15+CU17+CU19+CU18-CU36</f>
        <v>-3090</v>
      </c>
      <c r="CV63" s="261">
        <f t="shared" si="316"/>
        <v>-711</v>
      </c>
      <c r="CW63" s="261">
        <f t="shared" si="316"/>
        <v>-517</v>
      </c>
      <c r="CX63" s="261">
        <f t="shared" si="316"/>
        <v>-718</v>
      </c>
      <c r="CY63" s="259">
        <f t="shared" si="316"/>
        <v>-718</v>
      </c>
      <c r="CZ63" s="260">
        <f t="shared" si="316"/>
        <v>-892</v>
      </c>
      <c r="DA63" s="261">
        <f>DA13+DA14+DA15+DA17+DA19+DA18-DA36</f>
        <v>-749</v>
      </c>
      <c r="DB63" s="261">
        <f t="shared" si="316"/>
        <v>-455</v>
      </c>
      <c r="DC63" s="261">
        <f t="shared" si="316"/>
        <v>-604</v>
      </c>
      <c r="DD63" s="259">
        <f t="shared" si="316"/>
        <v>-604</v>
      </c>
      <c r="DE63" s="263">
        <f t="shared" ref="DE63:DI63" si="317">DE13+DE14+DE15+DE17+DE19+DE18-DE36</f>
        <v>-738.9372906312733</v>
      </c>
      <c r="DF63" s="264">
        <f t="shared" si="317"/>
        <v>-717.96918711482385</v>
      </c>
      <c r="DG63" s="264">
        <f t="shared" si="317"/>
        <v>-700.05557360815374</v>
      </c>
      <c r="DH63" s="264">
        <f t="shared" si="317"/>
        <v>-867.30578435065479</v>
      </c>
      <c r="DI63" s="265">
        <f t="shared" si="317"/>
        <v>-867.30578435065479</v>
      </c>
      <c r="DJ63" s="263">
        <f t="shared" ref="DJ63:DN63" si="318">DJ13+DJ14+DJ15+DJ17+DJ19+DJ18-DJ36</f>
        <v>-611.26484573635639</v>
      </c>
      <c r="DK63" s="264">
        <f t="shared" si="318"/>
        <v>-604.38005744993256</v>
      </c>
      <c r="DL63" s="264">
        <f t="shared" si="318"/>
        <v>-592.22558844259834</v>
      </c>
      <c r="DM63" s="264">
        <f t="shared" si="318"/>
        <v>-909.0528342211237</v>
      </c>
      <c r="DN63" s="265">
        <f t="shared" si="318"/>
        <v>-909.0528342211237</v>
      </c>
      <c r="DO63" s="263">
        <f t="shared" ref="DO63:EC63" si="319">DO13+DO14+DO15+DO17+DO19+DO18-DO36</f>
        <v>-591.01906014311385</v>
      </c>
      <c r="DP63" s="264">
        <f t="shared" si="319"/>
        <v>-608.78933271266601</v>
      </c>
      <c r="DQ63" s="264">
        <f t="shared" si="319"/>
        <v>-620.98195460467412</v>
      </c>
      <c r="DR63" s="264">
        <f t="shared" si="319"/>
        <v>-1010.0030469593521</v>
      </c>
      <c r="DS63" s="265">
        <f t="shared" si="319"/>
        <v>-1010.0030469593521</v>
      </c>
      <c r="DT63" s="263">
        <f t="shared" si="319"/>
        <v>-666.2118110690385</v>
      </c>
      <c r="DU63" s="264">
        <f t="shared" si="319"/>
        <v>-688.90945533278477</v>
      </c>
      <c r="DV63" s="264">
        <f t="shared" si="319"/>
        <v>-702.15252671418375</v>
      </c>
      <c r="DW63" s="264">
        <f t="shared" si="319"/>
        <v>-1153.9591219076956</v>
      </c>
      <c r="DX63" s="265">
        <f t="shared" si="319"/>
        <v>-1153.9591219076956</v>
      </c>
      <c r="DY63" s="263">
        <f t="shared" si="319"/>
        <v>-757.69010188900381</v>
      </c>
      <c r="DZ63" s="264">
        <f t="shared" si="319"/>
        <v>-790.06439882169616</v>
      </c>
      <c r="EA63" s="264">
        <f t="shared" si="319"/>
        <v>-808.50209870838921</v>
      </c>
      <c r="EB63" s="264">
        <f t="shared" si="319"/>
        <v>-1348.0448237132118</v>
      </c>
      <c r="EC63" s="265">
        <f t="shared" si="319"/>
        <v>-1348.0448237132118</v>
      </c>
      <c r="EF63"/>
      <c r="EG63"/>
      <c r="EH63"/>
      <c r="EI63"/>
      <c r="EJ63"/>
      <c r="EK63"/>
      <c r="EL63"/>
      <c r="EM63"/>
      <c r="EN63"/>
      <c r="EO63"/>
      <c r="EP63"/>
      <c r="EQ63"/>
      <c r="ER63"/>
      <c r="ES63"/>
      <c r="ET63"/>
      <c r="EU63"/>
      <c r="EV63"/>
      <c r="EW63"/>
      <c r="EX63"/>
      <c r="EY63"/>
      <c r="EZ63"/>
      <c r="FA63"/>
    </row>
    <row r="64" spans="1:157" s="172" customFormat="1" x14ac:dyDescent="0.2">
      <c r="A64" s="462"/>
      <c r="B64" s="243"/>
      <c r="C64" s="243"/>
      <c r="D64" s="243"/>
      <c r="E64" s="243"/>
      <c r="F64" s="243"/>
      <c r="G64" s="243"/>
      <c r="H64" s="258"/>
      <c r="I64" s="243"/>
      <c r="J64" s="243"/>
      <c r="K64" s="243"/>
      <c r="L64" s="243"/>
      <c r="M64" s="258"/>
      <c r="N64" s="243"/>
      <c r="O64" s="243"/>
      <c r="P64" s="243"/>
      <c r="Q64" s="243"/>
      <c r="R64" s="258"/>
      <c r="S64" s="243"/>
      <c r="T64" s="243"/>
      <c r="U64" s="243"/>
      <c r="V64" s="243"/>
      <c r="W64" s="258"/>
      <c r="X64" s="243"/>
      <c r="Y64" s="243"/>
      <c r="Z64" s="243"/>
      <c r="AA64" s="243"/>
      <c r="AB64" s="258"/>
      <c r="AC64" s="243"/>
      <c r="AD64" s="243"/>
      <c r="AE64" s="243"/>
      <c r="AF64" s="243"/>
      <c r="AG64" s="258"/>
      <c r="AH64" s="243"/>
      <c r="AI64" s="243"/>
      <c r="AJ64" s="243"/>
      <c r="AK64" s="243"/>
      <c r="AL64" s="258"/>
      <c r="AM64" s="243"/>
      <c r="AN64" s="243"/>
      <c r="AO64" s="243"/>
      <c r="AP64" s="243"/>
      <c r="AQ64" s="258"/>
      <c r="AR64" s="243"/>
      <c r="AS64" s="266"/>
      <c r="AT64" s="243"/>
      <c r="AU64" s="266"/>
      <c r="AV64" s="242"/>
      <c r="AW64" s="242"/>
      <c r="AX64" s="243"/>
      <c r="AY64" s="243"/>
      <c r="AZ64" s="243"/>
      <c r="BA64" s="258"/>
      <c r="BB64" s="242"/>
      <c r="BC64" s="243"/>
      <c r="BD64" s="243"/>
      <c r="BE64" s="243"/>
      <c r="BF64" s="625">
        <f>BF63-BA63</f>
        <v>-151</v>
      </c>
      <c r="BG64" s="242"/>
      <c r="BH64" s="243"/>
      <c r="BI64" s="243"/>
      <c r="BJ64" s="243"/>
      <c r="BK64" s="625">
        <f>BK63-BF63</f>
        <v>428</v>
      </c>
      <c r="BL64" s="242"/>
      <c r="BM64" s="243"/>
      <c r="BN64" s="243"/>
      <c r="BO64" s="243"/>
      <c r="BP64" s="625">
        <f>BP63-BK63</f>
        <v>144</v>
      </c>
      <c r="BQ64" s="242"/>
      <c r="BR64" s="243"/>
      <c r="BS64" s="243"/>
      <c r="BT64" s="243"/>
      <c r="BU64" s="625">
        <f>BU63-BP63</f>
        <v>-763</v>
      </c>
      <c r="BV64" s="242"/>
      <c r="BW64" s="243"/>
      <c r="BX64" s="243"/>
      <c r="BY64" s="243"/>
      <c r="BZ64" s="625">
        <f>BZ63-BU63</f>
        <v>234</v>
      </c>
      <c r="CA64" s="242"/>
      <c r="CB64" s="243"/>
      <c r="CC64" s="243"/>
      <c r="CD64" s="243"/>
      <c r="CE64" s="625">
        <f>CE63-BZ63</f>
        <v>272</v>
      </c>
      <c r="CF64" s="242"/>
      <c r="CG64" s="243"/>
      <c r="CH64" s="243"/>
      <c r="CI64" s="243"/>
      <c r="CJ64" s="625">
        <f>CJ63-CE63</f>
        <v>-92</v>
      </c>
      <c r="CK64" s="242"/>
      <c r="CL64" s="243"/>
      <c r="CM64" s="243"/>
      <c r="CN64" s="243"/>
      <c r="CO64" s="625">
        <f>CO63-CJ63</f>
        <v>434</v>
      </c>
      <c r="CP64" s="886"/>
      <c r="CQ64" s="243"/>
      <c r="CR64" s="243"/>
      <c r="CS64" s="243"/>
      <c r="CT64" s="625">
        <f>CT63-CO63</f>
        <v>-850</v>
      </c>
      <c r="CU64" s="242"/>
      <c r="CV64" s="243"/>
      <c r="CW64" s="243"/>
      <c r="CX64" s="243"/>
      <c r="CY64" s="625">
        <f>CY63-CT63</f>
        <v>845</v>
      </c>
      <c r="CZ64" s="242"/>
      <c r="DA64" s="243"/>
      <c r="DB64" s="243"/>
      <c r="DC64" s="243"/>
      <c r="DD64" s="625">
        <f>DD63-CY63</f>
        <v>114</v>
      </c>
      <c r="DE64" s="242"/>
      <c r="DF64" s="243"/>
      <c r="DG64" s="243"/>
      <c r="DH64" s="243"/>
      <c r="DI64" s="625">
        <f>DI63-DD63</f>
        <v>-263.30578435065479</v>
      </c>
      <c r="DJ64" s="242"/>
      <c r="DK64" s="243"/>
      <c r="DL64" s="243"/>
      <c r="DM64" s="243"/>
      <c r="DN64" s="625">
        <f>DN63-DI63</f>
        <v>-41.747049870468913</v>
      </c>
      <c r="DO64" s="242"/>
      <c r="DP64" s="243"/>
      <c r="DQ64" s="243"/>
      <c r="DR64" s="243"/>
      <c r="DS64" s="625">
        <f>DS63-DN63</f>
        <v>-100.9502127382284</v>
      </c>
      <c r="DT64" s="242"/>
      <c r="DU64" s="243"/>
      <c r="DV64" s="243"/>
      <c r="DW64" s="243"/>
      <c r="DX64" s="625">
        <f>DX63-DS63</f>
        <v>-143.95607494834348</v>
      </c>
      <c r="DY64" s="242"/>
      <c r="DZ64" s="243"/>
      <c r="EA64" s="243"/>
      <c r="EB64" s="243"/>
      <c r="EC64" s="625">
        <f>EC63-DX63</f>
        <v>-194.08570180551624</v>
      </c>
      <c r="EF64"/>
      <c r="EG64"/>
      <c r="EH64"/>
      <c r="EI64"/>
      <c r="EJ64"/>
      <c r="EK64"/>
      <c r="EL64"/>
      <c r="EM64"/>
      <c r="EN64"/>
      <c r="EO64"/>
      <c r="EP64"/>
      <c r="EQ64"/>
      <c r="ER64"/>
      <c r="ES64"/>
      <c r="ET64"/>
      <c r="EU64"/>
      <c r="EV64"/>
      <c r="EW64"/>
      <c r="EX64"/>
      <c r="EY64"/>
      <c r="EZ64"/>
      <c r="FA64"/>
    </row>
    <row r="65" spans="1:157" s="172" customFormat="1" x14ac:dyDescent="0.2">
      <c r="A65" s="463"/>
      <c r="V65" s="173"/>
      <c r="AR65" s="175"/>
      <c r="AS65" s="175"/>
      <c r="AT65" s="175"/>
      <c r="AU65" s="175"/>
      <c r="CP65" s="871"/>
      <c r="EF65"/>
      <c r="EG65"/>
      <c r="EH65"/>
      <c r="EI65"/>
      <c r="EJ65"/>
      <c r="EK65"/>
      <c r="EL65"/>
      <c r="EM65"/>
      <c r="EN65"/>
      <c r="EO65"/>
      <c r="EP65"/>
      <c r="EQ65"/>
      <c r="ER65"/>
      <c r="ES65"/>
      <c r="ET65"/>
      <c r="EU65"/>
      <c r="EV65"/>
      <c r="EW65"/>
      <c r="EX65"/>
      <c r="EY65"/>
      <c r="EZ65"/>
      <c r="FA65"/>
    </row>
    <row r="66" spans="1:157" s="172" customFormat="1" x14ac:dyDescent="0.2">
      <c r="A66" s="459" t="s">
        <v>127</v>
      </c>
      <c r="B66" s="400"/>
      <c r="C66" s="400"/>
      <c r="D66" s="400"/>
      <c r="E66" s="400"/>
      <c r="F66" s="400"/>
      <c r="G66" s="400"/>
      <c r="H66" s="400"/>
      <c r="I66" s="400"/>
      <c r="J66" s="400"/>
      <c r="K66" s="400"/>
      <c r="L66" s="400"/>
      <c r="M66" s="400"/>
      <c r="N66" s="400"/>
      <c r="O66" s="400"/>
      <c r="P66" s="400"/>
      <c r="Q66" s="400"/>
      <c r="R66" s="400"/>
      <c r="S66" s="400"/>
      <c r="T66" s="400"/>
      <c r="U66" s="400"/>
      <c r="V66" s="401"/>
      <c r="W66" s="400"/>
      <c r="X66" s="400"/>
      <c r="Y66" s="400"/>
      <c r="Z66" s="400"/>
      <c r="AA66" s="400"/>
      <c r="AB66" s="400"/>
      <c r="AC66" s="400"/>
      <c r="AD66" s="400"/>
      <c r="AE66" s="400"/>
      <c r="AF66" s="400"/>
      <c r="AG66" s="400"/>
      <c r="AH66" s="400"/>
      <c r="AI66" s="400"/>
      <c r="AJ66" s="400"/>
      <c r="AK66" s="400"/>
      <c r="AL66" s="400"/>
      <c r="AM66" s="400"/>
      <c r="AN66" s="400"/>
      <c r="AO66" s="400"/>
      <c r="AP66" s="400"/>
      <c r="AQ66" s="400"/>
      <c r="AR66" s="402"/>
      <c r="AS66" s="402"/>
      <c r="AT66" s="402"/>
      <c r="AU66" s="402"/>
      <c r="AV66" s="400"/>
      <c r="AW66" s="400"/>
      <c r="AX66" s="400"/>
      <c r="AY66" s="400"/>
      <c r="AZ66" s="400"/>
      <c r="BA66" s="400"/>
      <c r="BB66" s="400"/>
      <c r="BC66" s="400"/>
      <c r="BD66" s="400"/>
      <c r="BE66" s="400"/>
      <c r="BF66" s="400"/>
      <c r="BG66" s="400"/>
      <c r="BH66" s="400"/>
      <c r="BI66" s="400"/>
      <c r="BJ66" s="400"/>
      <c r="BK66" s="400"/>
      <c r="BL66" s="400"/>
      <c r="BM66" s="400"/>
      <c r="BN66" s="400"/>
      <c r="BO66" s="400"/>
      <c r="BP66" s="400"/>
      <c r="BQ66" s="400"/>
      <c r="BR66" s="400"/>
      <c r="BS66" s="400"/>
      <c r="BT66" s="400"/>
      <c r="BU66" s="403"/>
      <c r="BV66" s="400"/>
      <c r="BW66" s="400"/>
      <c r="BX66" s="400"/>
      <c r="BY66" s="400"/>
      <c r="BZ66" s="403"/>
      <c r="CA66" s="400"/>
      <c r="CB66" s="400"/>
      <c r="CC66" s="400"/>
      <c r="CD66" s="400"/>
      <c r="CE66" s="403"/>
      <c r="CF66" s="400"/>
      <c r="CG66" s="400"/>
      <c r="CH66" s="400"/>
      <c r="CI66" s="400"/>
      <c r="CJ66" s="403"/>
      <c r="CK66" s="400"/>
      <c r="CL66" s="400"/>
      <c r="CM66" s="400"/>
      <c r="CN66" s="400"/>
      <c r="CO66" s="403"/>
      <c r="CP66" s="887"/>
      <c r="CQ66" s="400"/>
      <c r="CR66" s="400"/>
      <c r="CS66" s="400"/>
      <c r="CT66" s="403"/>
      <c r="CU66" s="400"/>
      <c r="CV66" s="400"/>
      <c r="CW66" s="400"/>
      <c r="CX66" s="400"/>
      <c r="CY66" s="403"/>
      <c r="CZ66" s="400"/>
      <c r="DA66" s="400"/>
      <c r="DB66" s="400"/>
      <c r="DC66" s="400"/>
      <c r="DD66" s="403"/>
      <c r="DE66" s="400"/>
      <c r="DF66" s="400"/>
      <c r="DG66" s="400"/>
      <c r="DH66" s="400"/>
      <c r="DI66" s="403"/>
      <c r="DJ66" s="400"/>
      <c r="DK66" s="400"/>
      <c r="DL66" s="400"/>
      <c r="DM66" s="400"/>
      <c r="DN66" s="403"/>
      <c r="DO66" s="400"/>
      <c r="DP66" s="400"/>
      <c r="DQ66" s="400"/>
      <c r="DR66" s="400"/>
      <c r="DS66" s="403"/>
      <c r="DT66" s="400"/>
      <c r="DU66" s="400"/>
      <c r="DV66" s="400"/>
      <c r="DW66" s="400"/>
      <c r="DX66" s="403"/>
      <c r="DY66" s="400"/>
      <c r="DZ66" s="400"/>
      <c r="EA66" s="400"/>
      <c r="EB66" s="400"/>
      <c r="EC66" s="403"/>
      <c r="EF66"/>
      <c r="EG66"/>
      <c r="EH66"/>
      <c r="EI66"/>
      <c r="EJ66"/>
      <c r="EK66"/>
      <c r="EL66"/>
      <c r="EM66"/>
      <c r="EN66"/>
      <c r="EO66"/>
      <c r="EP66"/>
      <c r="EQ66"/>
      <c r="ER66"/>
      <c r="ES66"/>
      <c r="ET66"/>
      <c r="EU66"/>
      <c r="EV66"/>
      <c r="EW66"/>
      <c r="EX66"/>
      <c r="EY66"/>
      <c r="EZ66"/>
      <c r="FA66"/>
    </row>
    <row r="67" spans="1:157" s="172" customFormat="1" x14ac:dyDescent="0.2">
      <c r="A67" s="461" t="s">
        <v>128</v>
      </c>
      <c r="H67" s="722"/>
      <c r="M67" s="722"/>
      <c r="R67" s="722"/>
      <c r="V67" s="173"/>
      <c r="W67" s="722"/>
      <c r="AB67" s="722"/>
      <c r="AG67" s="244">
        <f t="shared" ref="AG67:BC67" si="320">(AG38)/(AG38+AG51)</f>
        <v>0.79467680608365021</v>
      </c>
      <c r="AH67" s="245">
        <f t="shared" si="320"/>
        <v>0.77604673807205449</v>
      </c>
      <c r="AI67" s="245">
        <f t="shared" si="320"/>
        <v>0.73243068987749838</v>
      </c>
      <c r="AJ67" s="245">
        <f t="shared" si="320"/>
        <v>0.67103968514266976</v>
      </c>
      <c r="AK67" s="245">
        <f t="shared" si="320"/>
        <v>0.64735516372795965</v>
      </c>
      <c r="AL67" s="244">
        <f t="shared" si="320"/>
        <v>0.64735516372795965</v>
      </c>
      <c r="AM67" s="245">
        <f t="shared" si="320"/>
        <v>0.63277880468268644</v>
      </c>
      <c r="AN67" s="245">
        <f t="shared" si="320"/>
        <v>0.5673011556764106</v>
      </c>
      <c r="AO67" s="245">
        <f t="shared" si="320"/>
        <v>0.52878929349517589</v>
      </c>
      <c r="AP67" s="245">
        <f t="shared" si="320"/>
        <v>0.52044497895369812</v>
      </c>
      <c r="AQ67" s="244">
        <f t="shared" si="320"/>
        <v>0.52044497895369812</v>
      </c>
      <c r="AR67" s="245">
        <f t="shared" si="320"/>
        <v>0.5</v>
      </c>
      <c r="AS67" s="245">
        <f t="shared" si="320"/>
        <v>0.50241235123834027</v>
      </c>
      <c r="AT67" s="245">
        <f t="shared" si="320"/>
        <v>0.49843260188087773</v>
      </c>
      <c r="AU67" s="245">
        <f t="shared" si="320"/>
        <v>0.53227888960619751</v>
      </c>
      <c r="AV67" s="246">
        <f t="shared" si="320"/>
        <v>0.53227888960619751</v>
      </c>
      <c r="AW67" s="246">
        <f t="shared" si="320"/>
        <v>0.5625</v>
      </c>
      <c r="AX67" s="245">
        <f t="shared" si="320"/>
        <v>0.59061771561771559</v>
      </c>
      <c r="AY67" s="245">
        <f t="shared" si="320"/>
        <v>0.59263803680981597</v>
      </c>
      <c r="AZ67" s="245">
        <f t="shared" si="320"/>
        <v>0.58730614589316488</v>
      </c>
      <c r="BA67" s="244">
        <f t="shared" si="320"/>
        <v>0.58730614589316488</v>
      </c>
      <c r="BB67" s="246">
        <f t="shared" si="320"/>
        <v>0.60212707935642218</v>
      </c>
      <c r="BC67" s="245">
        <f t="shared" si="320"/>
        <v>0.58899858956276441</v>
      </c>
      <c r="BD67" s="245">
        <f>(BD38)/(BD38+BD51)</f>
        <v>0.59898477157360408</v>
      </c>
      <c r="BE67" s="245">
        <f t="shared" ref="BE67:BU67" si="321">(BE38)/(BE38+BE51)</f>
        <v>0.71966527196652719</v>
      </c>
      <c r="BF67" s="244">
        <f t="shared" si="321"/>
        <v>0.71966527196652719</v>
      </c>
      <c r="BG67" s="246">
        <f t="shared" si="321"/>
        <v>0.89896027725939753</v>
      </c>
      <c r="BH67" s="245">
        <f t="shared" si="321"/>
        <v>0.85288169868554098</v>
      </c>
      <c r="BI67" s="245">
        <f t="shared" si="321"/>
        <v>0.90762241292276624</v>
      </c>
      <c r="BJ67" s="245">
        <f t="shared" si="321"/>
        <v>1.0324449594438008</v>
      </c>
      <c r="BK67" s="244">
        <f t="shared" si="321"/>
        <v>1.0324449594438008</v>
      </c>
      <c r="BL67" s="246">
        <f t="shared" si="321"/>
        <v>0.95227765726681124</v>
      </c>
      <c r="BM67" s="245">
        <f t="shared" si="321"/>
        <v>0.86324576479253623</v>
      </c>
      <c r="BN67" s="245">
        <f t="shared" si="321"/>
        <v>0.76712973863903933</v>
      </c>
      <c r="BO67" s="245">
        <f t="shared" si="321"/>
        <v>0.7421893080305485</v>
      </c>
      <c r="BP67" s="244">
        <f t="shared" si="321"/>
        <v>0.7421893080305485</v>
      </c>
      <c r="BQ67" s="246">
        <f t="shared" si="321"/>
        <v>0.74238929889298888</v>
      </c>
      <c r="BR67" s="245">
        <f t="shared" si="321"/>
        <v>0.6725427350427351</v>
      </c>
      <c r="BS67" s="245">
        <f t="shared" si="321"/>
        <v>0.63874230430958667</v>
      </c>
      <c r="BT67" s="245">
        <f t="shared" si="321"/>
        <v>0.6359075043630017</v>
      </c>
      <c r="BU67" s="244">
        <f t="shared" si="321"/>
        <v>0.6359075043630017</v>
      </c>
      <c r="BV67" s="246">
        <f t="shared" ref="BV67:CE67" si="322">(BV38)/(BV38+BV51)</f>
        <v>0.61084362570651041</v>
      </c>
      <c r="BW67" s="245">
        <f t="shared" si="322"/>
        <v>0.63389567578049255</v>
      </c>
      <c r="BX67" s="245">
        <f t="shared" si="322"/>
        <v>0.58530758510850089</v>
      </c>
      <c r="BY67" s="245">
        <f t="shared" si="322"/>
        <v>0.6100142479136984</v>
      </c>
      <c r="BZ67" s="244">
        <f t="shared" si="322"/>
        <v>0.6100142479136984</v>
      </c>
      <c r="CA67" s="246">
        <f t="shared" si="322"/>
        <v>0.56877956480605485</v>
      </c>
      <c r="CB67" s="245">
        <f t="shared" si="322"/>
        <v>0.56863489652553634</v>
      </c>
      <c r="CC67" s="245">
        <f>(CC38)/(CC38+CC51)</f>
        <v>0.56214900786222388</v>
      </c>
      <c r="CD67" s="245">
        <f>(CD38)/(CD38+CD51)</f>
        <v>0.559115179252479</v>
      </c>
      <c r="CE67" s="244">
        <f t="shared" si="322"/>
        <v>0.559115179252479</v>
      </c>
      <c r="CF67" s="246">
        <f>(CF38)/(CF38+CF51)</f>
        <v>0.54746302190601015</v>
      </c>
      <c r="CG67" s="245">
        <f t="shared" ref="CG67:CO67" si="323">(CG38)/(CG38+CG51)</f>
        <v>0.55454199923983272</v>
      </c>
      <c r="CH67" s="245">
        <f t="shared" si="323"/>
        <v>0.55913360168679316</v>
      </c>
      <c r="CI67" s="245">
        <f t="shared" si="323"/>
        <v>0.56266872348630925</v>
      </c>
      <c r="CJ67" s="244">
        <f t="shared" si="323"/>
        <v>0.56266872348630925</v>
      </c>
      <c r="CK67" s="246">
        <f t="shared" si="323"/>
        <v>1.1246345029239766</v>
      </c>
      <c r="CL67" s="245">
        <f t="shared" si="323"/>
        <v>1.1246345029239766</v>
      </c>
      <c r="CM67" s="245">
        <f t="shared" si="323"/>
        <v>1.1246345029239766</v>
      </c>
      <c r="CN67" s="245">
        <f t="shared" si="323"/>
        <v>1.1246345029239766</v>
      </c>
      <c r="CO67" s="244">
        <f t="shared" si="323"/>
        <v>1.1246345029239766</v>
      </c>
      <c r="CP67" s="880">
        <f>(CP38)/(CP38+CP51)</f>
        <v>1.4941291585127201</v>
      </c>
      <c r="CQ67" s="245">
        <f>(CQ38)/(CQ38+CQ51)</f>
        <v>1.4941291585127201</v>
      </c>
      <c r="CR67" s="245">
        <f>(CR38)/(CR38+CR51)</f>
        <v>1.4941291585127201</v>
      </c>
      <c r="CS67" s="245">
        <f>(CS38)/(CS38+CS51)</f>
        <v>1.4941291585127201</v>
      </c>
      <c r="CT67" s="244">
        <f>(CT38)/(CT38+CT51)</f>
        <v>1.4941291585127201</v>
      </c>
      <c r="CU67" s="246">
        <f t="shared" ref="CU67:DD67" si="324">(CU38)/(CU38+CU51)</f>
        <v>4.2491958693076022</v>
      </c>
      <c r="CV67" s="245">
        <f t="shared" si="324"/>
        <v>1.8106841930738951</v>
      </c>
      <c r="CW67" s="245">
        <f t="shared" si="324"/>
        <v>1.7658928419275131</v>
      </c>
      <c r="CX67" s="245">
        <f t="shared" si="324"/>
        <v>2.6610866372980913</v>
      </c>
      <c r="CY67" s="244">
        <f t="shared" si="324"/>
        <v>2.6610866372980913</v>
      </c>
      <c r="CZ67" s="246">
        <f t="shared" si="324"/>
        <v>2.9897084048027445</v>
      </c>
      <c r="DA67" s="245">
        <f t="shared" si="324"/>
        <v>2.8096085409252667</v>
      </c>
      <c r="DB67" s="245">
        <f t="shared" si="324"/>
        <v>2.8228111971411556</v>
      </c>
      <c r="DC67" s="245">
        <f t="shared" si="324"/>
        <v>3.0465266558966073</v>
      </c>
      <c r="DD67" s="244">
        <f t="shared" si="324"/>
        <v>3.0465266558966073</v>
      </c>
      <c r="DE67" s="247">
        <f t="shared" ref="DE67:DI67" si="325">(DE38)/(DE38+DE51)</f>
        <v>3.5045751417316473</v>
      </c>
      <c r="DF67" s="248">
        <f t="shared" si="325"/>
        <v>4.0906485935782815</v>
      </c>
      <c r="DG67" s="248">
        <f t="shared" si="325"/>
        <v>4.8397812659801547</v>
      </c>
      <c r="DH67" s="248">
        <f t="shared" si="325"/>
        <v>5.7448470107581562</v>
      </c>
      <c r="DI67" s="249">
        <f t="shared" si="325"/>
        <v>5.7448470107581562</v>
      </c>
      <c r="DJ67" s="247">
        <f t="shared" ref="DJ67:DN67" si="326">(DJ38)/(DJ38+DJ51)</f>
        <v>6.576732136650973</v>
      </c>
      <c r="DK67" s="248">
        <f t="shared" si="326"/>
        <v>7.5802909879131173</v>
      </c>
      <c r="DL67" s="248">
        <f t="shared" si="326"/>
        <v>8.684444654181112</v>
      </c>
      <c r="DM67" s="248">
        <f t="shared" si="326"/>
        <v>9.5733678550299608</v>
      </c>
      <c r="DN67" s="249">
        <f t="shared" si="326"/>
        <v>9.5733678550299608</v>
      </c>
      <c r="DO67" s="247">
        <f t="shared" ref="DO67:EC67" si="327">(DO38)/(DO38+DO51)</f>
        <v>9.857683117501594</v>
      </c>
      <c r="DP67" s="248">
        <f t="shared" si="327"/>
        <v>9.93218743559415</v>
      </c>
      <c r="DQ67" s="248">
        <f t="shared" si="327"/>
        <v>9.6280401152648878</v>
      </c>
      <c r="DR67" s="248">
        <f t="shared" si="327"/>
        <v>8.7690730719618806</v>
      </c>
      <c r="DS67" s="249">
        <f t="shared" si="327"/>
        <v>8.7690730719618806</v>
      </c>
      <c r="DT67" s="247">
        <f t="shared" si="327"/>
        <v>8.8628813426997866</v>
      </c>
      <c r="DU67" s="248">
        <f t="shared" si="327"/>
        <v>8.7735717131555528</v>
      </c>
      <c r="DV67" s="248">
        <f t="shared" si="327"/>
        <v>8.3697834659427279</v>
      </c>
      <c r="DW67" s="248">
        <f t="shared" si="327"/>
        <v>7.5378797258796073</v>
      </c>
      <c r="DX67" s="249">
        <f t="shared" si="327"/>
        <v>7.5378797258796073</v>
      </c>
      <c r="DY67" s="247">
        <f t="shared" si="327"/>
        <v>7.5086202309472698</v>
      </c>
      <c r="DZ67" s="248">
        <f t="shared" si="327"/>
        <v>7.3410401955720586</v>
      </c>
      <c r="EA67" s="248">
        <f t="shared" si="327"/>
        <v>6.9387900839399981</v>
      </c>
      <c r="EB67" s="248">
        <f t="shared" si="327"/>
        <v>6.23173536711358</v>
      </c>
      <c r="EC67" s="249">
        <f t="shared" si="327"/>
        <v>6.23173536711358</v>
      </c>
      <c r="EF67"/>
      <c r="EG67"/>
      <c r="EH67"/>
      <c r="EI67"/>
      <c r="EJ67"/>
      <c r="EK67"/>
      <c r="EL67"/>
      <c r="EM67"/>
      <c r="EN67"/>
      <c r="EO67"/>
      <c r="EP67"/>
      <c r="EQ67"/>
      <c r="ER67"/>
      <c r="ES67"/>
      <c r="ET67"/>
      <c r="EU67"/>
      <c r="EV67"/>
      <c r="EW67"/>
      <c r="EX67"/>
      <c r="EY67"/>
      <c r="EZ67"/>
      <c r="FA67"/>
    </row>
    <row r="68" spans="1:157" s="172" customFormat="1" x14ac:dyDescent="0.2">
      <c r="A68" s="446" t="s">
        <v>382</v>
      </c>
      <c r="B68" s="19"/>
      <c r="C68" s="19"/>
      <c r="D68" s="19"/>
      <c r="E68" s="19"/>
      <c r="F68" s="19"/>
      <c r="G68" s="19"/>
      <c r="H68" s="181"/>
      <c r="M68" s="250"/>
      <c r="N68" s="245"/>
      <c r="O68" s="245"/>
      <c r="P68" s="245"/>
      <c r="Q68" s="245"/>
      <c r="R68" s="250"/>
      <c r="S68" s="251"/>
      <c r="T68" s="251"/>
      <c r="U68" s="251"/>
      <c r="V68" s="252"/>
      <c r="W68" s="253"/>
      <c r="X68" s="251"/>
      <c r="Y68" s="251"/>
      <c r="Z68" s="251"/>
      <c r="AA68" s="251"/>
      <c r="AB68" s="250"/>
      <c r="AC68" s="251"/>
      <c r="AD68" s="251"/>
      <c r="AE68" s="251"/>
      <c r="AF68" s="251"/>
      <c r="AG68" s="404">
        <f>AG38/'IS '!AE221</f>
        <v>1.7080237741456166</v>
      </c>
      <c r="AH68" s="405">
        <f>AH38/'IS '!AF221</f>
        <v>1.7478070175438596</v>
      </c>
      <c r="AI68" s="405">
        <f>AI38/'IS '!AG221</f>
        <v>1.5636613902271164</v>
      </c>
      <c r="AJ68" s="405">
        <f>AJ38/'IS '!AH221</f>
        <v>1.3768506056527592</v>
      </c>
      <c r="AK68" s="405">
        <f>AK38/'IS '!AI221</f>
        <v>1.3780160857908847</v>
      </c>
      <c r="AL68" s="404">
        <f>AL38/'IS '!AJ221</f>
        <v>1.3780160857908847</v>
      </c>
      <c r="AM68" s="405">
        <f>AM38/'IS '!AK221</f>
        <v>1.3460026212319791</v>
      </c>
      <c r="AN68" s="405">
        <f>AN38/'IS '!AL221</f>
        <v>1.123905723905724</v>
      </c>
      <c r="AO68" s="405">
        <f>AO38/'IS '!AM221</f>
        <v>1.1221928665785998</v>
      </c>
      <c r="AP68" s="405">
        <f>AP38/'IS '!AN221</f>
        <v>1.1218405703175631</v>
      </c>
      <c r="AQ68" s="404">
        <f>AQ38/'IS '!AO221</f>
        <v>1.1218405703175631</v>
      </c>
      <c r="AR68" s="405">
        <f>AR38/'IS '!AP221</f>
        <v>1.0998068254990341</v>
      </c>
      <c r="AS68" s="405">
        <f>AS38/'IS '!AQ221</f>
        <v>0.9898605830164765</v>
      </c>
      <c r="AT68" s="405">
        <f>AT38/'IS '!AR221</f>
        <v>0.99561678146524735</v>
      </c>
      <c r="AU68" s="405">
        <f>AU38/'IS '!AS221</f>
        <v>1.0204207920792079</v>
      </c>
      <c r="AV68" s="406">
        <f>AV38/'IS '!AT221</f>
        <v>1.0204207920792079</v>
      </c>
      <c r="AW68" s="406">
        <f>AW38/'IS '!AU221</f>
        <v>1.0369921164342026</v>
      </c>
      <c r="AX68" s="405">
        <f>AX38/'IS '!AV221</f>
        <v>1.1958702064896756</v>
      </c>
      <c r="AY68" s="405">
        <f>AY38/'IS '!AW221</f>
        <v>1.1161178509532061</v>
      </c>
      <c r="AZ68" s="405">
        <f>AZ38/'IS '!AX221</f>
        <v>1.1746122917863298</v>
      </c>
      <c r="BA68" s="404">
        <f>BA38/'IS '!AY221</f>
        <v>1.1746122917863298</v>
      </c>
      <c r="BB68" s="406">
        <f>BB38/'IS '!AZ221</f>
        <v>1.2348993288590604</v>
      </c>
      <c r="BC68" s="405">
        <f>BC38/'IS '!BA221</f>
        <v>1.1593559133814548</v>
      </c>
      <c r="BD68" s="405">
        <f>BD38/'IS '!BB221</f>
        <v>1.1309904153354633</v>
      </c>
      <c r="BE68" s="405">
        <f>BE38/'IS '!BC221</f>
        <v>1.5397577672459188</v>
      </c>
      <c r="BF68" s="404">
        <f>BF38/'IS '!BD221</f>
        <v>1.5397577672459188</v>
      </c>
      <c r="BG68" s="406">
        <f>BG38/'IS '!BE221</f>
        <v>1.7301180092355053</v>
      </c>
      <c r="BH68" s="405">
        <f>BH38/'IS '!BF221</f>
        <v>1.71617497456765</v>
      </c>
      <c r="BI68" s="405">
        <f>BI38/'IS '!BG221</f>
        <v>1.81067472306143</v>
      </c>
      <c r="BJ68" s="405">
        <f>BJ38/'IS '!BH221</f>
        <v>1.7539370078740157</v>
      </c>
      <c r="BK68" s="404">
        <f>BK38/'IS '!BI221</f>
        <v>1.7539370078740157</v>
      </c>
      <c r="BL68" s="406">
        <f>BL38/'IS '!BJ221</f>
        <v>1.7224129475232957</v>
      </c>
      <c r="BM68" s="405">
        <f>BM38/'IS '!BK221</f>
        <v>1.7117818889970788</v>
      </c>
      <c r="BN68" s="405">
        <f>BN38/'IS '!BL221</f>
        <v>1.5396975425330812</v>
      </c>
      <c r="BO68" s="405">
        <f>BO38/'IS '!BM221</f>
        <v>1.4902416356877324</v>
      </c>
      <c r="BP68" s="404">
        <f>BP38/'IS '!BN221</f>
        <v>1.4902416356877324</v>
      </c>
      <c r="BQ68" s="406">
        <f>BQ38/'IS '!BO221</f>
        <v>1.4572204617473969</v>
      </c>
      <c r="BR68" s="405">
        <f>BR38/'IS '!BP221</f>
        <v>1.0957354221061792</v>
      </c>
      <c r="BS68" s="405">
        <f>BS38/'IS '!BQ221</f>
        <v>1.2335456475583864</v>
      </c>
      <c r="BT68" s="405">
        <f>BT38/'IS '!BR221</f>
        <v>1.2268518518518519</v>
      </c>
      <c r="BU68" s="404">
        <f>BU38/'IS '!BS221</f>
        <v>1.2268518518518519</v>
      </c>
      <c r="BV68" s="406">
        <f>BV38/'IS '!BT221</f>
        <v>1.204292199752373</v>
      </c>
      <c r="BW68" s="405">
        <f>BW38/'IS '!BU221</f>
        <v>1.3386568386568387</v>
      </c>
      <c r="BX68" s="405">
        <f>BX38/'IS '!BV221</f>
        <v>1.2098765432098766</v>
      </c>
      <c r="BY68" s="405">
        <f>BY38/'IS '!BW221</f>
        <v>1.1734534064213</v>
      </c>
      <c r="BZ68" s="404">
        <f>BZ38/'IS '!BX221</f>
        <v>1.1734534064213</v>
      </c>
      <c r="CA68" s="406">
        <f>CA38/'IS '!BY221</f>
        <v>1.1447067783701448</v>
      </c>
      <c r="CB68" s="405">
        <f>CB38/'IS '!BZ221</f>
        <v>1.1289106671692424</v>
      </c>
      <c r="CC68" s="405">
        <f>CC38/'IS '!CA221</f>
        <v>1.0675435478137221</v>
      </c>
      <c r="CD68" s="405">
        <f>CD38/'IS '!CB221</f>
        <v>1.0430451796513696</v>
      </c>
      <c r="CE68" s="404">
        <f>CE38/'IS '!CC221</f>
        <v>1.0430451796513696</v>
      </c>
      <c r="CF68" s="406">
        <f>CF38/'IS '!CD221</f>
        <v>1.1070195221984105</v>
      </c>
      <c r="CG68" s="405">
        <f>CG38/'IS '!CE221</f>
        <v>1.1425063252877603</v>
      </c>
      <c r="CH68" s="405">
        <f>CH38/'IS '!CF221</f>
        <v>1.2762672268183253</v>
      </c>
      <c r="CI68" s="405">
        <f>CI38/'IS '!CG221</f>
        <v>1.3215579710144927</v>
      </c>
      <c r="CJ68" s="404">
        <f>CJ38/'IS '!CH221</f>
        <v>1.3215579710144927</v>
      </c>
      <c r="CK68" s="406">
        <f>CK38/'IS '!CI221</f>
        <v>1.4096169593824623</v>
      </c>
      <c r="CL68" s="405">
        <f>CL38/'IS '!CJ221</f>
        <v>1.4193406731281959</v>
      </c>
      <c r="CM68" s="405">
        <f>CM38/'IS '!CK221</f>
        <v>1.4013591407486958</v>
      </c>
      <c r="CN68" s="405">
        <f>CN38/'IS '!CL221</f>
        <v>1.368224465294144</v>
      </c>
      <c r="CO68" s="404">
        <f>CO38/'IS '!CM221</f>
        <v>1.368224465294144</v>
      </c>
      <c r="CP68" s="888">
        <f>CP38/'IS '!CN221</f>
        <v>1.3458484599304155</v>
      </c>
      <c r="CQ68" s="405">
        <f>CQ38/'IS '!CO221</f>
        <v>1.4292257611715868</v>
      </c>
      <c r="CR68" s="405">
        <f>CR38/'IS '!CP221</f>
        <v>1.5553318712316451</v>
      </c>
      <c r="CS68" s="405">
        <f>CS38/'IS '!CQ221</f>
        <v>1.7909071877303502</v>
      </c>
      <c r="CT68" s="404">
        <f>CT38/'IS '!CR221</f>
        <v>1.7909071877303502</v>
      </c>
      <c r="CU68" s="406">
        <f>CU38/'IS '!CS221</f>
        <v>1.5459103349263104</v>
      </c>
      <c r="CV68" s="405">
        <f>CV38/'IS '!CT221</f>
        <v>3.0191371542504739</v>
      </c>
      <c r="CW68" s="405">
        <f>CW38/'IS '!CU221</f>
        <v>5.0201346817992327</v>
      </c>
      <c r="CX68" s="405">
        <f>CX38/'IS '!CV221</f>
        <v>4.5373059589384077</v>
      </c>
      <c r="CY68" s="404">
        <f>CY38/'IS '!CW221</f>
        <v>4.5373059589384077</v>
      </c>
      <c r="CZ68" s="406">
        <f>CZ38/'IS '!CX221</f>
        <v>4.0607548579965069</v>
      </c>
      <c r="DA68" s="405">
        <f>DA38/'IS '!CY221</f>
        <v>4.4541607898448516</v>
      </c>
      <c r="DB68" s="405">
        <f>DB38/'IS '!CZ221</f>
        <v>3.9931236878305363</v>
      </c>
      <c r="DC68" s="405">
        <f>DC38/'IS '!DA221</f>
        <v>3.1284007962840081</v>
      </c>
      <c r="DD68" s="404">
        <f>DD38/'IS '!DB221</f>
        <v>3.1284007962840081</v>
      </c>
      <c r="DE68" s="406">
        <f>DE38/'IS '!DC221</f>
        <v>3.2666513173066214</v>
      </c>
      <c r="DF68" s="405">
        <f>DF38/'IS '!DD221</f>
        <v>3.3043082559137349</v>
      </c>
      <c r="DG68" s="405">
        <f>DG38/'IS '!DE221</f>
        <v>3.5997372323935037</v>
      </c>
      <c r="DH68" s="405">
        <f>DH38/'IS '!DF221</f>
        <v>4.9673361355274377</v>
      </c>
      <c r="DI68" s="404">
        <f>DI38/'IS '!DG221</f>
        <v>4.9673361355274377</v>
      </c>
      <c r="DJ68" s="406">
        <f>DJ38/'IS '!DH221</f>
        <v>4.8846674768905451</v>
      </c>
      <c r="DK68" s="405">
        <f>DK38/'IS '!DI221</f>
        <v>4.8122008188071543</v>
      </c>
      <c r="DL68" s="405">
        <f>DL38/'IS '!DJ221</f>
        <v>4.6911499131884815</v>
      </c>
      <c r="DM68" s="405">
        <f>DM38/'IS '!DK221</f>
        <v>4.5674734426424077</v>
      </c>
      <c r="DN68" s="404">
        <f>DN38/'IS '!DL221</f>
        <v>4.5674734426424077</v>
      </c>
      <c r="DO68" s="406">
        <f>DO38/'IS '!DM221</f>
        <v>4.5419129394856679</v>
      </c>
      <c r="DP68" s="405">
        <f>DP38/'IS '!DN221</f>
        <v>4.4980889807207145</v>
      </c>
      <c r="DQ68" s="405">
        <f>DQ38/'IS '!DO221</f>
        <v>4.4580154462424417</v>
      </c>
      <c r="DR68" s="405">
        <f>DR38/'IS '!DP221</f>
        <v>4.3702472933711327</v>
      </c>
      <c r="DS68" s="404">
        <f>DS38/'IS '!DQ221</f>
        <v>4.3702472933711327</v>
      </c>
      <c r="DT68" s="406">
        <f>DT38/'IS '!DR221</f>
        <v>4.2929920776095356</v>
      </c>
      <c r="DU68" s="405">
        <f>DU38/'IS '!DS221</f>
        <v>4.2155815998968196</v>
      </c>
      <c r="DV68" s="405">
        <f>DV38/'IS '!DT221</f>
        <v>4.1342438136635034</v>
      </c>
      <c r="DW68" s="405">
        <f>DW38/'IS '!DU221</f>
        <v>4.0389128002313441</v>
      </c>
      <c r="DX68" s="404">
        <f>DX38/'IS '!DV221</f>
        <v>4.0389128002313441</v>
      </c>
      <c r="DY68" s="406">
        <f>DY38/'IS '!DW221</f>
        <v>3.9720464302439531</v>
      </c>
      <c r="DZ68" s="405">
        <f>DZ38/'IS '!DX221</f>
        <v>3.9034433063118787</v>
      </c>
      <c r="EA68" s="405">
        <f>EA38/'IS '!DY221</f>
        <v>3.8291377331287983</v>
      </c>
      <c r="EB68" s="405">
        <f>EB38/'IS '!DZ221</f>
        <v>3.7409942836395298</v>
      </c>
      <c r="EC68" s="404">
        <f>EC38/'IS '!EA221</f>
        <v>3.7409942836395298</v>
      </c>
      <c r="EF68"/>
      <c r="EG68"/>
      <c r="EH68"/>
      <c r="EI68"/>
      <c r="EJ68"/>
      <c r="EK68"/>
      <c r="EL68"/>
      <c r="EM68"/>
      <c r="EN68"/>
      <c r="EO68"/>
      <c r="EP68"/>
      <c r="EQ68"/>
      <c r="ER68"/>
      <c r="ES68"/>
      <c r="ET68"/>
      <c r="EU68"/>
      <c r="EV68"/>
      <c r="EW68"/>
      <c r="EX68"/>
      <c r="EY68"/>
      <c r="EZ68"/>
      <c r="FA68"/>
    </row>
    <row r="69" spans="1:157" s="179" customFormat="1" x14ac:dyDescent="0.2">
      <c r="A69" s="445" t="s">
        <v>108</v>
      </c>
      <c r="B69" s="754"/>
      <c r="C69" s="754"/>
      <c r="D69" s="754"/>
      <c r="E69" s="754"/>
      <c r="F69" s="754"/>
      <c r="G69" s="754"/>
      <c r="H69" s="178"/>
      <c r="M69" s="755"/>
      <c r="N69" s="738"/>
      <c r="O69" s="738"/>
      <c r="P69" s="738"/>
      <c r="Q69" s="738"/>
      <c r="R69" s="755"/>
      <c r="S69" s="756"/>
      <c r="T69" s="756"/>
      <c r="U69" s="756"/>
      <c r="V69" s="757"/>
      <c r="W69" s="758"/>
      <c r="X69" s="756"/>
      <c r="Y69" s="756"/>
      <c r="Z69" s="756"/>
      <c r="AA69" s="756"/>
      <c r="AB69" s="755"/>
      <c r="AC69" s="756"/>
      <c r="AD69" s="756"/>
      <c r="AE69" s="756"/>
      <c r="AF69" s="756"/>
      <c r="AG69" s="759">
        <f>(AG38-AG12)/'IS '!AE221</f>
        <v>1.611441307578009</v>
      </c>
      <c r="AH69" s="760">
        <f>(AH38-AH12)/'IS '!AF221</f>
        <v>1.6198830409356726</v>
      </c>
      <c r="AI69" s="760">
        <f>(AI38-AI12)/'IS '!AG221</f>
        <v>1.4507914659325534</v>
      </c>
      <c r="AJ69" s="760">
        <f>(AJ38-AJ12)/'IS '!AH221</f>
        <v>1.1763122476446837</v>
      </c>
      <c r="AK69" s="760">
        <f>(AK38-AK12)/'IS '!AI221</f>
        <v>1.2493297587131367</v>
      </c>
      <c r="AL69" s="759">
        <f>(AL38-AL12)/'IS '!AJ221</f>
        <v>1.2493297587131367</v>
      </c>
      <c r="AM69" s="760">
        <f>(AM38-AM12)/'IS '!AK221</f>
        <v>1.261467889908257</v>
      </c>
      <c r="AN69" s="760">
        <f>(AN38-AN12)/'IS '!AL221</f>
        <v>1.0006734006734006</v>
      </c>
      <c r="AO69" s="760">
        <f>(AO38-AO12)/'IS '!AM221</f>
        <v>0.8665785997357992</v>
      </c>
      <c r="AP69" s="760">
        <f>(AP38-AP12)/'IS '!AN221</f>
        <v>1.0816591056383669</v>
      </c>
      <c r="AQ69" s="759">
        <f>(AQ38-AQ12)/'IS '!AO221</f>
        <v>1.0816591056383669</v>
      </c>
      <c r="AR69" s="760">
        <f>(AR38-AR12)/'IS '!AP221</f>
        <v>1.0238248551191242</v>
      </c>
      <c r="AS69" s="760">
        <f>(AS38-AS12)/'IS '!AQ221</f>
        <v>0.91825095057034223</v>
      </c>
      <c r="AT69" s="760">
        <f>(AT38-AT12)/'IS '!AR221</f>
        <v>0.83093299937382592</v>
      </c>
      <c r="AU69" s="760">
        <f>(AU38-AU12)/'IS '!AS221</f>
        <v>0.92264851485148514</v>
      </c>
      <c r="AV69" s="761">
        <f>(AV38-AV12)/'IS '!AT221</f>
        <v>0.92264851485148514</v>
      </c>
      <c r="AW69" s="761">
        <f>(AW38-AW12)/'IS '!AU221</f>
        <v>0.95573074590661011</v>
      </c>
      <c r="AX69" s="760">
        <f>(AX38-AX12)/'IS '!AV221</f>
        <v>1.0383480825958702</v>
      </c>
      <c r="AY69" s="760">
        <f>(AY38-AY12)/'IS '!AW221</f>
        <v>0.9595609474292317</v>
      </c>
      <c r="AZ69" s="760">
        <f>(AZ38-AZ12)/'IS '!AX221</f>
        <v>0.99138426191843765</v>
      </c>
      <c r="BA69" s="759">
        <f>(BA38-BA12)/'IS '!AY221</f>
        <v>0.99138426191843765</v>
      </c>
      <c r="BB69" s="761">
        <f>(BB38-BB12)/'IS '!AZ221</f>
        <v>1.0441834451901566</v>
      </c>
      <c r="BC69" s="760">
        <f>(BC38-BC12)/'IS '!BA221</f>
        <v>0.91726818434203217</v>
      </c>
      <c r="BD69" s="760">
        <f>(BD38-BD12)/'IS '!BB221</f>
        <v>0.86102236421725242</v>
      </c>
      <c r="BE69" s="760">
        <f>(BE38-BE12)/'IS '!BC221</f>
        <v>1.1242759347024749</v>
      </c>
      <c r="BF69" s="759">
        <f>(BF38-BF12)/'IS '!BD221</f>
        <v>1.1242759347024749</v>
      </c>
      <c r="BG69" s="761">
        <f>(BG38-BG12)/'IS '!BE221</f>
        <v>1.4833247819394562</v>
      </c>
      <c r="BH69" s="760">
        <f>(BH38-BH12)/'IS '!BF221</f>
        <v>1.5508646998982707</v>
      </c>
      <c r="BI69" s="760">
        <f>(BI38-BI12)/'IS '!BG221</f>
        <v>1.6626384692849949</v>
      </c>
      <c r="BJ69" s="760">
        <f>(BJ38-BJ12)/'IS '!BH221</f>
        <v>1.6732283464566928</v>
      </c>
      <c r="BK69" s="759">
        <f>(BK38-BK12)/'IS '!BI221</f>
        <v>1.6732283464566928</v>
      </c>
      <c r="BL69" s="761">
        <f>(BL38-BL12)/'IS '!BJ221</f>
        <v>1.5806768023540951</v>
      </c>
      <c r="BM69" s="760">
        <f>(BM38-BM12)/'IS '!BK221</f>
        <v>1.5735150925024344</v>
      </c>
      <c r="BN69" s="760">
        <f>(BN38-BN12)/'IS '!BL221</f>
        <v>1.3393194706994329</v>
      </c>
      <c r="BO69" s="760">
        <f>(BO38-BO12)/'IS '!BM221</f>
        <v>1.3262081784386617</v>
      </c>
      <c r="BP69" s="759">
        <f>(BP38-BP12)/'IS '!BN221</f>
        <v>1.3262081784386617</v>
      </c>
      <c r="BQ69" s="761">
        <f>(BQ38-BQ12)/'IS '!BO221</f>
        <v>1.2562245359891353</v>
      </c>
      <c r="BR69" s="760">
        <f>(BR38-BR12)/'IS '!BP221</f>
        <v>0.86510008703220187</v>
      </c>
      <c r="BS69" s="760">
        <f>(BS38-BS12)/'IS '!BQ221</f>
        <v>0.69256900212314221</v>
      </c>
      <c r="BT69" s="760">
        <f>(BT38-BT12)/'IS '!BR221</f>
        <v>0.62668350168350173</v>
      </c>
      <c r="BU69" s="759">
        <f>(BU38-BU12)/'IS '!BS221</f>
        <v>0.62668350168350173</v>
      </c>
      <c r="BV69" s="761">
        <f>(BV38-BV12)/'IS '!BT221</f>
        <v>0.5732562938505984</v>
      </c>
      <c r="BW69" s="760">
        <f>(BW38-BW12)/'IS '!BU221</f>
        <v>0.94758394758394759</v>
      </c>
      <c r="BX69" s="760">
        <f>(BX38-BX12)/'IS '!BV221</f>
        <v>0.70123456790123462</v>
      </c>
      <c r="BY69" s="760">
        <f>(BY38-BY12)/'IS '!BW221</f>
        <v>0.70438527799530148</v>
      </c>
      <c r="BZ69" s="759">
        <f>(BZ38-BZ12)/'IS '!BX221</f>
        <v>0.70438527799530148</v>
      </c>
      <c r="CA69" s="761">
        <f>(CA38-CA12)/'IS '!BY221</f>
        <v>0.72619954303122625</v>
      </c>
      <c r="CB69" s="760">
        <f>(CB38-CB12)/'IS '!BZ221</f>
        <v>0.75800980022615905</v>
      </c>
      <c r="CC69" s="760">
        <f>(CC38-CC12)/'IS '!CA221</f>
        <v>0.73266974760042658</v>
      </c>
      <c r="CD69" s="760">
        <f>(CD38-CD12)/'IS '!CB221</f>
        <v>0.7669868374244041</v>
      </c>
      <c r="CE69" s="759">
        <f>(CE38-CE12)/'IS '!CC221</f>
        <v>0.7669868374244041</v>
      </c>
      <c r="CF69" s="761">
        <f>(CF38-CF12)/'IS '!CD221</f>
        <v>0.81852811456667696</v>
      </c>
      <c r="CG69" s="760">
        <f>(CG38-CG12)/'IS '!CE221</f>
        <v>0.94673759237347654</v>
      </c>
      <c r="CH69" s="760">
        <f>(CH38-CH12)/'IS '!CF221</f>
        <v>0.94680914598383814</v>
      </c>
      <c r="CI69" s="760">
        <f>(CI38-CI12)/'IS '!CG221</f>
        <v>1.0620471014492754</v>
      </c>
      <c r="CJ69" s="759">
        <f>(CJ38-CJ12)/'IS '!CH221</f>
        <v>1.0620471014492754</v>
      </c>
      <c r="CK69" s="761">
        <f>(CK38-CK12)/'IS '!CI221</f>
        <v>1.2538581793402013</v>
      </c>
      <c r="CL69" s="760">
        <f>(CL38-CL12)/'IS '!CJ221</f>
        <v>1.262507449578119</v>
      </c>
      <c r="CM69" s="760">
        <f>(CM38-CM12)/'IS '!CK221</f>
        <v>1.2465128268538124</v>
      </c>
      <c r="CN69" s="760">
        <f>(CN38-CN12)/'IS '!CL221</f>
        <v>1.2170394415047359</v>
      </c>
      <c r="CO69" s="759">
        <f>(CO38-CO12)/'IS '!CM221</f>
        <v>1.2170394415047359</v>
      </c>
      <c r="CP69" s="889">
        <f>(CP38-CP12)/'IS '!CN221</f>
        <v>1.2083551005662081</v>
      </c>
      <c r="CQ69" s="760">
        <f>(CQ38-CQ12)/'IS '!CO221</f>
        <v>1.2832144849811693</v>
      </c>
      <c r="CR69" s="760">
        <f>(CR38+CR35-CR12)/'IS '!CP221</f>
        <v>1.8665001008722919</v>
      </c>
      <c r="CS69" s="760">
        <f>(CS38+CS35-CS12)/'IS '!CQ221</f>
        <v>2.1492059079999128</v>
      </c>
      <c r="CT69" s="759">
        <f>(CT38+CT35-CT12)/'IS '!CR221</f>
        <v>2.1492059079999128</v>
      </c>
      <c r="CU69" s="761">
        <f>(CU38-CU12)/'IS '!CS221</f>
        <v>1.3637902102084043</v>
      </c>
      <c r="CV69" s="760">
        <f>(CV38-CV12)/'IS '!CT221</f>
        <v>2.860170282957224</v>
      </c>
      <c r="CW69" s="760">
        <f>(CW38-CW12)/'IS '!CU221</f>
        <v>3.8236238137938723</v>
      </c>
      <c r="CX69" s="760">
        <f>(CX38-CX12)/'IS '!CV221</f>
        <v>4.1211817726589883</v>
      </c>
      <c r="CY69" s="759">
        <f>(CY38+CY35-CY12)/'IS '!CW221</f>
        <v>4.1542313470205308</v>
      </c>
      <c r="CZ69" s="761">
        <f>(CZ38-CZ12)/'IS '!CX221</f>
        <v>3.7760593653704748</v>
      </c>
      <c r="DA69" s="760">
        <f>(DA38-DA12)/'IS '!CY221</f>
        <v>3.9576868829337095</v>
      </c>
      <c r="DB69" s="760">
        <f>(DB38-DB12)/'IS '!CZ221</f>
        <v>3.5503794114395779</v>
      </c>
      <c r="DC69" s="760">
        <f>(DC38-DC12)/'IS '!DA221</f>
        <v>2.5978765759787659</v>
      </c>
      <c r="DD69" s="759">
        <f>(DD38-DD12)/'IS '!DB221</f>
        <v>2.5978765759787659</v>
      </c>
      <c r="DE69" s="761">
        <f>(DE38-DE12)/'IS '!DC221</f>
        <v>2.7410775753617687</v>
      </c>
      <c r="DF69" s="760">
        <f>(DF38-DF12)/'IS '!DD221</f>
        <v>2.8461387455278788</v>
      </c>
      <c r="DG69" s="760">
        <f>(DG38-DG12)/'IS '!DE221</f>
        <v>3.2072574859548375</v>
      </c>
      <c r="DH69" s="760">
        <f>(DH38-DH12)/'IS '!DF221</f>
        <v>4.4744331582788872</v>
      </c>
      <c r="DI69" s="759">
        <f>(DI38-DI12)/'IS '!DG221</f>
        <v>4.4744331582788872</v>
      </c>
      <c r="DJ69" s="761">
        <f>(DJ38-DJ12)/'IS '!DH221</f>
        <v>4.5878162584602924</v>
      </c>
      <c r="DK69" s="760">
        <f>(DK38-DK12)/'IS '!DI221</f>
        <v>4.5680344171158138</v>
      </c>
      <c r="DL69" s="760">
        <f>(DL38-DL12)/'IS '!DJ221</f>
        <v>4.4861740425173799</v>
      </c>
      <c r="DM69" s="760">
        <f>(DM38-DM12)/'IS '!DK221</f>
        <v>4.2113800857492958</v>
      </c>
      <c r="DN69" s="759">
        <f>(DN38-DN12)/'IS '!DL221</f>
        <v>4.2113800857492958</v>
      </c>
      <c r="DO69" s="761">
        <f>(DO38-DO12)/'IS '!DM221</f>
        <v>4.347121904196519</v>
      </c>
      <c r="DP69" s="760">
        <f>(DP38-DP12)/'IS '!DN221</f>
        <v>4.291761816204497</v>
      </c>
      <c r="DQ69" s="760">
        <f>(DQ38-DQ12)/'IS '!DO221</f>
        <v>4.2303635311234551</v>
      </c>
      <c r="DR69" s="760">
        <f>(DR38-DR12)/'IS '!DP221</f>
        <v>3.9144648575761112</v>
      </c>
      <c r="DS69" s="759">
        <f>(DS38-DS12)/'IS '!DQ221</f>
        <v>3.9144648575761112</v>
      </c>
      <c r="DT69" s="761">
        <f>(DT38-DT12)/'IS '!DR221</f>
        <v>3.9988409334480899</v>
      </c>
      <c r="DU69" s="760">
        <f>(DU38-DU12)/'IS '!DS221</f>
        <v>3.9028171540981917</v>
      </c>
      <c r="DV69" s="760">
        <f>(DV38-DV12)/'IS '!DT221</f>
        <v>3.7955032790466952</v>
      </c>
      <c r="DW69" s="760">
        <f>(DW38-DW12)/'IS '!DU221</f>
        <v>3.4536600918851721</v>
      </c>
      <c r="DX69" s="759">
        <f>(DX38-DX12)/'IS '!DV221</f>
        <v>3.4536600918851721</v>
      </c>
      <c r="DY69" s="761">
        <f>(DY38-DY12)/'IS '!DW221</f>
        <v>3.5536846875936057</v>
      </c>
      <c r="DZ69" s="760">
        <f>(DZ38-DZ12)/'IS '!DX221</f>
        <v>3.4585840649341741</v>
      </c>
      <c r="EA69" s="760">
        <f>(EA38-EA12)/'IS '!DY221</f>
        <v>3.3517528420092439</v>
      </c>
      <c r="EB69" s="760">
        <f>(EB38-EB12)/'IS '!DZ221</f>
        <v>2.9912394814777135</v>
      </c>
      <c r="EC69" s="759">
        <f>(EC38-EC12)/'IS '!EA221</f>
        <v>2.9912394814777135</v>
      </c>
      <c r="EF69"/>
      <c r="EG69"/>
      <c r="EH69"/>
      <c r="EI69"/>
      <c r="EJ69"/>
      <c r="EK69"/>
      <c r="EL69"/>
      <c r="EM69"/>
      <c r="EN69"/>
      <c r="EO69"/>
      <c r="EP69"/>
      <c r="EQ69"/>
      <c r="ER69"/>
      <c r="ES69"/>
      <c r="ET69"/>
      <c r="EU69"/>
      <c r="EV69"/>
      <c r="EW69"/>
      <c r="EX69"/>
      <c r="EY69"/>
      <c r="EZ69"/>
      <c r="FA69"/>
    </row>
    <row r="70" spans="1:157" s="172" customFormat="1" x14ac:dyDescent="0.2">
      <c r="A70" s="460" t="s">
        <v>129</v>
      </c>
      <c r="B70" s="102"/>
      <c r="C70" s="102"/>
      <c r="D70" s="102"/>
      <c r="E70" s="102"/>
      <c r="F70" s="102"/>
      <c r="G70" s="102"/>
      <c r="H70" s="181"/>
      <c r="M70" s="250"/>
      <c r="N70" s="245"/>
      <c r="O70" s="245"/>
      <c r="P70" s="245"/>
      <c r="Q70" s="245"/>
      <c r="R70" s="250"/>
      <c r="S70" s="251"/>
      <c r="T70" s="251"/>
      <c r="U70" s="251"/>
      <c r="V70" s="251"/>
      <c r="W70" s="250"/>
      <c r="X70" s="251"/>
      <c r="Y70" s="251"/>
      <c r="Z70" s="251"/>
      <c r="AA70" s="251"/>
      <c r="AB70" s="250"/>
      <c r="AC70" s="405"/>
      <c r="AD70" s="405"/>
      <c r="AE70" s="405"/>
      <c r="AF70" s="405"/>
      <c r="AG70" s="404">
        <f>'IS '!AE219/'IS '!AE220</f>
        <v>5.8313953488372094</v>
      </c>
      <c r="AH70" s="405">
        <f>'IS '!AF219/'IS '!AF220</f>
        <v>5.583333333333333</v>
      </c>
      <c r="AI70" s="405">
        <f>'IS '!AG219/'IS '!AG220</f>
        <v>5.4497354497354493</v>
      </c>
      <c r="AJ70" s="405">
        <f>'IS '!AH219/'IS '!AH220</f>
        <v>5.7322404371584703</v>
      </c>
      <c r="AK70" s="405">
        <f>'IS '!AI219/'IS '!AI220</f>
        <v>6.2138728323699421</v>
      </c>
      <c r="AL70" s="404">
        <f>'IS '!AJ219/'IS '!AJ220</f>
        <v>6.2138728323699421</v>
      </c>
      <c r="AM70" s="405">
        <f>'IS '!AK219/'IS '!AK220</f>
        <v>6.6325301204819276</v>
      </c>
      <c r="AN70" s="405">
        <f>'IS '!AL219/'IS '!AL220</f>
        <v>7.083333333333333</v>
      </c>
      <c r="AO70" s="405">
        <f>'IS '!AM219/'IS '!AM220</f>
        <v>7.6917808219178081</v>
      </c>
      <c r="AP70" s="405">
        <f>'IS '!AN219/'IS '!AN220</f>
        <v>8.720930232558139</v>
      </c>
      <c r="AQ70" s="404">
        <f>'IS '!AO219/'IS '!AO220</f>
        <v>8.720930232558139</v>
      </c>
      <c r="AR70" s="405">
        <f>'IS '!AP219/'IS '!AP220</f>
        <v>9.2868852459016402</v>
      </c>
      <c r="AS70" s="405">
        <f>'IS '!AQ219/'IS '!AQ220</f>
        <v>9.4416666666666664</v>
      </c>
      <c r="AT70" s="405">
        <f>'IS '!AR219/'IS '!AR220</f>
        <v>9.6638655462184868</v>
      </c>
      <c r="AU70" s="405">
        <f>'IS '!AS219/'IS '!AS220</f>
        <v>9.0629921259842519</v>
      </c>
      <c r="AV70" s="406">
        <f>'IS '!AT219/'IS '!AT220</f>
        <v>9.0629921259842519</v>
      </c>
      <c r="AW70" s="406">
        <f>'IS '!AU219/'IS '!AU220</f>
        <v>8.8208955223880601</v>
      </c>
      <c r="AX70" s="405">
        <f>'IS '!AV219/'IS '!AV220</f>
        <v>8.7714285714285722</v>
      </c>
      <c r="AY70" s="405">
        <f>'IS '!AW219/'IS '!AW220</f>
        <v>8.6575342465753433</v>
      </c>
      <c r="AZ70" s="405">
        <f>'IS '!AX219/'IS '!AX220</f>
        <v>8.1948051948051948</v>
      </c>
      <c r="BA70" s="404">
        <f>'IS '!AY219/'IS '!AY220</f>
        <v>8.1948051948051948</v>
      </c>
      <c r="BB70" s="406">
        <f>'IS '!AZ219/'IS '!AZ220</f>
        <v>8.3397683397683391</v>
      </c>
      <c r="BC70" s="405">
        <f>'IS '!BA219/'IS '!BA220</f>
        <v>8.2528589580686145</v>
      </c>
      <c r="BD70" s="405">
        <f>'IS '!BB219/'IS '!BB220</f>
        <v>8.4014869888475836</v>
      </c>
      <c r="BE70" s="405">
        <f>'IS '!BC219/'IS '!BC220</f>
        <v>8.1550480769230766</v>
      </c>
      <c r="BF70" s="404">
        <f>'IS '!BD219/'IS '!BD220</f>
        <v>8.1550480769230766</v>
      </c>
      <c r="BG70" s="406">
        <f>'IS '!BE219/'IS '!BE220</f>
        <v>8.0163934426229506</v>
      </c>
      <c r="BH70" s="405">
        <f>'IS '!BF219/'IS '!BF220</f>
        <v>7.4720812182741119</v>
      </c>
      <c r="BI70" s="405">
        <f>'IS '!BG219/'IS '!BG220</f>
        <v>7.1941747572815533</v>
      </c>
      <c r="BJ70" s="405">
        <f>'IS '!BH219/'IS '!BH220</f>
        <v>6.7035398230088497</v>
      </c>
      <c r="BK70" s="404">
        <f>'IS '!BI219/'IS '!BI220</f>
        <v>6.7035398230088497</v>
      </c>
      <c r="BL70" s="406">
        <f>'IS '!BJ219/'IS '!BJ220</f>
        <v>6.3716814159292037</v>
      </c>
      <c r="BM70" s="405">
        <f>'IS '!BK219/'IS '!BK220</f>
        <v>7</v>
      </c>
      <c r="BN70" s="405">
        <f>'IS '!BL219/'IS '!BL220</f>
        <v>7.4433962264150946</v>
      </c>
      <c r="BO70" s="405">
        <f>'IS '!BM219/'IS '!BM220</f>
        <v>8.1958762886597931</v>
      </c>
      <c r="BP70" s="404">
        <f>'IS '!BN219/'IS '!BN220</f>
        <v>8.1958762886597931</v>
      </c>
      <c r="BQ70" s="406">
        <f>'IS '!BO219/'IS '!BO220</f>
        <v>8.8076923076923084</v>
      </c>
      <c r="BR70" s="405">
        <f>'IS '!BP219/'IS '!BP220</f>
        <v>9.0055248618784525</v>
      </c>
      <c r="BS70" s="405">
        <f>'IS '!BQ219/'IS '!BQ220</f>
        <v>9.6271186440677958</v>
      </c>
      <c r="BT70" s="405">
        <f>'IS '!BR219/'IS '!BR220</f>
        <v>10.108571428571429</v>
      </c>
      <c r="BU70" s="404">
        <f>'IS '!BS219/'IS '!BS220</f>
        <v>10.108571428571429</v>
      </c>
      <c r="BV70" s="406">
        <f>'IS '!BT219/'IS '!BT220</f>
        <v>10.203389830508474</v>
      </c>
      <c r="BW70" s="405">
        <f>'IS '!BU219/'IS '!BU220</f>
        <v>10.611764705882353</v>
      </c>
      <c r="BX70" s="405">
        <f>'IS '!BV219/'IS '!BV220</f>
        <v>10.658536585365853</v>
      </c>
      <c r="BY70" s="405">
        <f>'IS '!BW219/'IS '!BW220</f>
        <v>11.634615384615385</v>
      </c>
      <c r="BZ70" s="404">
        <f>'IS '!BX219/'IS '!BX220</f>
        <v>11.634615384615385</v>
      </c>
      <c r="CA70" s="406">
        <f>'IS '!BY219/'IS '!BY220</f>
        <v>13.726666666666667</v>
      </c>
      <c r="CB70" s="405">
        <f>'IS '!BZ219/'IS '!BZ220</f>
        <v>13.81045751633987</v>
      </c>
      <c r="CC70" s="405">
        <f>'IS '!CA219/'IS '!CA220</f>
        <v>15.006535947712418</v>
      </c>
      <c r="CD70" s="405">
        <f>'IS '!CB219/'IS '!CB220</f>
        <v>15.395973154362416</v>
      </c>
      <c r="CE70" s="404">
        <f>'IS '!CC219/'IS '!CC220</f>
        <v>15.395973154362416</v>
      </c>
      <c r="CF70" s="406">
        <f>'IS '!CD219/'IS '!CD220</f>
        <v>14.177108391608392</v>
      </c>
      <c r="CG70" s="405">
        <f>'IS '!CE219/'IS '!CE220</f>
        <v>13.927255474452556</v>
      </c>
      <c r="CH70" s="405">
        <f>'IS '!CF219/'IS '!CF220</f>
        <v>11.96008455882353</v>
      </c>
      <c r="CI70" s="405">
        <f>'IS '!CG219/'IS '!CG220</f>
        <v>6.0753968253968251</v>
      </c>
      <c r="CJ70" s="404">
        <f>'IS '!CH219/'IS '!CH220</f>
        <v>6.0753968253968251</v>
      </c>
      <c r="CK70" s="406">
        <f>'IS '!CI219/'IS '!CI220</f>
        <v>5.7509223300970866</v>
      </c>
      <c r="CL70" s="405">
        <f>'IS '!CJ219/'IS '!CJ220</f>
        <v>5.5965426356589134</v>
      </c>
      <c r="CM70" s="405">
        <f>'IS '!CK219/'IS '!CK220</f>
        <v>5.6391702127659569</v>
      </c>
      <c r="CN70" s="405">
        <f>'IS '!CL219/'IS '!CL220</f>
        <v>10.527777777777777</v>
      </c>
      <c r="CO70" s="404">
        <f>'IS '!CM219/'IS '!CM220</f>
        <v>10.527777777777777</v>
      </c>
      <c r="CP70" s="888">
        <f>'IS '!CN219/'IS '!CN220</f>
        <v>11.250059233449477</v>
      </c>
      <c r="CQ70" s="405">
        <f>'IS '!CO219/'IS '!CO220</f>
        <v>10.824633561643836</v>
      </c>
      <c r="CR70" s="405">
        <f>'IS '!CP219/'IS '!CP220</f>
        <v>10.259276450511946</v>
      </c>
      <c r="CS70" s="405">
        <f>'IS '!CQ219/'IS '!CQ220</f>
        <v>9.8105035460992926</v>
      </c>
      <c r="CT70" s="404">
        <f>'IS '!CR219/'IS '!CR220</f>
        <v>9.8105035460992926</v>
      </c>
      <c r="CU70" s="406">
        <f>'IS '!CS219/'IS '!CS220</f>
        <v>8.8823707482993211</v>
      </c>
      <c r="CV70" s="405">
        <f>'IS '!CT219/'IS '!CT220</f>
        <v>8.8278680981595095</v>
      </c>
      <c r="CW70" s="405">
        <f>'IS '!CU219/'IS '!CU220</f>
        <v>6.5938864628820957</v>
      </c>
      <c r="CX70" s="405">
        <f>'IS '!CV219/'IS '!CV220</f>
        <v>5.5180327868852457</v>
      </c>
      <c r="CY70" s="404">
        <f>'IS '!CW219/'IS '!CW220</f>
        <v>5.5180327868852457</v>
      </c>
      <c r="CZ70" s="406">
        <f>'IS '!CX219/'IS '!CX220</f>
        <v>4.887096774193548</v>
      </c>
      <c r="DA70" s="405">
        <f>'IS '!CY219/'IS '!CY220</f>
        <v>4.2847058823529416</v>
      </c>
      <c r="DB70" s="405">
        <f>'IS '!CZ219/'IS '!CZ220</f>
        <v>4.7408256880733948</v>
      </c>
      <c r="DC70" s="405">
        <f>'IS '!DA219/'IS '!DA220</f>
        <v>6.2750000000000004</v>
      </c>
      <c r="DD70" s="404">
        <f>'IS '!DB219/'IS '!DB220</f>
        <v>6.2750000000000004</v>
      </c>
      <c r="DE70" s="406">
        <f>'IS '!DC219/'IS '!DC220</f>
        <v>6.0526257734325117</v>
      </c>
      <c r="DF70" s="405">
        <f>'IS '!DD219/'IS '!DD220</f>
        <v>5.9651419165965249</v>
      </c>
      <c r="DG70" s="405">
        <f>'IS '!DE219/'IS '!DE220</f>
        <v>5.5159489315238721</v>
      </c>
      <c r="DH70" s="405">
        <f>'IS '!DF219/'IS '!DF220</f>
        <v>3.9954954780725371</v>
      </c>
      <c r="DI70" s="404">
        <f>'IS '!DG219/'IS '!DG220</f>
        <v>3.9954954780725371</v>
      </c>
      <c r="DJ70" s="406">
        <f>'IS '!DH219/'IS '!DH220</f>
        <v>4.1076326964982162</v>
      </c>
      <c r="DK70" s="405">
        <f>'IS '!DI219/'IS '!DI220</f>
        <v>4.2055811521681097</v>
      </c>
      <c r="DL70" s="405">
        <f>'IS '!DJ219/'IS '!DJ220</f>
        <v>4.3148433376508759</v>
      </c>
      <c r="DM70" s="405">
        <f>'IS '!DK219/'IS '!DK220</f>
        <v>4.45695771009001</v>
      </c>
      <c r="DN70" s="404">
        <f>'IS '!DL219/'IS '!DL220</f>
        <v>4.45695771009001</v>
      </c>
      <c r="DO70" s="406">
        <f>'IS '!DM219/'IS '!DM220</f>
        <v>4.5089485112010532</v>
      </c>
      <c r="DP70" s="405">
        <f>'IS '!DN219/'IS '!DN220</f>
        <v>4.5743926088239197</v>
      </c>
      <c r="DQ70" s="405">
        <f>'IS '!DO219/'IS '!DO220</f>
        <v>4.6570850995494792</v>
      </c>
      <c r="DR70" s="405">
        <f>'IS '!DP219/'IS '!DP220</f>
        <v>4.7612911398664544</v>
      </c>
      <c r="DS70" s="404">
        <f>'IS '!DQ219/'IS '!DQ220</f>
        <v>4.7612911398664544</v>
      </c>
      <c r="DT70" s="406">
        <f>'IS '!DR219/'IS '!DR220</f>
        <v>4.8426363579283134</v>
      </c>
      <c r="DU70" s="405">
        <f>'IS '!DS219/'IS '!DS220</f>
        <v>4.9266996785357628</v>
      </c>
      <c r="DV70" s="405">
        <f>'IS '!DT219/'IS '!DT220</f>
        <v>5.0251475528079323</v>
      </c>
      <c r="DW70" s="405">
        <f>'IS '!DU219/'IS '!DU220</f>
        <v>5.1430796030630708</v>
      </c>
      <c r="DX70" s="404">
        <f>'IS '!DV219/'IS '!DV220</f>
        <v>5.1430796030630708</v>
      </c>
      <c r="DY70" s="406">
        <f>'IS '!DW219/'IS '!DW220</f>
        <v>5.2286960040304225</v>
      </c>
      <c r="DZ70" s="405">
        <f>'IS '!DX219/'IS '!DX220</f>
        <v>5.3189724097485849</v>
      </c>
      <c r="EA70" s="405">
        <f>'IS '!DY219/'IS '!DY220</f>
        <v>5.4233540688008031</v>
      </c>
      <c r="EB70" s="405">
        <f>'IS '!DZ219/'IS '!DZ220</f>
        <v>5.5492921287486956</v>
      </c>
      <c r="EC70" s="404">
        <f>'IS '!EA219/'IS '!EA220</f>
        <v>5.5492921287486956</v>
      </c>
      <c r="EF70"/>
      <c r="EG70"/>
      <c r="EH70"/>
      <c r="EI70"/>
      <c r="EJ70"/>
      <c r="EK70"/>
      <c r="EL70"/>
      <c r="EM70"/>
      <c r="EN70"/>
      <c r="EO70"/>
      <c r="EP70"/>
      <c r="EQ70"/>
      <c r="ER70"/>
      <c r="ES70"/>
      <c r="ET70"/>
      <c r="EU70"/>
      <c r="EV70"/>
      <c r="EW70"/>
      <c r="EX70"/>
      <c r="EY70"/>
      <c r="EZ70"/>
      <c r="FA70"/>
    </row>
    <row r="71" spans="1:157" s="172" customFormat="1" x14ac:dyDescent="0.2">
      <c r="A71" s="292" t="s">
        <v>117</v>
      </c>
      <c r="H71" s="181"/>
      <c r="M71" s="181"/>
      <c r="R71" s="181"/>
      <c r="V71" s="173"/>
      <c r="W71" s="478"/>
      <c r="X71" s="719"/>
      <c r="Y71" s="720"/>
      <c r="Z71" s="720"/>
      <c r="AA71" s="720"/>
      <c r="AB71" s="481"/>
      <c r="AC71" s="719"/>
      <c r="AD71" s="720"/>
      <c r="AE71" s="720"/>
      <c r="AF71" s="720"/>
      <c r="AG71" s="478"/>
      <c r="AH71" s="719"/>
      <c r="AI71" s="719"/>
      <c r="AJ71" s="719"/>
      <c r="AK71" s="719"/>
      <c r="AL71" s="478">
        <f>8*'IS '!AJ228</f>
        <v>2984</v>
      </c>
      <c r="AM71" s="719">
        <f>8*'IS '!AK228</f>
        <v>3085.6469018905291</v>
      </c>
      <c r="AN71" s="719">
        <f>8*'IS '!AL228</f>
        <v>3293.8691754363331</v>
      </c>
      <c r="AO71" s="719">
        <f>8*'IS '!AM228</f>
        <v>3293.8691754363331</v>
      </c>
      <c r="AP71" s="719">
        <f>8*'IS '!AN228</f>
        <v>3400</v>
      </c>
      <c r="AQ71" s="478">
        <f>8*'IS '!AO228</f>
        <v>3400</v>
      </c>
      <c r="AR71" s="719">
        <f>8*'IS '!AP228</f>
        <v>3414.2209819284235</v>
      </c>
      <c r="AS71" s="719">
        <f>8*'IS '!AQ228</f>
        <v>3429.6480315907729</v>
      </c>
      <c r="AT71" s="719">
        <f>8*'IS '!AR228</f>
        <v>3429.6480315907729</v>
      </c>
      <c r="AU71" s="719">
        <f>8*'IS '!AS228</f>
        <v>3448</v>
      </c>
      <c r="AV71" s="478">
        <f>8*'IS '!AT228</f>
        <v>3448</v>
      </c>
      <c r="AW71" s="719">
        <f>8*'IS '!AU228</f>
        <v>3517.3997114910517</v>
      </c>
      <c r="AX71" s="719">
        <f>8*'IS '!AV228</f>
        <v>3664.9992565596754</v>
      </c>
      <c r="AY71" s="719">
        <f>8*'IS '!AW228</f>
        <v>3664.9992565596754</v>
      </c>
      <c r="AZ71" s="719">
        <f>8*'IS '!AX228</f>
        <v>3792</v>
      </c>
      <c r="BA71" s="478">
        <f>8*'IS '!AY228</f>
        <v>3792</v>
      </c>
      <c r="BB71" s="719">
        <f>8*'IS '!AZ228</f>
        <v>3912.6577448129569</v>
      </c>
      <c r="BC71" s="719">
        <f>8*'IS '!BA228</f>
        <v>4245.6956081662402</v>
      </c>
      <c r="BD71" s="719">
        <f>8*'IS '!BB228</f>
        <v>4245.6956081662402</v>
      </c>
      <c r="BE71" s="719">
        <f>8*'IS '!BC228</f>
        <v>4440</v>
      </c>
      <c r="BF71" s="478">
        <f>8*'IS '!BD228</f>
        <v>4440</v>
      </c>
      <c r="BG71" s="719">
        <f>8*'IS '!BE228</f>
        <v>4593.4419320555053</v>
      </c>
      <c r="BH71" s="719">
        <f>8*'IS '!BF228</f>
        <v>4998.8459292442458</v>
      </c>
      <c r="BI71" s="719">
        <f>8*'IS '!BG228</f>
        <v>4998.8459292442458</v>
      </c>
      <c r="BJ71" s="719">
        <f>8*'IS '!BH228</f>
        <v>5152</v>
      </c>
      <c r="BK71" s="478">
        <f>8*'IS '!BI228</f>
        <v>5152</v>
      </c>
      <c r="BL71" s="719">
        <f>8*'IS '!BJ228</f>
        <v>5137.7787481145378</v>
      </c>
      <c r="BM71" s="719">
        <f>8*'IS '!BK228</f>
        <v>5206.0550698150437</v>
      </c>
      <c r="BN71" s="719">
        <f>8*'IS '!BL228</f>
        <v>5206.0550698150437</v>
      </c>
      <c r="BO71" s="719">
        <f>8*'IS '!BM228</f>
        <v>5312</v>
      </c>
      <c r="BP71" s="478">
        <f>8*'IS '!BN228</f>
        <v>5312</v>
      </c>
      <c r="BQ71" s="719">
        <f>8*'IS '!BO228</f>
        <v>5420.9448899800045</v>
      </c>
      <c r="BR71" s="719">
        <f>8*'IS '!BP228</f>
        <v>5617.2549163411422</v>
      </c>
      <c r="BS71" s="719">
        <f>8*'IS '!BQ228</f>
        <v>5617.2549163411422</v>
      </c>
      <c r="BT71" s="719">
        <f>8*'IS '!BR228</f>
        <v>5784</v>
      </c>
      <c r="BU71" s="478">
        <f>8*'IS '!BS228</f>
        <v>5784</v>
      </c>
      <c r="BV71" s="719">
        <f>8*'IS '!BT228</f>
        <v>5906.5695251583684</v>
      </c>
      <c r="BW71" s="719">
        <f>8*'IS '!BU228</f>
        <v>6445.4234727540679</v>
      </c>
      <c r="BX71" s="719">
        <f>8*'IS '!BV228</f>
        <v>6445.4234727540679</v>
      </c>
      <c r="BY71" s="719">
        <f>8*'IS '!BW228</f>
        <v>6864</v>
      </c>
      <c r="BZ71" s="478">
        <f>8*'IS '!BX228</f>
        <v>6864</v>
      </c>
      <c r="CA71" s="719">
        <f>8*'IS '!BY228</f>
        <v>6915.4625136040868</v>
      </c>
      <c r="CB71" s="719">
        <f>8*'IS '!BZ228</f>
        <v>6968.9938248509452</v>
      </c>
      <c r="CC71" s="719">
        <f>8*'IS '!CA228</f>
        <v>6968.9938248509452</v>
      </c>
      <c r="CD71" s="719">
        <f>8*'IS '!CB228</f>
        <v>6808</v>
      </c>
      <c r="CE71" s="478">
        <f>8*'IS '!CC228</f>
        <v>6808</v>
      </c>
      <c r="CF71" s="719">
        <f>8*'IS '!CD228</f>
        <v>7018.7908553899088</v>
      </c>
      <c r="CG71" s="719">
        <f>8*'IS '!CE228</f>
        <v>6992.014168013724</v>
      </c>
      <c r="CH71" s="719">
        <f>8*'IS '!CF228</f>
        <v>6992.014168013724</v>
      </c>
      <c r="CI71" s="719">
        <f>8*'IS '!CG228</f>
        <v>7136</v>
      </c>
      <c r="CJ71" s="478">
        <f>8*'IS '!CH228</f>
        <v>7136</v>
      </c>
      <c r="CK71" s="719">
        <f>8*'IS '!CI228</f>
        <v>7086.4881221900441</v>
      </c>
      <c r="CL71" s="719">
        <f>8*'IS '!CJ228</f>
        <v>7188.2254190513522</v>
      </c>
      <c r="CM71" s="719">
        <f>8*'IS '!CK228</f>
        <v>7188.2254190513522</v>
      </c>
      <c r="CN71" s="719">
        <f>8*'IS '!CL228</f>
        <v>7248</v>
      </c>
      <c r="CO71" s="478">
        <f>8*'IS '!CM228</f>
        <v>7248</v>
      </c>
      <c r="CP71" s="890">
        <f>8*'IS '!CN228</f>
        <v>6185.9494855586445</v>
      </c>
      <c r="CQ71" s="719">
        <f>8*'IS '!CO228</f>
        <v>3715.6416627464182</v>
      </c>
      <c r="CR71" s="719">
        <f>8*'IS '!CP228</f>
        <v>3715.6416627464182</v>
      </c>
      <c r="CS71" s="719">
        <f>8*'IS '!CQ228</f>
        <v>2040</v>
      </c>
      <c r="CT71" s="478">
        <f>8*'IS '!CR228</f>
        <v>2040</v>
      </c>
      <c r="CU71" s="719">
        <f>8*'IS '!CS228</f>
        <v>2010.441884749669</v>
      </c>
      <c r="CV71" s="719">
        <f>8*'IS '!CT228</f>
        <v>1963.350786159298</v>
      </c>
      <c r="CW71" s="719">
        <f>8*'IS '!CU228</f>
        <v>1963.350786159298</v>
      </c>
      <c r="CX71" s="719">
        <f>8*'IS '!CV228</f>
        <v>1936</v>
      </c>
      <c r="CY71" s="478">
        <f>8*'IS '!CW228</f>
        <v>1936</v>
      </c>
      <c r="CZ71" s="719">
        <f>8*'IS '!CX228</f>
        <v>1963.2482815197359</v>
      </c>
      <c r="DA71" s="719">
        <f>8*'IS '!CY228</f>
        <v>1991.2720211068506</v>
      </c>
      <c r="DB71" s="719">
        <f>8*'IS '!CZ228</f>
        <v>1991.2720211068506</v>
      </c>
      <c r="DC71" s="719">
        <f>8*'IS '!DA228</f>
        <v>1936</v>
      </c>
      <c r="DD71" s="478">
        <f>8*'IS '!DB228</f>
        <v>1936</v>
      </c>
      <c r="DE71" s="720">
        <f>8*'IS '!DC228</f>
        <v>1936.8468395423317</v>
      </c>
      <c r="DF71" s="720">
        <f>8*'IS '!DD228</f>
        <v>1901.4415273918628</v>
      </c>
      <c r="DG71" s="720">
        <f>8*'IS '!DE228</f>
        <v>1901.4415273918628</v>
      </c>
      <c r="DH71" s="720">
        <f>8*'IS '!DF228</f>
        <v>1936.0000000000002</v>
      </c>
      <c r="DI71" s="481">
        <f>8*'IS '!DG228</f>
        <v>1936.0000000000002</v>
      </c>
      <c r="DJ71" s="720">
        <f>8*'IS '!DH228</f>
        <v>1925.0245812557205</v>
      </c>
      <c r="DK71" s="720">
        <f>8*'IS '!DI228</f>
        <v>1929.9727253410858</v>
      </c>
      <c r="DL71" s="720">
        <f>8*'IS '!DJ228</f>
        <v>1929.9727253410858</v>
      </c>
      <c r="DM71" s="720">
        <f>8*'IS '!DK228</f>
        <v>1936</v>
      </c>
      <c r="DN71" s="481">
        <f>8*'IS '!DL228</f>
        <v>1936</v>
      </c>
      <c r="DO71" s="720">
        <f>8*'IS '!DM228</f>
        <v>1909.9987553483818</v>
      </c>
      <c r="DP71" s="720">
        <f>8*'IS '!DN228</f>
        <v>1906.2484377075855</v>
      </c>
      <c r="DQ71" s="720">
        <f>8*'IS '!DO228</f>
        <v>1906.2484377075855</v>
      </c>
      <c r="DR71" s="720">
        <f>8*'IS '!DP228</f>
        <v>1936</v>
      </c>
      <c r="DS71" s="481">
        <f>8*'IS '!DQ228</f>
        <v>1936</v>
      </c>
      <c r="DT71" s="720">
        <f>8*'IS '!DR228</f>
        <v>1936.1175814647754</v>
      </c>
      <c r="DU71" s="720">
        <f>8*'IS '!DS228</f>
        <v>1936.0542165754086</v>
      </c>
      <c r="DV71" s="720">
        <f>8*'IS '!DT228</f>
        <v>1936.0542165754086</v>
      </c>
      <c r="DW71" s="720">
        <f>8*'IS '!DU228</f>
        <v>1936</v>
      </c>
      <c r="DX71" s="481">
        <f>8*'IS '!DV228</f>
        <v>1936</v>
      </c>
      <c r="DY71" s="720">
        <f>8*'IS '!DW228</f>
        <v>1933.6208490032291</v>
      </c>
      <c r="DZ71" s="720">
        <f>8*'IS '!DX228</f>
        <v>1933.1712735230055</v>
      </c>
      <c r="EA71" s="720">
        <f>8*'IS '!DY228</f>
        <v>1933.1712735230055</v>
      </c>
      <c r="EB71" s="720">
        <f>8*'IS '!DZ228</f>
        <v>1936.0000000000002</v>
      </c>
      <c r="EC71" s="481">
        <f>8*'IS '!EA228</f>
        <v>1936.0000000000002</v>
      </c>
      <c r="EF71"/>
      <c r="EG71"/>
      <c r="EH71"/>
      <c r="EI71"/>
      <c r="EJ71"/>
      <c r="EK71"/>
      <c r="EL71"/>
      <c r="EM71"/>
      <c r="EN71"/>
      <c r="EO71"/>
      <c r="EP71"/>
      <c r="EQ71"/>
      <c r="ER71"/>
      <c r="ES71"/>
      <c r="ET71"/>
      <c r="EU71"/>
      <c r="EV71"/>
      <c r="EW71"/>
      <c r="EX71"/>
      <c r="EY71"/>
      <c r="EZ71"/>
      <c r="FA71"/>
    </row>
    <row r="72" spans="1:157" s="179" customFormat="1" x14ac:dyDescent="0.2">
      <c r="A72" s="762" t="s">
        <v>370</v>
      </c>
      <c r="B72" s="763"/>
      <c r="C72" s="763"/>
      <c r="D72" s="763"/>
      <c r="E72" s="763"/>
      <c r="F72" s="763"/>
      <c r="G72" s="763"/>
      <c r="H72" s="764"/>
      <c r="I72" s="664"/>
      <c r="J72" s="664"/>
      <c r="K72" s="664"/>
      <c r="L72" s="664"/>
      <c r="M72" s="765"/>
      <c r="N72" s="766"/>
      <c r="O72" s="766"/>
      <c r="P72" s="766"/>
      <c r="Q72" s="766"/>
      <c r="R72" s="765"/>
      <c r="S72" s="767"/>
      <c r="T72" s="767"/>
      <c r="U72" s="767"/>
      <c r="V72" s="767"/>
      <c r="W72" s="765"/>
      <c r="X72" s="767"/>
      <c r="Y72" s="767"/>
      <c r="Z72" s="767"/>
      <c r="AA72" s="767"/>
      <c r="AB72" s="765"/>
      <c r="AC72" s="768"/>
      <c r="AD72" s="768"/>
      <c r="AE72" s="768"/>
      <c r="AF72" s="768"/>
      <c r="AG72" s="769"/>
      <c r="AH72" s="768"/>
      <c r="AI72" s="768"/>
      <c r="AJ72" s="768"/>
      <c r="AK72" s="768"/>
      <c r="AL72" s="769">
        <f>(AL38+AL71)/'IS '!AJ232</f>
        <v>2.7024128686327078</v>
      </c>
      <c r="AM72" s="768">
        <f>(AM38+AM71)/'IS '!AK232</f>
        <v>2.6885134382199918</v>
      </c>
      <c r="AN72" s="768">
        <f>(AN38+AN71)/'IS '!AL232</f>
        <v>2.5771316730895308</v>
      </c>
      <c r="AO72" s="768">
        <f>(AO38+AO71)/'IS '!AM232</f>
        <v>2.5927101514776676</v>
      </c>
      <c r="AP72" s="768">
        <f>(AP38+AP71)/'IS '!AN232</f>
        <v>2.6072154471544717</v>
      </c>
      <c r="AQ72" s="769">
        <f>(AQ38+AQ71)/'IS '!AO232</f>
        <v>2.6072154471544717</v>
      </c>
      <c r="AR72" s="770">
        <f>(AR38+AR71-AR12)/'IS '!AP232</f>
        <v>2.527668221140893</v>
      </c>
      <c r="AS72" s="771">
        <f>(AS38+AS71-AS12)/'IS '!AQ232</f>
        <v>2.4083692411833169</v>
      </c>
      <c r="AT72" s="771">
        <f>(AT38+AT71-AT12)/'IS '!AR232</f>
        <v>2.3481433250028956</v>
      </c>
      <c r="AU72" s="771">
        <f>(AU38+AU71-AU12)/'IS '!AS232</f>
        <v>2.412799218368344</v>
      </c>
      <c r="AV72" s="772">
        <f>(AV38+AV71-AV12)/'IS '!AT232</f>
        <v>2.412799218368344</v>
      </c>
      <c r="AW72" s="770">
        <f>(AW38+AW71-AW12)/'IS '!AU232</f>
        <v>2.438579386182651</v>
      </c>
      <c r="AX72" s="771">
        <f>(AX38+AX71-AX12)/'IS '!AV232</f>
        <v>2.4781588474185248</v>
      </c>
      <c r="AY72" s="771">
        <f>(AY38+AY71-AY12)/'IS '!AW232</f>
        <v>2.432935297277429</v>
      </c>
      <c r="AZ72" s="771">
        <f>(AZ38+AZ71-AZ12)/'IS '!AX232</f>
        <v>2.4911963882618511</v>
      </c>
      <c r="BA72" s="772">
        <f>(BA38+BA71-BA12)/'IS '!AY232</f>
        <v>2.4911963882618511</v>
      </c>
      <c r="BB72" s="770">
        <f>(BB38+BB71-BB12)/'IS '!AZ232</f>
        <v>2.5381857970993251</v>
      </c>
      <c r="BC72" s="771">
        <f>(BC38+BC71-BC12)/'IS '!BA232</f>
        <v>2.4484852186941137</v>
      </c>
      <c r="BD72" s="771">
        <f>(BD38+BD71-BD12)/'IS '!BB232</f>
        <v>2.4339546310972171</v>
      </c>
      <c r="BE72" s="771">
        <f>(BE38+BE71-BE12)/'IS '!BC232</f>
        <v>2.6792991035044826</v>
      </c>
      <c r="BF72" s="772">
        <f>(BF38+BF71-BF12)/'IS '!BD232</f>
        <v>2.6792991035044826</v>
      </c>
      <c r="BG72" s="770">
        <f>(BG38+BG71-BG12)/'IS '!BE232</f>
        <v>2.9662732011509072</v>
      </c>
      <c r="BH72" s="771">
        <f>(BH38+BH71-BH12)/'IS '!BF232</f>
        <v>3.0824552281400175</v>
      </c>
      <c r="BI72" s="771">
        <f>(BI38+BI71-BI12)/'IS '!BG232</f>
        <v>3.1793583224059709</v>
      </c>
      <c r="BJ72" s="771">
        <f>(BJ38+BJ71-BJ12)/'IS '!BH232</f>
        <v>3.195814648729447</v>
      </c>
      <c r="BK72" s="772">
        <f>(BK38+BK71-BK12)/'IS '!BI232</f>
        <v>3.195814648729447</v>
      </c>
      <c r="BL72" s="770">
        <f>(BL38+BL71-BL12)/'IS '!BJ232</f>
        <v>3.1182713243974924</v>
      </c>
      <c r="BM72" s="771">
        <f>(BM38+BM71-BM12)/'IS '!BK232</f>
        <v>3.0497999731905621</v>
      </c>
      <c r="BN72" s="771">
        <f>(BN38+BN71-BN12)/'IS '!BL232</f>
        <v>2.9059492422713045</v>
      </c>
      <c r="BO72" s="771">
        <f>(BO38+BO71-BO12)/'IS '!BM232</f>
        <v>2.8998579545454546</v>
      </c>
      <c r="BP72" s="772">
        <f>(BP38+BP71-BP12)/'IS '!BN232</f>
        <v>2.8998579545454546</v>
      </c>
      <c r="BQ72" s="770">
        <f>(BQ38+BQ71-BQ12)/'IS '!BO232</f>
        <v>2.8392896372558227</v>
      </c>
      <c r="BR72" s="771">
        <f>(BR38+BR71-BR12)/'IS '!BP232</f>
        <v>2.4876888080386101</v>
      </c>
      <c r="BS72" s="771">
        <f>(BS38+BS71-BS12)/'IS '!BQ232</f>
        <v>2.3709136421514621</v>
      </c>
      <c r="BT72" s="771">
        <f>(BT38+BT71-BT12)/'IS '!BR232</f>
        <v>2.3468860922878347</v>
      </c>
      <c r="BU72" s="772">
        <f>(BU38+BU71-BU12)/'IS '!BS232</f>
        <v>2.3468860922878347</v>
      </c>
      <c r="BV72" s="770">
        <f>(BV38+BV71-BV12)/'IS '!BT232</f>
        <v>2.3077596628738419</v>
      </c>
      <c r="BW72" s="771">
        <f>(BW38+BW71-BW12)/'IS '!BU232</f>
        <v>2.707137005341675</v>
      </c>
      <c r="BX72" s="771">
        <f>(BX38+BX71-BX12)/'IS '!BV232</f>
        <v>2.5186139160773062</v>
      </c>
      <c r="BY72" s="771">
        <f>(BY38+BY71-BY12)/'IS '!BW232</f>
        <v>2.5389800703399765</v>
      </c>
      <c r="BZ72" s="772">
        <f>(BZ38+BZ71-BZ12)/'IS '!BX232</f>
        <v>2.5389800703399765</v>
      </c>
      <c r="CA72" s="770">
        <f>(CA38+CA71-CA12)/'IS '!BY232</f>
        <v>2.5276127584266037</v>
      </c>
      <c r="CB72" s="771">
        <f>(CB38+CB71-CB12)/'IS '!BZ232</f>
        <v>2.4374839904534498</v>
      </c>
      <c r="CC72" s="771">
        <f>(CC38+CC71-CC12)/'IS '!CA232</f>
        <v>2.4510557369267492</v>
      </c>
      <c r="CD72" s="771">
        <f>(CD38+CD71-CD12)/'IS '!CB232</f>
        <v>2.4478427089022392</v>
      </c>
      <c r="CE72" s="772">
        <f>(CE38+CE71-CE12)/'IS '!CC232</f>
        <v>2.4478427089022392</v>
      </c>
      <c r="CF72" s="770">
        <f>(CF38+CF71-CF12)/'IS '!CD232</f>
        <v>2.6091610973216839</v>
      </c>
      <c r="CG72" s="771">
        <f>(CG38+CG71-CG12)/'IS '!CE232</f>
        <v>2.9782547707875628</v>
      </c>
      <c r="CH72" s="771">
        <f>(CH38+CH71-CH12)/'IS '!CF232</f>
        <v>2.8978641679390105</v>
      </c>
      <c r="CI72" s="771">
        <f>(CI38+CI71-CI12)/'IS '!CG232</f>
        <v>3.0583870967741937</v>
      </c>
      <c r="CJ72" s="772">
        <f>(CJ38+CJ71-CJ12)/'IS '!CH232</f>
        <v>3.0583870967741937</v>
      </c>
      <c r="CK72" s="770">
        <f>(CK38+CK71-CK12)/'IS '!CI232</f>
        <v>3.2012164452475789</v>
      </c>
      <c r="CL72" s="771">
        <f>(CL38+CL71-CL12)/'IS '!CJ232</f>
        <v>3.2076314529747267</v>
      </c>
      <c r="CM72" s="771">
        <f>(CM38+CM71-CM12)/'IS '!CK232</f>
        <v>3.2076314529747267</v>
      </c>
      <c r="CN72" s="771">
        <f>(CN38+CN71-CN12)/'IS '!CL232</f>
        <v>3.1649180639639929</v>
      </c>
      <c r="CO72" s="772">
        <f>(CO38+CO71-CO12)/'IS '!CM232</f>
        <v>3.1649180639639929</v>
      </c>
      <c r="CP72" s="891">
        <f>(CP38+CP71-CP12)/'IS '!CN232</f>
        <v>2.9504673363824176</v>
      </c>
      <c r="CQ72" s="771">
        <f>(CQ38+CQ71-CQ12)/'IS '!CO232</f>
        <v>2.5897659432869458</v>
      </c>
      <c r="CR72" s="771">
        <f>(CR38+CR27+CR71-CR12)/'IS '!CP232</f>
        <v>2.7838688034350874</v>
      </c>
      <c r="CS72" s="771">
        <f>(CS38+CS71-CS12)/'IS '!CQ232</f>
        <v>2.2915677303943247</v>
      </c>
      <c r="CT72" s="772">
        <f>(CT38+CT71+CT35-CT12)/'IS '!CR231</f>
        <v>2.6667838399910999</v>
      </c>
      <c r="CU72" s="770">
        <f>(CU38+CU71-CU12)/'IS '!CS232</f>
        <v>2.0842926649342997</v>
      </c>
      <c r="CV72" s="771">
        <f>(CV38+CV71-CV12)/'IS '!CT232</f>
        <v>3.3336564651177132</v>
      </c>
      <c r="CW72" s="771">
        <f>(CW38+CW71-CW12)/'IS '!CU232</f>
        <v>4.2384936128099424</v>
      </c>
      <c r="CX72" s="771">
        <f>(CX38+CX71-CX12)/'IS '!CV232</f>
        <v>4.6125226860254083</v>
      </c>
      <c r="CY72" s="772">
        <f>(CY38+CY71-CY12)/'IS '!CW231</f>
        <v>4.6125226860254083</v>
      </c>
      <c r="CZ72" s="770">
        <f>(CZ38+CZ71-CZ12)/'IS '!CX232</f>
        <v>4.4772004959237686</v>
      </c>
      <c r="DA72" s="771">
        <f>(DA38+DA71-DA12)/'IS '!CY232</f>
        <v>4.448901543481913</v>
      </c>
      <c r="DB72" s="771">
        <f>(DB38+DB71-DB12)/'IS '!CZ232</f>
        <v>4.4531755230017689</v>
      </c>
      <c r="DC72" s="771">
        <f>(DC38+DC71-DC12)/'IS '!DA232</f>
        <v>4.3308203991130823</v>
      </c>
      <c r="DD72" s="772">
        <f>(DD38+DD71-DD12)/'IS '!DB232</f>
        <v>4.3308203991130823</v>
      </c>
      <c r="DE72" s="770">
        <f>(DE38+DE71-DE12)/'IS '!DC232</f>
        <v>4.3937531981863316</v>
      </c>
      <c r="DF72" s="771">
        <f>(DF38+DF71-DF12)/'IS '!DD232</f>
        <v>4.6188283001268156</v>
      </c>
      <c r="DG72" s="771">
        <f>(DG38+DG71-DG12)/'IS '!DE232</f>
        <v>4.7475649718244144</v>
      </c>
      <c r="DH72" s="771">
        <f>(DH38+DH71-DH12)/'IS '!DF232</f>
        <v>4.7401912938590121</v>
      </c>
      <c r="DI72" s="772">
        <f>(DI38+DI71-DI12)/'IS '!DG232</f>
        <v>4.7401912938590121</v>
      </c>
      <c r="DJ72" s="770">
        <f>(DJ38+DJ71-DJ12)/'IS '!DH232</f>
        <v>4.8651755724988952</v>
      </c>
      <c r="DK72" s="771">
        <f>(DK38+DK71-DK12)/'IS '!DI232</f>
        <v>4.8012298135041558</v>
      </c>
      <c r="DL72" s="771">
        <f>(DL38+DL71-DL12)/'IS '!DJ232</f>
        <v>4.830541437476449</v>
      </c>
      <c r="DM72" s="771">
        <f>(DM38+DM71-DM12)/'IS '!DK232</f>
        <v>4.6089061183619897</v>
      </c>
      <c r="DN72" s="772">
        <f>(DN38+DN71-DN12)/'IS '!DL232</f>
        <v>4.6089061183619897</v>
      </c>
      <c r="DO72" s="770">
        <f>(DO38+DO71-DO12)/'IS '!DM232</f>
        <v>4.7238904839251692</v>
      </c>
      <c r="DP72" s="771">
        <f>(DP38+DP71-DP12)/'IS '!DN232</f>
        <v>4.6328642148701125</v>
      </c>
      <c r="DQ72" s="771">
        <f>(DQ38+DQ71-DQ12)/'IS '!DO232</f>
        <v>4.6120465839019165</v>
      </c>
      <c r="DR72" s="771">
        <f>(DR38+DR71-DR12)/'IS '!DP232</f>
        <v>4.3265013038236866</v>
      </c>
      <c r="DS72" s="772">
        <f>(DS38+DS71-DS12)/'IS '!DQ232</f>
        <v>4.3265013038236866</v>
      </c>
      <c r="DT72" s="770">
        <f>(DT38+DT71-DT12)/'IS '!DR232</f>
        <v>4.395964164727947</v>
      </c>
      <c r="DU72" s="771">
        <f>(DU38+DU71-DU12)/'IS '!DS232</f>
        <v>4.2277852586391615</v>
      </c>
      <c r="DV72" s="771">
        <f>(DV38+DV71-DV12)/'IS '!DT232</f>
        <v>4.1988453439932414</v>
      </c>
      <c r="DW72" s="771">
        <f>(DW38+DW71-DW12)/'IS '!DU232</f>
        <v>3.8806725297282223</v>
      </c>
      <c r="DX72" s="772">
        <f>(DX38+DX71-DX12)/'IS '!DV232</f>
        <v>3.8806725297282223</v>
      </c>
      <c r="DY72" s="770">
        <f>(DY38+DY71-DY12)/'IS '!DW232</f>
        <v>3.9645693259229917</v>
      </c>
      <c r="DZ72" s="771">
        <f>(DZ38+DZ71-DZ12)/'IS '!DX232</f>
        <v>3.8044675644348374</v>
      </c>
      <c r="EA72" s="771">
        <f>(EA38+EA71-EA12)/'IS '!DY232</f>
        <v>3.7671369838660516</v>
      </c>
      <c r="EB72" s="771">
        <f>(EB38+EB71-EB12)/'IS '!DZ232</f>
        <v>3.4300234450730396</v>
      </c>
      <c r="EC72" s="772">
        <f>(EC38+EC71-EC12)/'IS '!EA232</f>
        <v>3.4300234450730396</v>
      </c>
      <c r="EF72"/>
      <c r="EG72"/>
      <c r="EH72"/>
      <c r="EI72"/>
      <c r="EJ72"/>
      <c r="EK72"/>
      <c r="EL72"/>
      <c r="EM72"/>
      <c r="EN72"/>
      <c r="EO72"/>
      <c r="EP72"/>
      <c r="EQ72"/>
      <c r="ER72"/>
      <c r="ES72"/>
      <c r="ET72"/>
      <c r="EU72"/>
      <c r="EV72"/>
      <c r="EW72"/>
      <c r="EX72"/>
      <c r="EY72"/>
      <c r="EZ72"/>
      <c r="FA72"/>
    </row>
    <row r="73" spans="1:157" s="179" customFormat="1" x14ac:dyDescent="0.2">
      <c r="A73" s="110" t="s">
        <v>543</v>
      </c>
      <c r="B73" s="679"/>
      <c r="C73" s="679"/>
      <c r="D73" s="679"/>
      <c r="E73" s="679"/>
      <c r="F73" s="679"/>
      <c r="G73" s="679"/>
      <c r="M73" s="756"/>
      <c r="N73" s="738"/>
      <c r="O73" s="738"/>
      <c r="P73" s="738"/>
      <c r="Q73" s="738"/>
      <c r="R73" s="756"/>
      <c r="S73" s="756"/>
      <c r="T73" s="756"/>
      <c r="U73" s="756"/>
      <c r="V73" s="756"/>
      <c r="W73" s="756"/>
      <c r="X73" s="756"/>
      <c r="Y73" s="756"/>
      <c r="Z73" s="756"/>
      <c r="AA73" s="756"/>
      <c r="AB73" s="756"/>
      <c r="AC73" s="760"/>
      <c r="AD73" s="760"/>
      <c r="AE73" s="760"/>
      <c r="AF73" s="760"/>
      <c r="AG73" s="760"/>
      <c r="AH73" s="760"/>
      <c r="AI73" s="760"/>
      <c r="AJ73" s="760"/>
      <c r="AK73" s="760"/>
      <c r="AL73" s="760"/>
      <c r="AM73" s="760"/>
      <c r="AN73" s="760"/>
      <c r="AO73" s="760"/>
      <c r="AP73" s="760"/>
      <c r="AQ73" s="760"/>
      <c r="AR73" s="760"/>
      <c r="AS73" s="760"/>
      <c r="AT73" s="760"/>
      <c r="AU73" s="760"/>
      <c r="AV73" s="760"/>
      <c r="AW73" s="760"/>
      <c r="AX73" s="760"/>
      <c r="AY73" s="760"/>
      <c r="AZ73" s="760"/>
      <c r="BA73" s="760"/>
      <c r="BB73" s="760"/>
      <c r="BC73" s="760"/>
      <c r="BD73" s="760"/>
      <c r="BE73" s="760"/>
      <c r="BF73" s="760"/>
      <c r="BG73" s="760"/>
      <c r="BH73" s="760"/>
      <c r="BI73" s="760"/>
      <c r="BJ73" s="760"/>
      <c r="BK73" s="760"/>
      <c r="BL73" s="760"/>
      <c r="BM73" s="760"/>
      <c r="BN73" s="760"/>
      <c r="BO73" s="760"/>
      <c r="BP73" s="760"/>
      <c r="BQ73" s="760"/>
      <c r="BR73" s="760"/>
      <c r="BS73" s="760"/>
      <c r="BT73" s="760"/>
      <c r="BU73" s="760"/>
      <c r="BV73" s="760"/>
      <c r="BW73" s="760"/>
      <c r="BX73" s="760"/>
      <c r="BY73" s="760"/>
      <c r="BZ73" s="760"/>
      <c r="CA73" s="760"/>
      <c r="CB73" s="760"/>
      <c r="CC73" s="760"/>
      <c r="CD73" s="760"/>
      <c r="CE73" s="760"/>
      <c r="CF73" s="760"/>
      <c r="CG73" s="760"/>
      <c r="CH73" s="760"/>
      <c r="CI73" s="760"/>
      <c r="CJ73" s="760"/>
      <c r="CK73" s="760"/>
      <c r="CL73" s="760"/>
      <c r="CM73" s="760"/>
      <c r="CN73" s="760"/>
      <c r="CO73" s="760"/>
      <c r="CP73" s="892"/>
      <c r="CQ73" s="760"/>
      <c r="CR73" s="760"/>
      <c r="CS73" s="760"/>
      <c r="CT73" s="760"/>
      <c r="CU73" s="760"/>
      <c r="CV73" s="760"/>
      <c r="CW73" s="760"/>
      <c r="CX73" s="760"/>
      <c r="CY73" s="760"/>
      <c r="CZ73" s="760"/>
      <c r="DA73" s="760"/>
      <c r="DB73" s="760"/>
      <c r="DC73" s="760"/>
      <c r="DD73" s="760"/>
      <c r="DE73" s="760"/>
      <c r="DF73" s="760"/>
      <c r="DG73" s="760"/>
      <c r="DH73" s="760"/>
      <c r="DI73" s="760"/>
      <c r="DJ73" s="760"/>
      <c r="DK73" s="760"/>
      <c r="DL73" s="760"/>
      <c r="DM73" s="760"/>
      <c r="DN73" s="760"/>
      <c r="DO73" s="760"/>
      <c r="DP73" s="760"/>
      <c r="DQ73" s="760"/>
      <c r="DR73" s="760"/>
      <c r="DS73" s="760"/>
      <c r="DT73" s="760"/>
      <c r="DU73" s="760"/>
      <c r="DV73" s="760"/>
      <c r="DW73" s="760"/>
      <c r="DX73" s="760"/>
      <c r="DY73" s="760"/>
      <c r="DZ73" s="760"/>
      <c r="EA73" s="760"/>
      <c r="EB73" s="760"/>
      <c r="EC73" s="760"/>
      <c r="EF73"/>
      <c r="EG73"/>
      <c r="EH73"/>
      <c r="EI73"/>
      <c r="EJ73"/>
      <c r="EK73"/>
      <c r="EL73"/>
      <c r="EM73"/>
      <c r="EN73"/>
      <c r="EO73"/>
      <c r="EP73"/>
      <c r="EQ73"/>
      <c r="ER73"/>
      <c r="ES73"/>
      <c r="ET73"/>
      <c r="EU73"/>
      <c r="EV73"/>
      <c r="EW73"/>
      <c r="EX73"/>
      <c r="EY73"/>
      <c r="EZ73"/>
      <c r="FA73"/>
    </row>
    <row r="74" spans="1:157" s="172" customFormat="1" x14ac:dyDescent="0.2">
      <c r="A74" s="174"/>
      <c r="V74" s="173"/>
      <c r="AR74" s="175"/>
      <c r="AS74" s="175"/>
      <c r="AT74" s="175"/>
      <c r="AU74" s="175"/>
      <c r="CP74" s="871"/>
      <c r="EF74"/>
      <c r="EG74"/>
      <c r="EH74"/>
      <c r="EI74"/>
      <c r="EJ74"/>
      <c r="EK74"/>
      <c r="EL74"/>
      <c r="EM74"/>
      <c r="EN74"/>
      <c r="EO74"/>
      <c r="EP74"/>
      <c r="EQ74"/>
      <c r="ER74"/>
      <c r="ES74"/>
      <c r="ET74"/>
      <c r="EU74"/>
      <c r="EV74"/>
      <c r="EW74"/>
      <c r="EX74"/>
      <c r="EY74"/>
      <c r="EZ74"/>
      <c r="FA74"/>
    </row>
    <row r="75" spans="1:157" s="172" customFormat="1" x14ac:dyDescent="0.2">
      <c r="A75" s="471" t="s">
        <v>214</v>
      </c>
      <c r="V75" s="173"/>
      <c r="AR75" s="175"/>
      <c r="AS75" s="175"/>
      <c r="AT75" s="175"/>
      <c r="AU75" s="175"/>
      <c r="BH75" s="334">
        <f>BH51-BG51</f>
        <v>203</v>
      </c>
      <c r="CP75" s="871"/>
      <c r="EF75"/>
      <c r="EG75"/>
      <c r="EH75"/>
      <c r="EI75"/>
      <c r="EJ75"/>
      <c r="EK75"/>
      <c r="EL75"/>
      <c r="EM75"/>
      <c r="EN75"/>
      <c r="EO75"/>
      <c r="EP75"/>
      <c r="EQ75"/>
      <c r="ER75"/>
      <c r="ES75"/>
      <c r="ET75"/>
      <c r="EU75"/>
      <c r="EV75"/>
      <c r="EW75"/>
      <c r="EX75"/>
      <c r="EY75"/>
      <c r="EZ75"/>
      <c r="FA75"/>
    </row>
    <row r="76" spans="1:157" s="172" customFormat="1" x14ac:dyDescent="0.2">
      <c r="A76" s="472" t="s">
        <v>215</v>
      </c>
      <c r="V76" s="173"/>
      <c r="W76" s="474"/>
      <c r="X76" s="475"/>
      <c r="Y76" s="476"/>
      <c r="Z76" s="476"/>
      <c r="AA76" s="476"/>
      <c r="AB76" s="477"/>
      <c r="AC76" s="475"/>
      <c r="AD76" s="476"/>
      <c r="AE76" s="476"/>
      <c r="AF76" s="476"/>
      <c r="AG76" s="474">
        <f>AB51</f>
        <v>104</v>
      </c>
      <c r="AH76" s="475">
        <f>AG51</f>
        <v>594</v>
      </c>
      <c r="AI76" s="475">
        <f>AH51</f>
        <v>690</v>
      </c>
      <c r="AJ76" s="475">
        <f>AI51</f>
        <v>830</v>
      </c>
      <c r="AK76" s="475">
        <f>AJ51</f>
        <v>1003</v>
      </c>
      <c r="AL76" s="474">
        <f>AG51</f>
        <v>594</v>
      </c>
      <c r="AM76" s="475">
        <f>AL51</f>
        <v>1120</v>
      </c>
      <c r="AN76" s="475">
        <f>AM51</f>
        <v>1192</v>
      </c>
      <c r="AO76" s="475">
        <f>AN51</f>
        <v>1273</v>
      </c>
      <c r="AP76" s="475">
        <f>AO51</f>
        <v>1514</v>
      </c>
      <c r="AQ76" s="474">
        <f>AL51</f>
        <v>1120</v>
      </c>
      <c r="AR76" s="475">
        <f>AQ51</f>
        <v>1595</v>
      </c>
      <c r="AS76" s="475">
        <f>AR51</f>
        <v>1708</v>
      </c>
      <c r="AT76" s="475">
        <f>AS51</f>
        <v>1547</v>
      </c>
      <c r="AU76" s="475">
        <f>AT51</f>
        <v>1600</v>
      </c>
      <c r="AV76" s="474">
        <f>AQ51</f>
        <v>1595</v>
      </c>
      <c r="AW76" s="475">
        <f>AV51</f>
        <v>1449</v>
      </c>
      <c r="AX76" s="475">
        <f>AW51</f>
        <v>1330</v>
      </c>
      <c r="AY76" s="475">
        <f>AX51</f>
        <v>1405</v>
      </c>
      <c r="AZ76" s="475">
        <f>AY51</f>
        <v>1328</v>
      </c>
      <c r="BA76" s="474">
        <f>AV51</f>
        <v>1449</v>
      </c>
      <c r="BB76" s="475">
        <f>BA51</f>
        <v>1437</v>
      </c>
      <c r="BC76" s="475">
        <f>BB51</f>
        <v>1459</v>
      </c>
      <c r="BD76" s="475">
        <f>BC51</f>
        <v>1457</v>
      </c>
      <c r="BE76" s="475">
        <f>BD51</f>
        <v>1422</v>
      </c>
      <c r="BF76" s="474">
        <f>BA51</f>
        <v>1437</v>
      </c>
      <c r="BG76" s="475">
        <f>BF51</f>
        <v>1139</v>
      </c>
      <c r="BH76" s="475">
        <f>BG51</f>
        <v>379</v>
      </c>
      <c r="BI76" s="475">
        <f>BH51</f>
        <v>582</v>
      </c>
      <c r="BJ76" s="475">
        <f>BI51</f>
        <v>366</v>
      </c>
      <c r="BK76" s="474">
        <f>BF51</f>
        <v>1139</v>
      </c>
      <c r="BL76" s="475">
        <f>BK51</f>
        <v>-112</v>
      </c>
      <c r="BM76" s="475">
        <f>BL49</f>
        <v>168</v>
      </c>
      <c r="BN76" s="475">
        <f>BM49</f>
        <v>476</v>
      </c>
      <c r="BO76" s="475">
        <f>BN49</f>
        <v>902</v>
      </c>
      <c r="BP76" s="474">
        <f>BK51</f>
        <v>-112</v>
      </c>
      <c r="BQ76" s="475">
        <f>BP51</f>
        <v>1114</v>
      </c>
      <c r="BR76" s="475">
        <f>BQ51</f>
        <v>1117</v>
      </c>
      <c r="BS76" s="475">
        <f>BR51</f>
        <v>1226</v>
      </c>
      <c r="BT76" s="475">
        <f>BS51</f>
        <v>1643</v>
      </c>
      <c r="BU76" s="474">
        <f>BP51</f>
        <v>1114</v>
      </c>
      <c r="BV76" s="475">
        <f>BU51</f>
        <v>1669</v>
      </c>
      <c r="BW76" s="475">
        <f>BV51</f>
        <v>1859</v>
      </c>
      <c r="BX76" s="475">
        <f>BW51</f>
        <v>1888</v>
      </c>
      <c r="BY76" s="475">
        <f>BX51</f>
        <v>2083</v>
      </c>
      <c r="BZ76" s="474">
        <f>BU51</f>
        <v>1669</v>
      </c>
      <c r="CA76" s="475">
        <f>BZ51</f>
        <v>1916</v>
      </c>
      <c r="CB76" s="475">
        <f>CA51</f>
        <v>2279</v>
      </c>
      <c r="CC76" s="475">
        <f>CB51</f>
        <v>2272</v>
      </c>
      <c r="CD76" s="475">
        <f>CC51</f>
        <v>2339</v>
      </c>
      <c r="CE76" s="474">
        <f>BZ51</f>
        <v>1916</v>
      </c>
      <c r="CF76" s="475">
        <f>CE51</f>
        <v>2312</v>
      </c>
      <c r="CG76" s="475">
        <f>CF51</f>
        <v>2417</v>
      </c>
      <c r="CH76" s="475">
        <f>CG51</f>
        <v>2344</v>
      </c>
      <c r="CI76" s="475">
        <f>CH51</f>
        <v>2300</v>
      </c>
      <c r="CJ76" s="474">
        <f>CE51</f>
        <v>2312</v>
      </c>
      <c r="CK76" s="475">
        <f>CJ51</f>
        <v>2268</v>
      </c>
      <c r="CL76" s="475">
        <f>CK51</f>
        <v>-341</v>
      </c>
      <c r="CM76" s="475">
        <f>CL51</f>
        <v>-341</v>
      </c>
      <c r="CN76" s="475">
        <f>CM51</f>
        <v>-341</v>
      </c>
      <c r="CO76" s="474">
        <f>CJ51</f>
        <v>2268</v>
      </c>
      <c r="CP76" s="893">
        <f>CO51</f>
        <v>-341</v>
      </c>
      <c r="CQ76" s="475">
        <f>CP51</f>
        <v>-1010</v>
      </c>
      <c r="CR76" s="475">
        <f>CQ51</f>
        <v>-1010</v>
      </c>
      <c r="CS76" s="475">
        <f>CR51</f>
        <v>-1010</v>
      </c>
      <c r="CT76" s="474">
        <f>CO51</f>
        <v>-341</v>
      </c>
      <c r="CU76" s="475">
        <f>CT51</f>
        <v>-1010</v>
      </c>
      <c r="CV76" s="475">
        <f>CU51</f>
        <v>-1919.3000000000002</v>
      </c>
      <c r="CW76" s="475">
        <f>CV51</f>
        <v>-2383.6750000000002</v>
      </c>
      <c r="CX76" s="475">
        <f>CW51</f>
        <v>-3955.04</v>
      </c>
      <c r="CY76" s="474">
        <f>CT51</f>
        <v>-1010</v>
      </c>
      <c r="CZ76" s="475">
        <f>CY51</f>
        <v>-5656</v>
      </c>
      <c r="DA76" s="475">
        <f>CZ51</f>
        <v>-5800</v>
      </c>
      <c r="DB76" s="475">
        <f>DA51</f>
        <v>-6102</v>
      </c>
      <c r="DC76" s="475">
        <f>DB51</f>
        <v>-6121</v>
      </c>
      <c r="DD76" s="474">
        <f>CY51</f>
        <v>-5656</v>
      </c>
      <c r="DE76" s="475">
        <f>DD51</f>
        <v>-6334</v>
      </c>
      <c r="DF76" s="475">
        <f>DE51</f>
        <v>-6738.5169546454545</v>
      </c>
      <c r="DG76" s="475">
        <f>DF51</f>
        <v>-7123.9865567034658</v>
      </c>
      <c r="DH76" s="475">
        <f>DG51</f>
        <v>-7480.7714578800424</v>
      </c>
      <c r="DI76" s="474">
        <f>DD51</f>
        <v>-6334</v>
      </c>
      <c r="DJ76" s="475">
        <f>DI51</f>
        <v>-7787.7030285849787</v>
      </c>
      <c r="DK76" s="475">
        <f>DJ51</f>
        <v>-7995.3092544922365</v>
      </c>
      <c r="DL76" s="475">
        <f>DK51</f>
        <v>-8185.1163529164414</v>
      </c>
      <c r="DM76" s="475">
        <f>DL51</f>
        <v>-8343.2656352285667</v>
      </c>
      <c r="DN76" s="474">
        <f>DI51</f>
        <v>-7787.7030285849787</v>
      </c>
      <c r="DO76" s="475">
        <f>DN51</f>
        <v>-8444.0801533186786</v>
      </c>
      <c r="DP76" s="475">
        <f>DO51</f>
        <v>-8472.4872081392532</v>
      </c>
      <c r="DQ76" s="475">
        <f>DP51</f>
        <v>-8479.6622975912505</v>
      </c>
      <c r="DR76" s="475">
        <f>DQ51</f>
        <v>-8449.6729628129942</v>
      </c>
      <c r="DS76" s="474">
        <f>DN51</f>
        <v>-8444.0801533186786</v>
      </c>
      <c r="DT76" s="475">
        <f>DS51</f>
        <v>-8353.7438215393413</v>
      </c>
      <c r="DU76" s="475">
        <f>DT51</f>
        <v>-8365.1247617552144</v>
      </c>
      <c r="DV76" s="475">
        <f>DU51</f>
        <v>-8354.2951582008882</v>
      </c>
      <c r="DW76" s="475">
        <f>DV51</f>
        <v>-8302.4475583069379</v>
      </c>
      <c r="DX76" s="474">
        <f>DS51</f>
        <v>-8353.7438215393413</v>
      </c>
      <c r="DY76" s="475">
        <f>DX51</f>
        <v>-8178.1177435973595</v>
      </c>
      <c r="DZ76" s="475">
        <f>DY51</f>
        <v>-8173.2433216774289</v>
      </c>
      <c r="EA76" s="475">
        <f>DZ51</f>
        <v>-8144.5771186640077</v>
      </c>
      <c r="EB76" s="475">
        <f>EA51</f>
        <v>-8070.117559987345</v>
      </c>
      <c r="EC76" s="474">
        <f>DX51</f>
        <v>-8178.1177435973595</v>
      </c>
      <c r="EF76"/>
      <c r="EG76"/>
      <c r="EH76"/>
      <c r="EI76"/>
      <c r="EJ76"/>
      <c r="EK76"/>
      <c r="EL76"/>
      <c r="EM76"/>
      <c r="EN76"/>
      <c r="EO76"/>
      <c r="EP76"/>
      <c r="EQ76"/>
      <c r="ER76"/>
      <c r="ES76"/>
      <c r="ET76"/>
      <c r="EU76"/>
      <c r="EV76"/>
      <c r="EW76"/>
      <c r="EX76"/>
      <c r="EY76"/>
      <c r="EZ76"/>
      <c r="FA76"/>
    </row>
    <row r="77" spans="1:157" s="172" customFormat="1" x14ac:dyDescent="0.2">
      <c r="A77" s="293" t="s">
        <v>414</v>
      </c>
      <c r="V77" s="173"/>
      <c r="W77" s="478"/>
      <c r="X77" s="479"/>
      <c r="Y77" s="480"/>
      <c r="Z77" s="480"/>
      <c r="AA77" s="480"/>
      <c r="AB77" s="481"/>
      <c r="AC77" s="479"/>
      <c r="AD77" s="480"/>
      <c r="AE77" s="480"/>
      <c r="AF77" s="480"/>
      <c r="AG77" s="478">
        <f>'IS '!AE49</f>
        <v>565.6</v>
      </c>
      <c r="AH77" s="479">
        <f>'IS '!AF49</f>
        <v>118</v>
      </c>
      <c r="AI77" s="479">
        <f>'IS '!AG49</f>
        <v>145</v>
      </c>
      <c r="AJ77" s="479">
        <f>'IS '!AH49</f>
        <v>166</v>
      </c>
      <c r="AK77" s="479">
        <f>'IS '!AI49</f>
        <v>198.5</v>
      </c>
      <c r="AL77" s="478">
        <f>'IS '!AJ49</f>
        <v>627.5</v>
      </c>
      <c r="AM77" s="479">
        <f>'IS '!AK49</f>
        <v>142</v>
      </c>
      <c r="AN77" s="479">
        <f>'IS '!AL49</f>
        <v>168.6</v>
      </c>
      <c r="AO77" s="479">
        <f>'IS '!AM49</f>
        <v>185</v>
      </c>
      <c r="AP77" s="479">
        <f>'IS '!AN49</f>
        <v>225</v>
      </c>
      <c r="AQ77" s="478">
        <f>'IS '!AO49</f>
        <v>720.6</v>
      </c>
      <c r="AR77" s="479">
        <f>'IS '!AP49</f>
        <v>153</v>
      </c>
      <c r="AS77" s="479">
        <f>'IS '!AQ49</f>
        <v>178</v>
      </c>
      <c r="AT77" s="479">
        <f>'IS '!AR49</f>
        <v>205</v>
      </c>
      <c r="AU77" s="479">
        <f>'IS '!AS49</f>
        <v>224</v>
      </c>
      <c r="AV77" s="478">
        <f>'IS '!AT49</f>
        <v>760</v>
      </c>
      <c r="AW77" s="479">
        <f>'IS '!AU49</f>
        <v>170</v>
      </c>
      <c r="AX77" s="479">
        <f>'IS '!AV49</f>
        <v>192</v>
      </c>
      <c r="AY77" s="479">
        <f>'IS '!AW49</f>
        <v>230</v>
      </c>
      <c r="AZ77" s="479">
        <f>'IS '!AX49</f>
        <v>232</v>
      </c>
      <c r="BA77" s="478">
        <f>'IS '!AY49</f>
        <v>824</v>
      </c>
      <c r="BB77" s="479">
        <f>'IS '!AZ49</f>
        <v>193.60000000000002</v>
      </c>
      <c r="BC77" s="479">
        <f>'IS '!BA49</f>
        <v>214</v>
      </c>
      <c r="BD77" s="479">
        <f>'IS '!BB49</f>
        <v>270</v>
      </c>
      <c r="BE77" s="479">
        <f>'IS '!BC49</f>
        <v>231</v>
      </c>
      <c r="BF77" s="478">
        <f>'IS '!BD49</f>
        <v>908.59999999999991</v>
      </c>
      <c r="BG77" s="479">
        <f>'IS '!BE49</f>
        <v>254</v>
      </c>
      <c r="BH77" s="479">
        <f>'IS '!BF49</f>
        <v>224</v>
      </c>
      <c r="BI77" s="479">
        <f>'IS '!BG49</f>
        <v>282</v>
      </c>
      <c r="BJ77" s="479">
        <f>'IS '!BH49</f>
        <v>205</v>
      </c>
      <c r="BK77" s="478">
        <f>'IS '!BI49</f>
        <v>965</v>
      </c>
      <c r="BL77" s="479">
        <f>'IS '!BJ49</f>
        <v>218</v>
      </c>
      <c r="BM77" s="479">
        <f>'IS '!BK49</f>
        <v>303</v>
      </c>
      <c r="BN77" s="479">
        <f>'IS '!BL49</f>
        <v>334</v>
      </c>
      <c r="BO77" s="479">
        <f>'IS '!BM49</f>
        <v>216</v>
      </c>
      <c r="BP77" s="478">
        <f>'IS '!BN49</f>
        <v>1071</v>
      </c>
      <c r="BQ77" s="479">
        <f>'IS '!BO49</f>
        <v>241</v>
      </c>
      <c r="BR77" s="479">
        <f>'IS '!BP49</f>
        <v>286</v>
      </c>
      <c r="BS77" s="479">
        <f>'IS '!BQ49</f>
        <v>357</v>
      </c>
      <c r="BT77" s="479">
        <f>'IS '!BR49</f>
        <v>274</v>
      </c>
      <c r="BU77" s="478">
        <f>'IS '!BS49</f>
        <v>1158</v>
      </c>
      <c r="BV77" s="479">
        <f>'IS '!BT49</f>
        <v>264</v>
      </c>
      <c r="BW77" s="479">
        <f>'IS '!BU49</f>
        <v>316</v>
      </c>
      <c r="BX77" s="479">
        <f>'IS '!BV49</f>
        <v>383</v>
      </c>
      <c r="BY77" s="479">
        <f>'IS '!BW49</f>
        <v>356</v>
      </c>
      <c r="BZ77" s="478">
        <f>'IS '!BX49</f>
        <v>1319</v>
      </c>
      <c r="CA77" s="479">
        <f>'IS '!BY49</f>
        <v>458</v>
      </c>
      <c r="CB77" s="479">
        <f>'IS '!BZ49</f>
        <v>331</v>
      </c>
      <c r="CC77" s="479">
        <f>'IS '!CA49</f>
        <v>471</v>
      </c>
      <c r="CD77" s="479">
        <f>'IS '!CB49</f>
        <v>337</v>
      </c>
      <c r="CE77" s="478">
        <f>'IS '!CC49</f>
        <v>1597</v>
      </c>
      <c r="CF77" s="479">
        <f>'IS '!CD49</f>
        <v>252.15903900000006</v>
      </c>
      <c r="CG77" s="479">
        <f>'IS '!CE49</f>
        <v>233.55964499999999</v>
      </c>
      <c r="CH77" s="479">
        <f>'IS '!CF49</f>
        <v>260.29822499999995</v>
      </c>
      <c r="CI77" s="479">
        <f>'IS '!CG49</f>
        <v>182.53709099999998</v>
      </c>
      <c r="CJ77" s="478">
        <f>'IS '!CH49</f>
        <v>929</v>
      </c>
      <c r="CK77" s="479">
        <f>'IS '!CI49</f>
        <v>236.70327999999984</v>
      </c>
      <c r="CL77" s="479">
        <f>'IS '!CJ49</f>
        <v>220.01571499999994</v>
      </c>
      <c r="CM77" s="479">
        <f>'IS '!CK49</f>
        <v>301.66274500000003</v>
      </c>
      <c r="CN77" s="479">
        <f>'IS '!CL49</f>
        <v>246.61825999999996</v>
      </c>
      <c r="CO77" s="478">
        <f>'IS '!CM49</f>
        <v>1005</v>
      </c>
      <c r="CP77" s="894">
        <f>'IS '!CN49</f>
        <v>326.69188000000003</v>
      </c>
      <c r="CQ77" s="479">
        <f>'IS '!CO49</f>
        <v>170.76600000000008</v>
      </c>
      <c r="CR77" s="479">
        <f>'IS '!CP49</f>
        <v>210.94250000000011</v>
      </c>
      <c r="CS77" s="479">
        <f>'IS '!CQ49</f>
        <v>209</v>
      </c>
      <c r="CT77" s="478">
        <f>'IS '!CR49</f>
        <v>917.40037999999993</v>
      </c>
      <c r="CU77" s="479">
        <f>'IS '!CS49</f>
        <v>226</v>
      </c>
      <c r="CV77" s="479">
        <f>'IS '!CT49</f>
        <v>267</v>
      </c>
      <c r="CW77" s="479">
        <f>'IS '!CU49</f>
        <v>217</v>
      </c>
      <c r="CX77" s="479">
        <f>'IS '!CV49</f>
        <v>309</v>
      </c>
      <c r="CY77" s="478">
        <f>'IS '!CW49</f>
        <v>1019</v>
      </c>
      <c r="CZ77" s="479">
        <f>'IS '!CX49</f>
        <v>280</v>
      </c>
      <c r="DA77" s="479">
        <f>'IS '!CY49</f>
        <v>206</v>
      </c>
      <c r="DB77" s="479">
        <f>'IS '!CZ49</f>
        <v>418</v>
      </c>
      <c r="DC77" s="479">
        <f>'IS '!DA49</f>
        <v>436</v>
      </c>
      <c r="DD77" s="478">
        <f>'IS '!DB49</f>
        <v>1340</v>
      </c>
      <c r="DE77" s="480">
        <f>'IS '!DC49</f>
        <v>220.9807115954149</v>
      </c>
      <c r="DF77" s="480">
        <f>'IS '!DD49</f>
        <v>237.69166822767966</v>
      </c>
      <c r="DG77" s="480">
        <f>'IS '!DE49</f>
        <v>265.11890964064622</v>
      </c>
      <c r="DH77" s="480">
        <f>'IS '!DF49</f>
        <v>312.20968885733697</v>
      </c>
      <c r="DI77" s="481">
        <f>'IS '!DG49</f>
        <v>1036.0009783210774</v>
      </c>
      <c r="DJ77" s="480">
        <f>'IS '!DH49</f>
        <v>253.7479379591984</v>
      </c>
      <c r="DK77" s="480">
        <f>'IS '!DI49</f>
        <v>269.99407132101891</v>
      </c>
      <c r="DL77" s="480">
        <f>'IS '!DJ49</f>
        <v>301.15263829463618</v>
      </c>
      <c r="DM77" s="480">
        <f>'IS '!DK49</f>
        <v>356.5095453842531</v>
      </c>
      <c r="DN77" s="481">
        <f>'IS '!DL49</f>
        <v>1181.4041929591065</v>
      </c>
      <c r="DO77" s="480">
        <f>'IS '!DM49</f>
        <v>265.52348600899643</v>
      </c>
      <c r="DP77" s="480">
        <f>'IS '!DN49</f>
        <v>286.00533758499574</v>
      </c>
      <c r="DQ77" s="480">
        <f>'IS '!DO49</f>
        <v>323.45997966566176</v>
      </c>
      <c r="DR77" s="480">
        <f>'IS '!DP49</f>
        <v>388.2485730481938</v>
      </c>
      <c r="DS77" s="481">
        <f>'IS '!DQ49</f>
        <v>1263.2373763078481</v>
      </c>
      <c r="DT77" s="480">
        <f>'IS '!DR49</f>
        <v>294.02031480254925</v>
      </c>
      <c r="DU77" s="480">
        <f>'IS '!DS49</f>
        <v>315.47619436336578</v>
      </c>
      <c r="DV77" s="480">
        <f>'IS '!DT49</f>
        <v>356.7825097133973</v>
      </c>
      <c r="DW77" s="480">
        <f>'IS '!DU49</f>
        <v>428.1660859175289</v>
      </c>
      <c r="DX77" s="481">
        <f>'IS '!DV49</f>
        <v>1394.4451047968414</v>
      </c>
      <c r="DY77" s="480">
        <f>'IS '!DW49</f>
        <v>322.99966163868618</v>
      </c>
      <c r="DZ77" s="480">
        <f>'IS '!DX49</f>
        <v>346.03285456944059</v>
      </c>
      <c r="EA77" s="480">
        <f>'IS '!DY49</f>
        <v>392.11350081823372</v>
      </c>
      <c r="EB77" s="480">
        <f>'IS '!DZ49</f>
        <v>470.79346429205242</v>
      </c>
      <c r="EC77" s="481">
        <f>'IS '!EA49</f>
        <v>1531.9394813184126</v>
      </c>
      <c r="EF77"/>
      <c r="EG77"/>
      <c r="EH77"/>
      <c r="EI77"/>
      <c r="EJ77"/>
      <c r="EK77"/>
      <c r="EL77"/>
      <c r="EM77"/>
      <c r="EN77"/>
      <c r="EO77"/>
      <c r="EP77"/>
      <c r="EQ77"/>
      <c r="ER77"/>
      <c r="ES77"/>
      <c r="ET77"/>
      <c r="EU77"/>
      <c r="EV77"/>
      <c r="EW77"/>
      <c r="EX77"/>
      <c r="EY77"/>
      <c r="EZ77"/>
      <c r="FA77"/>
    </row>
    <row r="78" spans="1:157" s="172" customFormat="1" x14ac:dyDescent="0.2">
      <c r="A78" s="293" t="s">
        <v>216</v>
      </c>
      <c r="V78" s="173"/>
      <c r="W78" s="478"/>
      <c r="X78" s="479"/>
      <c r="Y78" s="480"/>
      <c r="Z78" s="480"/>
      <c r="AA78" s="480"/>
      <c r="AB78" s="481"/>
      <c r="AC78" s="479"/>
      <c r="AD78" s="480"/>
      <c r="AE78" s="480"/>
      <c r="AF78" s="480"/>
      <c r="AG78" s="478"/>
      <c r="AH78" s="479"/>
      <c r="AI78" s="479"/>
      <c r="AJ78" s="479"/>
      <c r="AK78" s="479"/>
      <c r="AL78" s="478"/>
      <c r="AM78" s="479"/>
      <c r="AN78" s="479"/>
      <c r="AO78" s="479"/>
      <c r="AP78" s="479"/>
      <c r="AQ78" s="478"/>
      <c r="AR78" s="479">
        <f>(AR44-AQ44)</f>
        <v>-31</v>
      </c>
      <c r="AS78" s="479">
        <f>(AS44-AR44)</f>
        <v>-300</v>
      </c>
      <c r="AT78" s="479">
        <f>(AT44-AS44)</f>
        <v>-154</v>
      </c>
      <c r="AU78" s="479">
        <f>(AU44-AT44)</f>
        <v>-174</v>
      </c>
      <c r="AV78" s="478">
        <f>(AV44-AQ44)</f>
        <v>-659</v>
      </c>
      <c r="AW78" s="479">
        <f>(AW44-AV44)</f>
        <v>0</v>
      </c>
      <c r="AX78" s="479">
        <f>(AX44-AW44)</f>
        <v>0</v>
      </c>
      <c r="AY78" s="479">
        <f>(AY44-AX44)</f>
        <v>0</v>
      </c>
      <c r="AZ78" s="479">
        <f>(AZ44-AY44)</f>
        <v>0</v>
      </c>
      <c r="BA78" s="478">
        <f>(BA44-AV44)</f>
        <v>0</v>
      </c>
      <c r="BB78" s="479">
        <f>(BB44-BA44)</f>
        <v>0</v>
      </c>
      <c r="BC78" s="479">
        <f>(BC44-BB44)</f>
        <v>0</v>
      </c>
      <c r="BD78" s="479">
        <f>(BD44-BC44)</f>
        <v>0</v>
      </c>
      <c r="BE78" s="479">
        <f>(BE44-BD44)</f>
        <v>0</v>
      </c>
      <c r="BF78" s="478">
        <f>(BF44-BA44)</f>
        <v>0</v>
      </c>
      <c r="BG78" s="479">
        <f>(BG44-BF44)</f>
        <v>0</v>
      </c>
      <c r="BH78" s="479">
        <f>(BH44-BG44)</f>
        <v>51</v>
      </c>
      <c r="BI78" s="479">
        <f>(BI44-BH44)</f>
        <v>-42</v>
      </c>
      <c r="BJ78" s="479">
        <f>(BJ44-BI44)</f>
        <v>-2</v>
      </c>
      <c r="BK78" s="478">
        <f>(BK44-BF44)</f>
        <v>7</v>
      </c>
      <c r="BL78" s="479">
        <f>(BL44-BK44)</f>
        <v>56</v>
      </c>
      <c r="BM78" s="479">
        <f>(BM44-BL44)</f>
        <v>107</v>
      </c>
      <c r="BN78" s="479">
        <f>(BN44-BM44)</f>
        <v>32</v>
      </c>
      <c r="BO78" s="479">
        <f>(BO44-BN44)</f>
        <v>51</v>
      </c>
      <c r="BP78" s="478">
        <f>(BP44-BK44)</f>
        <v>246</v>
      </c>
      <c r="BQ78" s="479">
        <f>(BQ44-BP44)</f>
        <v>-99</v>
      </c>
      <c r="BR78" s="479">
        <f>(BR44-BQ44)</f>
        <v>-67</v>
      </c>
      <c r="BS78" s="479">
        <f>(BS44-BR44)</f>
        <v>25</v>
      </c>
      <c r="BT78" s="479">
        <f>(BT44-BS44)</f>
        <v>-26</v>
      </c>
      <c r="BU78" s="478">
        <f>(BU44-BP44)</f>
        <v>-167</v>
      </c>
      <c r="BV78" s="479">
        <f>(BV44-BU44)</f>
        <v>-86</v>
      </c>
      <c r="BW78" s="479">
        <f>(BW44-BV44)</f>
        <v>0</v>
      </c>
      <c r="BX78" s="479">
        <f>(BX44-BW44)</f>
        <v>0</v>
      </c>
      <c r="BY78" s="479">
        <f>(BY44-BX44)</f>
        <v>18</v>
      </c>
      <c r="BZ78" s="478">
        <f>(BZ44-BU44)</f>
        <v>-68</v>
      </c>
      <c r="CA78" s="479">
        <f>(CA44-BZ44)</f>
        <v>-13</v>
      </c>
      <c r="CB78" s="479">
        <f>(CB44-CA44)</f>
        <v>-5</v>
      </c>
      <c r="CC78" s="479">
        <f>(CC44-CB44)</f>
        <v>0</v>
      </c>
      <c r="CD78" s="479">
        <f>(CD44-CC44)</f>
        <v>0</v>
      </c>
      <c r="CE78" s="478">
        <f>(CE44-BZ44)</f>
        <v>-18</v>
      </c>
      <c r="CF78" s="479">
        <f>(CF44-CE44)</f>
        <v>0</v>
      </c>
      <c r="CG78" s="479">
        <f>(CG44-CF44)</f>
        <v>0</v>
      </c>
      <c r="CH78" s="479">
        <f>(CH44-CG44)</f>
        <v>0</v>
      </c>
      <c r="CI78" s="479">
        <f>(CI44-CH44)</f>
        <v>0</v>
      </c>
      <c r="CJ78" s="478">
        <f>(CJ44-CE44)</f>
        <v>0</v>
      </c>
      <c r="CK78" s="479">
        <f>(CK44-CJ44)</f>
        <v>0</v>
      </c>
      <c r="CL78" s="479">
        <f>(CL44-CK44)</f>
        <v>0</v>
      </c>
      <c r="CM78" s="479">
        <f>(CM44-CL44)</f>
        <v>0</v>
      </c>
      <c r="CN78" s="479">
        <f>(CN44-CM44)</f>
        <v>0</v>
      </c>
      <c r="CO78" s="478">
        <f>(CO44-CJ44)</f>
        <v>0</v>
      </c>
      <c r="CP78" s="894">
        <f>(CP44-CO44)</f>
        <v>0</v>
      </c>
      <c r="CQ78" s="479">
        <f>(CQ44-CP44)</f>
        <v>0</v>
      </c>
      <c r="CR78" s="479">
        <f>(CR44-CQ44)</f>
        <v>0</v>
      </c>
      <c r="CS78" s="479">
        <f>(CS44-CR44)</f>
        <v>0</v>
      </c>
      <c r="CT78" s="478">
        <f>(CT44-CO44)</f>
        <v>0</v>
      </c>
      <c r="CU78" s="479">
        <f>(CU44-CT44)</f>
        <v>2</v>
      </c>
      <c r="CV78" s="479">
        <f>(CV44-CU44)</f>
        <v>-1.37</v>
      </c>
      <c r="CW78" s="479">
        <f>(CW44-CV44)</f>
        <v>-0.63</v>
      </c>
      <c r="CX78" s="479">
        <f>(CX44-CW44)</f>
        <v>0</v>
      </c>
      <c r="CY78" s="478">
        <f>(CY44-CT44)</f>
        <v>0</v>
      </c>
      <c r="CZ78" s="479">
        <f>(CZ44-CY44)</f>
        <v>0</v>
      </c>
      <c r="DA78" s="479">
        <f>(DA44-CZ44)</f>
        <v>0</v>
      </c>
      <c r="DB78" s="479">
        <f>(DB44-DA44)</f>
        <v>0</v>
      </c>
      <c r="DC78" s="479">
        <f>(DC44-DB44)</f>
        <v>0</v>
      </c>
      <c r="DD78" s="478">
        <f>(DD44-CY44)</f>
        <v>0</v>
      </c>
      <c r="DE78" s="480">
        <f>(DE44-DD44)</f>
        <v>0</v>
      </c>
      <c r="DF78" s="480">
        <f>(DF44-DE44)</f>
        <v>0</v>
      </c>
      <c r="DG78" s="480">
        <f>(DG44-DF44)</f>
        <v>0</v>
      </c>
      <c r="DH78" s="480">
        <f>(DH44-DG44)</f>
        <v>0</v>
      </c>
      <c r="DI78" s="481">
        <f>(DI44-DD44)</f>
        <v>0</v>
      </c>
      <c r="DJ78" s="480">
        <f>(DJ44-DI44)</f>
        <v>0</v>
      </c>
      <c r="DK78" s="480">
        <f>(DK44-DJ44)</f>
        <v>0</v>
      </c>
      <c r="DL78" s="480">
        <f>(DL44-DK44)</f>
        <v>0</v>
      </c>
      <c r="DM78" s="480">
        <f>(DM44-DL44)</f>
        <v>0</v>
      </c>
      <c r="DN78" s="481">
        <f>(DN44-DI44)</f>
        <v>0</v>
      </c>
      <c r="DO78" s="480">
        <f>(DO44-DN44)</f>
        <v>0</v>
      </c>
      <c r="DP78" s="480">
        <f>(DP44-DO44)</f>
        <v>0</v>
      </c>
      <c r="DQ78" s="480">
        <f>(DQ44-DP44)</f>
        <v>0</v>
      </c>
      <c r="DR78" s="480">
        <f>(DR44-DQ44)</f>
        <v>0</v>
      </c>
      <c r="DS78" s="481">
        <f>(DS44-DN44)</f>
        <v>0</v>
      </c>
      <c r="DT78" s="480">
        <f>(DT44-DS44)</f>
        <v>0</v>
      </c>
      <c r="DU78" s="480">
        <f>(DU44-DT44)</f>
        <v>0</v>
      </c>
      <c r="DV78" s="480">
        <f>(DV44-DU44)</f>
        <v>0</v>
      </c>
      <c r="DW78" s="480">
        <f>(DW44-DV44)</f>
        <v>0</v>
      </c>
      <c r="DX78" s="481">
        <f>(DX44-DS44)</f>
        <v>0</v>
      </c>
      <c r="DY78" s="480">
        <f>(DY44-DX44)</f>
        <v>0</v>
      </c>
      <c r="DZ78" s="480">
        <f>(DZ44-DY44)</f>
        <v>0</v>
      </c>
      <c r="EA78" s="480">
        <f>(EA44-DZ44)</f>
        <v>0</v>
      </c>
      <c r="EB78" s="480">
        <f>(EB44-EA44)</f>
        <v>0</v>
      </c>
      <c r="EC78" s="481">
        <f>(EC44-DX44)</f>
        <v>0</v>
      </c>
      <c r="EF78"/>
      <c r="EG78"/>
      <c r="EH78"/>
      <c r="EI78"/>
      <c r="EJ78"/>
      <c r="EK78"/>
      <c r="EL78"/>
      <c r="EM78"/>
      <c r="EN78"/>
      <c r="EO78"/>
      <c r="EP78"/>
      <c r="EQ78"/>
      <c r="ER78"/>
      <c r="ES78"/>
      <c r="ET78"/>
      <c r="EU78"/>
      <c r="EV78"/>
      <c r="EW78"/>
      <c r="EX78"/>
      <c r="EY78"/>
      <c r="EZ78"/>
      <c r="FA78"/>
    </row>
    <row r="79" spans="1:157" s="172" customFormat="1" x14ac:dyDescent="0.2">
      <c r="A79" s="293" t="s">
        <v>217</v>
      </c>
      <c r="V79" s="173"/>
      <c r="W79" s="478"/>
      <c r="X79" s="479"/>
      <c r="Y79" s="480"/>
      <c r="Z79" s="480"/>
      <c r="AA79" s="480"/>
      <c r="AB79" s="481"/>
      <c r="AC79" s="479"/>
      <c r="AD79" s="480"/>
      <c r="AE79" s="480"/>
      <c r="AF79" s="480"/>
      <c r="AG79" s="478"/>
      <c r="AH79" s="479"/>
      <c r="AI79" s="479"/>
      <c r="AJ79" s="479"/>
      <c r="AK79" s="479"/>
      <c r="AL79" s="478"/>
      <c r="AM79" s="479"/>
      <c r="AN79" s="479"/>
      <c r="AO79" s="479"/>
      <c r="AP79" s="479"/>
      <c r="AQ79" s="478"/>
      <c r="AR79" s="479">
        <f>AR48-AQ48</f>
        <v>6</v>
      </c>
      <c r="AS79" s="479">
        <f>AS48-AR48</f>
        <v>-15</v>
      </c>
      <c r="AT79" s="479">
        <f>AT48-AS48</f>
        <v>-7</v>
      </c>
      <c r="AU79" s="479">
        <f>AU48-AT48</f>
        <v>-23</v>
      </c>
      <c r="AV79" s="478">
        <f>AV48-AQ48</f>
        <v>-39</v>
      </c>
      <c r="AW79" s="479">
        <f>AW48-AV48</f>
        <v>16</v>
      </c>
      <c r="AX79" s="479">
        <f>AX48-AW48</f>
        <v>11</v>
      </c>
      <c r="AY79" s="479">
        <f>AY48-AX48</f>
        <v>9</v>
      </c>
      <c r="AZ79" s="479">
        <f>AZ48-AY48</f>
        <v>-22</v>
      </c>
      <c r="BA79" s="478">
        <f>BA48-AV48</f>
        <v>14</v>
      </c>
      <c r="BB79" s="479">
        <f>BB48-BA48</f>
        <v>2</v>
      </c>
      <c r="BC79" s="479">
        <f>BC48-BB48</f>
        <v>32</v>
      </c>
      <c r="BD79" s="479">
        <f>BD48-BC48</f>
        <v>3</v>
      </c>
      <c r="BE79" s="479">
        <f>BE48-BD48</f>
        <v>139</v>
      </c>
      <c r="BF79" s="478">
        <f>BF48-BA48</f>
        <v>176</v>
      </c>
      <c r="BG79" s="479">
        <f>BG48-BF48</f>
        <v>-15</v>
      </c>
      <c r="BH79" s="479">
        <f>BH48-BG48</f>
        <v>22</v>
      </c>
      <c r="BI79" s="479">
        <f>BI48-BH48</f>
        <v>-19</v>
      </c>
      <c r="BJ79" s="479">
        <f>BJ48-BI48</f>
        <v>-426</v>
      </c>
      <c r="BK79" s="478">
        <f>BK48-BF48</f>
        <v>-438</v>
      </c>
      <c r="BL79" s="479">
        <f>BL48-BK48</f>
        <v>2</v>
      </c>
      <c r="BM79" s="479">
        <f>BM48-BL48</f>
        <v>76</v>
      </c>
      <c r="BN79" s="479">
        <f>BN48-BM48</f>
        <v>61</v>
      </c>
      <c r="BO79" s="479">
        <f>BO48-BN48</f>
        <v>55</v>
      </c>
      <c r="BP79" s="478">
        <f>BP48-BK48</f>
        <v>194</v>
      </c>
      <c r="BQ79" s="479">
        <f>BQ48-BP48</f>
        <v>-25</v>
      </c>
      <c r="BR79" s="479">
        <f>BR48-BQ48</f>
        <v>-14</v>
      </c>
      <c r="BS79" s="479">
        <f>BS48-BR48</f>
        <v>26</v>
      </c>
      <c r="BT79" s="479">
        <f>BT48-BS48</f>
        <v>10</v>
      </c>
      <c r="BU79" s="478">
        <f>BU48-BP48</f>
        <v>-3</v>
      </c>
      <c r="BV79" s="479">
        <f>BV48-BU48</f>
        <v>50</v>
      </c>
      <c r="BW79" s="479">
        <f>BW48-BV48</f>
        <v>75</v>
      </c>
      <c r="BX79" s="479">
        <f>BX48-BW48</f>
        <v>13</v>
      </c>
      <c r="BY79" s="479">
        <f>BY48-BX48</f>
        <v>-158</v>
      </c>
      <c r="BZ79" s="478">
        <f>BZ48-BU48</f>
        <v>-20</v>
      </c>
      <c r="CA79" s="479">
        <f>CA48-BZ48</f>
        <v>22</v>
      </c>
      <c r="CB79" s="479">
        <f>CB48-CA48</f>
        <v>-18</v>
      </c>
      <c r="CC79" s="479">
        <f>CC48-CB48</f>
        <v>-10</v>
      </c>
      <c r="CD79" s="479">
        <f>CD48-CC48</f>
        <v>121</v>
      </c>
      <c r="CE79" s="478">
        <f>CE48-BZ48</f>
        <v>115</v>
      </c>
      <c r="CF79" s="479">
        <f>CF48-CE48</f>
        <v>12</v>
      </c>
      <c r="CG79" s="479">
        <f>CG48-CF48</f>
        <v>19</v>
      </c>
      <c r="CH79" s="479">
        <f>CH48-CG48</f>
        <v>-31</v>
      </c>
      <c r="CI79" s="479">
        <f>CI48-CH48</f>
        <v>196</v>
      </c>
      <c r="CJ79" s="478">
        <f>CJ48-CE48</f>
        <v>196</v>
      </c>
      <c r="CK79" s="479">
        <f>CK48-CJ48</f>
        <v>-471</v>
      </c>
      <c r="CL79" s="479">
        <f>CL48-CK48</f>
        <v>0</v>
      </c>
      <c r="CM79" s="479">
        <f>CM48-CL48</f>
        <v>0</v>
      </c>
      <c r="CN79" s="479">
        <f>CN48-CM48</f>
        <v>0</v>
      </c>
      <c r="CO79" s="478">
        <f>CO48-CJ48</f>
        <v>-471</v>
      </c>
      <c r="CP79" s="894">
        <f>CP48-CO48</f>
        <v>38</v>
      </c>
      <c r="CQ79" s="479">
        <f>CQ48-CP48</f>
        <v>0</v>
      </c>
      <c r="CR79" s="479">
        <f>CR48-CQ48</f>
        <v>0</v>
      </c>
      <c r="CS79" s="479">
        <f>CS48-CR48</f>
        <v>0</v>
      </c>
      <c r="CT79" s="478">
        <f>CT48-CO48</f>
        <v>38</v>
      </c>
      <c r="CU79" s="479">
        <f>CU48-CT48</f>
        <v>-40</v>
      </c>
      <c r="CV79" s="479">
        <f>CV48-CU48</f>
        <v>-123</v>
      </c>
      <c r="CW79" s="479">
        <f>CW48-CV48</f>
        <v>135</v>
      </c>
      <c r="CX79" s="479">
        <f>CX48-CW48</f>
        <v>-36</v>
      </c>
      <c r="CY79" s="478">
        <f>CY48-CT48</f>
        <v>-64</v>
      </c>
      <c r="CZ79" s="479">
        <f>CZ48-CY48</f>
        <v>66</v>
      </c>
      <c r="DA79" s="479">
        <f>DA48-CZ48</f>
        <v>-25</v>
      </c>
      <c r="DB79" s="479">
        <f>DB48-DA48</f>
        <v>88</v>
      </c>
      <c r="DC79" s="479">
        <f>DC48-DB48</f>
        <v>33</v>
      </c>
      <c r="DD79" s="478">
        <f>DD48-CY48</f>
        <v>162</v>
      </c>
      <c r="DE79" s="480">
        <f>DE48-DD48</f>
        <v>31.074999999999989</v>
      </c>
      <c r="DF79" s="480">
        <f>DF48-DE48</f>
        <v>31.074999999999989</v>
      </c>
      <c r="DG79" s="480">
        <f>DG48-DF48</f>
        <v>30.074999999999989</v>
      </c>
      <c r="DH79" s="480">
        <f>DH48-DG48</f>
        <v>31.074999999999989</v>
      </c>
      <c r="DI79" s="481">
        <f>DI48-DD48</f>
        <v>123.29999999999995</v>
      </c>
      <c r="DJ79" s="480">
        <f>DJ48-DI48</f>
        <v>24</v>
      </c>
      <c r="DK79" s="480">
        <f>DK48-DJ48</f>
        <v>24</v>
      </c>
      <c r="DL79" s="480">
        <f>DL48-DK48</f>
        <v>23</v>
      </c>
      <c r="DM79" s="480">
        <f>DM48-DL48</f>
        <v>24</v>
      </c>
      <c r="DN79" s="481">
        <f>DN48-DI48</f>
        <v>95</v>
      </c>
      <c r="DO79" s="480">
        <f>DO48-DN48</f>
        <v>24</v>
      </c>
      <c r="DP79" s="480">
        <f>DP48-DO48</f>
        <v>24</v>
      </c>
      <c r="DQ79" s="480">
        <f>DQ48-DP48</f>
        <v>23</v>
      </c>
      <c r="DR79" s="480">
        <f>DR48-DQ48</f>
        <v>24</v>
      </c>
      <c r="DS79" s="481">
        <f>DS48-DN48</f>
        <v>95</v>
      </c>
      <c r="DT79" s="480">
        <f>DT48-DS48</f>
        <v>24</v>
      </c>
      <c r="DU79" s="480">
        <f>DU48-DT48</f>
        <v>24</v>
      </c>
      <c r="DV79" s="480">
        <f>DV48-DU48</f>
        <v>23</v>
      </c>
      <c r="DW79" s="480">
        <f>DW48-DV48</f>
        <v>24</v>
      </c>
      <c r="DX79" s="481">
        <f>DX48-DS48</f>
        <v>95</v>
      </c>
      <c r="DY79" s="480">
        <f>DY48-DX48</f>
        <v>24</v>
      </c>
      <c r="DZ79" s="480">
        <f>DZ48-DY48</f>
        <v>24</v>
      </c>
      <c r="EA79" s="480">
        <f>EA48-DZ48</f>
        <v>23</v>
      </c>
      <c r="EB79" s="480">
        <f>EB48-EA48</f>
        <v>24</v>
      </c>
      <c r="EC79" s="481">
        <f>EC48-DX48</f>
        <v>95</v>
      </c>
      <c r="EF79"/>
      <c r="EG79"/>
      <c r="EH79"/>
      <c r="EI79"/>
      <c r="EJ79"/>
      <c r="EK79"/>
      <c r="EL79"/>
      <c r="EM79"/>
      <c r="EN79"/>
      <c r="EO79"/>
      <c r="EP79"/>
      <c r="EQ79"/>
      <c r="ER79"/>
      <c r="ES79"/>
      <c r="ET79"/>
      <c r="EU79"/>
      <c r="EV79"/>
      <c r="EW79"/>
      <c r="EX79"/>
      <c r="EY79"/>
      <c r="EZ79"/>
      <c r="FA79"/>
    </row>
    <row r="80" spans="1:157" s="172" customFormat="1" x14ac:dyDescent="0.2">
      <c r="A80" s="293" t="s">
        <v>218</v>
      </c>
      <c r="V80" s="173"/>
      <c r="W80" s="478"/>
      <c r="X80" s="479"/>
      <c r="Y80" s="480"/>
      <c r="Z80" s="480"/>
      <c r="AA80" s="480"/>
      <c r="AB80" s="481"/>
      <c r="AC80" s="479"/>
      <c r="AD80" s="480"/>
      <c r="AE80" s="480"/>
      <c r="AF80" s="480"/>
      <c r="AG80" s="478"/>
      <c r="AH80" s="479"/>
      <c r="AI80" s="479"/>
      <c r="AJ80" s="479"/>
      <c r="AK80" s="479"/>
      <c r="AL80" s="478"/>
      <c r="AM80" s="479"/>
      <c r="AN80" s="479"/>
      <c r="AO80" s="479"/>
      <c r="AP80" s="479"/>
      <c r="AQ80" s="478"/>
      <c r="AR80" s="479">
        <f>AR47-AQ47-AR77</f>
        <v>-15</v>
      </c>
      <c r="AS80" s="479">
        <f>AS47-AR47-AS77</f>
        <v>-24</v>
      </c>
      <c r="AT80" s="479">
        <f>AT47-AS47-AT77</f>
        <v>9</v>
      </c>
      <c r="AU80" s="479">
        <f>AU47-AT47-AU77</f>
        <v>-178</v>
      </c>
      <c r="AV80" s="478">
        <f>AV47-AQ47-AV77</f>
        <v>-208</v>
      </c>
      <c r="AW80" s="479">
        <f>AW47-AV47-AW77</f>
        <v>-305</v>
      </c>
      <c r="AX80" s="479">
        <f>AX47-AW47-AX77</f>
        <v>-128</v>
      </c>
      <c r="AY80" s="479">
        <f>AY47-AX47-AY77</f>
        <v>-316</v>
      </c>
      <c r="AZ80" s="479">
        <f>AZ47-AY47-AZ77</f>
        <v>-101</v>
      </c>
      <c r="BA80" s="478">
        <f>BA47-AV47-BA77</f>
        <v>-850</v>
      </c>
      <c r="BB80" s="479">
        <f>BB47-BA47-BB77</f>
        <v>-173.60000000000002</v>
      </c>
      <c r="BC80" s="479">
        <f>BC47-BB47-BC77</f>
        <v>-248</v>
      </c>
      <c r="BD80" s="479">
        <f>BD47-BC47-BD77</f>
        <v>-308</v>
      </c>
      <c r="BE80" s="479">
        <f>BE47-BD47-BE77</f>
        <v>-653</v>
      </c>
      <c r="BF80" s="478">
        <f>BF47-BA47-BF77</f>
        <v>-1382.6</v>
      </c>
      <c r="BG80" s="479">
        <f>BG47-BF47-BG77</f>
        <v>-999</v>
      </c>
      <c r="BH80" s="479">
        <f>BH47-BG47-BH77</f>
        <v>-94</v>
      </c>
      <c r="BI80" s="479">
        <f>BI47-BH47-BI77</f>
        <v>-437</v>
      </c>
      <c r="BJ80" s="479">
        <f>BJ47-BI47-BJ77</f>
        <v>-255</v>
      </c>
      <c r="BK80" s="478">
        <f>BK47-BF47-BK77</f>
        <v>-1785</v>
      </c>
      <c r="BL80" s="479">
        <f>BL47-BK47-BL77+BL50</f>
        <v>12</v>
      </c>
      <c r="BM80" s="479">
        <f>BM47-BL47-BM77+BM50</f>
        <v>-97</v>
      </c>
      <c r="BN80" s="479">
        <f>BN47-BM47-BN77+BN50</f>
        <v>86</v>
      </c>
      <c r="BO80" s="479">
        <f>BO47-BN47-BO77+BO50</f>
        <v>-110</v>
      </c>
      <c r="BP80" s="478">
        <f>BP47-BK47-BP77+BP50</f>
        <v>-285</v>
      </c>
      <c r="BQ80" s="479">
        <f>BQ47-BP47-BQ77+(BQ50-BP50)</f>
        <v>-114</v>
      </c>
      <c r="BR80" s="479">
        <f>BR47-BQ47-BR77+(BR50-BQ50)</f>
        <v>-96</v>
      </c>
      <c r="BS80" s="479">
        <f>BS47-BR47-BS77+(BS50-BR50)</f>
        <v>9</v>
      </c>
      <c r="BT80" s="479">
        <f>BT47-BS47-BT77+(BT50-BS50)</f>
        <v>-232</v>
      </c>
      <c r="BU80" s="478">
        <f>BU47-BP47-BU77+(BU50-BP50)</f>
        <v>-433</v>
      </c>
      <c r="BV80" s="479">
        <f>BV47-BU47-BV77+(BV50-BU50)</f>
        <v>-38</v>
      </c>
      <c r="BW80" s="479">
        <f>BW47-BV47-BW77+(BW50-BV50)</f>
        <v>-362</v>
      </c>
      <c r="BX80" s="479">
        <f>BX47-BW47-BX77+(BX50-BW50)</f>
        <v>-201</v>
      </c>
      <c r="BY80" s="479">
        <f>BY47-BX47-BY77+(BY50-BX50)</f>
        <v>-383</v>
      </c>
      <c r="BZ80" s="478">
        <f>BZ47-BU47-BZ77+(BZ50-BU50)</f>
        <v>-984</v>
      </c>
      <c r="CA80" s="479">
        <f>CA47-BZ47-CA77+(CA50-BZ50)</f>
        <v>-104</v>
      </c>
      <c r="CB80" s="479">
        <f>CB47-CA47-CB77+(CB50-CA50)</f>
        <v>-315</v>
      </c>
      <c r="CC80" s="479">
        <f>CC47-CB47-CC77+(CC50-CB50)</f>
        <v>-394</v>
      </c>
      <c r="CD80" s="479">
        <f>CD47-CC47-CD77+(CD50-CC50)</f>
        <v>-485</v>
      </c>
      <c r="CE80" s="478">
        <f>CE47-BZ47-CE77+(CE50-BZ50)</f>
        <v>-1298</v>
      </c>
      <c r="CF80" s="479">
        <f>CF47-CE47-CF77+(CF50-CE50)</f>
        <v>-159.15903900000006</v>
      </c>
      <c r="CG80" s="479">
        <f>CG47-CF47-CG77+(CG50-CF50)</f>
        <v>-325.55964499999999</v>
      </c>
      <c r="CH80" s="479">
        <f>CH47-CG47-CH77+(CH50-CG50)</f>
        <v>-273.29822499999995</v>
      </c>
      <c r="CI80" s="479">
        <f>CI47-CH47-CI77+(CI50-CH50)</f>
        <v>-410.53709099999998</v>
      </c>
      <c r="CJ80" s="478">
        <f>CJ47-CE47-CJ77+(CJ50-CE50)</f>
        <v>-1169</v>
      </c>
      <c r="CK80" s="479">
        <f>CK47-CJ47-CK77+(CK50-CJ50)</f>
        <v>-2374.7032799999997</v>
      </c>
      <c r="CL80" s="479">
        <f>CL47-CK47-CL77+(CL50-CK50)</f>
        <v>-220.01571499999994</v>
      </c>
      <c r="CM80" s="479">
        <f>CM47-CL47-CM77+(CM50-CL50)</f>
        <v>-301.66274500000003</v>
      </c>
      <c r="CN80" s="479">
        <f>CN47-CM47-CN77+(CN50-CM50)</f>
        <v>-246.61825999999996</v>
      </c>
      <c r="CO80" s="478">
        <f>CO47-CJ47-CO77+(CO50-CJ50)</f>
        <v>-3143</v>
      </c>
      <c r="CP80" s="894">
        <f>CP47-CO47-CP77+(CP50-CO50)</f>
        <v>-1033.6918800000001</v>
      </c>
      <c r="CQ80" s="479">
        <f>CQ47-CP47-CQ77+(CQ50-CP50)</f>
        <v>-170.76600000000008</v>
      </c>
      <c r="CR80" s="479">
        <f>CR47-CQ47-CR77+(CR50-CQ50)</f>
        <v>-210.94250000000011</v>
      </c>
      <c r="CS80" s="479">
        <f>CS47-CR47-CS77+(CS50-CR50)</f>
        <v>-209</v>
      </c>
      <c r="CT80" s="478">
        <f>CT47-CO47-CT77+(CT50-CO50)</f>
        <v>-1624.40038</v>
      </c>
      <c r="CU80" s="479">
        <f>CU47-CT47-CU77+(CU50-CT50)</f>
        <v>-1100.3000000000002</v>
      </c>
      <c r="CV80" s="479">
        <f>CV47-CU47-CV77+(CV50-CU50)</f>
        <v>-602.74500000000012</v>
      </c>
      <c r="CW80" s="479">
        <f>CW47-CV47-CW77+(CW50-CV50)</f>
        <v>-1923.9949999999997</v>
      </c>
      <c r="CX80" s="479">
        <f>CX47-CW47-CX77+(CX50-CW50)</f>
        <v>-1973.96</v>
      </c>
      <c r="CY80" s="478">
        <f>CY47-CT47-CY77+(CY50-CT50)</f>
        <v>-5601</v>
      </c>
      <c r="CZ80" s="479">
        <f>CZ47-CY47-CZ77+(CZ50-CY50)</f>
        <v>-490</v>
      </c>
      <c r="DA80" s="479">
        <f>DA47-CZ47-DA77+(DA50-CZ50)</f>
        <v>-483</v>
      </c>
      <c r="DB80" s="479">
        <f>DB47-DA47-DB77+(DB50-DA50)</f>
        <v>-525</v>
      </c>
      <c r="DC80" s="479">
        <f>DC47-DB47-DC77+(DC50-DB50)</f>
        <v>-682</v>
      </c>
      <c r="DD80" s="478">
        <f>DD47-CY47-DD77+(DD50-CY50)</f>
        <v>-2180</v>
      </c>
      <c r="DE80" s="480">
        <f>DE47-DD47-DE77+(DE50-DD50)</f>
        <v>-656.57266624086924</v>
      </c>
      <c r="DF80" s="480">
        <f>DF47-DE47-DF77+(DF50-DE50)</f>
        <v>-654.23627028569081</v>
      </c>
      <c r="DG80" s="480">
        <f>DG47-DF47-DG77+(DG50-DF50)</f>
        <v>-651.97881081722358</v>
      </c>
      <c r="DH80" s="480">
        <f>DH47-DG47-DH77+(DH50-DG50)</f>
        <v>-650.21625956227308</v>
      </c>
      <c r="DI80" s="481">
        <f>DI47-DD47-DI77+(DI50-DD50)</f>
        <v>-2613.004006906056</v>
      </c>
      <c r="DJ80" s="480">
        <f>DJ47-DI47-DJ77+(DJ50-DI50)</f>
        <v>-485.35416386645619</v>
      </c>
      <c r="DK80" s="480">
        <f>DK47-DJ47-DK77+(DK50-DJ50)</f>
        <v>-483.80116974522383</v>
      </c>
      <c r="DL80" s="480">
        <f>DL47-DK47-DL77+(DL50-DK50)</f>
        <v>-482.30192060676052</v>
      </c>
      <c r="DM80" s="480">
        <f>DM47-DL47-DM77+(DM50-DL50)</f>
        <v>-481.32406347436506</v>
      </c>
      <c r="DN80" s="481">
        <f>DN47-DI47-DN77+(DN50-DI50)</f>
        <v>-1932.7813176928055</v>
      </c>
      <c r="DO80" s="480">
        <f>DO47-DN47-DO77+(DO50-DN50)</f>
        <v>-317.93054082957099</v>
      </c>
      <c r="DP80" s="480">
        <f>DP47-DO47-DP77+(DP50-DO50)</f>
        <v>-317.18042703699308</v>
      </c>
      <c r="DQ80" s="480">
        <f>DQ47-DP47-DQ77+(DQ50-DP50)</f>
        <v>-316.47064488740546</v>
      </c>
      <c r="DR80" s="480">
        <f>DR47-DQ47-DR77+(DR50-DQ50)</f>
        <v>-316.31943177454087</v>
      </c>
      <c r="DS80" s="481">
        <f>DS47-DN47-DS77+(DS50-DN50)</f>
        <v>-1267.9010445285107</v>
      </c>
      <c r="DT80" s="480">
        <f>DT47-DS47-DT77+(DT50-DS50)</f>
        <v>-329.40125501842238</v>
      </c>
      <c r="DU80" s="480">
        <f>DU47-DT47-DU77+(DU50-DT50)</f>
        <v>-328.64659080903954</v>
      </c>
      <c r="DV80" s="480">
        <f>DV47-DU47-DV77+(DV50-DU50)</f>
        <v>-327.93490981944706</v>
      </c>
      <c r="DW80" s="480">
        <f>DW47-DV47-DW77+(DW50-DV50)</f>
        <v>-327.83627120795143</v>
      </c>
      <c r="DX80" s="481">
        <f>DX47-DS47-DX77+(DX50-DS50)</f>
        <v>-1313.8190268548606</v>
      </c>
      <c r="DY80" s="480">
        <f>DY47-DX47-DY77+(DY50-DX50)</f>
        <v>-342.12523971875549</v>
      </c>
      <c r="DZ80" s="480">
        <f>DZ47-DY47-DZ77+(DZ50-DY50)</f>
        <v>-341.36665155601941</v>
      </c>
      <c r="EA80" s="480">
        <f>EA47-DZ47-EA77+(EA50-DZ50)</f>
        <v>-340.65394214157101</v>
      </c>
      <c r="EB80" s="480">
        <f>EB47-EA47-EB77+(EB50-EA50)</f>
        <v>-340.61422171799467</v>
      </c>
      <c r="EC80" s="481">
        <f>EC47-DX47-EC77+(EC50-DX50)</f>
        <v>-1364.7600551343403</v>
      </c>
      <c r="EF80"/>
      <c r="EG80"/>
      <c r="EH80"/>
      <c r="EI80"/>
      <c r="EJ80"/>
      <c r="EK80"/>
      <c r="EL80"/>
      <c r="EM80"/>
      <c r="EN80"/>
      <c r="EO80"/>
      <c r="EP80"/>
      <c r="EQ80"/>
      <c r="ER80"/>
      <c r="ES80"/>
      <c r="ET80"/>
      <c r="EU80"/>
      <c r="EV80"/>
      <c r="EW80"/>
      <c r="EX80"/>
      <c r="EY80"/>
      <c r="EZ80"/>
      <c r="FA80"/>
    </row>
    <row r="81" spans="1:157" s="172" customFormat="1" x14ac:dyDescent="0.2">
      <c r="A81" s="473" t="s">
        <v>219</v>
      </c>
      <c r="V81" s="173"/>
      <c r="W81" s="474"/>
      <c r="X81" s="475"/>
      <c r="Y81" s="476"/>
      <c r="Z81" s="476"/>
      <c r="AA81" s="476"/>
      <c r="AB81" s="477"/>
      <c r="AC81" s="475"/>
      <c r="AD81" s="476"/>
      <c r="AE81" s="476"/>
      <c r="AF81" s="476"/>
      <c r="AG81" s="474">
        <f t="shared" ref="AG81:BL81" si="328">SUM(AG76:AG80)</f>
        <v>669.6</v>
      </c>
      <c r="AH81" s="475">
        <f t="shared" si="328"/>
        <v>712</v>
      </c>
      <c r="AI81" s="475">
        <f t="shared" si="328"/>
        <v>835</v>
      </c>
      <c r="AJ81" s="475">
        <f t="shared" si="328"/>
        <v>996</v>
      </c>
      <c r="AK81" s="475">
        <f t="shared" si="328"/>
        <v>1201.5</v>
      </c>
      <c r="AL81" s="474">
        <f t="shared" si="328"/>
        <v>1221.5</v>
      </c>
      <c r="AM81" s="475">
        <f t="shared" si="328"/>
        <v>1262</v>
      </c>
      <c r="AN81" s="475">
        <f t="shared" si="328"/>
        <v>1360.6</v>
      </c>
      <c r="AO81" s="475">
        <f t="shared" si="328"/>
        <v>1458</v>
      </c>
      <c r="AP81" s="475">
        <f t="shared" si="328"/>
        <v>1739</v>
      </c>
      <c r="AQ81" s="474">
        <f t="shared" si="328"/>
        <v>1840.6</v>
      </c>
      <c r="AR81" s="475">
        <f t="shared" si="328"/>
        <v>1708</v>
      </c>
      <c r="AS81" s="475">
        <f t="shared" si="328"/>
        <v>1547</v>
      </c>
      <c r="AT81" s="475">
        <f t="shared" si="328"/>
        <v>1600</v>
      </c>
      <c r="AU81" s="475">
        <f t="shared" si="328"/>
        <v>1449</v>
      </c>
      <c r="AV81" s="474">
        <f t="shared" si="328"/>
        <v>1449</v>
      </c>
      <c r="AW81" s="475">
        <f t="shared" si="328"/>
        <v>1330</v>
      </c>
      <c r="AX81" s="475">
        <f t="shared" si="328"/>
        <v>1405</v>
      </c>
      <c r="AY81" s="475">
        <f t="shared" si="328"/>
        <v>1328</v>
      </c>
      <c r="AZ81" s="475">
        <f t="shared" si="328"/>
        <v>1437</v>
      </c>
      <c r="BA81" s="474">
        <f t="shared" si="328"/>
        <v>1437</v>
      </c>
      <c r="BB81" s="475">
        <f t="shared" si="328"/>
        <v>1459</v>
      </c>
      <c r="BC81" s="475">
        <f t="shared" si="328"/>
        <v>1457</v>
      </c>
      <c r="BD81" s="475">
        <f t="shared" si="328"/>
        <v>1422</v>
      </c>
      <c r="BE81" s="475">
        <f t="shared" si="328"/>
        <v>1139</v>
      </c>
      <c r="BF81" s="474">
        <f t="shared" si="328"/>
        <v>1139</v>
      </c>
      <c r="BG81" s="475">
        <f t="shared" si="328"/>
        <v>379</v>
      </c>
      <c r="BH81" s="475">
        <f t="shared" si="328"/>
        <v>582</v>
      </c>
      <c r="BI81" s="475">
        <f t="shared" si="328"/>
        <v>366</v>
      </c>
      <c r="BJ81" s="475">
        <f t="shared" si="328"/>
        <v>-112</v>
      </c>
      <c r="BK81" s="474">
        <f t="shared" si="328"/>
        <v>-112</v>
      </c>
      <c r="BL81" s="475">
        <f t="shared" si="328"/>
        <v>176</v>
      </c>
      <c r="BM81" s="475">
        <f t="shared" ref="BM81:CF81" si="329">SUM(BM76:BM80)</f>
        <v>557</v>
      </c>
      <c r="BN81" s="475">
        <f t="shared" si="329"/>
        <v>989</v>
      </c>
      <c r="BO81" s="475">
        <f t="shared" si="329"/>
        <v>1114</v>
      </c>
      <c r="BP81" s="474">
        <f t="shared" si="329"/>
        <v>1114</v>
      </c>
      <c r="BQ81" s="475">
        <f t="shared" si="329"/>
        <v>1117</v>
      </c>
      <c r="BR81" s="475">
        <f t="shared" si="329"/>
        <v>1226</v>
      </c>
      <c r="BS81" s="475">
        <f t="shared" si="329"/>
        <v>1643</v>
      </c>
      <c r="BT81" s="475">
        <f t="shared" si="329"/>
        <v>1669</v>
      </c>
      <c r="BU81" s="474">
        <f t="shared" si="329"/>
        <v>1669</v>
      </c>
      <c r="BV81" s="475">
        <f t="shared" si="329"/>
        <v>1859</v>
      </c>
      <c r="BW81" s="475">
        <f t="shared" si="329"/>
        <v>1888</v>
      </c>
      <c r="BX81" s="475">
        <f t="shared" si="329"/>
        <v>2083</v>
      </c>
      <c r="BY81" s="475">
        <f t="shared" si="329"/>
        <v>1916</v>
      </c>
      <c r="BZ81" s="474">
        <f t="shared" si="329"/>
        <v>1916</v>
      </c>
      <c r="CA81" s="475">
        <f t="shared" si="329"/>
        <v>2279</v>
      </c>
      <c r="CB81" s="475">
        <f t="shared" si="329"/>
        <v>2272</v>
      </c>
      <c r="CC81" s="475">
        <f t="shared" si="329"/>
        <v>2339</v>
      </c>
      <c r="CD81" s="475">
        <f t="shared" si="329"/>
        <v>2312</v>
      </c>
      <c r="CE81" s="474">
        <f t="shared" si="329"/>
        <v>2312</v>
      </c>
      <c r="CF81" s="475">
        <f t="shared" si="329"/>
        <v>2417</v>
      </c>
      <c r="CG81" s="475">
        <f t="shared" ref="CG81:CO81" si="330">SUM(CG76:CG80)</f>
        <v>2344</v>
      </c>
      <c r="CH81" s="475">
        <f t="shared" si="330"/>
        <v>2300</v>
      </c>
      <c r="CI81" s="475">
        <f t="shared" si="330"/>
        <v>2268</v>
      </c>
      <c r="CJ81" s="474">
        <f t="shared" si="330"/>
        <v>2268</v>
      </c>
      <c r="CK81" s="475">
        <f t="shared" si="330"/>
        <v>-341</v>
      </c>
      <c r="CL81" s="475">
        <f t="shared" si="330"/>
        <v>-341</v>
      </c>
      <c r="CM81" s="475">
        <f t="shared" si="330"/>
        <v>-341</v>
      </c>
      <c r="CN81" s="475">
        <f t="shared" si="330"/>
        <v>-341</v>
      </c>
      <c r="CO81" s="474">
        <f t="shared" si="330"/>
        <v>-341</v>
      </c>
      <c r="CP81" s="893">
        <f t="shared" ref="CP81:DS81" si="331">SUM(CP76:CP80)</f>
        <v>-1010</v>
      </c>
      <c r="CQ81" s="475">
        <f t="shared" si="331"/>
        <v>-1010</v>
      </c>
      <c r="CR81" s="475">
        <f t="shared" si="331"/>
        <v>-1010</v>
      </c>
      <c r="CS81" s="475">
        <f t="shared" si="331"/>
        <v>-1010</v>
      </c>
      <c r="CT81" s="474">
        <f t="shared" si="331"/>
        <v>-1010.0000000000001</v>
      </c>
      <c r="CU81" s="475">
        <f t="shared" si="331"/>
        <v>-1922.3000000000002</v>
      </c>
      <c r="CV81" s="475">
        <f t="shared" si="331"/>
        <v>-2379.415</v>
      </c>
      <c r="CW81" s="475">
        <f t="shared" si="331"/>
        <v>-3956.3</v>
      </c>
      <c r="CX81" s="475">
        <f t="shared" si="331"/>
        <v>-5656</v>
      </c>
      <c r="CY81" s="474">
        <f t="shared" si="331"/>
        <v>-5656</v>
      </c>
      <c r="CZ81" s="475">
        <f t="shared" si="331"/>
        <v>-5800</v>
      </c>
      <c r="DA81" s="475">
        <f t="shared" si="331"/>
        <v>-6102</v>
      </c>
      <c r="DB81" s="475">
        <f t="shared" si="331"/>
        <v>-6121</v>
      </c>
      <c r="DC81" s="475">
        <f t="shared" si="331"/>
        <v>-6334</v>
      </c>
      <c r="DD81" s="474">
        <f t="shared" si="331"/>
        <v>-6334</v>
      </c>
      <c r="DE81" s="476">
        <f t="shared" ref="DE81:DI81" si="332">SUM(DE76:DE80)</f>
        <v>-6738.5169546454545</v>
      </c>
      <c r="DF81" s="476">
        <f t="shared" si="332"/>
        <v>-7123.9865567034658</v>
      </c>
      <c r="DG81" s="476">
        <f t="shared" si="332"/>
        <v>-7480.7714578800433</v>
      </c>
      <c r="DH81" s="476">
        <f t="shared" si="332"/>
        <v>-7787.7030285849787</v>
      </c>
      <c r="DI81" s="477">
        <f t="shared" si="332"/>
        <v>-7787.7030285849787</v>
      </c>
      <c r="DJ81" s="476">
        <f t="shared" si="331"/>
        <v>-7995.3092544922365</v>
      </c>
      <c r="DK81" s="476">
        <f t="shared" si="331"/>
        <v>-8185.1163529164414</v>
      </c>
      <c r="DL81" s="476">
        <f t="shared" si="331"/>
        <v>-8343.2656352285667</v>
      </c>
      <c r="DM81" s="476">
        <f t="shared" si="331"/>
        <v>-8444.0801533186786</v>
      </c>
      <c r="DN81" s="477">
        <f t="shared" si="331"/>
        <v>-8444.0801533186768</v>
      </c>
      <c r="DO81" s="476">
        <f t="shared" si="331"/>
        <v>-8472.4872081392532</v>
      </c>
      <c r="DP81" s="476">
        <f t="shared" si="331"/>
        <v>-8479.6622975912505</v>
      </c>
      <c r="DQ81" s="476">
        <f t="shared" si="331"/>
        <v>-8449.6729628129942</v>
      </c>
      <c r="DR81" s="476">
        <f t="shared" si="331"/>
        <v>-8353.7438215393413</v>
      </c>
      <c r="DS81" s="477">
        <f t="shared" si="331"/>
        <v>-8353.7438215393413</v>
      </c>
      <c r="DT81" s="476">
        <f t="shared" ref="DT81:EC81" si="333">SUM(DT76:DT80)</f>
        <v>-8365.1247617552144</v>
      </c>
      <c r="DU81" s="476">
        <f t="shared" si="333"/>
        <v>-8354.2951582008882</v>
      </c>
      <c r="DV81" s="476">
        <f t="shared" si="333"/>
        <v>-8302.4475583069379</v>
      </c>
      <c r="DW81" s="476">
        <f t="shared" si="333"/>
        <v>-8178.1177435973605</v>
      </c>
      <c r="DX81" s="477">
        <f t="shared" si="333"/>
        <v>-8178.1177435973605</v>
      </c>
      <c r="DY81" s="476">
        <f t="shared" si="333"/>
        <v>-8173.2433216774289</v>
      </c>
      <c r="DZ81" s="476">
        <f t="shared" si="333"/>
        <v>-8144.5771186640086</v>
      </c>
      <c r="EA81" s="476">
        <f t="shared" si="333"/>
        <v>-8070.117559987345</v>
      </c>
      <c r="EB81" s="476">
        <f t="shared" si="333"/>
        <v>-7915.9383174132872</v>
      </c>
      <c r="EC81" s="477">
        <f t="shared" si="333"/>
        <v>-7915.9383174132872</v>
      </c>
      <c r="EF81"/>
      <c r="EG81"/>
      <c r="EH81"/>
      <c r="EI81"/>
      <c r="EJ81"/>
      <c r="EK81"/>
      <c r="EL81"/>
      <c r="EM81"/>
      <c r="EN81"/>
      <c r="EO81"/>
      <c r="EP81"/>
      <c r="EQ81"/>
      <c r="ER81"/>
      <c r="ES81"/>
      <c r="ET81"/>
      <c r="EU81"/>
      <c r="EV81"/>
      <c r="EW81"/>
      <c r="EX81"/>
      <c r="EY81"/>
      <c r="EZ81"/>
      <c r="FA81"/>
    </row>
    <row r="82" spans="1:157" s="172" customFormat="1" x14ac:dyDescent="0.2">
      <c r="A82" s="174"/>
      <c r="V82" s="173"/>
      <c r="AQ82" s="172">
        <f t="shared" ref="AQ82:BV82" si="334">AQ81-AQ51</f>
        <v>245.59999999999991</v>
      </c>
      <c r="AR82" s="334">
        <f t="shared" si="334"/>
        <v>0</v>
      </c>
      <c r="AS82" s="334">
        <f t="shared" si="334"/>
        <v>0</v>
      </c>
      <c r="AT82" s="334">
        <f t="shared" si="334"/>
        <v>0</v>
      </c>
      <c r="AU82" s="334">
        <f t="shared" si="334"/>
        <v>0</v>
      </c>
      <c r="AV82" s="334">
        <f t="shared" si="334"/>
        <v>0</v>
      </c>
      <c r="AW82" s="334">
        <f t="shared" si="334"/>
        <v>0</v>
      </c>
      <c r="AX82" s="334">
        <f t="shared" si="334"/>
        <v>0</v>
      </c>
      <c r="AY82" s="334">
        <f t="shared" si="334"/>
        <v>0</v>
      </c>
      <c r="AZ82" s="334">
        <f t="shared" si="334"/>
        <v>0</v>
      </c>
      <c r="BA82" s="334">
        <f t="shared" si="334"/>
        <v>0</v>
      </c>
      <c r="BB82" s="334">
        <f t="shared" si="334"/>
        <v>0</v>
      </c>
      <c r="BC82" s="334">
        <f t="shared" si="334"/>
        <v>0</v>
      </c>
      <c r="BD82" s="334">
        <f t="shared" si="334"/>
        <v>0</v>
      </c>
      <c r="BE82" s="334">
        <f t="shared" si="334"/>
        <v>0</v>
      </c>
      <c r="BF82" s="334">
        <f t="shared" si="334"/>
        <v>0</v>
      </c>
      <c r="BG82" s="334">
        <f t="shared" si="334"/>
        <v>0</v>
      </c>
      <c r="BH82" s="334">
        <f t="shared" si="334"/>
        <v>0</v>
      </c>
      <c r="BI82" s="334">
        <f t="shared" si="334"/>
        <v>0</v>
      </c>
      <c r="BJ82" s="334">
        <f t="shared" si="334"/>
        <v>0</v>
      </c>
      <c r="BK82" s="334">
        <f t="shared" si="334"/>
        <v>0</v>
      </c>
      <c r="BL82" s="334">
        <f t="shared" si="334"/>
        <v>0</v>
      </c>
      <c r="BM82" s="334">
        <f t="shared" si="334"/>
        <v>0</v>
      </c>
      <c r="BN82" s="334">
        <f t="shared" si="334"/>
        <v>0</v>
      </c>
      <c r="BO82" s="334">
        <f t="shared" si="334"/>
        <v>0</v>
      </c>
      <c r="BP82" s="334">
        <f t="shared" si="334"/>
        <v>0</v>
      </c>
      <c r="BQ82" s="334">
        <f t="shared" si="334"/>
        <v>0</v>
      </c>
      <c r="BR82" s="334">
        <f t="shared" si="334"/>
        <v>0</v>
      </c>
      <c r="BS82" s="334">
        <f t="shared" si="334"/>
        <v>0</v>
      </c>
      <c r="BT82" s="334">
        <f t="shared" si="334"/>
        <v>0</v>
      </c>
      <c r="BU82" s="334">
        <f t="shared" si="334"/>
        <v>0</v>
      </c>
      <c r="BV82" s="334">
        <f t="shared" si="334"/>
        <v>0</v>
      </c>
      <c r="BW82" s="334">
        <f t="shared" ref="BW82:DB82" si="335">BW81-BW51</f>
        <v>0</v>
      </c>
      <c r="BX82" s="334">
        <f t="shared" si="335"/>
        <v>0</v>
      </c>
      <c r="BY82" s="334">
        <f t="shared" si="335"/>
        <v>0</v>
      </c>
      <c r="BZ82" s="334">
        <f t="shared" si="335"/>
        <v>0</v>
      </c>
      <c r="CA82" s="334">
        <f t="shared" si="335"/>
        <v>0</v>
      </c>
      <c r="CB82" s="334">
        <f t="shared" si="335"/>
        <v>0</v>
      </c>
      <c r="CC82" s="334">
        <f t="shared" si="335"/>
        <v>0</v>
      </c>
      <c r="CD82" s="334">
        <f t="shared" si="335"/>
        <v>0</v>
      </c>
      <c r="CE82" s="334">
        <f t="shared" si="335"/>
        <v>0</v>
      </c>
      <c r="CF82" s="334">
        <f t="shared" si="335"/>
        <v>0</v>
      </c>
      <c r="CG82" s="334">
        <f t="shared" si="335"/>
        <v>0</v>
      </c>
      <c r="CH82" s="334">
        <f t="shared" si="335"/>
        <v>0</v>
      </c>
      <c r="CI82" s="334">
        <f t="shared" si="335"/>
        <v>0</v>
      </c>
      <c r="CJ82" s="334">
        <f t="shared" si="335"/>
        <v>0</v>
      </c>
      <c r="CK82" s="334">
        <f t="shared" si="335"/>
        <v>0</v>
      </c>
      <c r="CL82" s="334">
        <f t="shared" si="335"/>
        <v>0</v>
      </c>
      <c r="CM82" s="334">
        <f t="shared" si="335"/>
        <v>0</v>
      </c>
      <c r="CN82" s="334">
        <f t="shared" si="335"/>
        <v>0</v>
      </c>
      <c r="CO82" s="334">
        <f t="shared" si="335"/>
        <v>0</v>
      </c>
      <c r="CP82" s="874">
        <f t="shared" si="335"/>
        <v>0</v>
      </c>
      <c r="CQ82" s="334">
        <f t="shared" si="335"/>
        <v>0</v>
      </c>
      <c r="CR82" s="334">
        <f t="shared" si="335"/>
        <v>0</v>
      </c>
      <c r="CS82" s="334">
        <f t="shared" si="335"/>
        <v>0</v>
      </c>
      <c r="CT82" s="334">
        <f t="shared" si="335"/>
        <v>0</v>
      </c>
      <c r="CU82" s="334">
        <f>CU81-CU51</f>
        <v>-3</v>
      </c>
      <c r="CV82" s="334">
        <f t="shared" si="335"/>
        <v>4.2600000000002183</v>
      </c>
      <c r="CW82" s="334">
        <f t="shared" si="335"/>
        <v>-1.2600000000002183</v>
      </c>
      <c r="CX82" s="334">
        <f t="shared" si="335"/>
        <v>0</v>
      </c>
      <c r="CY82" s="334">
        <f t="shared" si="335"/>
        <v>0</v>
      </c>
      <c r="CZ82" s="334">
        <f t="shared" si="335"/>
        <v>0</v>
      </c>
      <c r="DA82" s="334">
        <f t="shared" si="335"/>
        <v>0</v>
      </c>
      <c r="DB82" s="334">
        <f t="shared" si="335"/>
        <v>0</v>
      </c>
      <c r="DC82" s="334">
        <f t="shared" ref="DC82:DS82" si="336">DC81-DC51</f>
        <v>0</v>
      </c>
      <c r="DD82" s="334">
        <f t="shared" si="336"/>
        <v>0</v>
      </c>
      <c r="DE82" s="334">
        <f t="shared" si="336"/>
        <v>0</v>
      </c>
      <c r="DF82" s="334">
        <f t="shared" si="336"/>
        <v>0</v>
      </c>
      <c r="DG82" s="334">
        <f t="shared" si="336"/>
        <v>0</v>
      </c>
      <c r="DH82" s="334">
        <f t="shared" ref="DH82:DI82" si="337">DH81-DH51</f>
        <v>0</v>
      </c>
      <c r="DI82" s="334">
        <f t="shared" si="337"/>
        <v>0</v>
      </c>
      <c r="DJ82" s="334">
        <f t="shared" si="336"/>
        <v>0</v>
      </c>
      <c r="DK82" s="334">
        <f t="shared" si="336"/>
        <v>0</v>
      </c>
      <c r="DL82" s="334">
        <f t="shared" si="336"/>
        <v>0</v>
      </c>
      <c r="DM82" s="334">
        <f t="shared" si="336"/>
        <v>0</v>
      </c>
      <c r="DN82" s="334">
        <f t="shared" si="336"/>
        <v>0</v>
      </c>
      <c r="DO82" s="334">
        <f t="shared" si="336"/>
        <v>0</v>
      </c>
      <c r="DP82" s="334">
        <f t="shared" si="336"/>
        <v>0</v>
      </c>
      <c r="DQ82" s="334">
        <f t="shared" si="336"/>
        <v>0</v>
      </c>
      <c r="DR82" s="334">
        <f t="shared" si="336"/>
        <v>0</v>
      </c>
      <c r="DS82" s="334">
        <f t="shared" si="336"/>
        <v>0</v>
      </c>
      <c r="DT82" s="334">
        <f t="shared" ref="DT82:EC82" si="338">DT81-DT51</f>
        <v>0</v>
      </c>
      <c r="DU82" s="334">
        <f t="shared" si="338"/>
        <v>0</v>
      </c>
      <c r="DV82" s="334">
        <f t="shared" si="338"/>
        <v>0</v>
      </c>
      <c r="DW82" s="334">
        <f t="shared" si="338"/>
        <v>0</v>
      </c>
      <c r="DX82" s="334">
        <f t="shared" si="338"/>
        <v>0</v>
      </c>
      <c r="DY82" s="334">
        <f t="shared" si="338"/>
        <v>0</v>
      </c>
      <c r="DZ82" s="334">
        <f t="shared" si="338"/>
        <v>0</v>
      </c>
      <c r="EA82" s="334">
        <f t="shared" si="338"/>
        <v>0</v>
      </c>
      <c r="EB82" s="334">
        <f t="shared" si="338"/>
        <v>0</v>
      </c>
      <c r="EC82" s="334">
        <f t="shared" si="338"/>
        <v>0</v>
      </c>
      <c r="EF82"/>
      <c r="EG82"/>
      <c r="EH82"/>
      <c r="EI82"/>
      <c r="EJ82"/>
      <c r="EK82"/>
      <c r="EL82"/>
      <c r="EM82"/>
      <c r="EN82"/>
      <c r="EO82"/>
      <c r="EP82"/>
      <c r="EQ82"/>
      <c r="ER82"/>
      <c r="ES82"/>
      <c r="ET82"/>
      <c r="EU82"/>
      <c r="EV82"/>
      <c r="EW82"/>
      <c r="EX82"/>
      <c r="EY82"/>
      <c r="EZ82"/>
      <c r="FA82"/>
    </row>
    <row r="83" spans="1:157" s="172" customFormat="1" x14ac:dyDescent="0.2">
      <c r="A83" s="598" t="s">
        <v>199</v>
      </c>
      <c r="B83" s="599"/>
      <c r="C83" s="599"/>
      <c r="D83" s="599"/>
      <c r="E83" s="599"/>
      <c r="F83" s="599"/>
      <c r="G83" s="599"/>
      <c r="H83" s="600"/>
      <c r="I83" s="601"/>
      <c r="J83" s="601"/>
      <c r="K83" s="601"/>
      <c r="L83" s="601"/>
      <c r="M83" s="602"/>
      <c r="N83" s="601"/>
      <c r="O83" s="601"/>
      <c r="P83" s="601"/>
      <c r="Q83" s="601"/>
      <c r="R83" s="602"/>
      <c r="S83" s="601"/>
      <c r="T83" s="601"/>
      <c r="U83" s="601"/>
      <c r="V83" s="601"/>
      <c r="W83" s="602"/>
      <c r="X83" s="601" t="str">
        <f t="shared" ref="X83:BC83" si="339">X9</f>
        <v>1Q01A</v>
      </c>
      <c r="Y83" s="601" t="str">
        <f t="shared" si="339"/>
        <v>2Q01A</v>
      </c>
      <c r="Z83" s="601" t="str">
        <f t="shared" si="339"/>
        <v>3Q01A</v>
      </c>
      <c r="AA83" s="601" t="str">
        <f t="shared" si="339"/>
        <v>4Q01A</v>
      </c>
      <c r="AB83" s="602" t="str">
        <f t="shared" si="339"/>
        <v>2001A</v>
      </c>
      <c r="AC83" s="601" t="str">
        <f t="shared" si="339"/>
        <v>1Q02A</v>
      </c>
      <c r="AD83" s="601" t="str">
        <f t="shared" si="339"/>
        <v>2Q02A</v>
      </c>
      <c r="AE83" s="601" t="str">
        <f t="shared" si="339"/>
        <v>3Q02A</v>
      </c>
      <c r="AF83" s="601" t="str">
        <f t="shared" si="339"/>
        <v>4Q02A</v>
      </c>
      <c r="AG83" s="607" t="str">
        <f t="shared" si="339"/>
        <v>2002A</v>
      </c>
      <c r="AH83" s="609" t="str">
        <f t="shared" si="339"/>
        <v>1Q03A</v>
      </c>
      <c r="AI83" s="609" t="str">
        <f t="shared" si="339"/>
        <v>2Q03A</v>
      </c>
      <c r="AJ83" s="609" t="str">
        <f t="shared" si="339"/>
        <v>3Q03A</v>
      </c>
      <c r="AK83" s="609" t="str">
        <f t="shared" si="339"/>
        <v>4Q03A</v>
      </c>
      <c r="AL83" s="607" t="str">
        <f t="shared" si="339"/>
        <v>2003A</v>
      </c>
      <c r="AM83" s="609" t="str">
        <f t="shared" si="339"/>
        <v>1Q04A</v>
      </c>
      <c r="AN83" s="609" t="str">
        <f t="shared" si="339"/>
        <v>2Q04A</v>
      </c>
      <c r="AO83" s="609" t="str">
        <f t="shared" si="339"/>
        <v>3Q04A</v>
      </c>
      <c r="AP83" s="609" t="str">
        <f t="shared" si="339"/>
        <v>4Q04A</v>
      </c>
      <c r="AQ83" s="607" t="str">
        <f t="shared" si="339"/>
        <v>2004A</v>
      </c>
      <c r="AR83" s="609" t="str">
        <f t="shared" si="339"/>
        <v>1Q05A</v>
      </c>
      <c r="AS83" s="609" t="str">
        <f t="shared" si="339"/>
        <v>2Q05A</v>
      </c>
      <c r="AT83" s="609" t="str">
        <f t="shared" si="339"/>
        <v>3Q05A</v>
      </c>
      <c r="AU83" s="609" t="str">
        <f t="shared" si="339"/>
        <v>4Q05A</v>
      </c>
      <c r="AV83" s="608" t="str">
        <f t="shared" si="339"/>
        <v>2005A</v>
      </c>
      <c r="AW83" s="608" t="str">
        <f t="shared" si="339"/>
        <v>1Q06A</v>
      </c>
      <c r="AX83" s="609" t="str">
        <f t="shared" si="339"/>
        <v>2Q06A</v>
      </c>
      <c r="AY83" s="609" t="str">
        <f t="shared" si="339"/>
        <v>3Q06A</v>
      </c>
      <c r="AZ83" s="609" t="str">
        <f t="shared" si="339"/>
        <v>4Q06A</v>
      </c>
      <c r="BA83" s="607" t="str">
        <f t="shared" si="339"/>
        <v>2006A</v>
      </c>
      <c r="BB83" s="608" t="str">
        <f t="shared" si="339"/>
        <v>1Q07A</v>
      </c>
      <c r="BC83" s="609" t="str">
        <f t="shared" si="339"/>
        <v>2Q07A</v>
      </c>
      <c r="BD83" s="609" t="str">
        <f t="shared" ref="BD83:CI83" si="340">BD9</f>
        <v>3Q07A</v>
      </c>
      <c r="BE83" s="609" t="str">
        <f t="shared" si="340"/>
        <v>4Q07A</v>
      </c>
      <c r="BF83" s="607" t="str">
        <f t="shared" si="340"/>
        <v>2007A</v>
      </c>
      <c r="BG83" s="608" t="str">
        <f t="shared" si="340"/>
        <v>1Q08A</v>
      </c>
      <c r="BH83" s="609" t="str">
        <f t="shared" si="340"/>
        <v>2Q08A</v>
      </c>
      <c r="BI83" s="609" t="str">
        <f t="shared" si="340"/>
        <v>3Q08A</v>
      </c>
      <c r="BJ83" s="609" t="str">
        <f t="shared" si="340"/>
        <v>4Q08A</v>
      </c>
      <c r="BK83" s="607" t="str">
        <f t="shared" si="340"/>
        <v>2008A</v>
      </c>
      <c r="BL83" s="608" t="str">
        <f t="shared" si="340"/>
        <v>1Q09A</v>
      </c>
      <c r="BM83" s="609" t="str">
        <f t="shared" si="340"/>
        <v>2Q09A</v>
      </c>
      <c r="BN83" s="609" t="str">
        <f t="shared" si="340"/>
        <v>3Q09A</v>
      </c>
      <c r="BO83" s="609" t="str">
        <f t="shared" si="340"/>
        <v>4Q09A</v>
      </c>
      <c r="BP83" s="607" t="str">
        <f t="shared" si="340"/>
        <v>2009A</v>
      </c>
      <c r="BQ83" s="608" t="str">
        <f t="shared" si="340"/>
        <v>1Q10A</v>
      </c>
      <c r="BR83" s="609" t="str">
        <f t="shared" si="340"/>
        <v>2Q10A</v>
      </c>
      <c r="BS83" s="609" t="str">
        <f t="shared" si="340"/>
        <v>3Q10A</v>
      </c>
      <c r="BT83" s="609" t="str">
        <f t="shared" si="340"/>
        <v>4Q10A</v>
      </c>
      <c r="BU83" s="607" t="str">
        <f t="shared" si="340"/>
        <v>2010A</v>
      </c>
      <c r="BV83" s="608" t="str">
        <f t="shared" si="340"/>
        <v>1Q11A</v>
      </c>
      <c r="BW83" s="609" t="str">
        <f t="shared" si="340"/>
        <v>2Q11A</v>
      </c>
      <c r="BX83" s="609" t="str">
        <f t="shared" si="340"/>
        <v>3Q11A</v>
      </c>
      <c r="BY83" s="609" t="str">
        <f t="shared" si="340"/>
        <v>4Q11A</v>
      </c>
      <c r="BZ83" s="607" t="str">
        <f t="shared" si="340"/>
        <v>2011A</v>
      </c>
      <c r="CA83" s="608" t="str">
        <f t="shared" si="340"/>
        <v>1Q12A</v>
      </c>
      <c r="CB83" s="609" t="str">
        <f t="shared" si="340"/>
        <v>2Q12A</v>
      </c>
      <c r="CC83" s="609" t="str">
        <f t="shared" si="340"/>
        <v>3Q12A</v>
      </c>
      <c r="CD83" s="609" t="str">
        <f t="shared" si="340"/>
        <v>4Q12A</v>
      </c>
      <c r="CE83" s="607" t="str">
        <f t="shared" si="340"/>
        <v>2012A</v>
      </c>
      <c r="CF83" s="608" t="str">
        <f t="shared" si="340"/>
        <v>1Q13A</v>
      </c>
      <c r="CG83" s="609" t="str">
        <f t="shared" si="340"/>
        <v>2Q13A</v>
      </c>
      <c r="CH83" s="609" t="str">
        <f t="shared" si="340"/>
        <v>3Q13A</v>
      </c>
      <c r="CI83" s="609" t="str">
        <f t="shared" si="340"/>
        <v>4Q13A</v>
      </c>
      <c r="CJ83" s="607" t="str">
        <f t="shared" ref="CJ83:DS83" si="341">CJ9</f>
        <v>2013A</v>
      </c>
      <c r="CK83" s="608" t="str">
        <f t="shared" si="341"/>
        <v>1Q14A</v>
      </c>
      <c r="CL83" s="609" t="str">
        <f t="shared" si="341"/>
        <v>2Q14A</v>
      </c>
      <c r="CM83" s="609" t="str">
        <f t="shared" si="341"/>
        <v>3Q14A</v>
      </c>
      <c r="CN83" s="609" t="str">
        <f t="shared" si="341"/>
        <v>4Q14A</v>
      </c>
      <c r="CO83" s="607" t="str">
        <f t="shared" si="341"/>
        <v>2014A</v>
      </c>
      <c r="CP83" s="895" t="str">
        <f t="shared" si="341"/>
        <v>1Q15A</v>
      </c>
      <c r="CQ83" s="609" t="str">
        <f t="shared" si="341"/>
        <v>2Q15A</v>
      </c>
      <c r="CR83" s="609" t="str">
        <f t="shared" si="341"/>
        <v>3Q15A</v>
      </c>
      <c r="CS83" s="609" t="str">
        <f t="shared" si="341"/>
        <v>4Q15A</v>
      </c>
      <c r="CT83" s="607" t="str">
        <f t="shared" si="341"/>
        <v>2015A</v>
      </c>
      <c r="CU83" s="608" t="str">
        <f t="shared" si="341"/>
        <v>1Q16PF</v>
      </c>
      <c r="CV83" s="609" t="str">
        <f t="shared" si="341"/>
        <v>2Q16PF</v>
      </c>
      <c r="CW83" s="609" t="str">
        <f t="shared" si="341"/>
        <v>3Q16PF</v>
      </c>
      <c r="CX83" s="609" t="str">
        <f t="shared" si="341"/>
        <v>4Q16A</v>
      </c>
      <c r="CY83" s="607" t="str">
        <f t="shared" si="341"/>
        <v>2016A</v>
      </c>
      <c r="CZ83" s="608" t="str">
        <f t="shared" si="341"/>
        <v>1Q17A</v>
      </c>
      <c r="DA83" s="609" t="str">
        <f t="shared" si="341"/>
        <v>2Q17A</v>
      </c>
      <c r="DB83" s="609" t="str">
        <f t="shared" si="341"/>
        <v>3Q17A</v>
      </c>
      <c r="DC83" s="609" t="str">
        <f t="shared" si="341"/>
        <v>4Q17A</v>
      </c>
      <c r="DD83" s="607" t="str">
        <f t="shared" si="341"/>
        <v>2017A</v>
      </c>
      <c r="DE83" s="612" t="str">
        <f t="shared" si="341"/>
        <v>1Q18E</v>
      </c>
      <c r="DF83" s="610" t="str">
        <f t="shared" si="341"/>
        <v>2Q18E</v>
      </c>
      <c r="DG83" s="610" t="str">
        <f t="shared" si="341"/>
        <v>3Q18E</v>
      </c>
      <c r="DH83" s="610" t="str">
        <f t="shared" si="341"/>
        <v>4Q18E</v>
      </c>
      <c r="DI83" s="611" t="str">
        <f t="shared" si="341"/>
        <v>2018E</v>
      </c>
      <c r="DJ83" s="612" t="str">
        <f t="shared" si="341"/>
        <v>1Q19E</v>
      </c>
      <c r="DK83" s="610" t="str">
        <f t="shared" si="341"/>
        <v>2Q19E</v>
      </c>
      <c r="DL83" s="610" t="str">
        <f t="shared" si="341"/>
        <v>3Q19E</v>
      </c>
      <c r="DM83" s="610" t="str">
        <f t="shared" si="341"/>
        <v>4Q19E</v>
      </c>
      <c r="DN83" s="611" t="str">
        <f t="shared" si="341"/>
        <v>2019E</v>
      </c>
      <c r="DO83" s="612" t="str">
        <f t="shared" si="341"/>
        <v>1Q20E</v>
      </c>
      <c r="DP83" s="610" t="str">
        <f t="shared" si="341"/>
        <v>2Q20E</v>
      </c>
      <c r="DQ83" s="610" t="str">
        <f t="shared" si="341"/>
        <v>3Q20E</v>
      </c>
      <c r="DR83" s="610" t="str">
        <f t="shared" si="341"/>
        <v>4Q20E</v>
      </c>
      <c r="DS83" s="611" t="str">
        <f t="shared" si="341"/>
        <v>2020E</v>
      </c>
      <c r="DT83" s="612" t="str">
        <f t="shared" ref="DT83:EC83" si="342">DT9</f>
        <v>1Q21E</v>
      </c>
      <c r="DU83" s="610" t="str">
        <f t="shared" si="342"/>
        <v>2Q21E</v>
      </c>
      <c r="DV83" s="610" t="str">
        <f t="shared" si="342"/>
        <v>3Q21E</v>
      </c>
      <c r="DW83" s="610" t="str">
        <f t="shared" si="342"/>
        <v>4Q21E</v>
      </c>
      <c r="DX83" s="611" t="str">
        <f t="shared" si="342"/>
        <v>2021E</v>
      </c>
      <c r="DY83" s="612" t="str">
        <f t="shared" si="342"/>
        <v>1Q22E</v>
      </c>
      <c r="DZ83" s="610" t="str">
        <f t="shared" si="342"/>
        <v>2Q22E</v>
      </c>
      <c r="EA83" s="610" t="str">
        <f t="shared" si="342"/>
        <v>3Q22E</v>
      </c>
      <c r="EB83" s="610" t="str">
        <f t="shared" si="342"/>
        <v>4Q22E</v>
      </c>
      <c r="EC83" s="611" t="str">
        <f t="shared" si="342"/>
        <v>2022E</v>
      </c>
      <c r="EF83"/>
      <c r="EG83"/>
      <c r="EH83"/>
      <c r="EI83"/>
      <c r="EJ83"/>
      <c r="EK83"/>
      <c r="EL83"/>
      <c r="EM83"/>
      <c r="EN83"/>
      <c r="EO83"/>
      <c r="EP83"/>
      <c r="EQ83"/>
      <c r="ER83"/>
      <c r="ES83"/>
      <c r="ET83"/>
      <c r="EU83"/>
      <c r="EV83"/>
      <c r="EW83"/>
      <c r="EX83"/>
      <c r="EY83"/>
      <c r="EZ83"/>
      <c r="FA83"/>
    </row>
    <row r="84" spans="1:157" s="172" customFormat="1" x14ac:dyDescent="0.2">
      <c r="A84" s="596" t="s">
        <v>43</v>
      </c>
      <c r="B84" s="102"/>
      <c r="C84" s="102"/>
      <c r="D84" s="102"/>
      <c r="E84" s="102"/>
      <c r="F84" s="102"/>
      <c r="G84" s="102"/>
      <c r="H84" s="181"/>
      <c r="I84" s="245"/>
      <c r="J84" s="245"/>
      <c r="K84" s="245"/>
      <c r="L84" s="245"/>
      <c r="M84" s="244"/>
      <c r="N84" s="245"/>
      <c r="O84" s="245"/>
      <c r="P84" s="245"/>
      <c r="Q84" s="245"/>
      <c r="R84" s="244"/>
      <c r="S84" s="245"/>
      <c r="T84" s="245"/>
      <c r="U84" s="245"/>
      <c r="V84" s="245"/>
      <c r="W84" s="244"/>
      <c r="X84" s="245">
        <f t="shared" ref="X84:AA85" si="343">X14/S14-1</f>
        <v>-0.33678756476683935</v>
      </c>
      <c r="Y84" s="245">
        <f t="shared" si="343"/>
        <v>-0.43364928909952605</v>
      </c>
      <c r="Z84" s="245">
        <f t="shared" si="343"/>
        <v>-0.46786632390745497</v>
      </c>
      <c r="AA84" s="245">
        <f t="shared" si="343"/>
        <v>-0.42052980132450335</v>
      </c>
      <c r="AB84" s="244"/>
      <c r="AC84" s="245">
        <f t="shared" ref="AC84:AF85" si="344">AC14/X14-1</f>
        <v>-0.3359375</v>
      </c>
      <c r="AD84" s="245">
        <f t="shared" si="344"/>
        <v>-0.21338912133891208</v>
      </c>
      <c r="AE84" s="245">
        <f t="shared" si="344"/>
        <v>-0.2125603864734299</v>
      </c>
      <c r="AF84" s="245">
        <f t="shared" si="344"/>
        <v>-4.0000000000000036E-2</v>
      </c>
      <c r="AG84" s="244"/>
      <c r="AH84" s="245">
        <f t="shared" ref="AH84:AK85" si="345">AH14/AC14-1</f>
        <v>2.9411764705882248E-2</v>
      </c>
      <c r="AI84" s="245">
        <f t="shared" si="345"/>
        <v>8.5106382978723305E-2</v>
      </c>
      <c r="AJ84" s="245">
        <f t="shared" si="345"/>
        <v>0.14110429447852768</v>
      </c>
      <c r="AK84" s="245">
        <f t="shared" si="345"/>
        <v>-0.1071428571428571</v>
      </c>
      <c r="AL84" s="244"/>
      <c r="AM84" s="245">
        <f t="shared" ref="AM84:AP85" si="346">AM14/AH14-1</f>
        <v>0.1657142857142857</v>
      </c>
      <c r="AN84" s="245">
        <f t="shared" si="346"/>
        <v>-0.12745098039215685</v>
      </c>
      <c r="AO84" s="245">
        <f t="shared" si="346"/>
        <v>-9.6774193548387122E-2</v>
      </c>
      <c r="AP84" s="245">
        <f t="shared" si="346"/>
        <v>0.28000000000000003</v>
      </c>
      <c r="AQ84" s="244"/>
      <c r="AR84" s="245">
        <f t="shared" ref="AR84:AU85" si="347">AR14/AM14-1</f>
        <v>-1.9607843137254943E-2</v>
      </c>
      <c r="AS84" s="245">
        <f t="shared" si="347"/>
        <v>0.1910112359550562</v>
      </c>
      <c r="AT84" s="245">
        <f t="shared" si="347"/>
        <v>0.35119047619047628</v>
      </c>
      <c r="AU84" s="245">
        <f t="shared" si="347"/>
        <v>0.22916666666666674</v>
      </c>
      <c r="AV84" s="246"/>
      <c r="AW84" s="246">
        <f t="shared" ref="AW84:AZ85" si="348">AW14/AR14-1</f>
        <v>0.29000000000000004</v>
      </c>
      <c r="AX84" s="245">
        <f t="shared" si="348"/>
        <v>5.1886792452830122E-2</v>
      </c>
      <c r="AY84" s="245">
        <f t="shared" si="348"/>
        <v>-1.7621145374449365E-2</v>
      </c>
      <c r="AZ84" s="245">
        <f t="shared" si="348"/>
        <v>-6.7796610169491567E-2</v>
      </c>
      <c r="BA84" s="244"/>
      <c r="BB84" s="246">
        <f t="shared" ref="BB84:BE85" si="349">BB14/AW14-1</f>
        <v>7.7519379844961156E-2</v>
      </c>
      <c r="BC84" s="245">
        <f t="shared" si="349"/>
        <v>0.13004484304932729</v>
      </c>
      <c r="BD84" s="245">
        <f t="shared" si="349"/>
        <v>0.12107623318385641</v>
      </c>
      <c r="BE84" s="245">
        <f t="shared" si="349"/>
        <v>2.2727272727272707E-2</v>
      </c>
      <c r="BF84" s="244"/>
      <c r="BG84" s="246">
        <f t="shared" ref="BG84:BJ85" si="350">BG14/BB14-1</f>
        <v>-3.5971223021582732E-2</v>
      </c>
      <c r="BH84" s="245">
        <f t="shared" si="350"/>
        <v>-5.9523809523809534E-2</v>
      </c>
      <c r="BI84" s="245">
        <f t="shared" si="350"/>
        <v>4.0000000000000036E-3</v>
      </c>
      <c r="BJ84" s="245">
        <f t="shared" si="350"/>
        <v>1.777777777777767E-2</v>
      </c>
      <c r="BK84" s="244"/>
      <c r="BL84" s="246">
        <f t="shared" ref="BL84:BO85" si="351">BL14/BG14-1</f>
        <v>5.5970149253731449E-2</v>
      </c>
      <c r="BM84" s="245">
        <f t="shared" si="351"/>
        <v>0.17299578059071741</v>
      </c>
      <c r="BN84" s="245">
        <f t="shared" si="351"/>
        <v>-3.9840637450199168E-2</v>
      </c>
      <c r="BO84" s="245">
        <f t="shared" si="351"/>
        <v>4.366812227074246E-2</v>
      </c>
      <c r="BP84" s="244"/>
      <c r="BQ84" s="246">
        <f t="shared" ref="BQ84:BT85" si="352">BQ14/BL14-1</f>
        <v>7.067137809187285E-2</v>
      </c>
      <c r="BR84" s="245">
        <f t="shared" si="352"/>
        <v>-6.4748201438848962E-2</v>
      </c>
      <c r="BS84" s="245">
        <f t="shared" si="352"/>
        <v>3.3195020746888071E-2</v>
      </c>
      <c r="BT84" s="245">
        <f t="shared" si="352"/>
        <v>7.1129707112970619E-2</v>
      </c>
      <c r="BU84" s="244"/>
      <c r="BV84" s="246">
        <f t="shared" ref="BV84:BY85" si="353">BV14/BQ14-1</f>
        <v>2.64026402640265E-2</v>
      </c>
      <c r="BW84" s="245">
        <f t="shared" si="353"/>
        <v>0.13461538461538458</v>
      </c>
      <c r="BX84" s="245">
        <f t="shared" si="353"/>
        <v>0.12851405622489964</v>
      </c>
      <c r="BY84" s="245">
        <f t="shared" si="353"/>
        <v>0.1171875</v>
      </c>
      <c r="BZ84" s="244"/>
      <c r="CA84" s="246">
        <f t="shared" ref="CA84:CD85" si="354">CA14/BV14-1</f>
        <v>9.646302250803851E-2</v>
      </c>
      <c r="CB84" s="245">
        <f t="shared" si="354"/>
        <v>9.4915254237288194E-2</v>
      </c>
      <c r="CC84" s="245">
        <f t="shared" si="354"/>
        <v>7.4733096085409345E-2</v>
      </c>
      <c r="CD84" s="245">
        <f t="shared" si="354"/>
        <v>5.2447552447552503E-2</v>
      </c>
      <c r="CE84" s="244"/>
      <c r="CF84" s="246">
        <f t="shared" ref="CF84:CI85" si="355">CF14/CA14-1</f>
        <v>7.9178885630498463E-2</v>
      </c>
      <c r="CG84" s="245">
        <f t="shared" si="355"/>
        <v>8.9783281733746056E-2</v>
      </c>
      <c r="CH84" s="245">
        <f t="shared" si="355"/>
        <v>0.15231788079470188</v>
      </c>
      <c r="CI84" s="245">
        <f t="shared" si="355"/>
        <v>5.980066445182719E-2</v>
      </c>
      <c r="CJ84" s="244"/>
      <c r="CK84" s="246">
        <f t="shared" ref="CK84:CN85" si="356">CK14/CF14-1</f>
        <v>-0.27989130434782605</v>
      </c>
      <c r="CL84" s="245">
        <f t="shared" si="356"/>
        <v>-0.24715909090909094</v>
      </c>
      <c r="CM84" s="245">
        <f t="shared" si="356"/>
        <v>-0.2385057471264368</v>
      </c>
      <c r="CN84" s="245">
        <f t="shared" si="356"/>
        <v>-0.16927899686520376</v>
      </c>
      <c r="CO84" s="244"/>
      <c r="CP84" s="880">
        <f t="shared" ref="CP84:CS85" si="357">CP14/CK14-1</f>
        <v>0.13584905660377355</v>
      </c>
      <c r="CQ84" s="245">
        <f t="shared" si="357"/>
        <v>0.13584905660377355</v>
      </c>
      <c r="CR84" s="245">
        <f t="shared" si="357"/>
        <v>0.13584905660377355</v>
      </c>
      <c r="CS84" s="245">
        <f t="shared" si="357"/>
        <v>0.13584905660377355</v>
      </c>
      <c r="CT84" s="244"/>
      <c r="CU84" s="246">
        <f t="shared" ref="CU84:CX85" si="358">CU14/CP14-1</f>
        <v>0</v>
      </c>
      <c r="CV84" s="245">
        <f t="shared" si="358"/>
        <v>-7.6411960132890311E-2</v>
      </c>
      <c r="CW84" s="245">
        <f t="shared" si="358"/>
        <v>9.9667774086378724E-2</v>
      </c>
      <c r="CX84" s="245">
        <f t="shared" si="358"/>
        <v>0.22923588039867115</v>
      </c>
      <c r="CY84" s="244"/>
      <c r="CZ84" s="246">
        <f t="shared" ref="CZ84:DC85" si="359">CZ14/CU14-1</f>
        <v>0.17940199335548179</v>
      </c>
      <c r="DA84" s="245">
        <f t="shared" si="359"/>
        <v>0.28057553956834536</v>
      </c>
      <c r="DB84" s="245">
        <f t="shared" si="359"/>
        <v>8.1570996978852062E-2</v>
      </c>
      <c r="DC84" s="245">
        <f t="shared" si="359"/>
        <v>8.1081081081081141E-2</v>
      </c>
      <c r="DD84" s="244"/>
      <c r="DE84" s="247">
        <f t="shared" ref="DE84:DH85" si="360">DE14/CZ14-1</f>
        <v>-0.20349838508313267</v>
      </c>
      <c r="DF84" s="248">
        <f t="shared" si="360"/>
        <v>-0.21907227460908152</v>
      </c>
      <c r="DG84" s="248">
        <f t="shared" si="360"/>
        <v>-0.23176195833875413</v>
      </c>
      <c r="DH84" s="248">
        <f t="shared" si="360"/>
        <v>-0.16246208900540227</v>
      </c>
      <c r="DI84" s="249"/>
      <c r="DJ84" s="247">
        <f t="shared" ref="DJ84:DM85" si="361">DJ14/DE14-1</f>
        <v>-8.4847475436581221E-2</v>
      </c>
      <c r="DK84" s="248">
        <f t="shared" si="361"/>
        <v>-6.6158009160374065E-2</v>
      </c>
      <c r="DL84" s="248">
        <f t="shared" si="361"/>
        <v>-4.9306989002532942E-2</v>
      </c>
      <c r="DM84" s="248">
        <f t="shared" si="361"/>
        <v>-5.2652298967713618E-2</v>
      </c>
      <c r="DN84" s="249"/>
      <c r="DO84" s="247">
        <f t="shared" ref="DO84:DR85" si="362">DO14/DJ14-1</f>
        <v>-5.5374089140724725E-2</v>
      </c>
      <c r="DP84" s="248">
        <f t="shared" si="362"/>
        <v>-2.0756149382778921E-2</v>
      </c>
      <c r="DQ84" s="248">
        <f t="shared" si="362"/>
        <v>1.5792406021617689E-2</v>
      </c>
      <c r="DR84" s="248">
        <f t="shared" si="362"/>
        <v>5.4885984417114564E-2</v>
      </c>
      <c r="DS84" s="249"/>
      <c r="DT84" s="247">
        <f t="shared" ref="DT84:DT85" si="363">DT14/DO14-1</f>
        <v>8.509704067406143E-2</v>
      </c>
      <c r="DU84" s="248">
        <f t="shared" ref="DU84:DU85" si="364">DU14/DP14-1</f>
        <v>8.5214164767412726E-2</v>
      </c>
      <c r="DV84" s="248">
        <f t="shared" ref="DV84:DV85" si="365">DV14/DQ14-1</f>
        <v>8.4258216551858611E-2</v>
      </c>
      <c r="DW84" s="248">
        <f t="shared" ref="DW84:DW85" si="366">DW14/DR14-1</f>
        <v>8.4701077277179238E-2</v>
      </c>
      <c r="DX84" s="249"/>
      <c r="DY84" s="247">
        <f t="shared" ref="DY84:DY85" si="367">DY14/DT14-1</f>
        <v>8.4714552612352056E-2</v>
      </c>
      <c r="DZ84" s="248">
        <f t="shared" ref="DZ84:DZ85" si="368">DZ14/DU14-1</f>
        <v>8.870687986806125E-2</v>
      </c>
      <c r="EA84" s="248">
        <f t="shared" ref="EA84:EA85" si="369">EA14/DV14-1</f>
        <v>9.163868935292907E-2</v>
      </c>
      <c r="EB84" s="248">
        <f t="shared" ref="EB84:EB85" si="370">EB14/DW14-1</f>
        <v>9.5972013002656675E-2</v>
      </c>
      <c r="EC84" s="249"/>
      <c r="EF84"/>
      <c r="EG84"/>
      <c r="EH84"/>
      <c r="EI84"/>
      <c r="EJ84"/>
      <c r="EK84"/>
      <c r="EL84"/>
      <c r="EM84"/>
      <c r="EN84"/>
      <c r="EO84"/>
      <c r="EP84"/>
      <c r="EQ84"/>
      <c r="ER84"/>
      <c r="ES84"/>
      <c r="ET84"/>
      <c r="EU84"/>
      <c r="EV84"/>
      <c r="EW84"/>
      <c r="EX84"/>
      <c r="EY84"/>
      <c r="EZ84"/>
      <c r="FA84"/>
    </row>
    <row r="85" spans="1:157" s="172" customFormat="1" x14ac:dyDescent="0.2">
      <c r="A85" s="596" t="s">
        <v>44</v>
      </c>
      <c r="B85" s="102"/>
      <c r="C85" s="102"/>
      <c r="D85" s="102"/>
      <c r="E85" s="102"/>
      <c r="F85" s="102"/>
      <c r="G85" s="102"/>
      <c r="H85" s="181"/>
      <c r="I85" s="245"/>
      <c r="J85" s="245"/>
      <c r="K85" s="245"/>
      <c r="L85" s="245"/>
      <c r="M85" s="244"/>
      <c r="N85" s="245"/>
      <c r="O85" s="245"/>
      <c r="P85" s="245"/>
      <c r="Q85" s="245"/>
      <c r="R85" s="244"/>
      <c r="S85" s="245"/>
      <c r="T85" s="245"/>
      <c r="U85" s="245"/>
      <c r="V85" s="245"/>
      <c r="W85" s="244"/>
      <c r="X85" s="245">
        <f t="shared" si="343"/>
        <v>-0.64963503649635035</v>
      </c>
      <c r="Y85" s="245">
        <f t="shared" si="343"/>
        <v>-0.57480314960629919</v>
      </c>
      <c r="Z85" s="245">
        <f t="shared" si="343"/>
        <v>-0.57480314960629919</v>
      </c>
      <c r="AA85" s="245">
        <f t="shared" si="343"/>
        <v>0.1914893617021276</v>
      </c>
      <c r="AB85" s="244"/>
      <c r="AC85" s="245">
        <f t="shared" si="344"/>
        <v>0.25</v>
      </c>
      <c r="AD85" s="245">
        <f t="shared" si="344"/>
        <v>0.42592592592592582</v>
      </c>
      <c r="AE85" s="245">
        <f t="shared" si="344"/>
        <v>0.16666666666666674</v>
      </c>
      <c r="AF85" s="245">
        <f t="shared" si="344"/>
        <v>0.125</v>
      </c>
      <c r="AG85" s="244"/>
      <c r="AH85" s="245">
        <f t="shared" si="345"/>
        <v>0.16666666666666674</v>
      </c>
      <c r="AI85" s="245">
        <f t="shared" si="345"/>
        <v>-0.12987012987012991</v>
      </c>
      <c r="AJ85" s="245">
        <f t="shared" si="345"/>
        <v>6.3492063492063489E-2</v>
      </c>
      <c r="AK85" s="245">
        <f t="shared" si="345"/>
        <v>6.3492063492063489E-2</v>
      </c>
      <c r="AL85" s="244"/>
      <c r="AM85" s="245">
        <f t="shared" si="346"/>
        <v>1.4285714285714235E-2</v>
      </c>
      <c r="AN85" s="245">
        <f t="shared" si="346"/>
        <v>8.9552238805970186E-2</v>
      </c>
      <c r="AO85" s="245">
        <f t="shared" si="346"/>
        <v>7.4626865671641784E-2</v>
      </c>
      <c r="AP85" s="245">
        <f t="shared" si="346"/>
        <v>0.13432835820895517</v>
      </c>
      <c r="AQ85" s="244"/>
      <c r="AR85" s="245">
        <f t="shared" si="347"/>
        <v>0.14084507042253525</v>
      </c>
      <c r="AS85" s="245">
        <f t="shared" si="347"/>
        <v>5.4794520547945202E-2</v>
      </c>
      <c r="AT85" s="245">
        <f t="shared" si="347"/>
        <v>2.7777777777777679E-2</v>
      </c>
      <c r="AU85" s="245">
        <f t="shared" si="347"/>
        <v>0.11842105263157898</v>
      </c>
      <c r="AV85" s="246"/>
      <c r="AW85" s="246">
        <f t="shared" si="348"/>
        <v>3.7037037037036979E-2</v>
      </c>
      <c r="AX85" s="245">
        <f t="shared" si="348"/>
        <v>9.0909090909090828E-2</v>
      </c>
      <c r="AY85" s="245">
        <f t="shared" si="348"/>
        <v>8.1081081081081141E-2</v>
      </c>
      <c r="AZ85" s="245">
        <f t="shared" si="348"/>
        <v>9.4117647058823639E-2</v>
      </c>
      <c r="BA85" s="244"/>
      <c r="BB85" s="246">
        <f t="shared" si="349"/>
        <v>0.15476190476190466</v>
      </c>
      <c r="BC85" s="245">
        <f t="shared" si="349"/>
        <v>0.16666666666666674</v>
      </c>
      <c r="BD85" s="245">
        <f t="shared" si="349"/>
        <v>0.19999999999999996</v>
      </c>
      <c r="BE85" s="245">
        <f t="shared" si="349"/>
        <v>0.37634408602150549</v>
      </c>
      <c r="BF85" s="244"/>
      <c r="BG85" s="246">
        <f t="shared" si="350"/>
        <v>0.34020618556701021</v>
      </c>
      <c r="BH85" s="245">
        <f t="shared" si="350"/>
        <v>0.41836734693877542</v>
      </c>
      <c r="BI85" s="245">
        <f t="shared" si="350"/>
        <v>0.63541666666666674</v>
      </c>
      <c r="BJ85" s="245">
        <f t="shared" si="350"/>
        <v>0.1171875</v>
      </c>
      <c r="BK85" s="244"/>
      <c r="BL85" s="246">
        <f t="shared" si="351"/>
        <v>-4.6153846153846101E-2</v>
      </c>
      <c r="BM85" s="245">
        <f t="shared" si="351"/>
        <v>-3.5971223021582732E-2</v>
      </c>
      <c r="BN85" s="245">
        <f t="shared" si="351"/>
        <v>-0.26114649681528668</v>
      </c>
      <c r="BO85" s="245">
        <f t="shared" si="351"/>
        <v>-0.14685314685314688</v>
      </c>
      <c r="BP85" s="244"/>
      <c r="BQ85" s="246">
        <f t="shared" si="352"/>
        <v>-8.8709677419354871E-2</v>
      </c>
      <c r="BR85" s="245">
        <f t="shared" si="352"/>
        <v>2.9850746268656803E-2</v>
      </c>
      <c r="BS85" s="245">
        <f t="shared" si="352"/>
        <v>0.28448275862068972</v>
      </c>
      <c r="BT85" s="245">
        <f t="shared" si="352"/>
        <v>0.54918032786885251</v>
      </c>
      <c r="BU85" s="244"/>
      <c r="BV85" s="246">
        <f t="shared" si="353"/>
        <v>0.38053097345132736</v>
      </c>
      <c r="BW85" s="245">
        <f t="shared" si="353"/>
        <v>0.25362318840579712</v>
      </c>
      <c r="BX85" s="245">
        <f t="shared" si="353"/>
        <v>0.24832214765100669</v>
      </c>
      <c r="BY85" s="245">
        <f t="shared" si="353"/>
        <v>0.44444444444444442</v>
      </c>
      <c r="BZ85" s="244"/>
      <c r="CA85" s="246">
        <f t="shared" si="354"/>
        <v>0.86538461538461542</v>
      </c>
      <c r="CB85" s="245">
        <f t="shared" si="354"/>
        <v>0.76300578034682087</v>
      </c>
      <c r="CC85" s="245">
        <f t="shared" si="354"/>
        <v>0.56451612903225801</v>
      </c>
      <c r="CD85" s="245">
        <f t="shared" si="354"/>
        <v>0.14652014652014644</v>
      </c>
      <c r="CE85" s="244"/>
      <c r="CF85" s="246">
        <f t="shared" si="355"/>
        <v>-1.0309278350515427E-2</v>
      </c>
      <c r="CG85" s="245">
        <f t="shared" si="355"/>
        <v>4.590163934426239E-2</v>
      </c>
      <c r="CH85" s="245">
        <f t="shared" si="355"/>
        <v>3.0927835051546282E-2</v>
      </c>
      <c r="CI85" s="245">
        <f t="shared" si="355"/>
        <v>-6.0702875399361034E-2</v>
      </c>
      <c r="CJ85" s="244"/>
      <c r="CK85" s="246">
        <f t="shared" si="356"/>
        <v>-0.85763888888888884</v>
      </c>
      <c r="CL85" s="245">
        <f t="shared" si="356"/>
        <v>-0.87147335423197492</v>
      </c>
      <c r="CM85" s="245">
        <f t="shared" si="356"/>
        <v>-0.86333333333333329</v>
      </c>
      <c r="CN85" s="245">
        <f t="shared" si="356"/>
        <v>-0.86054421768707479</v>
      </c>
      <c r="CO85" s="244"/>
      <c r="CP85" s="880">
        <f t="shared" si="357"/>
        <v>-2.4390243902439046E-2</v>
      </c>
      <c r="CQ85" s="245">
        <f t="shared" si="357"/>
        <v>-2.4390243902439046E-2</v>
      </c>
      <c r="CR85" s="245">
        <f t="shared" si="357"/>
        <v>-2.4390243902439046E-2</v>
      </c>
      <c r="CS85" s="245">
        <f t="shared" si="357"/>
        <v>-2.4390243902439046E-2</v>
      </c>
      <c r="CT85" s="244"/>
      <c r="CU85" s="246">
        <f t="shared" si="358"/>
        <v>-2.5000000000000022E-2</v>
      </c>
      <c r="CV85" s="245">
        <f t="shared" si="358"/>
        <v>-2.5000000000000022E-2</v>
      </c>
      <c r="CW85" s="245">
        <f t="shared" si="358"/>
        <v>-7.4999999999999956E-2</v>
      </c>
      <c r="CX85" s="245">
        <f t="shared" si="358"/>
        <v>-9.9999999999999978E-2</v>
      </c>
      <c r="CY85" s="244"/>
      <c r="CZ85" s="246">
        <f t="shared" si="359"/>
        <v>-0.12820512820512819</v>
      </c>
      <c r="DA85" s="245">
        <f t="shared" si="359"/>
        <v>-0.20512820512820518</v>
      </c>
      <c r="DB85" s="245">
        <f t="shared" si="359"/>
        <v>-0.59459459459459452</v>
      </c>
      <c r="DC85" s="245">
        <f t="shared" si="359"/>
        <v>-0.63888888888888884</v>
      </c>
      <c r="DD85" s="244"/>
      <c r="DE85" s="247">
        <f t="shared" si="360"/>
        <v>-0.44245853038177452</v>
      </c>
      <c r="DF85" s="248">
        <f t="shared" si="360"/>
        <v>-0.48969019258838131</v>
      </c>
      <c r="DG85" s="248">
        <f t="shared" si="360"/>
        <v>-1.3424004718640359E-2</v>
      </c>
      <c r="DH85" s="248">
        <f t="shared" si="360"/>
        <v>-1.5800864270035797E-3</v>
      </c>
      <c r="DI85" s="249"/>
      <c r="DJ85" s="247">
        <f t="shared" si="361"/>
        <v>-0.28321389965166432</v>
      </c>
      <c r="DK85" s="248">
        <f t="shared" si="361"/>
        <v>-0.25946007653649406</v>
      </c>
      <c r="DL85" s="248">
        <f t="shared" si="361"/>
        <v>-0.24541837196656824</v>
      </c>
      <c r="DM85" s="248">
        <f t="shared" si="361"/>
        <v>-0.26733458446308189</v>
      </c>
      <c r="DN85" s="249"/>
      <c r="DO85" s="247">
        <f t="shared" si="362"/>
        <v>-0.25920914982296461</v>
      </c>
      <c r="DP85" s="248">
        <f t="shared" si="362"/>
        <v>-0.16950603416376953</v>
      </c>
      <c r="DQ85" s="248">
        <f t="shared" si="362"/>
        <v>-6.7072683510401299E-2</v>
      </c>
      <c r="DR85" s="248">
        <f t="shared" si="362"/>
        <v>6.1318470106466627E-2</v>
      </c>
      <c r="DS85" s="249"/>
      <c r="DT85" s="247">
        <f t="shared" si="363"/>
        <v>0.13637047823731829</v>
      </c>
      <c r="DU85" s="248">
        <f t="shared" si="364"/>
        <v>0.13337494160703889</v>
      </c>
      <c r="DV85" s="248">
        <f t="shared" si="365"/>
        <v>0.1296016484985083</v>
      </c>
      <c r="DW85" s="248">
        <f t="shared" si="366"/>
        <v>0.12764155733713234</v>
      </c>
      <c r="DX85" s="249"/>
      <c r="DY85" s="247">
        <f t="shared" si="367"/>
        <v>0.13236662892164941</v>
      </c>
      <c r="DZ85" s="248">
        <f t="shared" si="368"/>
        <v>0.14393078569857787</v>
      </c>
      <c r="EA85" s="248">
        <f t="shared" si="369"/>
        <v>0.15421765998904413</v>
      </c>
      <c r="EB85" s="248">
        <f t="shared" si="370"/>
        <v>0.16520667995848748</v>
      </c>
      <c r="EC85" s="249"/>
      <c r="EF85"/>
      <c r="EG85"/>
      <c r="EH85"/>
      <c r="EI85"/>
      <c r="EJ85"/>
      <c r="EK85"/>
      <c r="EL85"/>
      <c r="EM85"/>
      <c r="EN85"/>
      <c r="EO85"/>
      <c r="EP85"/>
      <c r="EQ85"/>
      <c r="ER85"/>
      <c r="ES85"/>
      <c r="ET85"/>
      <c r="EU85"/>
      <c r="EV85"/>
      <c r="EW85"/>
      <c r="EX85"/>
      <c r="EY85"/>
      <c r="EZ85"/>
      <c r="FA85"/>
    </row>
    <row r="86" spans="1:157" s="172" customFormat="1" x14ac:dyDescent="0.2">
      <c r="A86" s="596" t="s">
        <v>46</v>
      </c>
      <c r="B86" s="102"/>
      <c r="C86" s="102"/>
      <c r="D86" s="102"/>
      <c r="E86" s="102"/>
      <c r="F86" s="102"/>
      <c r="G86" s="102"/>
      <c r="H86" s="181"/>
      <c r="I86" s="245"/>
      <c r="J86" s="245"/>
      <c r="K86" s="245"/>
      <c r="L86" s="245"/>
      <c r="M86" s="244"/>
      <c r="N86" s="245"/>
      <c r="O86" s="245"/>
      <c r="P86" s="245"/>
      <c r="Q86" s="245"/>
      <c r="R86" s="244"/>
      <c r="S86" s="245"/>
      <c r="T86" s="245"/>
      <c r="U86" s="245"/>
      <c r="V86" s="245"/>
      <c r="W86" s="244"/>
      <c r="X86" s="245">
        <f>X17/S17-1</f>
        <v>0.28915662650602414</v>
      </c>
      <c r="Y86" s="245">
        <f>Y17/T17-1</f>
        <v>0.32000000000000006</v>
      </c>
      <c r="Z86" s="245">
        <f>Z17/U17-1</f>
        <v>0.29577464788732399</v>
      </c>
      <c r="AA86" s="245">
        <f>AA17/V17-1</f>
        <v>0.35294117647058831</v>
      </c>
      <c r="AB86" s="244"/>
      <c r="AC86" s="245">
        <f>AC17/X17-1</f>
        <v>-0.15887850467289721</v>
      </c>
      <c r="AD86" s="245">
        <f>AD17/Y17-1</f>
        <v>-0.17171717171717171</v>
      </c>
      <c r="AE86" s="245">
        <f>AE17/Z17-1</f>
        <v>-7.6086956521739135E-2</v>
      </c>
      <c r="AF86" s="245">
        <f>AF17/AA17-1</f>
        <v>0.19565217391304346</v>
      </c>
      <c r="AG86" s="244"/>
      <c r="AH86" s="245">
        <f>AH17/AC17-1</f>
        <v>0.42222222222222228</v>
      </c>
      <c r="AI86" s="245">
        <f>AI17/AD17-1</f>
        <v>0.46341463414634143</v>
      </c>
      <c r="AJ86" s="245">
        <f>AJ17/AE17-1</f>
        <v>0.25882352941176467</v>
      </c>
      <c r="AK86" s="245">
        <f>AK17/AF17-1</f>
        <v>-0.40909090909090906</v>
      </c>
      <c r="AL86" s="244"/>
      <c r="AM86" s="245">
        <f>AM17/AH17-1</f>
        <v>-7.8125E-2</v>
      </c>
      <c r="AN86" s="245">
        <f>AN17/AI17-1</f>
        <v>-9.1666666666666674E-2</v>
      </c>
      <c r="AO86" s="245">
        <f>AO17/AJ17-1</f>
        <v>-8.411214953271029E-2</v>
      </c>
      <c r="AP86" s="245">
        <f>AP17/AK17-1</f>
        <v>1.0769230769230771</v>
      </c>
      <c r="AQ86" s="244"/>
      <c r="AR86" s="245">
        <f>AR17/AM17-1</f>
        <v>0.26271186440677963</v>
      </c>
      <c r="AS86" s="245">
        <f>AS17/AN17-1</f>
        <v>-0.16513761467889909</v>
      </c>
      <c r="AT86" s="245">
        <f>AT17/AO17-1</f>
        <v>-0.17346938775510201</v>
      </c>
      <c r="AU86" s="245">
        <f>AU17/AP17-1</f>
        <v>-0.44444444444444442</v>
      </c>
      <c r="AV86" s="246"/>
      <c r="AW86" s="246">
        <f t="shared" ref="AW86:AZ88" si="371">AW17/AR17-1</f>
        <v>-0.36241610738255037</v>
      </c>
      <c r="AX86" s="245">
        <f t="shared" si="371"/>
        <v>9.8901098901098994E-2</v>
      </c>
      <c r="AY86" s="245">
        <f t="shared" si="371"/>
        <v>0.11111111111111116</v>
      </c>
      <c r="AZ86" s="245">
        <f t="shared" si="371"/>
        <v>0.76</v>
      </c>
      <c r="BA86" s="244"/>
      <c r="BB86" s="246">
        <f t="shared" ref="BB86:BE88" si="372">BB17/AW17-1</f>
        <v>0.5473684210526315</v>
      </c>
      <c r="BC86" s="245">
        <f t="shared" si="372"/>
        <v>0.52</v>
      </c>
      <c r="BD86" s="245">
        <f t="shared" si="372"/>
        <v>0.54444444444444451</v>
      </c>
      <c r="BE86" s="245">
        <f t="shared" si="372"/>
        <v>7.575757575757569E-2</v>
      </c>
      <c r="BF86" s="244"/>
      <c r="BG86" s="246">
        <f t="shared" ref="BG86:BJ88" si="373">BG17/BB17-1</f>
        <v>0.34013605442176864</v>
      </c>
      <c r="BH86" s="245">
        <f t="shared" si="373"/>
        <v>0.39473684210526305</v>
      </c>
      <c r="BI86" s="245">
        <f t="shared" si="373"/>
        <v>0.29496402877697836</v>
      </c>
      <c r="BJ86" s="245">
        <f t="shared" si="373"/>
        <v>0.21126760563380276</v>
      </c>
      <c r="BK86" s="244"/>
      <c r="BL86" s="246">
        <f t="shared" ref="BL86:BO88" si="374">BL17/BG17-1</f>
        <v>-3.0456852791878153E-2</v>
      </c>
      <c r="BM86" s="245">
        <f t="shared" si="374"/>
        <v>-5.1886792452830233E-2</v>
      </c>
      <c r="BN86" s="245">
        <f t="shared" si="374"/>
        <v>0.59444444444444455</v>
      </c>
      <c r="BO86" s="245">
        <f t="shared" si="374"/>
        <v>0.82558139534883712</v>
      </c>
      <c r="BP86" s="244"/>
      <c r="BQ86" s="246">
        <f t="shared" ref="BQ86:BT88" si="375">BQ17/BL17-1</f>
        <v>0.58638743455497377</v>
      </c>
      <c r="BR86" s="245">
        <f t="shared" si="375"/>
        <v>0.691542288557214</v>
      </c>
      <c r="BS86" s="245">
        <f t="shared" si="375"/>
        <v>9.0592334494773441E-2</v>
      </c>
      <c r="BT86" s="245">
        <f t="shared" si="375"/>
        <v>-0.14331210191082799</v>
      </c>
      <c r="BU86" s="244"/>
      <c r="BV86" s="246">
        <f t="shared" ref="BV86:BY88" si="376">BV17/BQ17-1</f>
        <v>-0.12871287128712872</v>
      </c>
      <c r="BW86" s="245">
        <f t="shared" si="376"/>
        <v>-0.31764705882352939</v>
      </c>
      <c r="BX86" s="245">
        <f t="shared" si="376"/>
        <v>0.48881789137380194</v>
      </c>
      <c r="BY86" s="245">
        <f t="shared" si="376"/>
        <v>0.25650557620817849</v>
      </c>
      <c r="BZ86" s="244"/>
      <c r="CA86" s="246">
        <f t="shared" ref="CA86:CD88" si="377">CA17/BV17-1</f>
        <v>0.61742424242424243</v>
      </c>
      <c r="CB86" s="245">
        <f t="shared" si="377"/>
        <v>0.68103448275862077</v>
      </c>
      <c r="CC86" s="245">
        <f t="shared" si="377"/>
        <v>-0.30686695278969955</v>
      </c>
      <c r="CD86" s="245">
        <f t="shared" si="377"/>
        <v>-0.19526627218934911</v>
      </c>
      <c r="CE86" s="244"/>
      <c r="CF86" s="246">
        <f t="shared" ref="CF86:CI88" si="378">CF17/CA17-1</f>
        <v>-0.46838407494145196</v>
      </c>
      <c r="CG86" s="245">
        <f t="shared" si="378"/>
        <v>-0.38974358974358969</v>
      </c>
      <c r="CH86" s="245">
        <f t="shared" si="378"/>
        <v>-0.27863777089783281</v>
      </c>
      <c r="CI86" s="245">
        <f t="shared" si="378"/>
        <v>5.1470588235294157E-2</v>
      </c>
      <c r="CJ86" s="244"/>
      <c r="CK86" s="246">
        <f t="shared" ref="CK86:CN88" si="379">CK17/CF17-1</f>
        <v>-0.27753303964757714</v>
      </c>
      <c r="CL86" s="245">
        <f t="shared" si="379"/>
        <v>-0.31092436974789917</v>
      </c>
      <c r="CM86" s="245">
        <f t="shared" si="379"/>
        <v>-0.29613733905579398</v>
      </c>
      <c r="CN86" s="245">
        <f t="shared" si="379"/>
        <v>-0.42657342657342656</v>
      </c>
      <c r="CO86" s="244"/>
      <c r="CP86" s="880">
        <f t="shared" ref="CP86:CS88" si="380">CP17/CK17-1</f>
        <v>-0.18902439024390238</v>
      </c>
      <c r="CQ86" s="245">
        <f t="shared" si="380"/>
        <v>-0.18902439024390238</v>
      </c>
      <c r="CR86" s="245">
        <f t="shared" si="380"/>
        <v>-0.18902439024390238</v>
      </c>
      <c r="CS86" s="245">
        <f t="shared" si="380"/>
        <v>-0.18902439024390238</v>
      </c>
      <c r="CT86" s="244"/>
      <c r="CU86" s="246">
        <f t="shared" ref="CU86:CX87" si="381">CU17/CP17-1</f>
        <v>-3.7593984962406068E-2</v>
      </c>
      <c r="CV86" s="245">
        <f t="shared" si="381"/>
        <v>0.36090225563909772</v>
      </c>
      <c r="CW86" s="245">
        <f t="shared" si="381"/>
        <v>0.78947368421052633</v>
      </c>
      <c r="CX86" s="245">
        <f t="shared" si="381"/>
        <v>0.65413533834586457</v>
      </c>
      <c r="CY86" s="244"/>
      <c r="CZ86" s="246">
        <f t="shared" ref="CZ86:DC87" si="382">CZ17/CU17-1</f>
        <v>0.6796875</v>
      </c>
      <c r="DA86" s="245">
        <f t="shared" si="382"/>
        <v>0.47513812154696122</v>
      </c>
      <c r="DB86" s="245">
        <f t="shared" si="382"/>
        <v>0.95378151260504196</v>
      </c>
      <c r="DC86" s="245">
        <f t="shared" si="382"/>
        <v>0.68636363636363629</v>
      </c>
      <c r="DD86" s="244"/>
      <c r="DE86" s="247">
        <f t="shared" ref="DE86:DH87" si="383">DE17/CZ17-1</f>
        <v>0.72558139534883725</v>
      </c>
      <c r="DF86" s="248">
        <f t="shared" si="383"/>
        <v>0.38951310861423227</v>
      </c>
      <c r="DG86" s="248">
        <f t="shared" si="383"/>
        <v>-0.2021505376344086</v>
      </c>
      <c r="DH86" s="248">
        <f t="shared" si="383"/>
        <v>0</v>
      </c>
      <c r="DI86" s="249"/>
      <c r="DJ86" s="247">
        <f t="shared" ref="DJ86:DM87" si="384">DJ17/DE17-1</f>
        <v>0</v>
      </c>
      <c r="DK86" s="248">
        <f t="shared" si="384"/>
        <v>0</v>
      </c>
      <c r="DL86" s="248">
        <f t="shared" si="384"/>
        <v>0</v>
      </c>
      <c r="DM86" s="248">
        <f t="shared" si="384"/>
        <v>0</v>
      </c>
      <c r="DN86" s="249"/>
      <c r="DO86" s="247">
        <f t="shared" ref="DO86:DR87" si="385">DO17/DJ17-1</f>
        <v>0</v>
      </c>
      <c r="DP86" s="248">
        <f t="shared" si="385"/>
        <v>0</v>
      </c>
      <c r="DQ86" s="248">
        <f t="shared" si="385"/>
        <v>0</v>
      </c>
      <c r="DR86" s="248">
        <f t="shared" si="385"/>
        <v>0</v>
      </c>
      <c r="DS86" s="249"/>
      <c r="DT86" s="247">
        <f t="shared" ref="DT86:DT87" si="386">DT17/DO17-1</f>
        <v>0</v>
      </c>
      <c r="DU86" s="248">
        <f t="shared" ref="DU86:DU87" si="387">DU17/DP17-1</f>
        <v>0</v>
      </c>
      <c r="DV86" s="248">
        <f t="shared" ref="DV86:DV87" si="388">DV17/DQ17-1</f>
        <v>0</v>
      </c>
      <c r="DW86" s="248">
        <f t="shared" ref="DW86:DW87" si="389">DW17/DR17-1</f>
        <v>0</v>
      </c>
      <c r="DX86" s="249"/>
      <c r="DY86" s="247">
        <f t="shared" ref="DY86:DY87" si="390">DY17/DT17-1</f>
        <v>0</v>
      </c>
      <c r="DZ86" s="248">
        <f t="shared" ref="DZ86:DZ87" si="391">DZ17/DU17-1</f>
        <v>0</v>
      </c>
      <c r="EA86" s="248">
        <f t="shared" ref="EA86:EA87" si="392">EA17/DV17-1</f>
        <v>0</v>
      </c>
      <c r="EB86" s="248">
        <f t="shared" ref="EB86:EB87" si="393">EB17/DW17-1</f>
        <v>0</v>
      </c>
      <c r="EC86" s="249"/>
      <c r="EF86"/>
      <c r="EG86"/>
      <c r="EH86"/>
      <c r="EI86"/>
      <c r="EJ86"/>
      <c r="EK86"/>
      <c r="EL86"/>
      <c r="EM86"/>
      <c r="EN86"/>
      <c r="EO86"/>
      <c r="EP86"/>
      <c r="EQ86"/>
      <c r="ER86"/>
      <c r="ES86"/>
      <c r="ET86"/>
      <c r="EU86"/>
      <c r="EV86"/>
      <c r="EW86"/>
      <c r="EX86"/>
      <c r="EY86"/>
      <c r="EZ86"/>
      <c r="FA86"/>
    </row>
    <row r="87" spans="1:157" s="172" customFormat="1" x14ac:dyDescent="0.2">
      <c r="A87" s="596" t="s">
        <v>279</v>
      </c>
      <c r="B87" s="102"/>
      <c r="C87" s="102"/>
      <c r="D87" s="102"/>
      <c r="E87" s="102"/>
      <c r="F87" s="102"/>
      <c r="G87" s="102"/>
      <c r="H87" s="181"/>
      <c r="I87" s="245"/>
      <c r="J87" s="245"/>
      <c r="K87" s="245"/>
      <c r="L87" s="245"/>
      <c r="M87" s="244"/>
      <c r="N87" s="245"/>
      <c r="O87" s="245"/>
      <c r="P87" s="245"/>
      <c r="Q87" s="245"/>
      <c r="R87" s="244"/>
      <c r="S87" s="245"/>
      <c r="T87" s="245"/>
      <c r="U87" s="245"/>
      <c r="V87" s="245"/>
      <c r="W87" s="244"/>
      <c r="X87" s="245"/>
      <c r="Y87" s="245"/>
      <c r="Z87" s="245"/>
      <c r="AA87" s="245"/>
      <c r="AB87" s="244"/>
      <c r="AC87" s="245"/>
      <c r="AD87" s="245"/>
      <c r="AE87" s="245"/>
      <c r="AF87" s="245"/>
      <c r="AG87" s="244"/>
      <c r="AH87" s="245"/>
      <c r="AI87" s="245"/>
      <c r="AJ87" s="245"/>
      <c r="AK87" s="245"/>
      <c r="AL87" s="244"/>
      <c r="AM87" s="245"/>
      <c r="AN87" s="245"/>
      <c r="AO87" s="245"/>
      <c r="AP87" s="245">
        <f>AP18/AK18-1</f>
        <v>0.16071428571428581</v>
      </c>
      <c r="AQ87" s="244"/>
      <c r="AR87" s="245"/>
      <c r="AS87" s="245">
        <f t="shared" ref="AS87:AU88" si="394">AS18/AN18-1</f>
        <v>6.8493150684931559E-2</v>
      </c>
      <c r="AT87" s="245">
        <f t="shared" si="394"/>
        <v>8.5714285714285632E-2</v>
      </c>
      <c r="AU87" s="245">
        <f t="shared" si="394"/>
        <v>0.18461538461538463</v>
      </c>
      <c r="AV87" s="246"/>
      <c r="AW87" s="246">
        <f t="shared" si="371"/>
        <v>0.34210526315789469</v>
      </c>
      <c r="AX87" s="245">
        <f t="shared" si="371"/>
        <v>0.24358974358974361</v>
      </c>
      <c r="AY87" s="245">
        <f t="shared" si="371"/>
        <v>0.30263157894736836</v>
      </c>
      <c r="AZ87" s="245">
        <f t="shared" si="371"/>
        <v>-3.8961038961038974E-2</v>
      </c>
      <c r="BA87" s="244"/>
      <c r="BB87" s="246">
        <f t="shared" si="372"/>
        <v>-0.11764705882352944</v>
      </c>
      <c r="BC87" s="245">
        <f t="shared" si="372"/>
        <v>-0.21649484536082475</v>
      </c>
      <c r="BD87" s="245">
        <f t="shared" si="372"/>
        <v>-0.23232323232323238</v>
      </c>
      <c r="BE87" s="245">
        <f t="shared" si="372"/>
        <v>-2.7027027027026973E-2</v>
      </c>
      <c r="BF87" s="244"/>
      <c r="BG87" s="246">
        <f t="shared" si="373"/>
        <v>5.555555555555558E-2</v>
      </c>
      <c r="BH87" s="245">
        <f t="shared" si="373"/>
        <v>0.28947368421052633</v>
      </c>
      <c r="BI87" s="245">
        <f t="shared" si="373"/>
        <v>0.35526315789473695</v>
      </c>
      <c r="BJ87" s="245">
        <f t="shared" si="373"/>
        <v>0.52777777777777768</v>
      </c>
      <c r="BK87" s="244"/>
      <c r="BL87" s="246">
        <f t="shared" si="374"/>
        <v>5.2631578947368363E-2</v>
      </c>
      <c r="BM87" s="245">
        <f t="shared" si="374"/>
        <v>-8.1632653061224469E-2</v>
      </c>
      <c r="BN87" s="245">
        <f t="shared" si="374"/>
        <v>-0.18446601941747576</v>
      </c>
      <c r="BO87" s="245">
        <f t="shared" si="374"/>
        <v>-9.9999999999999978E-2</v>
      </c>
      <c r="BP87" s="244"/>
      <c r="BQ87" s="246">
        <f t="shared" si="375"/>
        <v>-4.0000000000000036E-2</v>
      </c>
      <c r="BR87" s="245">
        <f t="shared" si="375"/>
        <v>-1.1111111111111072E-2</v>
      </c>
      <c r="BS87" s="245">
        <f t="shared" si="375"/>
        <v>-3.5714285714285698E-2</v>
      </c>
      <c r="BT87" s="245">
        <f t="shared" si="375"/>
        <v>-0.38383838383838387</v>
      </c>
      <c r="BU87" s="244"/>
      <c r="BV87" s="246">
        <f t="shared" si="376"/>
        <v>-0.38541666666666663</v>
      </c>
      <c r="BW87" s="245">
        <f t="shared" si="376"/>
        <v>-0.2808988764044944</v>
      </c>
      <c r="BX87" s="245">
        <f t="shared" si="376"/>
        <v>-6.1728395061728447E-2</v>
      </c>
      <c r="BY87" s="245">
        <f t="shared" si="376"/>
        <v>0.86885245901639352</v>
      </c>
      <c r="BZ87" s="244"/>
      <c r="CA87" s="246">
        <f t="shared" si="377"/>
        <v>1.3559322033898304</v>
      </c>
      <c r="CB87" s="245">
        <f t="shared" si="377"/>
        <v>0.625</v>
      </c>
      <c r="CC87" s="245">
        <f t="shared" si="377"/>
        <v>0.48684210526315796</v>
      </c>
      <c r="CD87" s="245">
        <f t="shared" si="377"/>
        <v>0.19298245614035081</v>
      </c>
      <c r="CE87" s="244"/>
      <c r="CF87" s="246">
        <f t="shared" si="378"/>
        <v>-4.3165467625899234E-2</v>
      </c>
      <c r="CG87" s="245">
        <f t="shared" si="378"/>
        <v>0.10576923076923084</v>
      </c>
      <c r="CH87" s="245">
        <f t="shared" si="378"/>
        <v>2.6548672566371723E-2</v>
      </c>
      <c r="CI87" s="245">
        <f t="shared" si="378"/>
        <v>-0.29411764705882348</v>
      </c>
      <c r="CJ87" s="244"/>
      <c r="CK87" s="246">
        <f t="shared" si="379"/>
        <v>-0.2857142857142857</v>
      </c>
      <c r="CL87" s="245">
        <f t="shared" si="379"/>
        <v>-0.17391304347826086</v>
      </c>
      <c r="CM87" s="245">
        <f t="shared" si="379"/>
        <v>-0.18103448275862066</v>
      </c>
      <c r="CN87" s="245">
        <f t="shared" si="379"/>
        <v>-1.041666666666663E-2</v>
      </c>
      <c r="CO87" s="244"/>
      <c r="CP87" s="880">
        <f t="shared" si="380"/>
        <v>8.4210526315789513E-2</v>
      </c>
      <c r="CQ87" s="245">
        <f t="shared" si="380"/>
        <v>8.4210526315789513E-2</v>
      </c>
      <c r="CR87" s="245">
        <f t="shared" si="380"/>
        <v>8.4210526315789513E-2</v>
      </c>
      <c r="CS87" s="245">
        <f t="shared" si="380"/>
        <v>8.4210526315789513E-2</v>
      </c>
      <c r="CT87" s="244"/>
      <c r="CU87" s="246">
        <f t="shared" si="381"/>
        <v>0.18446601941747565</v>
      </c>
      <c r="CV87" s="245">
        <f t="shared" si="381"/>
        <v>-9.7087378640776656E-3</v>
      </c>
      <c r="CW87" s="245">
        <f t="shared" si="381"/>
        <v>0.32038834951456319</v>
      </c>
      <c r="CX87" s="245">
        <f t="shared" si="381"/>
        <v>-0.75728155339805825</v>
      </c>
      <c r="CY87" s="244"/>
      <c r="CZ87" s="246">
        <f t="shared" si="382"/>
        <v>-0.49180327868852458</v>
      </c>
      <c r="DA87" s="245">
        <f t="shared" si="382"/>
        <v>-0.26470588235294112</v>
      </c>
      <c r="DB87" s="245">
        <f t="shared" si="382"/>
        <v>-0.19117647058823528</v>
      </c>
      <c r="DC87" s="245">
        <f t="shared" si="382"/>
        <v>3.96</v>
      </c>
      <c r="DD87" s="244"/>
      <c r="DE87" s="247">
        <f t="shared" si="383"/>
        <v>1</v>
      </c>
      <c r="DF87" s="248">
        <f t="shared" si="383"/>
        <v>0.65333333333333332</v>
      </c>
      <c r="DG87" s="248">
        <f t="shared" si="383"/>
        <v>0.1272727272727272</v>
      </c>
      <c r="DH87" s="248">
        <f t="shared" si="383"/>
        <v>0</v>
      </c>
      <c r="DI87" s="249"/>
      <c r="DJ87" s="247">
        <f t="shared" si="384"/>
        <v>0</v>
      </c>
      <c r="DK87" s="248">
        <f t="shared" si="384"/>
        <v>0</v>
      </c>
      <c r="DL87" s="248">
        <f t="shared" si="384"/>
        <v>0</v>
      </c>
      <c r="DM87" s="248">
        <f t="shared" si="384"/>
        <v>0</v>
      </c>
      <c r="DN87" s="249"/>
      <c r="DO87" s="247">
        <f t="shared" si="385"/>
        <v>0</v>
      </c>
      <c r="DP87" s="248">
        <f t="shared" si="385"/>
        <v>0</v>
      </c>
      <c r="DQ87" s="248">
        <f t="shared" si="385"/>
        <v>0</v>
      </c>
      <c r="DR87" s="248">
        <f t="shared" si="385"/>
        <v>0</v>
      </c>
      <c r="DS87" s="249"/>
      <c r="DT87" s="247">
        <f t="shared" si="386"/>
        <v>0</v>
      </c>
      <c r="DU87" s="248">
        <f t="shared" si="387"/>
        <v>0</v>
      </c>
      <c r="DV87" s="248">
        <f t="shared" si="388"/>
        <v>0</v>
      </c>
      <c r="DW87" s="248">
        <f t="shared" si="389"/>
        <v>0</v>
      </c>
      <c r="DX87" s="249"/>
      <c r="DY87" s="247">
        <f t="shared" si="390"/>
        <v>0</v>
      </c>
      <c r="DZ87" s="248">
        <f t="shared" si="391"/>
        <v>0</v>
      </c>
      <c r="EA87" s="248">
        <f t="shared" si="392"/>
        <v>0</v>
      </c>
      <c r="EB87" s="248">
        <f t="shared" si="393"/>
        <v>0</v>
      </c>
      <c r="EC87" s="249"/>
      <c r="EF87"/>
      <c r="EG87"/>
      <c r="EH87"/>
      <c r="EI87"/>
      <c r="EJ87"/>
      <c r="EK87"/>
      <c r="EL87"/>
      <c r="EM87"/>
      <c r="EN87"/>
      <c r="EO87"/>
      <c r="EP87"/>
      <c r="EQ87"/>
      <c r="ER87"/>
      <c r="ES87"/>
      <c r="ET87"/>
      <c r="EU87"/>
      <c r="EV87"/>
      <c r="EW87"/>
      <c r="EX87"/>
      <c r="EY87"/>
      <c r="EZ87"/>
      <c r="FA87"/>
    </row>
    <row r="88" spans="1:157" s="172" customFormat="1" x14ac:dyDescent="0.2">
      <c r="A88" s="596" t="s">
        <v>47</v>
      </c>
      <c r="B88" s="102"/>
      <c r="C88" s="102"/>
      <c r="D88" s="102"/>
      <c r="E88" s="102"/>
      <c r="F88" s="102"/>
      <c r="G88" s="102"/>
      <c r="H88" s="181"/>
      <c r="I88" s="245"/>
      <c r="J88" s="245"/>
      <c r="K88" s="245"/>
      <c r="L88" s="245"/>
      <c r="M88" s="244"/>
      <c r="N88" s="245"/>
      <c r="O88" s="245"/>
      <c r="P88" s="245"/>
      <c r="Q88" s="245"/>
      <c r="R88" s="244"/>
      <c r="S88" s="245"/>
      <c r="T88" s="245"/>
      <c r="U88" s="245"/>
      <c r="V88" s="245"/>
      <c r="W88" s="244"/>
      <c r="X88" s="245">
        <f>X19/S19-1</f>
        <v>0.32203389830508478</v>
      </c>
      <c r="Y88" s="245">
        <f>Y19/T19-1</f>
        <v>0.69565217391304346</v>
      </c>
      <c r="Z88" s="245">
        <f>Z19/U19-1</f>
        <v>0.65217391304347827</v>
      </c>
      <c r="AA88" s="245">
        <f>AA19/V19-1</f>
        <v>5.3333333333333233E-2</v>
      </c>
      <c r="AB88" s="244"/>
      <c r="AC88" s="245">
        <f>AC19/X19-1</f>
        <v>6.4102564102564097E-2</v>
      </c>
      <c r="AD88" s="245">
        <f>AD19/Y19-1</f>
        <v>6.4102564102564097E-2</v>
      </c>
      <c r="AE88" s="245">
        <f>AE19/Z19-1</f>
        <v>9.210526315789469E-2</v>
      </c>
      <c r="AF88" s="245">
        <f>AF19/AA19-1</f>
        <v>0.53164556962025311</v>
      </c>
      <c r="AG88" s="244"/>
      <c r="AH88" s="245">
        <f>AH19/AC19-1</f>
        <v>0.45783132530120474</v>
      </c>
      <c r="AI88" s="245">
        <f>AI19/AD19-1</f>
        <v>0.45783132530120474</v>
      </c>
      <c r="AJ88" s="245">
        <f>AJ19/AE19-1</f>
        <v>0.45783132530120474</v>
      </c>
      <c r="AK88" s="245">
        <f>AK19/AF19-1</f>
        <v>0.36363636363636354</v>
      </c>
      <c r="AL88" s="244"/>
      <c r="AM88" s="245">
        <f>AM19/AH19-1</f>
        <v>0.36363636363636354</v>
      </c>
      <c r="AN88" s="245">
        <f>AN19/AI19-1</f>
        <v>0.36363636363636354</v>
      </c>
      <c r="AO88" s="245">
        <f>AO19/AJ19-1</f>
        <v>0.26446280991735538</v>
      </c>
      <c r="AP88" s="245">
        <f>AP19/AK19-1</f>
        <v>-5.4545454545454564E-2</v>
      </c>
      <c r="AQ88" s="244"/>
      <c r="AR88" s="245">
        <f>AR19/AM19-1</f>
        <v>-0.10909090909090913</v>
      </c>
      <c r="AS88" s="245">
        <f t="shared" si="394"/>
        <v>-0.1333333333333333</v>
      </c>
      <c r="AT88" s="245">
        <f t="shared" si="394"/>
        <v>2.614379084967311E-2</v>
      </c>
      <c r="AU88" s="245">
        <f t="shared" si="394"/>
        <v>4.4871794871794934E-2</v>
      </c>
      <c r="AV88" s="246"/>
      <c r="AW88" s="246">
        <f t="shared" si="371"/>
        <v>8.163265306122458E-2</v>
      </c>
      <c r="AX88" s="245">
        <f t="shared" si="371"/>
        <v>0.10489510489510478</v>
      </c>
      <c r="AY88" s="245">
        <f t="shared" si="371"/>
        <v>-4.4585987261146487E-2</v>
      </c>
      <c r="AZ88" s="245">
        <f t="shared" si="371"/>
        <v>-0.66257668711656437</v>
      </c>
      <c r="BA88" s="244"/>
      <c r="BB88" s="246">
        <f t="shared" si="372"/>
        <v>-0.66666666666666674</v>
      </c>
      <c r="BC88" s="245">
        <f t="shared" si="372"/>
        <v>-0.430379746835443</v>
      </c>
      <c r="BD88" s="245">
        <f t="shared" si="372"/>
        <v>-0.35333333333333339</v>
      </c>
      <c r="BE88" s="245">
        <f t="shared" si="372"/>
        <v>1.2727272727272729</v>
      </c>
      <c r="BF88" s="244"/>
      <c r="BG88" s="246">
        <f t="shared" si="373"/>
        <v>1.4339622641509435</v>
      </c>
      <c r="BH88" s="245">
        <f t="shared" si="373"/>
        <v>0.61111111111111116</v>
      </c>
      <c r="BI88" s="245">
        <f t="shared" si="373"/>
        <v>0.57731958762886593</v>
      </c>
      <c r="BJ88" s="245">
        <f t="shared" si="373"/>
        <v>-0.35199999999999998</v>
      </c>
      <c r="BK88" s="244"/>
      <c r="BL88" s="246">
        <f t="shared" si="374"/>
        <v>-0.39534883720930236</v>
      </c>
      <c r="BM88" s="245">
        <f t="shared" si="374"/>
        <v>-0.42068965517241375</v>
      </c>
      <c r="BN88" s="245">
        <f t="shared" si="374"/>
        <v>-0.64705882352941169</v>
      </c>
      <c r="BO88" s="245">
        <f t="shared" si="374"/>
        <v>0</v>
      </c>
      <c r="BP88" s="244"/>
      <c r="BQ88" s="246">
        <f t="shared" si="375"/>
        <v>0.85897435897435903</v>
      </c>
      <c r="BR88" s="245">
        <f t="shared" si="375"/>
        <v>0.27380952380952372</v>
      </c>
      <c r="BS88" s="245">
        <f t="shared" si="375"/>
        <v>1.0185185185185186</v>
      </c>
      <c r="BT88" s="245">
        <f t="shared" si="375"/>
        <v>0.38271604938271597</v>
      </c>
      <c r="BU88" s="244"/>
      <c r="BV88" s="246">
        <f t="shared" si="376"/>
        <v>-0.19310344827586212</v>
      </c>
      <c r="BW88" s="245">
        <f t="shared" si="376"/>
        <v>0.14018691588785037</v>
      </c>
      <c r="BX88" s="245">
        <f t="shared" si="376"/>
        <v>-2.752293577981646E-2</v>
      </c>
      <c r="BY88" s="245">
        <f t="shared" si="376"/>
        <v>0</v>
      </c>
      <c r="BZ88" s="244"/>
      <c r="CA88" s="246">
        <f t="shared" si="377"/>
        <v>9.4017094017094127E-2</v>
      </c>
      <c r="CB88" s="245">
        <f t="shared" si="377"/>
        <v>2.4590163934426146E-2</v>
      </c>
      <c r="CC88" s="245">
        <f t="shared" si="377"/>
        <v>1.8867924528301883E-2</v>
      </c>
      <c r="CD88" s="245">
        <f t="shared" si="377"/>
        <v>-8.9285714285713969E-3</v>
      </c>
      <c r="CE88" s="244"/>
      <c r="CF88" s="246">
        <f t="shared" si="378"/>
        <v>-6.25E-2</v>
      </c>
      <c r="CG88" s="245">
        <f t="shared" si="378"/>
        <v>-0.35199999999999998</v>
      </c>
      <c r="CH88" s="245">
        <f t="shared" si="378"/>
        <v>-0.2592592592592593</v>
      </c>
      <c r="CI88" s="245">
        <f t="shared" si="378"/>
        <v>0.10810810810810811</v>
      </c>
      <c r="CJ88" s="244"/>
      <c r="CK88" s="246">
        <f t="shared" si="379"/>
        <v>-0.22499999999999998</v>
      </c>
      <c r="CL88" s="245">
        <f t="shared" si="379"/>
        <v>0.14814814814814814</v>
      </c>
      <c r="CM88" s="245">
        <f t="shared" si="379"/>
        <v>0.16250000000000009</v>
      </c>
      <c r="CN88" s="245">
        <f t="shared" si="379"/>
        <v>-0.24390243902439024</v>
      </c>
      <c r="CO88" s="244"/>
      <c r="CP88" s="880">
        <f t="shared" si="380"/>
        <v>-1</v>
      </c>
      <c r="CQ88" s="245">
        <f t="shared" si="380"/>
        <v>-1</v>
      </c>
      <c r="CR88" s="245">
        <f t="shared" si="380"/>
        <v>-1</v>
      </c>
      <c r="CS88" s="245">
        <f t="shared" si="380"/>
        <v>-1</v>
      </c>
      <c r="CT88" s="244"/>
      <c r="CU88" s="246"/>
      <c r="CV88" s="245"/>
      <c r="CW88" s="245"/>
      <c r="CX88" s="245"/>
      <c r="CY88" s="244"/>
      <c r="CZ88" s="246"/>
      <c r="DA88" s="245"/>
      <c r="DB88" s="245"/>
      <c r="DC88" s="245"/>
      <c r="DD88" s="244"/>
      <c r="DE88" s="247"/>
      <c r="DF88" s="248"/>
      <c r="DG88" s="248"/>
      <c r="DH88" s="248"/>
      <c r="DI88" s="249"/>
      <c r="DJ88" s="247"/>
      <c r="DK88" s="248"/>
      <c r="DL88" s="248"/>
      <c r="DM88" s="248"/>
      <c r="DN88" s="249"/>
      <c r="DO88" s="247"/>
      <c r="DP88" s="248"/>
      <c r="DQ88" s="248"/>
      <c r="DR88" s="248"/>
      <c r="DS88" s="249"/>
      <c r="DT88" s="247"/>
      <c r="DU88" s="248"/>
      <c r="DV88" s="248"/>
      <c r="DW88" s="248"/>
      <c r="DX88" s="249"/>
      <c r="DY88" s="247"/>
      <c r="DZ88" s="248"/>
      <c r="EA88" s="248"/>
      <c r="EB88" s="248"/>
      <c r="EC88" s="249"/>
      <c r="EF88"/>
      <c r="EG88"/>
      <c r="EH88"/>
      <c r="EI88"/>
      <c r="EJ88"/>
      <c r="EK88"/>
      <c r="EL88"/>
      <c r="EM88"/>
      <c r="EN88"/>
      <c r="EO88"/>
      <c r="EP88"/>
      <c r="EQ88"/>
      <c r="ER88"/>
      <c r="ES88"/>
      <c r="ET88"/>
      <c r="EU88"/>
      <c r="EV88"/>
      <c r="EW88"/>
      <c r="EX88"/>
      <c r="EY88"/>
      <c r="EZ88"/>
      <c r="FA88"/>
    </row>
    <row r="89" spans="1:157" s="172" customFormat="1" x14ac:dyDescent="0.2">
      <c r="A89" s="460" t="s">
        <v>268</v>
      </c>
      <c r="B89" s="102"/>
      <c r="C89" s="102"/>
      <c r="D89" s="102"/>
      <c r="E89" s="102"/>
      <c r="F89" s="102"/>
      <c r="G89" s="102"/>
      <c r="H89" s="181"/>
      <c r="I89" s="245"/>
      <c r="J89" s="245"/>
      <c r="K89" s="245"/>
      <c r="L89" s="245"/>
      <c r="M89" s="244"/>
      <c r="N89" s="245"/>
      <c r="O89" s="245"/>
      <c r="P89" s="245"/>
      <c r="Q89" s="245"/>
      <c r="R89" s="244"/>
      <c r="S89" s="245"/>
      <c r="T89" s="245"/>
      <c r="U89" s="245"/>
      <c r="V89" s="245"/>
      <c r="W89" s="244"/>
      <c r="X89" s="245"/>
      <c r="Y89" s="245"/>
      <c r="Z89" s="245"/>
      <c r="AA89" s="245"/>
      <c r="AB89" s="244"/>
      <c r="AC89" s="245"/>
      <c r="AD89" s="245"/>
      <c r="AE89" s="245"/>
      <c r="AF89" s="245"/>
      <c r="AG89" s="244"/>
      <c r="AH89" s="245"/>
      <c r="AI89" s="245"/>
      <c r="AJ89" s="245"/>
      <c r="AK89" s="245"/>
      <c r="AL89" s="244"/>
      <c r="AM89" s="245"/>
      <c r="AN89" s="245"/>
      <c r="AO89" s="245"/>
      <c r="AP89" s="245"/>
      <c r="AQ89" s="244"/>
      <c r="AR89" s="245"/>
      <c r="AS89" s="245"/>
      <c r="AT89" s="245"/>
      <c r="AU89" s="245"/>
      <c r="AV89" s="246"/>
      <c r="AW89" s="246"/>
      <c r="AX89" s="245"/>
      <c r="AY89" s="245"/>
      <c r="AZ89" s="245"/>
      <c r="BA89" s="244"/>
      <c r="BB89" s="246"/>
      <c r="BC89" s="245"/>
      <c r="BD89" s="245"/>
      <c r="BE89" s="245"/>
      <c r="BF89" s="244"/>
      <c r="BG89" s="246"/>
      <c r="BH89" s="245"/>
      <c r="BI89" s="245"/>
      <c r="BJ89" s="245"/>
      <c r="BK89" s="244"/>
      <c r="BL89" s="246"/>
      <c r="BM89" s="245"/>
      <c r="BN89" s="245"/>
      <c r="BO89" s="245"/>
      <c r="BP89" s="244"/>
      <c r="BQ89" s="246"/>
      <c r="BR89" s="245"/>
      <c r="BS89" s="245"/>
      <c r="BT89" s="245"/>
      <c r="BU89" s="244"/>
      <c r="BV89" s="246"/>
      <c r="BW89" s="245"/>
      <c r="BX89" s="245"/>
      <c r="BY89" s="245"/>
      <c r="BZ89" s="244"/>
      <c r="CA89" s="246"/>
      <c r="CB89" s="245"/>
      <c r="CC89" s="245"/>
      <c r="CD89" s="245"/>
      <c r="CE89" s="244"/>
      <c r="CF89" s="246"/>
      <c r="CG89" s="245"/>
      <c r="CH89" s="245"/>
      <c r="CI89" s="245"/>
      <c r="CJ89" s="244"/>
      <c r="CK89" s="246"/>
      <c r="CL89" s="245"/>
      <c r="CM89" s="245"/>
      <c r="CN89" s="245"/>
      <c r="CO89" s="244"/>
      <c r="CP89" s="880"/>
      <c r="CQ89" s="245"/>
      <c r="CR89" s="245"/>
      <c r="CS89" s="245"/>
      <c r="CT89" s="244"/>
      <c r="CU89" s="246"/>
      <c r="CV89" s="245"/>
      <c r="CW89" s="245"/>
      <c r="CX89" s="245"/>
      <c r="CY89" s="244"/>
      <c r="CZ89" s="246"/>
      <c r="DA89" s="245"/>
      <c r="DB89" s="245"/>
      <c r="DC89" s="245"/>
      <c r="DD89" s="244"/>
      <c r="DE89" s="247"/>
      <c r="DF89" s="248"/>
      <c r="DG89" s="248"/>
      <c r="DH89" s="248"/>
      <c r="DI89" s="249"/>
      <c r="DJ89" s="247"/>
      <c r="DK89" s="248"/>
      <c r="DL89" s="248"/>
      <c r="DM89" s="248"/>
      <c r="DN89" s="249"/>
      <c r="DO89" s="247"/>
      <c r="DP89" s="248"/>
      <c r="DQ89" s="248"/>
      <c r="DR89" s="248"/>
      <c r="DS89" s="249"/>
      <c r="DT89" s="247"/>
      <c r="DU89" s="248"/>
      <c r="DV89" s="248"/>
      <c r="DW89" s="248"/>
      <c r="DX89" s="249"/>
      <c r="DY89" s="247"/>
      <c r="DZ89" s="248"/>
      <c r="EA89" s="248"/>
      <c r="EB89" s="248"/>
      <c r="EC89" s="249"/>
      <c r="EF89"/>
      <c r="EG89"/>
      <c r="EH89"/>
      <c r="EI89"/>
      <c r="EJ89"/>
      <c r="EK89"/>
      <c r="EL89"/>
      <c r="EM89"/>
      <c r="EN89"/>
      <c r="EO89"/>
      <c r="EP89"/>
      <c r="EQ89"/>
      <c r="ER89"/>
      <c r="ES89"/>
      <c r="ET89"/>
      <c r="EU89"/>
      <c r="EV89"/>
      <c r="EW89"/>
      <c r="EX89"/>
      <c r="EY89"/>
      <c r="EZ89"/>
      <c r="FA89"/>
    </row>
    <row r="90" spans="1:157" s="172" customFormat="1" x14ac:dyDescent="0.2">
      <c r="A90" s="596" t="s">
        <v>429</v>
      </c>
      <c r="B90" s="102"/>
      <c r="C90" s="102"/>
      <c r="D90" s="102"/>
      <c r="E90" s="102"/>
      <c r="F90" s="102"/>
      <c r="G90" s="102"/>
      <c r="H90" s="181"/>
      <c r="I90" s="245"/>
      <c r="J90" s="245"/>
      <c r="K90" s="245"/>
      <c r="L90" s="245"/>
      <c r="M90" s="244"/>
      <c r="N90" s="245"/>
      <c r="O90" s="245"/>
      <c r="P90" s="245"/>
      <c r="Q90" s="245"/>
      <c r="R90" s="244"/>
      <c r="S90" s="245"/>
      <c r="T90" s="245"/>
      <c r="U90" s="245"/>
      <c r="V90" s="245"/>
      <c r="W90" s="244"/>
      <c r="X90" s="245">
        <f t="shared" ref="X90:AA91" si="395">X23/S23-1</f>
        <v>-7.878787878787874E-2</v>
      </c>
      <c r="Y90" s="245">
        <f t="shared" si="395"/>
        <v>-4.0000000000000036E-2</v>
      </c>
      <c r="Z90" s="245">
        <f t="shared" si="395"/>
        <v>6.2780269058295923E-2</v>
      </c>
      <c r="AA90" s="245">
        <f t="shared" si="395"/>
        <v>9.3078758949880713E-2</v>
      </c>
      <c r="AB90" s="244"/>
      <c r="AC90" s="245">
        <f t="shared" ref="AC90:AF91" si="396">AC23/X23-1</f>
        <v>-0.77192982456140347</v>
      </c>
      <c r="AD90" s="245">
        <f t="shared" si="396"/>
        <v>-0.76973684210526316</v>
      </c>
      <c r="AE90" s="245">
        <f t="shared" si="396"/>
        <v>-0.78059071729957807</v>
      </c>
      <c r="AF90" s="245">
        <f t="shared" si="396"/>
        <v>-0.20524017467248912</v>
      </c>
      <c r="AG90" s="244"/>
      <c r="AH90" s="245">
        <f t="shared" ref="AH90:AK91" si="397">AH23/AC23-1</f>
        <v>2.5</v>
      </c>
      <c r="AI90" s="245">
        <f t="shared" si="397"/>
        <v>2.4571428571428573</v>
      </c>
      <c r="AJ90" s="245">
        <f t="shared" si="397"/>
        <v>2.4711538461538463</v>
      </c>
      <c r="AK90" s="245">
        <f t="shared" si="397"/>
        <v>-1.9230769230769273E-2</v>
      </c>
      <c r="AL90" s="244"/>
      <c r="AM90" s="245">
        <f t="shared" ref="AM90:AP91" si="398">AM23/AH23-1</f>
        <v>-2.4725274725274748E-2</v>
      </c>
      <c r="AN90" s="245">
        <f t="shared" si="398"/>
        <v>-3.0303030303030276E-2</v>
      </c>
      <c r="AO90" s="245">
        <f t="shared" si="398"/>
        <v>-2.7700831024930705E-2</v>
      </c>
      <c r="AP90" s="245">
        <f t="shared" si="398"/>
        <v>-2.8011204481792729E-2</v>
      </c>
      <c r="AQ90" s="244"/>
      <c r="AR90" s="245">
        <f t="shared" ref="AR90:AU91" si="399">AR23/AM23-1</f>
        <v>-3.0985915492957705E-2</v>
      </c>
      <c r="AS90" s="245">
        <f t="shared" si="399"/>
        <v>-3.4090909090909061E-2</v>
      </c>
      <c r="AT90" s="245">
        <f t="shared" si="399"/>
        <v>-3.9886039886039892E-2</v>
      </c>
      <c r="AU90" s="245">
        <f t="shared" si="399"/>
        <v>-4.8991354466858761E-2</v>
      </c>
      <c r="AV90" s="246"/>
      <c r="AW90" s="246">
        <f t="shared" ref="AW90:AZ91" si="400">AW23/AR23-1</f>
        <v>-4.9418604651162767E-2</v>
      </c>
      <c r="AX90" s="245">
        <f t="shared" si="400"/>
        <v>2.9411764705882248E-3</v>
      </c>
      <c r="AY90" s="245">
        <f t="shared" si="400"/>
        <v>2.9673590504450953E-3</v>
      </c>
      <c r="AZ90" s="245">
        <f t="shared" si="400"/>
        <v>5.1515151515151514E-2</v>
      </c>
      <c r="BA90" s="244"/>
      <c r="BB90" s="246">
        <f t="shared" ref="BB90:BE91" si="401">BB23/AW23-1</f>
        <v>4.8929663608562768E-2</v>
      </c>
      <c r="BC90" s="245">
        <f t="shared" si="401"/>
        <v>-2.9325513196480912E-3</v>
      </c>
      <c r="BD90" s="245">
        <f t="shared" si="401"/>
        <v>-5.9171597633136397E-3</v>
      </c>
      <c r="BE90" s="245">
        <f t="shared" si="401"/>
        <v>-4.0345821325648457E-2</v>
      </c>
      <c r="BF90" s="244"/>
      <c r="BG90" s="246">
        <f t="shared" ref="BG90:BJ92" si="402">BG23/BB23-1</f>
        <v>-4.6647230320699729E-2</v>
      </c>
      <c r="BH90" s="245">
        <f t="shared" si="402"/>
        <v>-3.5294117647058809E-2</v>
      </c>
      <c r="BI90" s="245">
        <f t="shared" si="402"/>
        <v>-4.166666666666663E-2</v>
      </c>
      <c r="BJ90" s="245">
        <f t="shared" si="402"/>
        <v>6.0060060060060927E-3</v>
      </c>
      <c r="BK90" s="244"/>
      <c r="BL90" s="246">
        <f t="shared" ref="BL90:BO92" si="403">BL23/BG23-1</f>
        <v>1.5290519877675823E-2</v>
      </c>
      <c r="BM90" s="245">
        <f t="shared" si="403"/>
        <v>3.9634146341463339E-2</v>
      </c>
      <c r="BN90" s="245">
        <f t="shared" si="403"/>
        <v>0.38819875776397517</v>
      </c>
      <c r="BO90" s="245">
        <f t="shared" si="403"/>
        <v>0.37910447761194033</v>
      </c>
      <c r="BP90" s="244"/>
      <c r="BQ90" s="246">
        <f t="shared" ref="BQ90:BT92" si="404">BQ23/BL23-1</f>
        <v>0.3644578313253013</v>
      </c>
      <c r="BR90" s="245">
        <f t="shared" si="404"/>
        <v>0.30205278592375362</v>
      </c>
      <c r="BS90" s="245">
        <f t="shared" si="404"/>
        <v>-1.5659955257270708E-2</v>
      </c>
      <c r="BT90" s="245">
        <f t="shared" si="404"/>
        <v>2.813852813852824E-2</v>
      </c>
      <c r="BU90" s="244"/>
      <c r="BV90" s="246">
        <f t="shared" ref="BV90:BY92" si="405">BV23/BQ23-1</f>
        <v>-9.9337748344370813E-2</v>
      </c>
      <c r="BW90" s="245">
        <f t="shared" si="405"/>
        <v>-8.333333333333337E-2</v>
      </c>
      <c r="BX90" s="245">
        <f t="shared" si="405"/>
        <v>-0.35</v>
      </c>
      <c r="BY90" s="245">
        <f t="shared" si="405"/>
        <v>-0.3705263157894737</v>
      </c>
      <c r="BZ90" s="244"/>
      <c r="CA90" s="246">
        <f t="shared" ref="CA90:CD92" si="406">CA23/BV23-1</f>
        <v>0.98774509803921573</v>
      </c>
      <c r="CB90" s="245">
        <f t="shared" si="406"/>
        <v>0.80098280098280106</v>
      </c>
      <c r="CC90" s="245">
        <f t="shared" si="406"/>
        <v>1.4930069930069929</v>
      </c>
      <c r="CD90" s="245">
        <f t="shared" si="406"/>
        <v>1.3076923076923075</v>
      </c>
      <c r="CE90" s="244"/>
      <c r="CF90" s="246">
        <f t="shared" ref="CF90:CI92" si="407">CF23/CA23-1</f>
        <v>-0.1454993834771886</v>
      </c>
      <c r="CG90" s="245">
        <f t="shared" si="407"/>
        <v>-2.1828103683492528E-2</v>
      </c>
      <c r="CH90" s="245">
        <f t="shared" si="407"/>
        <v>-9.6774193548387122E-2</v>
      </c>
      <c r="CI90" s="245">
        <f t="shared" si="407"/>
        <v>-7.5362318840579756E-2</v>
      </c>
      <c r="CJ90" s="244"/>
      <c r="CK90" s="246">
        <f t="shared" ref="CK90:CN92" si="408">CK23/CF23-1</f>
        <v>-0.72438672438672436</v>
      </c>
      <c r="CL90" s="245">
        <f t="shared" si="408"/>
        <v>-0.73361227336122736</v>
      </c>
      <c r="CM90" s="245">
        <f t="shared" si="408"/>
        <v>-0.70341614906832306</v>
      </c>
      <c r="CN90" s="245">
        <f t="shared" si="408"/>
        <v>-0.70062695924764884</v>
      </c>
      <c r="CO90" s="244"/>
      <c r="CP90" s="880">
        <f t="shared" ref="CP90:CS92" si="409">CP23/CK23-1</f>
        <v>-0.1413612565445026</v>
      </c>
      <c r="CQ90" s="245">
        <f t="shared" si="409"/>
        <v>-0.1413612565445026</v>
      </c>
      <c r="CR90" s="245">
        <f t="shared" si="409"/>
        <v>-0.1413612565445026</v>
      </c>
      <c r="CS90" s="245">
        <f t="shared" si="409"/>
        <v>-0.1413612565445026</v>
      </c>
      <c r="CT90" s="244"/>
      <c r="CU90" s="246">
        <f t="shared" ref="CU90:CX92" si="410">CU23/CP23-1</f>
        <v>0</v>
      </c>
      <c r="CV90" s="245">
        <f t="shared" si="410"/>
        <v>-6.0975609756097615E-3</v>
      </c>
      <c r="CW90" s="245">
        <f t="shared" si="410"/>
        <v>-1.2195121951219523E-2</v>
      </c>
      <c r="CX90" s="245">
        <f t="shared" si="410"/>
        <v>-7.9268292682926789E-2</v>
      </c>
      <c r="CY90" s="244"/>
      <c r="CZ90" s="246">
        <f t="shared" ref="CZ90:DC92" si="411">CZ23/CU23-1</f>
        <v>-8.536585365853655E-2</v>
      </c>
      <c r="DA90" s="245">
        <f t="shared" si="411"/>
        <v>-9.8159509202453976E-2</v>
      </c>
      <c r="DB90" s="245">
        <f t="shared" si="411"/>
        <v>-0.28395061728395066</v>
      </c>
      <c r="DC90" s="245">
        <f t="shared" si="411"/>
        <v>-0.27152317880794707</v>
      </c>
      <c r="DD90" s="244"/>
      <c r="DE90" s="247">
        <f>DE23/CZ23-1</f>
        <v>-0.26666666666666672</v>
      </c>
      <c r="DF90" s="248">
        <f>DF23/DA23-1</f>
        <v>-0.25170068027210879</v>
      </c>
      <c r="DG90" s="248">
        <f>DG23/DB23-1</f>
        <v>-5.1724137931034475E-2</v>
      </c>
      <c r="DH90" s="248">
        <f>DH23/DC23-1</f>
        <v>0</v>
      </c>
      <c r="DI90" s="249"/>
      <c r="DJ90" s="247">
        <f t="shared" ref="DJ90:DM92" si="412">DJ23/DE23-1</f>
        <v>0</v>
      </c>
      <c r="DK90" s="248">
        <f t="shared" si="412"/>
        <v>0</v>
      </c>
      <c r="DL90" s="248">
        <f t="shared" si="412"/>
        <v>0</v>
      </c>
      <c r="DM90" s="248">
        <f t="shared" si="412"/>
        <v>0</v>
      </c>
      <c r="DN90" s="249"/>
      <c r="DO90" s="247">
        <f t="shared" ref="DO90:DR92" si="413">DO23/DJ23-1</f>
        <v>0</v>
      </c>
      <c r="DP90" s="248">
        <f t="shared" si="413"/>
        <v>0</v>
      </c>
      <c r="DQ90" s="248">
        <f t="shared" si="413"/>
        <v>0</v>
      </c>
      <c r="DR90" s="248">
        <f t="shared" si="413"/>
        <v>0</v>
      </c>
      <c r="DS90" s="249"/>
      <c r="DT90" s="247">
        <f t="shared" ref="DT90" si="414">DT23/DO23-1</f>
        <v>0</v>
      </c>
      <c r="DU90" s="248">
        <f t="shared" ref="DU90" si="415">DU23/DP23-1</f>
        <v>0</v>
      </c>
      <c r="DV90" s="248">
        <f t="shared" ref="DV90" si="416">DV23/DQ23-1</f>
        <v>0</v>
      </c>
      <c r="DW90" s="248">
        <f t="shared" ref="DW90" si="417">DW23/DR23-1</f>
        <v>0</v>
      </c>
      <c r="DX90" s="249"/>
      <c r="DY90" s="247">
        <f t="shared" ref="DY90" si="418">DY23/DT23-1</f>
        <v>0</v>
      </c>
      <c r="DZ90" s="248">
        <f t="shared" ref="DZ90" si="419">DZ23/DU23-1</f>
        <v>0</v>
      </c>
      <c r="EA90" s="248">
        <f t="shared" ref="EA90" si="420">EA23/DV23-1</f>
        <v>0</v>
      </c>
      <c r="EB90" s="248">
        <f t="shared" ref="EB90" si="421">EB23/DW23-1</f>
        <v>0</v>
      </c>
      <c r="EC90" s="249"/>
      <c r="EF90"/>
      <c r="EG90"/>
      <c r="EH90"/>
      <c r="EI90"/>
      <c r="EJ90"/>
      <c r="EK90"/>
      <c r="EL90"/>
      <c r="EM90"/>
      <c r="EN90"/>
      <c r="EO90"/>
      <c r="EP90"/>
      <c r="EQ90"/>
      <c r="ER90"/>
      <c r="ES90"/>
      <c r="ET90"/>
      <c r="EU90"/>
      <c r="EV90"/>
      <c r="EW90"/>
      <c r="EX90"/>
      <c r="EY90"/>
      <c r="EZ90"/>
      <c r="FA90"/>
    </row>
    <row r="91" spans="1:157" s="172" customFormat="1" x14ac:dyDescent="0.2">
      <c r="A91" s="596" t="s">
        <v>168</v>
      </c>
      <c r="B91" s="102"/>
      <c r="C91" s="102"/>
      <c r="D91" s="102"/>
      <c r="E91" s="102"/>
      <c r="F91" s="102"/>
      <c r="G91" s="102"/>
      <c r="H91" s="181"/>
      <c r="I91" s="245"/>
      <c r="J91" s="245"/>
      <c r="K91" s="245"/>
      <c r="L91" s="245"/>
      <c r="M91" s="244"/>
      <c r="N91" s="245"/>
      <c r="O91" s="245"/>
      <c r="P91" s="245"/>
      <c r="Q91" s="245"/>
      <c r="R91" s="244"/>
      <c r="S91" s="245"/>
      <c r="T91" s="245"/>
      <c r="U91" s="245"/>
      <c r="V91" s="245"/>
      <c r="W91" s="244"/>
      <c r="X91" s="245">
        <f t="shared" si="395"/>
        <v>0.29166666666666674</v>
      </c>
      <c r="Y91" s="245">
        <f t="shared" si="395"/>
        <v>0.17098445595854916</v>
      </c>
      <c r="Z91" s="245">
        <f t="shared" si="395"/>
        <v>-0.16417910447761197</v>
      </c>
      <c r="AA91" s="245">
        <f t="shared" si="395"/>
        <v>-0.1712062256809338</v>
      </c>
      <c r="AB91" s="244"/>
      <c r="AC91" s="245">
        <f t="shared" si="396"/>
        <v>-0.14919354838709675</v>
      </c>
      <c r="AD91" s="245">
        <f t="shared" si="396"/>
        <v>-5.7522123893805288E-2</v>
      </c>
      <c r="AE91" s="245">
        <f t="shared" si="396"/>
        <v>-2.2321428571428603E-2</v>
      </c>
      <c r="AF91" s="245">
        <f t="shared" si="396"/>
        <v>7.5117370892018753E-2</v>
      </c>
      <c r="AG91" s="244"/>
      <c r="AH91" s="245">
        <f t="shared" si="397"/>
        <v>0.10426540284360186</v>
      </c>
      <c r="AI91" s="245">
        <f t="shared" si="397"/>
        <v>6.5727699530516492E-2</v>
      </c>
      <c r="AJ91" s="245">
        <f t="shared" si="397"/>
        <v>4.5662100456621113E-2</v>
      </c>
      <c r="AK91" s="245">
        <f t="shared" si="397"/>
        <v>-0.19650655021834063</v>
      </c>
      <c r="AL91" s="244"/>
      <c r="AM91" s="245">
        <f t="shared" si="398"/>
        <v>-0.12446351931330468</v>
      </c>
      <c r="AN91" s="245">
        <f t="shared" si="398"/>
        <v>-0.21585903083700442</v>
      </c>
      <c r="AO91" s="245">
        <f t="shared" si="398"/>
        <v>-0.1746724890829694</v>
      </c>
      <c r="AP91" s="245">
        <f t="shared" si="398"/>
        <v>5.4347826086956541E-2</v>
      </c>
      <c r="AQ91" s="244"/>
      <c r="AR91" s="245">
        <f t="shared" si="399"/>
        <v>1.9607843137254832E-2</v>
      </c>
      <c r="AS91" s="245">
        <f t="shared" si="399"/>
        <v>5.6179775280897903E-3</v>
      </c>
      <c r="AT91" s="245">
        <f t="shared" si="399"/>
        <v>5.2910052910053462E-3</v>
      </c>
      <c r="AU91" s="245">
        <f t="shared" si="399"/>
        <v>-0.10824742268041232</v>
      </c>
      <c r="AV91" s="246"/>
      <c r="AW91" s="246">
        <f t="shared" si="400"/>
        <v>-0.24519230769230771</v>
      </c>
      <c r="AX91" s="245">
        <f t="shared" si="400"/>
        <v>-3.3519553072625663E-2</v>
      </c>
      <c r="AY91" s="245">
        <f t="shared" si="400"/>
        <v>0</v>
      </c>
      <c r="AZ91" s="245">
        <f t="shared" si="400"/>
        <v>-0.20231213872832365</v>
      </c>
      <c r="BA91" s="244"/>
      <c r="BB91" s="246">
        <f t="shared" si="401"/>
        <v>-0.31210191082802552</v>
      </c>
      <c r="BC91" s="245">
        <f t="shared" si="401"/>
        <v>-0.31791907514450868</v>
      </c>
      <c r="BD91" s="245">
        <f t="shared" si="401"/>
        <v>-0.26315789473684215</v>
      </c>
      <c r="BE91" s="245">
        <f t="shared" si="401"/>
        <v>0.10869565217391308</v>
      </c>
      <c r="BF91" s="244"/>
      <c r="BG91" s="246">
        <f t="shared" si="402"/>
        <v>-0.69444444444444442</v>
      </c>
      <c r="BH91" s="245">
        <f t="shared" si="402"/>
        <v>-0.63559322033898313</v>
      </c>
      <c r="BI91" s="245">
        <f t="shared" si="402"/>
        <v>-0.59285714285714286</v>
      </c>
      <c r="BJ91" s="245">
        <f t="shared" si="402"/>
        <v>-0.57516339869281041</v>
      </c>
      <c r="BK91" s="244"/>
      <c r="BL91" s="246">
        <f t="shared" si="403"/>
        <v>-3.0303030303030276E-2</v>
      </c>
      <c r="BM91" s="245">
        <f t="shared" si="403"/>
        <v>-0.46511627906976749</v>
      </c>
      <c r="BN91" s="245">
        <f t="shared" si="403"/>
        <v>0.7192982456140351</v>
      </c>
      <c r="BO91" s="245">
        <f t="shared" si="403"/>
        <v>1.2153846153846155</v>
      </c>
      <c r="BP91" s="244"/>
      <c r="BQ91" s="246">
        <f t="shared" si="404"/>
        <v>2.875</v>
      </c>
      <c r="BR91" s="245">
        <f t="shared" si="404"/>
        <v>4.7391304347826084</v>
      </c>
      <c r="BS91" s="245">
        <f t="shared" si="404"/>
        <v>0.47959183673469385</v>
      </c>
      <c r="BT91" s="245">
        <f t="shared" si="404"/>
        <v>6.944444444444442E-2</v>
      </c>
      <c r="BU91" s="244"/>
      <c r="BV91" s="246">
        <f t="shared" si="405"/>
        <v>8.870967741935476E-2</v>
      </c>
      <c r="BW91" s="245">
        <f t="shared" si="405"/>
        <v>8.3333333333333259E-2</v>
      </c>
      <c r="BX91" s="245">
        <f t="shared" si="405"/>
        <v>8.9655172413793061E-2</v>
      </c>
      <c r="BY91" s="245">
        <f t="shared" si="405"/>
        <v>8.4415584415584499E-2</v>
      </c>
      <c r="BZ91" s="244"/>
      <c r="CA91" s="246">
        <f t="shared" si="406"/>
        <v>-0.75555555555555554</v>
      </c>
      <c r="CB91" s="245">
        <f t="shared" si="406"/>
        <v>-0.70629370629370625</v>
      </c>
      <c r="CC91" s="245">
        <f t="shared" si="406"/>
        <v>-0.63291139240506333</v>
      </c>
      <c r="CD91" s="245">
        <f t="shared" si="406"/>
        <v>-0.56886227544910173</v>
      </c>
      <c r="CE91" s="244"/>
      <c r="CF91" s="246">
        <f t="shared" si="407"/>
        <v>-6.0606060606060552E-2</v>
      </c>
      <c r="CG91" s="245">
        <f t="shared" si="407"/>
        <v>-0.30952380952380953</v>
      </c>
      <c r="CH91" s="245">
        <f t="shared" si="407"/>
        <v>-0.27586206896551724</v>
      </c>
      <c r="CI91" s="245">
        <f t="shared" si="407"/>
        <v>-0.26388888888888884</v>
      </c>
      <c r="CJ91" s="244"/>
      <c r="CK91" s="246">
        <f t="shared" si="408"/>
        <v>-1</v>
      </c>
      <c r="CL91" s="245">
        <f t="shared" si="408"/>
        <v>-1</v>
      </c>
      <c r="CM91" s="245">
        <f t="shared" si="408"/>
        <v>-1</v>
      </c>
      <c r="CN91" s="245">
        <f t="shared" si="408"/>
        <v>-1</v>
      </c>
      <c r="CO91" s="244"/>
      <c r="CP91" s="880"/>
      <c r="CQ91" s="245"/>
      <c r="CR91" s="245"/>
      <c r="CS91" s="245"/>
      <c r="CT91" s="244"/>
      <c r="CU91" s="246"/>
      <c r="CV91" s="245"/>
      <c r="CW91" s="245"/>
      <c r="CX91" s="245"/>
      <c r="CY91" s="244"/>
      <c r="CZ91" s="246"/>
      <c r="DA91" s="245"/>
      <c r="DB91" s="245"/>
      <c r="DC91" s="245"/>
      <c r="DD91" s="244"/>
      <c r="DE91" s="247"/>
      <c r="DF91" s="248"/>
      <c r="DG91" s="248"/>
      <c r="DH91" s="248"/>
      <c r="DI91" s="249"/>
      <c r="DJ91" s="247"/>
      <c r="DK91" s="248"/>
      <c r="DL91" s="248"/>
      <c r="DM91" s="248"/>
      <c r="DN91" s="249"/>
      <c r="DO91" s="247"/>
      <c r="DP91" s="248"/>
      <c r="DQ91" s="248"/>
      <c r="DR91" s="248"/>
      <c r="DS91" s="249"/>
      <c r="DT91" s="247"/>
      <c r="DU91" s="248"/>
      <c r="DV91" s="248"/>
      <c r="DW91" s="248"/>
      <c r="DX91" s="249"/>
      <c r="DY91" s="247"/>
      <c r="DZ91" s="248"/>
      <c r="EA91" s="248"/>
      <c r="EB91" s="248"/>
      <c r="EC91" s="249"/>
      <c r="EF91"/>
      <c r="EG91"/>
      <c r="EH91"/>
      <c r="EI91"/>
      <c r="EJ91"/>
      <c r="EK91"/>
      <c r="EL91"/>
      <c r="EM91"/>
      <c r="EN91"/>
      <c r="EO91"/>
      <c r="EP91"/>
      <c r="EQ91"/>
      <c r="ER91"/>
      <c r="ES91"/>
      <c r="ET91"/>
      <c r="EU91"/>
      <c r="EV91"/>
      <c r="EW91"/>
      <c r="EX91"/>
      <c r="EY91"/>
      <c r="EZ91"/>
      <c r="FA91"/>
    </row>
    <row r="92" spans="1:157" s="172" customFormat="1" x14ac:dyDescent="0.2">
      <c r="A92" s="596" t="s">
        <v>431</v>
      </c>
      <c r="B92" s="102"/>
      <c r="C92" s="102"/>
      <c r="D92" s="102"/>
      <c r="E92" s="102"/>
      <c r="F92" s="102"/>
      <c r="G92" s="102"/>
      <c r="H92" s="181"/>
      <c r="I92" s="245"/>
      <c r="J92" s="245"/>
      <c r="K92" s="245"/>
      <c r="L92" s="245"/>
      <c r="M92" s="244"/>
      <c r="N92" s="245"/>
      <c r="O92" s="245"/>
      <c r="P92" s="245"/>
      <c r="Q92" s="245"/>
      <c r="R92" s="244"/>
      <c r="S92" s="245"/>
      <c r="T92" s="245"/>
      <c r="U92" s="245"/>
      <c r="V92" s="245"/>
      <c r="W92" s="244"/>
      <c r="X92" s="245"/>
      <c r="Y92" s="245"/>
      <c r="Z92" s="245"/>
      <c r="AA92" s="245"/>
      <c r="AB92" s="244"/>
      <c r="AC92" s="245"/>
      <c r="AD92" s="245"/>
      <c r="AE92" s="245"/>
      <c r="AF92" s="245"/>
      <c r="AG92" s="244"/>
      <c r="AH92" s="245"/>
      <c r="AI92" s="245"/>
      <c r="AJ92" s="245"/>
      <c r="AK92" s="245"/>
      <c r="AL92" s="244"/>
      <c r="AM92" s="245"/>
      <c r="AN92" s="245"/>
      <c r="AO92" s="245"/>
      <c r="AP92" s="245"/>
      <c r="AQ92" s="244"/>
      <c r="AR92" s="245"/>
      <c r="AS92" s="245"/>
      <c r="AT92" s="245"/>
      <c r="AU92" s="245"/>
      <c r="AV92" s="246"/>
      <c r="AW92" s="246"/>
      <c r="AX92" s="245"/>
      <c r="AY92" s="245"/>
      <c r="AZ92" s="245"/>
      <c r="BA92" s="244"/>
      <c r="BB92" s="246"/>
      <c r="BC92" s="245"/>
      <c r="BD92" s="245"/>
      <c r="BE92" s="245">
        <f>BE25/AZ25-1</f>
        <v>-0.14956011730205276</v>
      </c>
      <c r="BF92" s="244"/>
      <c r="BG92" s="246">
        <f t="shared" si="402"/>
        <v>6.944444444444442E-2</v>
      </c>
      <c r="BH92" s="245">
        <f t="shared" si="402"/>
        <v>8.679245283018866E-2</v>
      </c>
      <c r="BI92" s="245">
        <f t="shared" si="402"/>
        <v>-0.50773195876288657</v>
      </c>
      <c r="BJ92" s="245">
        <f t="shared" si="402"/>
        <v>0.14137931034482754</v>
      </c>
      <c r="BK92" s="244"/>
      <c r="BL92" s="246">
        <f t="shared" si="403"/>
        <v>-3.2467532467532423E-2</v>
      </c>
      <c r="BM92" s="245">
        <f t="shared" si="403"/>
        <v>0.18055555555555558</v>
      </c>
      <c r="BN92" s="245">
        <f t="shared" si="403"/>
        <v>0.52356020942408388</v>
      </c>
      <c r="BO92" s="245">
        <f t="shared" si="403"/>
        <v>-0.2416918429003021</v>
      </c>
      <c r="BP92" s="244"/>
      <c r="BQ92" s="246">
        <f t="shared" si="404"/>
        <v>-0.22147651006711411</v>
      </c>
      <c r="BR92" s="245">
        <f t="shared" si="404"/>
        <v>-0.20882352941176474</v>
      </c>
      <c r="BS92" s="245">
        <f t="shared" si="404"/>
        <v>0.13058419243986252</v>
      </c>
      <c r="BT92" s="245">
        <f t="shared" si="404"/>
        <v>0.45816733067729087</v>
      </c>
      <c r="BU92" s="244"/>
      <c r="BV92" s="246">
        <f t="shared" si="405"/>
        <v>0.80603448275862077</v>
      </c>
      <c r="BW92" s="245">
        <f t="shared" si="405"/>
        <v>0.56505576208178443</v>
      </c>
      <c r="BX92" s="245">
        <f t="shared" si="405"/>
        <v>0.28875379939209722</v>
      </c>
      <c r="BY92" s="245">
        <f t="shared" si="405"/>
        <v>0.5</v>
      </c>
      <c r="BZ92" s="244"/>
      <c r="CA92" s="246">
        <f t="shared" si="406"/>
        <v>0.28878281622911683</v>
      </c>
      <c r="CB92" s="245">
        <f t="shared" si="406"/>
        <v>0.2992874109263659</v>
      </c>
      <c r="CC92" s="245">
        <f t="shared" si="406"/>
        <v>0.11084905660377364</v>
      </c>
      <c r="CD92" s="245">
        <f t="shared" si="406"/>
        <v>-0.12386156648451729</v>
      </c>
      <c r="CE92" s="244"/>
      <c r="CF92" s="246">
        <f t="shared" si="407"/>
        <v>5.7407407407407351E-2</v>
      </c>
      <c r="CG92" s="245">
        <f t="shared" si="407"/>
        <v>4.3875685557586808E-2</v>
      </c>
      <c r="CH92" s="245">
        <f t="shared" si="407"/>
        <v>0.20382165605095537</v>
      </c>
      <c r="CI92" s="245">
        <f t="shared" si="407"/>
        <v>-0.17047817047817049</v>
      </c>
      <c r="CJ92" s="244"/>
      <c r="CK92" s="246">
        <f t="shared" si="408"/>
        <v>-0.24693520140105074</v>
      </c>
      <c r="CL92" s="245">
        <f t="shared" si="408"/>
        <v>-0.24693520140105074</v>
      </c>
      <c r="CM92" s="245">
        <f t="shared" si="408"/>
        <v>-0.24162257495590833</v>
      </c>
      <c r="CN92" s="245">
        <f t="shared" si="408"/>
        <v>7.7694235588972482E-2</v>
      </c>
      <c r="CO92" s="244"/>
      <c r="CP92" s="880">
        <f t="shared" si="409"/>
        <v>-2.7906976744186074E-2</v>
      </c>
      <c r="CQ92" s="245">
        <f t="shared" si="409"/>
        <v>-2.7906976744186074E-2</v>
      </c>
      <c r="CR92" s="245">
        <f t="shared" si="409"/>
        <v>-2.7906976744186074E-2</v>
      </c>
      <c r="CS92" s="245">
        <f t="shared" si="409"/>
        <v>-2.7906976744186074E-2</v>
      </c>
      <c r="CT92" s="244"/>
      <c r="CU92" s="246">
        <f t="shared" si="410"/>
        <v>0.33971291866028719</v>
      </c>
      <c r="CV92" s="245">
        <f t="shared" si="410"/>
        <v>0.3875598086124401</v>
      </c>
      <c r="CW92" s="245">
        <f t="shared" si="410"/>
        <v>0.78947368421052633</v>
      </c>
      <c r="CX92" s="245">
        <f t="shared" si="410"/>
        <v>0.85167464114832536</v>
      </c>
      <c r="CY92" s="244"/>
      <c r="CZ92" s="246">
        <f t="shared" si="411"/>
        <v>0.34821428571428581</v>
      </c>
      <c r="DA92" s="245">
        <f t="shared" si="411"/>
        <v>0.31551724137931036</v>
      </c>
      <c r="DB92" s="245">
        <f t="shared" si="411"/>
        <v>-0.13235294117647056</v>
      </c>
      <c r="DC92" s="245">
        <f t="shared" si="411"/>
        <v>-0.82041343669250644</v>
      </c>
      <c r="DD92" s="244"/>
      <c r="DE92" s="247">
        <f>DE25/CZ25-1</f>
        <v>-0.81589403973509933</v>
      </c>
      <c r="DF92" s="248">
        <f>DF25/DA25-1</f>
        <v>-0.81782437745740499</v>
      </c>
      <c r="DG92" s="248">
        <f>DG25/DB25-1</f>
        <v>-0.78582434514637911</v>
      </c>
      <c r="DH92" s="248">
        <f>DH25/DC25-1</f>
        <v>0</v>
      </c>
      <c r="DI92" s="249"/>
      <c r="DJ92" s="247">
        <f t="shared" si="412"/>
        <v>0</v>
      </c>
      <c r="DK92" s="248">
        <f t="shared" si="412"/>
        <v>0</v>
      </c>
      <c r="DL92" s="248">
        <f t="shared" si="412"/>
        <v>0</v>
      </c>
      <c r="DM92" s="248">
        <f t="shared" si="412"/>
        <v>0</v>
      </c>
      <c r="DN92" s="249"/>
      <c r="DO92" s="247">
        <f t="shared" si="413"/>
        <v>0</v>
      </c>
      <c r="DP92" s="248">
        <f t="shared" si="413"/>
        <v>0</v>
      </c>
      <c r="DQ92" s="248">
        <f t="shared" si="413"/>
        <v>0</v>
      </c>
      <c r="DR92" s="248">
        <f t="shared" si="413"/>
        <v>0</v>
      </c>
      <c r="DS92" s="249"/>
      <c r="DT92" s="247">
        <f t="shared" ref="DT92" si="422">DT25/DO25-1</f>
        <v>0</v>
      </c>
      <c r="DU92" s="248">
        <f t="shared" ref="DU92" si="423">DU25/DP25-1</f>
        <v>0</v>
      </c>
      <c r="DV92" s="248">
        <f t="shared" ref="DV92" si="424">DV25/DQ25-1</f>
        <v>0</v>
      </c>
      <c r="DW92" s="248">
        <f t="shared" ref="DW92" si="425">DW25/DR25-1</f>
        <v>0</v>
      </c>
      <c r="DX92" s="249"/>
      <c r="DY92" s="247">
        <f t="shared" ref="DY92" si="426">DY25/DT25-1</f>
        <v>0</v>
      </c>
      <c r="DZ92" s="248">
        <f t="shared" ref="DZ92" si="427">DZ25/DU25-1</f>
        <v>0</v>
      </c>
      <c r="EA92" s="248">
        <f t="shared" ref="EA92" si="428">EA25/DV25-1</f>
        <v>0</v>
      </c>
      <c r="EB92" s="248">
        <f t="shared" ref="EB92" si="429">EB25/DW25-1</f>
        <v>0</v>
      </c>
      <c r="EC92" s="249"/>
      <c r="EF92"/>
      <c r="EG92"/>
      <c r="EH92"/>
      <c r="EI92"/>
      <c r="EJ92"/>
      <c r="EK92"/>
      <c r="EL92"/>
      <c r="EM92"/>
      <c r="EN92"/>
      <c r="EO92"/>
      <c r="EP92"/>
      <c r="EQ92"/>
      <c r="ER92"/>
      <c r="ES92"/>
      <c r="ET92"/>
      <c r="EU92"/>
      <c r="EV92"/>
      <c r="EW92"/>
      <c r="EX92"/>
      <c r="EY92"/>
      <c r="EZ92"/>
      <c r="FA92"/>
    </row>
    <row r="93" spans="1:157" s="172" customFormat="1" x14ac:dyDescent="0.2">
      <c r="A93" s="596" t="s">
        <v>169</v>
      </c>
      <c r="B93" s="102"/>
      <c r="C93" s="102"/>
      <c r="D93" s="102"/>
      <c r="E93" s="102"/>
      <c r="F93" s="102"/>
      <c r="G93" s="102"/>
      <c r="H93" s="181"/>
      <c r="I93" s="245"/>
      <c r="J93" s="245"/>
      <c r="K93" s="245"/>
      <c r="L93" s="245"/>
      <c r="M93" s="244"/>
      <c r="N93" s="245"/>
      <c r="O93" s="245"/>
      <c r="P93" s="245"/>
      <c r="Q93" s="245"/>
      <c r="R93" s="244"/>
      <c r="S93" s="245"/>
      <c r="T93" s="245"/>
      <c r="U93" s="245"/>
      <c r="V93" s="245"/>
      <c r="W93" s="244"/>
      <c r="X93" s="245">
        <f>X27/S27-1</f>
        <v>0.19402985074626855</v>
      </c>
      <c r="Y93" s="245">
        <f>Y27/T27-1</f>
        <v>0.17753623188405787</v>
      </c>
      <c r="Z93" s="245">
        <f>Z27/U27-1</f>
        <v>0.11564625850340127</v>
      </c>
      <c r="AA93" s="245">
        <f>AA27/V27-1</f>
        <v>0.60408163265306114</v>
      </c>
      <c r="AB93" s="244"/>
      <c r="AC93" s="245">
        <f>AC27/X27-1</f>
        <v>0.453125</v>
      </c>
      <c r="AD93" s="245">
        <f>AD27/Y27-1</f>
        <v>2.086153846153846</v>
      </c>
      <c r="AE93" s="245">
        <f>AE27/Z27-1</f>
        <v>2.0274390243902438</v>
      </c>
      <c r="AF93" s="245">
        <f>AF27/AA27-1</f>
        <v>0.41221374045801529</v>
      </c>
      <c r="AG93" s="244"/>
      <c r="AH93" s="245">
        <f>AH27/AC27-1</f>
        <v>0.25376344086021496</v>
      </c>
      <c r="AI93" s="245">
        <f>AI27/AD27-1</f>
        <v>-0.38285144566301099</v>
      </c>
      <c r="AJ93" s="245">
        <f>AJ27/AE27-1</f>
        <v>-0.45216515609264851</v>
      </c>
      <c r="AK93" s="245">
        <f>AK27/AF27-1</f>
        <v>-0.14954954954954958</v>
      </c>
      <c r="AL93" s="244"/>
      <c r="AM93" s="245">
        <f>AM27/AH27-1</f>
        <v>-0.12349914236706694</v>
      </c>
      <c r="AN93" s="245">
        <f>AN27/AI27-1</f>
        <v>-0.26494345718901458</v>
      </c>
      <c r="AO93" s="245">
        <f>AO27/AJ27-1</f>
        <v>-0.15073529411764708</v>
      </c>
      <c r="AP93" s="245">
        <f>AP27/AK27-1</f>
        <v>-0.11864406779661019</v>
      </c>
      <c r="AQ93" s="244"/>
      <c r="AR93" s="245">
        <f>AR27/AM27-1</f>
        <v>-0.18786692759295498</v>
      </c>
      <c r="AS93" s="245">
        <f>AS27/AN27-1</f>
        <v>-4.6153846153846101E-2</v>
      </c>
      <c r="AT93" s="245">
        <f>AT27/AO27-1</f>
        <v>0</v>
      </c>
      <c r="AU93" s="245">
        <f>AU27/AP27-1</f>
        <v>0.11538461538461542</v>
      </c>
      <c r="AV93" s="246"/>
      <c r="AW93" s="246">
        <f>AW27/AR27-1</f>
        <v>0.2168674698795181</v>
      </c>
      <c r="AX93" s="245">
        <f>AX27/AS27-1</f>
        <v>0.16820276497695863</v>
      </c>
      <c r="AY93" s="245">
        <f>AY27/AT27-1</f>
        <v>0.11471861471861478</v>
      </c>
      <c r="AZ93" s="245">
        <f>AZ27/AU27-1</f>
        <v>-0.21767241379310343</v>
      </c>
      <c r="BA93" s="244"/>
      <c r="BB93" s="246">
        <f>BB27/AW27-1</f>
        <v>-0.26930693069306932</v>
      </c>
      <c r="BC93" s="245">
        <f>BC27/AX27-1</f>
        <v>-0.22090729783037477</v>
      </c>
      <c r="BD93" s="245">
        <f>BD27/AY27-1</f>
        <v>-0.42912621359223302</v>
      </c>
      <c r="BE93" s="245">
        <f>BE27/AZ27-1</f>
        <v>0.278236914600551</v>
      </c>
      <c r="BF93" s="244"/>
      <c r="BG93" s="246">
        <f>BG27/BB27-1</f>
        <v>0.29268292682926833</v>
      </c>
      <c r="BH93" s="245">
        <f>BH27/BC27-1</f>
        <v>0.19240506329113916</v>
      </c>
      <c r="BI93" s="245">
        <f>BI27/BD27-1</f>
        <v>0.94557823129251695</v>
      </c>
      <c r="BJ93" s="245">
        <f>BJ27/BE27-1</f>
        <v>0.20905172413793105</v>
      </c>
      <c r="BK93" s="244"/>
      <c r="BL93" s="246">
        <f>BL27/BG27-1</f>
        <v>0.16981132075471694</v>
      </c>
      <c r="BM93" s="245">
        <f>BM27/BH27-1</f>
        <v>0.23566878980891715</v>
      </c>
      <c r="BN93" s="245">
        <f>BN27/BI27-1</f>
        <v>-4.0209790209790208E-2</v>
      </c>
      <c r="BO93" s="245">
        <f>BO27/BJ27-1</f>
        <v>-3.0303030303030276E-2</v>
      </c>
      <c r="BP93" s="244"/>
      <c r="BQ93" s="246">
        <f>BQ27/BL27-1</f>
        <v>-3.4050179211469578E-2</v>
      </c>
      <c r="BR93" s="245">
        <f>BR27/BM27-1</f>
        <v>-9.1065292096219941E-2</v>
      </c>
      <c r="BS93" s="245">
        <f>BS27/BN27-1</f>
        <v>-3.6429872495446269E-2</v>
      </c>
      <c r="BT93" s="245">
        <f>BT27/BO27-1</f>
        <v>-4.5955882352941124E-2</v>
      </c>
      <c r="BU93" s="244"/>
      <c r="BV93" s="246">
        <f>BV27/BQ27-1</f>
        <v>-5.9369202226345119E-2</v>
      </c>
      <c r="BW93" s="245">
        <f>BW27/BR27-1</f>
        <v>-2.457466918714557E-2</v>
      </c>
      <c r="BX93" s="245">
        <f>BX27/BS27-1</f>
        <v>-8.1285444234404536E-2</v>
      </c>
      <c r="BY93" s="245">
        <f>BY27/BT27-1</f>
        <v>-8.477842003853564E-2</v>
      </c>
      <c r="BZ93" s="244"/>
      <c r="CA93" s="246">
        <f>CA27/BV27-1</f>
        <v>4.7337278106508895E-2</v>
      </c>
      <c r="CB93" s="245">
        <f>CB27/BW27-1</f>
        <v>-7.7519379844961378E-3</v>
      </c>
      <c r="CC93" s="245">
        <f>CC27/BX27-1</f>
        <v>8.6419753086419693E-2</v>
      </c>
      <c r="CD93" s="245">
        <f>CD27/BY27-1</f>
        <v>0.21052631578947367</v>
      </c>
      <c r="CE93" s="244"/>
      <c r="CF93" s="246">
        <f>CF27/CA27-1</f>
        <v>-0.11864406779661019</v>
      </c>
      <c r="CG93" s="245">
        <f>CG27/CB27-1</f>
        <v>-6.25E-2</v>
      </c>
      <c r="CH93" s="245">
        <f>CH27/CC27-1</f>
        <v>-3.7878787878787845E-2</v>
      </c>
      <c r="CI93" s="245">
        <f>CI27/CD27-1</f>
        <v>-1.5652173913043521E-2</v>
      </c>
      <c r="CJ93" s="244"/>
      <c r="CK93" s="246">
        <f>CK27/CF27-1</f>
        <v>-0.2286324786324786</v>
      </c>
      <c r="CL93" s="245">
        <f>CL27/CG27-1</f>
        <v>-0.24791666666666667</v>
      </c>
      <c r="CM93" s="245">
        <f>CM27/CH27-1</f>
        <v>-0.28937007874015752</v>
      </c>
      <c r="CN93" s="245">
        <f>CN27/CI27-1</f>
        <v>-0.36219081272084808</v>
      </c>
      <c r="CO93" s="244"/>
      <c r="CP93" s="880">
        <f>CP27/CK27-1</f>
        <v>0.34072022160664828</v>
      </c>
      <c r="CQ93" s="245">
        <f>CQ27/CL27-1</f>
        <v>0.34072022160664828</v>
      </c>
      <c r="CR93" s="245">
        <f>CR27/CM27-1</f>
        <v>0.34072022160664828</v>
      </c>
      <c r="CS93" s="245">
        <f>CS27/CN27-1</f>
        <v>0.34072022160664828</v>
      </c>
      <c r="CT93" s="244"/>
      <c r="CU93" s="246">
        <f>CU27/CP27-1</f>
        <v>-0.37396694214876036</v>
      </c>
      <c r="CV93" s="245">
        <f>CV27/CQ27-1</f>
        <v>-0.29545454545454541</v>
      </c>
      <c r="CW93" s="245">
        <f>CW27/CR27-1</f>
        <v>-0.28719008264462809</v>
      </c>
      <c r="CX93" s="245">
        <f>CX27/CS27-1</f>
        <v>-0.23553719008264462</v>
      </c>
      <c r="CY93" s="244"/>
      <c r="CZ93" s="246">
        <f>CZ27/CU27-1</f>
        <v>0.18151815181518161</v>
      </c>
      <c r="DA93" s="245">
        <f>DA27/CV27-1</f>
        <v>-2.9325513196480912E-3</v>
      </c>
      <c r="DB93" s="245">
        <f>DB27/CW27-1</f>
        <v>-0.11884057971014494</v>
      </c>
      <c r="DC93" s="245">
        <f>DC27/CX27-1</f>
        <v>-6.4864864864864868E-2</v>
      </c>
      <c r="DD93" s="244"/>
      <c r="DE93" s="247">
        <f>DE27/CZ27-1</f>
        <v>-3.3519553072625663E-2</v>
      </c>
      <c r="DF93" s="248">
        <f>DF27/DA27-1</f>
        <v>1.7647058823529349E-2</v>
      </c>
      <c r="DG93" s="248">
        <f>DG27/DB27-1</f>
        <v>0.13815789473684204</v>
      </c>
      <c r="DH93" s="248">
        <f>DH27/DC27-1</f>
        <v>0</v>
      </c>
      <c r="DI93" s="249"/>
      <c r="DJ93" s="247">
        <f>DJ27/DE27-1</f>
        <v>0</v>
      </c>
      <c r="DK93" s="248">
        <f>DK27/DF27-1</f>
        <v>0</v>
      </c>
      <c r="DL93" s="248">
        <f>DL27/DG27-1</f>
        <v>0</v>
      </c>
      <c r="DM93" s="248">
        <f>DM27/DH27-1</f>
        <v>0</v>
      </c>
      <c r="DN93" s="249"/>
      <c r="DO93" s="247">
        <f>DO27/DJ27-1</f>
        <v>0</v>
      </c>
      <c r="DP93" s="248">
        <f>DP27/DK27-1</f>
        <v>0</v>
      </c>
      <c r="DQ93" s="248">
        <f>DQ27/DL27-1</f>
        <v>0</v>
      </c>
      <c r="DR93" s="248">
        <f>DR27/DM27-1</f>
        <v>0</v>
      </c>
      <c r="DS93" s="249"/>
      <c r="DT93" s="247">
        <f>DT27/DO27-1</f>
        <v>0</v>
      </c>
      <c r="DU93" s="248">
        <f>DU27/DP27-1</f>
        <v>0</v>
      </c>
      <c r="DV93" s="248">
        <f>DV27/DQ27-1</f>
        <v>0</v>
      </c>
      <c r="DW93" s="248">
        <f>DW27/DR27-1</f>
        <v>0</v>
      </c>
      <c r="DX93" s="249"/>
      <c r="DY93" s="247">
        <f>DY27/DT27-1</f>
        <v>0</v>
      </c>
      <c r="DZ93" s="248">
        <f>DZ27/DU27-1</f>
        <v>0</v>
      </c>
      <c r="EA93" s="248">
        <f>EA27/DV27-1</f>
        <v>0</v>
      </c>
      <c r="EB93" s="248">
        <f>EB27/DW27-1</f>
        <v>0</v>
      </c>
      <c r="EC93" s="249"/>
      <c r="EF93"/>
      <c r="EG93"/>
      <c r="EH93"/>
      <c r="EI93"/>
      <c r="EJ93"/>
      <c r="EK93"/>
      <c r="EL93"/>
      <c r="EM93"/>
      <c r="EN93"/>
      <c r="EO93"/>
      <c r="EP93"/>
      <c r="EQ93"/>
      <c r="ER93"/>
      <c r="ES93"/>
      <c r="ET93"/>
      <c r="EU93"/>
      <c r="EV93"/>
      <c r="EW93"/>
      <c r="EX93"/>
      <c r="EY93"/>
      <c r="EZ93"/>
      <c r="FA93"/>
    </row>
    <row r="94" spans="1:157" s="172" customFormat="1" x14ac:dyDescent="0.2">
      <c r="A94" s="597" t="s">
        <v>269</v>
      </c>
      <c r="B94" s="102"/>
      <c r="C94" s="102"/>
      <c r="D94" s="102"/>
      <c r="E94" s="102"/>
      <c r="F94" s="102"/>
      <c r="G94" s="102"/>
      <c r="H94" s="181"/>
      <c r="I94" s="245"/>
      <c r="J94" s="245"/>
      <c r="K94" s="245"/>
      <c r="L94" s="245"/>
      <c r="M94" s="244"/>
      <c r="N94" s="245"/>
      <c r="O94" s="245"/>
      <c r="P94" s="245"/>
      <c r="Q94" s="245"/>
      <c r="R94" s="244"/>
      <c r="S94" s="245"/>
      <c r="T94" s="245"/>
      <c r="U94" s="245"/>
      <c r="V94" s="245"/>
      <c r="W94" s="244"/>
      <c r="X94" s="245"/>
      <c r="Y94" s="245"/>
      <c r="Z94" s="245"/>
      <c r="AA94" s="245"/>
      <c r="AB94" s="244"/>
      <c r="AC94" s="245"/>
      <c r="AD94" s="245"/>
      <c r="AE94" s="245"/>
      <c r="AF94" s="245"/>
      <c r="AG94" s="244"/>
      <c r="AH94" s="245"/>
      <c r="AI94" s="245"/>
      <c r="AJ94" s="245"/>
      <c r="AK94" s="245"/>
      <c r="AL94" s="244"/>
      <c r="AM94" s="245"/>
      <c r="AN94" s="245"/>
      <c r="AO94" s="245"/>
      <c r="AP94" s="245"/>
      <c r="AQ94" s="244"/>
      <c r="AR94" s="245"/>
      <c r="AS94" s="245"/>
      <c r="AT94" s="245"/>
      <c r="AU94" s="245"/>
      <c r="AV94" s="246"/>
      <c r="AW94" s="246"/>
      <c r="AX94" s="245"/>
      <c r="AY94" s="245"/>
      <c r="AZ94" s="245"/>
      <c r="BA94" s="244"/>
      <c r="BB94" s="246"/>
      <c r="BC94" s="245"/>
      <c r="BD94" s="245"/>
      <c r="BE94" s="245"/>
      <c r="BF94" s="244"/>
      <c r="BG94" s="246"/>
      <c r="BH94" s="245"/>
      <c r="BI94" s="245"/>
      <c r="BJ94" s="245"/>
      <c r="BK94" s="244"/>
      <c r="BL94" s="246"/>
      <c r="BM94" s="245"/>
      <c r="BN94" s="245"/>
      <c r="BO94" s="245"/>
      <c r="BP94" s="244"/>
      <c r="BQ94" s="246"/>
      <c r="BR94" s="245"/>
      <c r="BS94" s="245"/>
      <c r="BT94" s="245"/>
      <c r="BU94" s="244"/>
      <c r="BV94" s="246"/>
      <c r="BW94" s="245"/>
      <c r="BX94" s="245"/>
      <c r="BY94" s="245"/>
      <c r="BZ94" s="244"/>
      <c r="CA94" s="246"/>
      <c r="CB94" s="245"/>
      <c r="CC94" s="245"/>
      <c r="CD94" s="245"/>
      <c r="CE94" s="244"/>
      <c r="CF94" s="246"/>
      <c r="CG94" s="245"/>
      <c r="CH94" s="245"/>
      <c r="CI94" s="245"/>
      <c r="CJ94" s="244"/>
      <c r="CK94" s="246"/>
      <c r="CL94" s="245"/>
      <c r="CM94" s="245"/>
      <c r="CN94" s="245"/>
      <c r="CO94" s="244"/>
      <c r="CP94" s="880"/>
      <c r="CQ94" s="245"/>
      <c r="CR94" s="245"/>
      <c r="CS94" s="245"/>
      <c r="CT94" s="244"/>
      <c r="CU94" s="246"/>
      <c r="CV94" s="245"/>
      <c r="CW94" s="245"/>
      <c r="CX94" s="245"/>
      <c r="CY94" s="244"/>
      <c r="CZ94" s="246"/>
      <c r="DA94" s="245"/>
      <c r="DB94" s="245"/>
      <c r="DC94" s="245"/>
      <c r="DD94" s="244"/>
      <c r="DE94" s="247"/>
      <c r="DF94" s="248"/>
      <c r="DG94" s="248"/>
      <c r="DH94" s="248"/>
      <c r="DI94" s="249"/>
      <c r="DJ94" s="247"/>
      <c r="DK94" s="248"/>
      <c r="DL94" s="248"/>
      <c r="DM94" s="248"/>
      <c r="DN94" s="249"/>
      <c r="DO94" s="247"/>
      <c r="DP94" s="248"/>
      <c r="DQ94" s="248"/>
      <c r="DR94" s="248"/>
      <c r="DS94" s="249"/>
      <c r="DT94" s="247"/>
      <c r="DU94" s="248"/>
      <c r="DV94" s="248"/>
      <c r="DW94" s="248"/>
      <c r="DX94" s="249"/>
      <c r="DY94" s="247"/>
      <c r="DZ94" s="248"/>
      <c r="EA94" s="248"/>
      <c r="EB94" s="248"/>
      <c r="EC94" s="249"/>
      <c r="EF94"/>
      <c r="EG94"/>
      <c r="EH94"/>
      <c r="EI94"/>
      <c r="EJ94"/>
      <c r="EK94"/>
      <c r="EL94"/>
      <c r="EM94"/>
      <c r="EN94"/>
      <c r="EO94"/>
      <c r="EP94"/>
      <c r="EQ94"/>
      <c r="ER94"/>
      <c r="ES94"/>
      <c r="ET94"/>
      <c r="EU94"/>
      <c r="EV94"/>
      <c r="EW94"/>
      <c r="EX94"/>
      <c r="EY94"/>
      <c r="EZ94"/>
      <c r="FA94"/>
    </row>
    <row r="95" spans="1:157" s="172" customFormat="1" x14ac:dyDescent="0.2">
      <c r="A95" s="596" t="s">
        <v>166</v>
      </c>
      <c r="B95" s="102"/>
      <c r="C95" s="102"/>
      <c r="D95" s="102"/>
      <c r="E95" s="102"/>
      <c r="F95" s="102"/>
      <c r="G95" s="102"/>
      <c r="H95" s="181"/>
      <c r="I95" s="245"/>
      <c r="J95" s="245"/>
      <c r="K95" s="245"/>
      <c r="L95" s="245"/>
      <c r="M95" s="244"/>
      <c r="N95" s="245"/>
      <c r="O95" s="245"/>
      <c r="P95" s="245"/>
      <c r="Q95" s="245"/>
      <c r="R95" s="244"/>
      <c r="S95" s="245"/>
      <c r="T95" s="245"/>
      <c r="U95" s="245"/>
      <c r="V95" s="245"/>
      <c r="W95" s="244"/>
      <c r="X95" s="245">
        <f>X31/S31-1</f>
        <v>-0.1419698314108252</v>
      </c>
      <c r="Y95" s="245">
        <f>Y31/T31-1</f>
        <v>-0.20904436860068254</v>
      </c>
      <c r="Z95" s="245">
        <f>Z31/U31-1</f>
        <v>-0.24091627172195895</v>
      </c>
      <c r="AA95" s="245">
        <f>AA31/V31-1</f>
        <v>1.7382413087934534E-2</v>
      </c>
      <c r="AB95" s="244"/>
      <c r="AC95" s="245">
        <f>AC31/X31-1</f>
        <v>-4.9638055842812778E-2</v>
      </c>
      <c r="AD95" s="245">
        <f>AD31/Y31-1</f>
        <v>7.2276159654800498E-2</v>
      </c>
      <c r="AE95" s="245">
        <f>AE31/Z31-1</f>
        <v>7.2840790842872094E-2</v>
      </c>
      <c r="AF95" s="245">
        <f>AF31/AA31-1</f>
        <v>0.17185929648241216</v>
      </c>
      <c r="AG95" s="244"/>
      <c r="AH95" s="245">
        <f>AH31/AC31-1</f>
        <v>0.20783460282916222</v>
      </c>
      <c r="AI95" s="245">
        <f>AI31/AD31-1</f>
        <v>0.13782696177062381</v>
      </c>
      <c r="AJ95" s="245">
        <f>AJ31/AE31-1</f>
        <v>0.16294859359844804</v>
      </c>
      <c r="AK95" s="245">
        <f>AK31/AF31-1</f>
        <v>-7.718696397941649E-3</v>
      </c>
      <c r="AL95" s="244"/>
      <c r="AM95" s="245">
        <f>AM31/AH31-1</f>
        <v>0.11351351351351346</v>
      </c>
      <c r="AN95" s="245">
        <f>AN31/AI31-1</f>
        <v>-3.0061892130857637E-2</v>
      </c>
      <c r="AO95" s="245">
        <f>AO31/AJ31-1</f>
        <v>-1.9182652210175122E-2</v>
      </c>
      <c r="AP95" s="245">
        <f>AP31/AK31-1</f>
        <v>2.5929127052721768E-3</v>
      </c>
      <c r="AQ95" s="244"/>
      <c r="AR95" s="245">
        <f>AR31/AM31-1</f>
        <v>-4.2071197411003292E-2</v>
      </c>
      <c r="AS95" s="245">
        <f>AS31/AN31-1</f>
        <v>0.10665451230628986</v>
      </c>
      <c r="AT95" s="245">
        <f>AT31/AO31-1</f>
        <v>5.4421768707483054E-2</v>
      </c>
      <c r="AU95" s="245">
        <f>AU31/AP31-1</f>
        <v>6.7241379310344795E-2</v>
      </c>
      <c r="AV95" s="246"/>
      <c r="AW95" s="246">
        <f>AW31/AR31-1</f>
        <v>2.0270270270270174E-2</v>
      </c>
      <c r="AX95" s="245">
        <f>AX31/AS31-1</f>
        <v>-2.3887973640856708E-2</v>
      </c>
      <c r="AY95" s="245">
        <f>AY31/AT31-1</f>
        <v>-2.2580645161290325E-2</v>
      </c>
      <c r="AZ95" s="245">
        <f>AZ31/AU31-1</f>
        <v>0.12035541195476585</v>
      </c>
      <c r="BA95" s="244"/>
      <c r="BB95" s="246">
        <f>BB31/AW31-1</f>
        <v>5.7947019867549576E-2</v>
      </c>
      <c r="BC95" s="245">
        <f>BC31/AX31-1</f>
        <v>6.6666666666666652E-2</v>
      </c>
      <c r="BD95" s="245">
        <f>BD31/AY31-1</f>
        <v>0.15511551155115511</v>
      </c>
      <c r="BE95" s="245">
        <f>BE31/AZ31-1</f>
        <v>0.18961788031723148</v>
      </c>
      <c r="BF95" s="244"/>
      <c r="BG95" s="246">
        <f>BG31/BB31-1</f>
        <v>0.14866979655712043</v>
      </c>
      <c r="BH95" s="245">
        <f>BH31/BC31-1</f>
        <v>0.17958860759493667</v>
      </c>
      <c r="BI95" s="245">
        <f>BI31/BD31-1</f>
        <v>5.428571428571427E-2</v>
      </c>
      <c r="BJ95" s="245">
        <f>BJ31/BE31-1</f>
        <v>-0.13818181818181818</v>
      </c>
      <c r="BK95" s="244"/>
      <c r="BL95" s="246">
        <f>BL31/BG31-1</f>
        <v>-0.13692098092643057</v>
      </c>
      <c r="BM95" s="245">
        <f>BM31/BH31-1</f>
        <v>-9.9262240107310551E-2</v>
      </c>
      <c r="BN95" s="245">
        <f>BN31/BI31-1</f>
        <v>-5.9620596205962051E-2</v>
      </c>
      <c r="BO95" s="245">
        <f>BO31/BJ31-1</f>
        <v>-6.3291139240506666E-3</v>
      </c>
      <c r="BP95" s="244"/>
      <c r="BQ95" s="246">
        <f>BQ31/BL31-1</f>
        <v>7.576953433307021E-2</v>
      </c>
      <c r="BR95" s="245">
        <f>BR31/BM31-1</f>
        <v>-3.7230081906179935E-3</v>
      </c>
      <c r="BS95" s="245">
        <f>BS31/BN31-1</f>
        <v>-1.0086455331412059E-2</v>
      </c>
      <c r="BT95" s="245">
        <f>BT31/BO31-1</f>
        <v>0.13375796178343946</v>
      </c>
      <c r="BU95" s="244"/>
      <c r="BV95" s="246">
        <f>BV31/BQ31-1</f>
        <v>2.4211298606016118E-2</v>
      </c>
      <c r="BW95" s="245">
        <f>BW31/BR31-1</f>
        <v>0.11210762331838575</v>
      </c>
      <c r="BX95" s="245">
        <f>BX31/BS31-1</f>
        <v>0.27438136826783111</v>
      </c>
      <c r="BY95" s="245">
        <f>BY31/BT31-1</f>
        <v>0.16978776529338324</v>
      </c>
      <c r="BZ95" s="244"/>
      <c r="CA95" s="246">
        <f>CA31/BV31-1</f>
        <v>0.2550143266475644</v>
      </c>
      <c r="CB95" s="245">
        <f>CB31/BW31-1</f>
        <v>0.18951612903225801</v>
      </c>
      <c r="CC95" s="245">
        <f>CC31/BX31-1</f>
        <v>4.3974871501998747E-2</v>
      </c>
      <c r="CD95" s="245">
        <f>CD31/BY31-1</f>
        <v>3.7886872998932786E-2</v>
      </c>
      <c r="CE95" s="244"/>
      <c r="CF95" s="246">
        <f>CF31/CA31-1</f>
        <v>6.5068493150684859E-2</v>
      </c>
      <c r="CG95" s="245">
        <f>CG31/CB31-1</f>
        <v>-1.7514124293785294E-2</v>
      </c>
      <c r="CH95" s="245">
        <f>CH31/CC31-1</f>
        <v>-4.5404814004376348E-2</v>
      </c>
      <c r="CI95" s="245">
        <f>CI31/CD31-1</f>
        <v>-8.2262210796915092E-3</v>
      </c>
      <c r="CJ95" s="244"/>
      <c r="CK95" s="246">
        <f>CK31/CF31-1</f>
        <v>-0.4812433011789925</v>
      </c>
      <c r="CL95" s="245">
        <f>CL31/CG31-1</f>
        <v>-0.44335825186889022</v>
      </c>
      <c r="CM95" s="245">
        <f>CM31/CH31-1</f>
        <v>-0.44527220630372488</v>
      </c>
      <c r="CN95" s="245">
        <f>CN31/CI31-1</f>
        <v>-0.49818558838776572</v>
      </c>
      <c r="CO95" s="244"/>
      <c r="CP95" s="880">
        <f>CP31/CK31-1</f>
        <v>9.4008264462809965E-2</v>
      </c>
      <c r="CQ95" s="245">
        <f>CQ31/CL31-1</f>
        <v>9.4008264462809965E-2</v>
      </c>
      <c r="CR95" s="245">
        <f>CR31/CM31-1</f>
        <v>9.4008264462809965E-2</v>
      </c>
      <c r="CS95" s="245">
        <f>CS31/CN31-1</f>
        <v>9.4008264462809965E-2</v>
      </c>
      <c r="CT95" s="244"/>
      <c r="CU95" s="246">
        <f>CU31/CP31-1</f>
        <v>7.0821529745042522E-2</v>
      </c>
      <c r="CV95" s="245">
        <f>CV31/CQ31-1</f>
        <v>3.3994334277620331E-2</v>
      </c>
      <c r="CW95" s="245">
        <f>CW31/CR31-1</f>
        <v>1.8885741265344258E-3</v>
      </c>
      <c r="CX95" s="245">
        <f>CX31/CS31-1</f>
        <v>6.8932955618508096E-2</v>
      </c>
      <c r="CY95" s="244"/>
      <c r="CZ95" s="246">
        <f>CZ31/CU31-1</f>
        <v>-0.1428571428571429</v>
      </c>
      <c r="DA95" s="245">
        <f>DA31/CV31-1</f>
        <v>-0.1515981735159817</v>
      </c>
      <c r="DB95" s="245">
        <f>DB31/CW31-1</f>
        <v>-0.22431668237511782</v>
      </c>
      <c r="DC95" s="245">
        <f>DC31/CX31-1</f>
        <v>-0.28180212014134276</v>
      </c>
      <c r="DD95" s="244"/>
      <c r="DE95" s="247">
        <f>DE31/CZ31-1</f>
        <v>-0.13924714619981393</v>
      </c>
      <c r="DF95" s="248">
        <f>DF31/DA31-1</f>
        <v>-0.13046387364504741</v>
      </c>
      <c r="DG95" s="248">
        <f>DG31/DB31-1</f>
        <v>-4.50991100217496E-2</v>
      </c>
      <c r="DH95" s="248">
        <f>DH31/DC31-1</f>
        <v>0.24391194049808473</v>
      </c>
      <c r="DI95" s="249"/>
      <c r="DJ95" s="247">
        <f>DJ31/DE31-1</f>
        <v>-0.18769155491379219</v>
      </c>
      <c r="DK95" s="248">
        <f>DK31/DF31-1</f>
        <v>-0.16846552298448636</v>
      </c>
      <c r="DL95" s="248">
        <f>DL31/DG31-1</f>
        <v>-0.15908556001316132</v>
      </c>
      <c r="DM95" s="248">
        <f>DM31/DH31-1</f>
        <v>2.0407262644196456E-2</v>
      </c>
      <c r="DN95" s="249"/>
      <c r="DO95" s="247">
        <f>DO31/DJ31-1</f>
        <v>-5.6056108583194986E-2</v>
      </c>
      <c r="DP95" s="248">
        <f>DP31/DK31-1</f>
        <v>-4.4143260004365636E-3</v>
      </c>
      <c r="DQ95" s="248">
        <f>DQ31/DL31-1</f>
        <v>4.8628392178605706E-2</v>
      </c>
      <c r="DR95" s="248">
        <f>DR31/DM31-1</f>
        <v>0.11527124718332615</v>
      </c>
      <c r="DS95" s="249"/>
      <c r="DT95" s="247">
        <f>DT31/DO31-1</f>
        <v>0.15177385222432815</v>
      </c>
      <c r="DU95" s="248">
        <f>DU31/DP31-1</f>
        <v>0.15414137514127546</v>
      </c>
      <c r="DV95" s="248">
        <f>DV31/DQ31-1</f>
        <v>0.1513707341329753</v>
      </c>
      <c r="DW95" s="248">
        <f>DW31/DR31-1</f>
        <v>0.15084124904911733</v>
      </c>
      <c r="DX95" s="249"/>
      <c r="DY95" s="247">
        <f>DY31/DT31-1</f>
        <v>0.15626426412609851</v>
      </c>
      <c r="DZ95" s="248">
        <f>DZ31/DU31-1</f>
        <v>0.1648235667809701</v>
      </c>
      <c r="EA95" s="248">
        <f>EA31/DV31-1</f>
        <v>0.16863605478257848</v>
      </c>
      <c r="EB95" s="248">
        <f>EB31/DW31-1</f>
        <v>0.17426927417339577</v>
      </c>
      <c r="EC95" s="249"/>
      <c r="EF95"/>
      <c r="EG95"/>
      <c r="EH95"/>
      <c r="EI95"/>
      <c r="EJ95"/>
      <c r="EK95"/>
      <c r="EL95"/>
      <c r="EM95"/>
      <c r="EN95"/>
      <c r="EO95"/>
      <c r="EP95"/>
      <c r="EQ95"/>
      <c r="ER95"/>
      <c r="ES95"/>
      <c r="ET95"/>
      <c r="EU95"/>
      <c r="EV95"/>
      <c r="EW95"/>
      <c r="EX95"/>
      <c r="EY95"/>
      <c r="EZ95"/>
      <c r="FA95"/>
    </row>
    <row r="96" spans="1:157" s="172" customFormat="1" x14ac:dyDescent="0.2">
      <c r="A96" s="596" t="s">
        <v>167</v>
      </c>
      <c r="B96" s="102"/>
      <c r="C96" s="102"/>
      <c r="D96" s="102"/>
      <c r="E96" s="102"/>
      <c r="F96" s="102"/>
      <c r="G96" s="102"/>
      <c r="H96" s="181"/>
      <c r="I96" s="245"/>
      <c r="J96" s="245"/>
      <c r="K96" s="245"/>
      <c r="L96" s="245"/>
      <c r="M96" s="244"/>
      <c r="N96" s="245"/>
      <c r="O96" s="245"/>
      <c r="P96" s="245"/>
      <c r="Q96" s="245"/>
      <c r="R96" s="244"/>
      <c r="S96" s="245"/>
      <c r="T96" s="245"/>
      <c r="U96" s="245"/>
      <c r="V96" s="245"/>
      <c r="W96" s="244"/>
      <c r="X96" s="245">
        <f>X33/S33-1</f>
        <v>6.1349693251533832E-2</v>
      </c>
      <c r="Y96" s="245">
        <f>Y33/T33-1</f>
        <v>0.39072847682119205</v>
      </c>
      <c r="Z96" s="245">
        <f>Z33/U33-1</f>
        <v>0.99145299145299148</v>
      </c>
      <c r="AA96" s="245">
        <f>AA33/V33-1</f>
        <v>-0.22972972972972971</v>
      </c>
      <c r="AB96" s="244"/>
      <c r="AC96" s="245">
        <f>AC33/X33-1</f>
        <v>0.52601156069364152</v>
      </c>
      <c r="AD96" s="245">
        <f>AD33/Y33-1</f>
        <v>0.36190476190476195</v>
      </c>
      <c r="AE96" s="245">
        <f>AE33/Z33-1</f>
        <v>9.8712446351931327E-2</v>
      </c>
      <c r="AF96" s="245">
        <f>AF33/AA33-1</f>
        <v>0.82456140350877183</v>
      </c>
      <c r="AG96" s="244"/>
      <c r="AH96" s="245">
        <f>AH33/AC33-1</f>
        <v>-0.2007575757575758</v>
      </c>
      <c r="AI96" s="245">
        <f>AI33/AD33-1</f>
        <v>-0.1048951048951049</v>
      </c>
      <c r="AJ96" s="245">
        <f>AJ33/AE33-1</f>
        <v>4.6875E-2</v>
      </c>
      <c r="AK96" s="245">
        <f>AK33/AF33-1</f>
        <v>0.14423076923076916</v>
      </c>
      <c r="AL96" s="244"/>
      <c r="AM96" s="245">
        <f>AM33/AH33-1</f>
        <v>-9.4786729857819774E-3</v>
      </c>
      <c r="AN96" s="245">
        <f>AN33/AI33-1</f>
        <v>-0.359375</v>
      </c>
      <c r="AO96" s="245">
        <f>AO33/AJ33-1</f>
        <v>-0.45149253731343286</v>
      </c>
      <c r="AP96" s="245">
        <f>AP33/AK33-1</f>
        <v>-0.53361344537815125</v>
      </c>
      <c r="AQ96" s="244"/>
      <c r="AR96" s="245">
        <f>AR33/AM33-1</f>
        <v>-0.51196172248803828</v>
      </c>
      <c r="AS96" s="245">
        <f>AS33/AN33-1</f>
        <v>-0.63414634146341464</v>
      </c>
      <c r="AT96" s="245">
        <f>AT33/AO33-1</f>
        <v>-7.4829931972789088E-2</v>
      </c>
      <c r="AU96" s="245">
        <f>AU33/AP33-1</f>
        <v>-0.28828828828828834</v>
      </c>
      <c r="AV96" s="246"/>
      <c r="AW96" s="246">
        <f t="shared" ref="AW96:AZ97" si="430">AW33/AR33-1</f>
        <v>0.15686274509803932</v>
      </c>
      <c r="AX96" s="245">
        <f t="shared" si="430"/>
        <v>6.6666666666666652E-2</v>
      </c>
      <c r="AY96" s="245">
        <f t="shared" si="430"/>
        <v>-0.24264705882352944</v>
      </c>
      <c r="AZ96" s="245">
        <f t="shared" si="430"/>
        <v>-0.53164556962025311</v>
      </c>
      <c r="BA96" s="244"/>
      <c r="BB96" s="246">
        <f t="shared" ref="BB96:BE97" si="431">BB33/AW33-1</f>
        <v>-0.27118644067796616</v>
      </c>
      <c r="BC96" s="245">
        <f t="shared" si="431"/>
        <v>-0.234375</v>
      </c>
      <c r="BD96" s="245">
        <f t="shared" si="431"/>
        <v>-3.8834951456310662E-2</v>
      </c>
      <c r="BE96" s="245">
        <f t="shared" si="431"/>
        <v>0.40540540540540548</v>
      </c>
      <c r="BF96" s="244"/>
      <c r="BG96" s="246">
        <f t="shared" ref="BG96:BJ97" si="432">BG33/BB33-1</f>
        <v>-1.1627906976744207E-2</v>
      </c>
      <c r="BH96" s="245">
        <f t="shared" si="432"/>
        <v>-0.4285714285714286</v>
      </c>
      <c r="BI96" s="245">
        <f t="shared" si="432"/>
        <v>2.020202020202011E-2</v>
      </c>
      <c r="BJ96" s="245">
        <f t="shared" si="432"/>
        <v>1.3076923076923075</v>
      </c>
      <c r="BK96" s="244"/>
      <c r="BL96" s="246">
        <f t="shared" ref="BL96:BO97" si="433">BL33/BG33-1</f>
        <v>0.27058823529411757</v>
      </c>
      <c r="BM96" s="245">
        <f t="shared" si="433"/>
        <v>2.1071428571428572</v>
      </c>
      <c r="BN96" s="245">
        <f t="shared" si="433"/>
        <v>-0.73267326732673266</v>
      </c>
      <c r="BO96" s="245">
        <f t="shared" si="433"/>
        <v>-0.31666666666666665</v>
      </c>
      <c r="BP96" s="244"/>
      <c r="BQ96" s="246">
        <f t="shared" ref="BQ96:BT97" si="434">BQ33/BL33-1</f>
        <v>-0.25</v>
      </c>
      <c r="BR96" s="245">
        <f t="shared" si="434"/>
        <v>-0.2068965517241379</v>
      </c>
      <c r="BS96" s="245">
        <f t="shared" si="434"/>
        <v>2.4814814814814814</v>
      </c>
      <c r="BT96" s="245">
        <f t="shared" si="434"/>
        <v>-0.25609756097560976</v>
      </c>
      <c r="BU96" s="244"/>
      <c r="BV96" s="246">
        <f t="shared" ref="BV96:BY97" si="435">BV33/BQ33-1</f>
        <v>0.29629629629629628</v>
      </c>
      <c r="BW96" s="245">
        <f t="shared" si="435"/>
        <v>0.18840579710144922</v>
      </c>
      <c r="BX96" s="245">
        <f t="shared" si="435"/>
        <v>0.3085106382978724</v>
      </c>
      <c r="BY96" s="245">
        <f t="shared" si="435"/>
        <v>1.3278688524590163</v>
      </c>
      <c r="BZ96" s="244"/>
      <c r="CA96" s="246">
        <f t="shared" ref="CA96:CD97" si="436">CA33/BV33-1</f>
        <v>0.7238095238095239</v>
      </c>
      <c r="CB96" s="245">
        <f t="shared" si="436"/>
        <v>0.5</v>
      </c>
      <c r="CC96" s="245">
        <f t="shared" si="436"/>
        <v>-0.2032520325203252</v>
      </c>
      <c r="CD96" s="245">
        <f t="shared" si="436"/>
        <v>-0.31690140845070425</v>
      </c>
      <c r="CE96" s="244"/>
      <c r="CF96" s="246">
        <f t="shared" ref="CF96:CI97" si="437">CF33/CA33-1</f>
        <v>-0.54696132596685088</v>
      </c>
      <c r="CG96" s="245">
        <f t="shared" si="437"/>
        <v>-0.17073170731707321</v>
      </c>
      <c r="CH96" s="245">
        <f t="shared" si="437"/>
        <v>0.52040816326530615</v>
      </c>
      <c r="CI96" s="245">
        <f t="shared" si="437"/>
        <v>0.74226804123711343</v>
      </c>
      <c r="CJ96" s="244"/>
      <c r="CK96" s="246">
        <f t="shared" ref="CK96:CN97" si="438">CK33/CF33-1</f>
        <v>-0.5</v>
      </c>
      <c r="CL96" s="245">
        <f t="shared" si="438"/>
        <v>-0.59803921568627449</v>
      </c>
      <c r="CM96" s="245">
        <f t="shared" si="438"/>
        <v>-0.72483221476510074</v>
      </c>
      <c r="CN96" s="245">
        <f t="shared" si="438"/>
        <v>-0.75739644970414199</v>
      </c>
      <c r="CO96" s="244"/>
      <c r="CP96" s="880">
        <f t="shared" ref="CP96:CS97" si="439">CP33/CK33-1</f>
        <v>0.34146341463414642</v>
      </c>
      <c r="CQ96" s="245">
        <f t="shared" si="439"/>
        <v>0.34146341463414642</v>
      </c>
      <c r="CR96" s="245">
        <f t="shared" si="439"/>
        <v>0.34146341463414642</v>
      </c>
      <c r="CS96" s="245">
        <f t="shared" si="439"/>
        <v>0.34146341463414642</v>
      </c>
      <c r="CT96" s="244"/>
      <c r="CU96" s="246">
        <f t="shared" ref="CU96:CX97" si="440">CU33/CP33-1</f>
        <v>0.8727272727272728</v>
      </c>
      <c r="CV96" s="245">
        <f t="shared" si="440"/>
        <v>0.36363636363636354</v>
      </c>
      <c r="CW96" s="245">
        <f t="shared" si="440"/>
        <v>-0.72727272727272729</v>
      </c>
      <c r="CX96" s="245">
        <f t="shared" si="440"/>
        <v>-0.32727272727272727</v>
      </c>
      <c r="CY96" s="244"/>
      <c r="CZ96" s="246">
        <f t="shared" ref="CZ96:DC97" si="441">CZ33/CU33-1</f>
        <v>-0.56310679611650483</v>
      </c>
      <c r="DA96" s="245">
        <f t="shared" si="441"/>
        <v>-0.82666666666666666</v>
      </c>
      <c r="DB96" s="245">
        <f t="shared" si="441"/>
        <v>0.8</v>
      </c>
      <c r="DC96" s="245">
        <f t="shared" si="441"/>
        <v>2.3243243243243241</v>
      </c>
      <c r="DD96" s="244"/>
      <c r="DE96" s="247">
        <f t="shared" ref="DE96:DH97" si="442">DE33/CZ33-1</f>
        <v>1.7333333333333334</v>
      </c>
      <c r="DF96" s="248">
        <f t="shared" si="442"/>
        <v>8.4615384615384617</v>
      </c>
      <c r="DG96" s="248">
        <f t="shared" si="442"/>
        <v>3.5555555555555554</v>
      </c>
      <c r="DH96" s="248">
        <f t="shared" si="442"/>
        <v>0</v>
      </c>
      <c r="DI96" s="249"/>
      <c r="DJ96" s="247">
        <f t="shared" ref="DJ96:DM97" si="443">DJ33/DE33-1</f>
        <v>0</v>
      </c>
      <c r="DK96" s="248">
        <f t="shared" si="443"/>
        <v>0</v>
      </c>
      <c r="DL96" s="248">
        <f t="shared" si="443"/>
        <v>0</v>
      </c>
      <c r="DM96" s="248">
        <f t="shared" si="443"/>
        <v>0</v>
      </c>
      <c r="DN96" s="249"/>
      <c r="DO96" s="247">
        <f t="shared" ref="DO96:DR97" si="444">DO33/DJ33-1</f>
        <v>0</v>
      </c>
      <c r="DP96" s="248">
        <f t="shared" si="444"/>
        <v>0</v>
      </c>
      <c r="DQ96" s="248">
        <f t="shared" si="444"/>
        <v>0</v>
      </c>
      <c r="DR96" s="248">
        <f t="shared" si="444"/>
        <v>0</v>
      </c>
      <c r="DS96" s="249"/>
      <c r="DT96" s="247">
        <f t="shared" ref="DT96:DT97" si="445">DT33/DO33-1</f>
        <v>0</v>
      </c>
      <c r="DU96" s="248">
        <f t="shared" ref="DU96:DU97" si="446">DU33/DP33-1</f>
        <v>0</v>
      </c>
      <c r="DV96" s="248">
        <f t="shared" ref="DV96:DV97" si="447">DV33/DQ33-1</f>
        <v>0</v>
      </c>
      <c r="DW96" s="248">
        <f t="shared" ref="DW96:DW97" si="448">DW33/DR33-1</f>
        <v>0</v>
      </c>
      <c r="DX96" s="249"/>
      <c r="DY96" s="247">
        <f t="shared" ref="DY96:DY97" si="449">DY33/DT33-1</f>
        <v>0</v>
      </c>
      <c r="DZ96" s="248">
        <f t="shared" ref="DZ96:DZ97" si="450">DZ33/DU33-1</f>
        <v>0</v>
      </c>
      <c r="EA96" s="248">
        <f t="shared" ref="EA96:EA97" si="451">EA33/DV33-1</f>
        <v>0</v>
      </c>
      <c r="EB96" s="248">
        <f t="shared" ref="EB96:EB97" si="452">EB33/DW33-1</f>
        <v>0</v>
      </c>
      <c r="EC96" s="249"/>
      <c r="EF96"/>
      <c r="EG96"/>
      <c r="EH96"/>
      <c r="EI96"/>
      <c r="EJ96"/>
      <c r="EK96"/>
      <c r="EL96"/>
      <c r="EM96"/>
      <c r="EN96"/>
      <c r="EO96"/>
      <c r="EP96"/>
      <c r="EQ96"/>
      <c r="ER96"/>
      <c r="ES96"/>
      <c r="ET96"/>
      <c r="EU96"/>
      <c r="EV96"/>
      <c r="EW96"/>
      <c r="EX96"/>
      <c r="EY96"/>
      <c r="EZ96"/>
      <c r="FA96"/>
    </row>
    <row r="97" spans="1:157" s="172" customFormat="1" x14ac:dyDescent="0.2">
      <c r="A97" s="596" t="s">
        <v>281</v>
      </c>
      <c r="B97" s="102"/>
      <c r="C97" s="102"/>
      <c r="D97" s="102"/>
      <c r="E97" s="102"/>
      <c r="F97" s="102"/>
      <c r="G97" s="102"/>
      <c r="H97" s="181"/>
      <c r="I97" s="245"/>
      <c r="J97" s="245"/>
      <c r="K97" s="245"/>
      <c r="L97" s="245"/>
      <c r="M97" s="244"/>
      <c r="N97" s="245"/>
      <c r="O97" s="245"/>
      <c r="P97" s="245"/>
      <c r="Q97" s="245"/>
      <c r="R97" s="244"/>
      <c r="S97" s="245"/>
      <c r="T97" s="245"/>
      <c r="U97" s="245"/>
      <c r="V97" s="245"/>
      <c r="W97" s="244"/>
      <c r="X97" s="245"/>
      <c r="Y97" s="245"/>
      <c r="Z97" s="245"/>
      <c r="AA97" s="245"/>
      <c r="AB97" s="244"/>
      <c r="AC97" s="245"/>
      <c r="AD97" s="245"/>
      <c r="AE97" s="245"/>
      <c r="AF97" s="245"/>
      <c r="AG97" s="244"/>
      <c r="AH97" s="245"/>
      <c r="AI97" s="245"/>
      <c r="AJ97" s="245"/>
      <c r="AK97" s="245"/>
      <c r="AL97" s="244"/>
      <c r="AM97" s="245"/>
      <c r="AN97" s="245"/>
      <c r="AO97" s="245"/>
      <c r="AP97" s="245">
        <f>AP34/AK34-1</f>
        <v>0.16071428571428581</v>
      </c>
      <c r="AQ97" s="244"/>
      <c r="AR97" s="245"/>
      <c r="AS97" s="245">
        <f>AS34/AN34-1</f>
        <v>6.8493150684931559E-2</v>
      </c>
      <c r="AT97" s="245">
        <f>AT34/AO34-1</f>
        <v>8.5714285714285632E-2</v>
      </c>
      <c r="AU97" s="245">
        <f>AU34/AP34-1</f>
        <v>0.18461538461538463</v>
      </c>
      <c r="AV97" s="246"/>
      <c r="AW97" s="246">
        <f t="shared" si="430"/>
        <v>0.34210526315789469</v>
      </c>
      <c r="AX97" s="245">
        <f t="shared" si="430"/>
        <v>0.24358974358974361</v>
      </c>
      <c r="AY97" s="245">
        <f t="shared" si="430"/>
        <v>0.30263157894736836</v>
      </c>
      <c r="AZ97" s="245">
        <f t="shared" si="430"/>
        <v>-3.8961038961038974E-2</v>
      </c>
      <c r="BA97" s="244"/>
      <c r="BB97" s="246">
        <f t="shared" si="431"/>
        <v>-0.11764705882352944</v>
      </c>
      <c r="BC97" s="245">
        <f t="shared" si="431"/>
        <v>-0.21649484536082475</v>
      </c>
      <c r="BD97" s="245">
        <f t="shared" si="431"/>
        <v>-0.23232323232323238</v>
      </c>
      <c r="BE97" s="245">
        <f t="shared" si="431"/>
        <v>-2.7027027027026973E-2</v>
      </c>
      <c r="BF97" s="244"/>
      <c r="BG97" s="246">
        <f t="shared" si="432"/>
        <v>5.555555555555558E-2</v>
      </c>
      <c r="BH97" s="245">
        <f t="shared" si="432"/>
        <v>0.28947368421052633</v>
      </c>
      <c r="BI97" s="245">
        <f t="shared" si="432"/>
        <v>0.35526315789473695</v>
      </c>
      <c r="BJ97" s="245">
        <f t="shared" si="432"/>
        <v>0.52777777777777768</v>
      </c>
      <c r="BK97" s="244"/>
      <c r="BL97" s="246">
        <f t="shared" si="433"/>
        <v>5.2631578947368363E-2</v>
      </c>
      <c r="BM97" s="245">
        <f t="shared" si="433"/>
        <v>-8.1632653061224469E-2</v>
      </c>
      <c r="BN97" s="245">
        <f t="shared" si="433"/>
        <v>-0.18446601941747576</v>
      </c>
      <c r="BO97" s="245">
        <f t="shared" si="433"/>
        <v>-9.9999999999999978E-2</v>
      </c>
      <c r="BP97" s="244"/>
      <c r="BQ97" s="246">
        <f t="shared" si="434"/>
        <v>-4.0000000000000036E-2</v>
      </c>
      <c r="BR97" s="245">
        <f t="shared" si="434"/>
        <v>-1.1111111111111072E-2</v>
      </c>
      <c r="BS97" s="245">
        <f t="shared" si="434"/>
        <v>0.29761904761904767</v>
      </c>
      <c r="BT97" s="245">
        <f t="shared" si="434"/>
        <v>0.13131313131313127</v>
      </c>
      <c r="BU97" s="244"/>
      <c r="BV97" s="246">
        <f t="shared" si="435"/>
        <v>0.21875</v>
      </c>
      <c r="BW97" s="245">
        <f t="shared" si="435"/>
        <v>0.3707865168539326</v>
      </c>
      <c r="BX97" s="245">
        <f t="shared" si="435"/>
        <v>-2.752293577981646E-2</v>
      </c>
      <c r="BY97" s="245">
        <f t="shared" si="435"/>
        <v>1.7857142857142794E-2</v>
      </c>
      <c r="BZ97" s="244"/>
      <c r="CA97" s="246">
        <f t="shared" si="436"/>
        <v>0.18803418803418803</v>
      </c>
      <c r="CB97" s="245">
        <f t="shared" si="436"/>
        <v>-0.14754098360655743</v>
      </c>
      <c r="CC97" s="245">
        <f t="shared" si="436"/>
        <v>6.60377358490567E-2</v>
      </c>
      <c r="CD97" s="245">
        <f t="shared" si="436"/>
        <v>0.19298245614035081</v>
      </c>
      <c r="CE97" s="244"/>
      <c r="CF97" s="246">
        <f t="shared" si="437"/>
        <v>-0.13669064748201443</v>
      </c>
      <c r="CG97" s="245">
        <f t="shared" si="437"/>
        <v>-0.22115384615384615</v>
      </c>
      <c r="CH97" s="245">
        <f t="shared" si="437"/>
        <v>-0.29203539823008851</v>
      </c>
      <c r="CI97" s="245">
        <f t="shared" si="437"/>
        <v>-0.29411764705882348</v>
      </c>
      <c r="CJ97" s="244"/>
      <c r="CK97" s="246">
        <f t="shared" si="438"/>
        <v>-0.20833333333333337</v>
      </c>
      <c r="CL97" s="245">
        <f t="shared" si="438"/>
        <v>0.17283950617283961</v>
      </c>
      <c r="CM97" s="245">
        <f t="shared" si="438"/>
        <v>0.1875</v>
      </c>
      <c r="CN97" s="245">
        <f t="shared" si="438"/>
        <v>-1.041666666666663E-2</v>
      </c>
      <c r="CO97" s="244"/>
      <c r="CP97" s="880">
        <f t="shared" si="439"/>
        <v>8.4210526315789513E-2</v>
      </c>
      <c r="CQ97" s="245">
        <f t="shared" si="439"/>
        <v>8.4210526315789513E-2</v>
      </c>
      <c r="CR97" s="245">
        <f t="shared" si="439"/>
        <v>8.4210526315789513E-2</v>
      </c>
      <c r="CS97" s="245">
        <f t="shared" si="439"/>
        <v>8.4210526315789513E-2</v>
      </c>
      <c r="CT97" s="244"/>
      <c r="CU97" s="246">
        <f t="shared" si="440"/>
        <v>0.18446601941747565</v>
      </c>
      <c r="CV97" s="245">
        <f t="shared" si="440"/>
        <v>-9.7087378640776656E-3</v>
      </c>
      <c r="CW97" s="245">
        <f t="shared" si="440"/>
        <v>0.32038834951456319</v>
      </c>
      <c r="CX97" s="245">
        <f t="shared" si="440"/>
        <v>0.30097087378640786</v>
      </c>
      <c r="CY97" s="244"/>
      <c r="CZ97" s="246">
        <f t="shared" si="441"/>
        <v>0.21311475409836067</v>
      </c>
      <c r="DA97" s="245">
        <f t="shared" si="441"/>
        <v>0.57843137254901955</v>
      </c>
      <c r="DB97" s="245">
        <f t="shared" si="441"/>
        <v>0.33088235294117641</v>
      </c>
      <c r="DC97" s="245">
        <f t="shared" si="441"/>
        <v>0.5</v>
      </c>
      <c r="DD97" s="244"/>
      <c r="DE97" s="247">
        <f t="shared" si="442"/>
        <v>0.35810810810810811</v>
      </c>
      <c r="DF97" s="248">
        <f t="shared" si="442"/>
        <v>0.24844720496894412</v>
      </c>
      <c r="DG97" s="248">
        <f t="shared" si="442"/>
        <v>0.11049723756906071</v>
      </c>
      <c r="DH97" s="248">
        <f t="shared" si="442"/>
        <v>0</v>
      </c>
      <c r="DI97" s="249"/>
      <c r="DJ97" s="247">
        <f t="shared" si="443"/>
        <v>0</v>
      </c>
      <c r="DK97" s="248">
        <f t="shared" si="443"/>
        <v>0</v>
      </c>
      <c r="DL97" s="248">
        <f t="shared" si="443"/>
        <v>0</v>
      </c>
      <c r="DM97" s="248">
        <f t="shared" si="443"/>
        <v>0</v>
      </c>
      <c r="DN97" s="249"/>
      <c r="DO97" s="247">
        <f t="shared" si="444"/>
        <v>0</v>
      </c>
      <c r="DP97" s="248">
        <f t="shared" si="444"/>
        <v>0</v>
      </c>
      <c r="DQ97" s="248">
        <f t="shared" si="444"/>
        <v>0</v>
      </c>
      <c r="DR97" s="248">
        <f t="shared" si="444"/>
        <v>0</v>
      </c>
      <c r="DS97" s="249"/>
      <c r="DT97" s="247">
        <f t="shared" si="445"/>
        <v>0</v>
      </c>
      <c r="DU97" s="248">
        <f t="shared" si="446"/>
        <v>0</v>
      </c>
      <c r="DV97" s="248">
        <f t="shared" si="447"/>
        <v>0</v>
      </c>
      <c r="DW97" s="248">
        <f t="shared" si="448"/>
        <v>0</v>
      </c>
      <c r="DX97" s="249"/>
      <c r="DY97" s="247">
        <f t="shared" si="449"/>
        <v>0</v>
      </c>
      <c r="DZ97" s="248">
        <f t="shared" si="450"/>
        <v>0</v>
      </c>
      <c r="EA97" s="248">
        <f t="shared" si="451"/>
        <v>0</v>
      </c>
      <c r="EB97" s="248">
        <f t="shared" si="452"/>
        <v>0</v>
      </c>
      <c r="EC97" s="249"/>
      <c r="EF97"/>
      <c r="EG97"/>
      <c r="EH97"/>
      <c r="EI97"/>
      <c r="EJ97"/>
      <c r="EK97"/>
      <c r="EL97"/>
      <c r="EM97"/>
      <c r="EN97"/>
      <c r="EO97"/>
      <c r="EP97"/>
      <c r="EQ97"/>
      <c r="ER97"/>
      <c r="ES97"/>
      <c r="ET97"/>
      <c r="EU97"/>
      <c r="EV97"/>
      <c r="EW97"/>
      <c r="EX97"/>
      <c r="EY97"/>
      <c r="EZ97"/>
      <c r="FA97"/>
    </row>
    <row r="98" spans="1:157" s="172" customFormat="1" x14ac:dyDescent="0.2">
      <c r="A98" s="596" t="s">
        <v>545</v>
      </c>
      <c r="B98" s="102"/>
      <c r="C98" s="102"/>
      <c r="D98" s="102"/>
      <c r="E98" s="102"/>
      <c r="F98" s="102"/>
      <c r="G98" s="102"/>
      <c r="H98" s="181"/>
      <c r="I98" s="245"/>
      <c r="J98" s="245"/>
      <c r="K98" s="245"/>
      <c r="L98" s="245"/>
      <c r="M98" s="244"/>
      <c r="N98" s="245"/>
      <c r="O98" s="245"/>
      <c r="P98" s="245"/>
      <c r="Q98" s="245"/>
      <c r="R98" s="244"/>
      <c r="S98" s="245"/>
      <c r="T98" s="245"/>
      <c r="U98" s="245"/>
      <c r="V98" s="245"/>
      <c r="W98" s="244"/>
      <c r="X98" s="245">
        <f>X39/S39-1</f>
        <v>3.926380368098159E-2</v>
      </c>
      <c r="Y98" s="245">
        <f>Y39/T39-1</f>
        <v>1.3317191283293006E-2</v>
      </c>
      <c r="Z98" s="245">
        <f>Z39/U39-1</f>
        <v>1.648998822143688E-2</v>
      </c>
      <c r="AA98" s="245">
        <f>AA39/V39-1</f>
        <v>9.3160377358490587E-2</v>
      </c>
      <c r="AB98" s="244"/>
      <c r="AC98" s="245">
        <f>AC39/X39-1</f>
        <v>-3.1877213695395534E-2</v>
      </c>
      <c r="AD98" s="245">
        <f>AD39/Y39-1</f>
        <v>2.9868578255675127E-2</v>
      </c>
      <c r="AE98" s="245">
        <f>AE39/Z39-1</f>
        <v>2.3174971031286296E-2</v>
      </c>
      <c r="AF98" s="245">
        <f>AF39/AA39-1</f>
        <v>6.472491909385103E-2</v>
      </c>
      <c r="AG98" s="244"/>
      <c r="AH98" s="245">
        <f>AH39/AC39-1</f>
        <v>0.23536585365853657</v>
      </c>
      <c r="AI98" s="245">
        <f>AI39/AD39-1</f>
        <v>0.18445475638051034</v>
      </c>
      <c r="AJ98" s="245">
        <f>AJ39/AE39-1</f>
        <v>0.18006795016987542</v>
      </c>
      <c r="AK98" s="245">
        <f>AK39/AF39-1</f>
        <v>-4.0526849037487711E-3</v>
      </c>
      <c r="AL98" s="244"/>
      <c r="AM98" s="245">
        <f>AM39/AH39-1</f>
        <v>-2.6653504442250786E-2</v>
      </c>
      <c r="AN98" s="245">
        <f>AN39/AI39-1</f>
        <v>-2.1547502448579836E-2</v>
      </c>
      <c r="AO98" s="245">
        <f>AO39/AJ39-1</f>
        <v>-3.7428023032629598E-2</v>
      </c>
      <c r="AP98" s="245">
        <f>AP39/AK39-1</f>
        <v>1.1190233977619535E-2</v>
      </c>
      <c r="AQ98" s="244"/>
      <c r="AR98" s="245">
        <f>AR39/AM39-1</f>
        <v>1.8255578093306246E-2</v>
      </c>
      <c r="AS98" s="245">
        <f>AS39/AN39-1</f>
        <v>-7.0070070070069601E-3</v>
      </c>
      <c r="AT98" s="245">
        <f>AT39/AO39-1</f>
        <v>1.5952143569292199E-2</v>
      </c>
      <c r="AU98" s="245">
        <f>AU39/AP39-1</f>
        <v>1.006036217303885E-3</v>
      </c>
      <c r="AV98" s="246"/>
      <c r="AW98" s="246">
        <f>AW39/AR39-1</f>
        <v>2.1912350597609542E-2</v>
      </c>
      <c r="AX98" s="245">
        <f>AX39/AS39-1</f>
        <v>8.1653225806451513E-2</v>
      </c>
      <c r="AY98" s="245">
        <f>AY39/AT39-1</f>
        <v>3.4347399411187363E-2</v>
      </c>
      <c r="AZ98" s="245">
        <f>AZ39/AU39-1</f>
        <v>0.17989949748743728</v>
      </c>
      <c r="BA98" s="244"/>
      <c r="BB98" s="246">
        <f>BB39/AW39-1</f>
        <v>0.15886939571150105</v>
      </c>
      <c r="BC98" s="245">
        <f>BC39/AX39-1</f>
        <v>0.1090400745573159</v>
      </c>
      <c r="BD98" s="245">
        <f>BD39/AY39-1</f>
        <v>0.1252371916508539</v>
      </c>
      <c r="BE98" s="245">
        <f>BE39/AZ39-1</f>
        <v>-4.8551959114139676E-2</v>
      </c>
      <c r="BF98" s="244"/>
      <c r="BG98" s="246">
        <f>BG39/BB39-1</f>
        <v>1.0933557611438216E-2</v>
      </c>
      <c r="BH98" s="245">
        <f>BH39/BC39-1</f>
        <v>2.857142857142847E-2</v>
      </c>
      <c r="BI98" s="245">
        <f>BI39/BD39-1</f>
        <v>-2.613827993254636E-2</v>
      </c>
      <c r="BJ98" s="245">
        <f>BJ39/BE39-1</f>
        <v>0.23276633840644578</v>
      </c>
      <c r="BK98" s="244"/>
      <c r="BL98" s="246">
        <f>BL39/BG39-1</f>
        <v>0.14559068219633953</v>
      </c>
      <c r="BM98" s="245">
        <f>BM39/BH39-1</f>
        <v>6.1274509803921573E-2</v>
      </c>
      <c r="BN98" s="245">
        <f>BN39/BI39-1</f>
        <v>0.16017316017316019</v>
      </c>
      <c r="BO98" s="245">
        <f>BO39/BJ39-1</f>
        <v>-0.14742193173565721</v>
      </c>
      <c r="BP98" s="244"/>
      <c r="BQ98" s="246">
        <f>BQ39/BL39-1</f>
        <v>-0.12200435729847492</v>
      </c>
      <c r="BR98" s="245">
        <f>BR39/BM39-1</f>
        <v>-8.5450346420323342E-2</v>
      </c>
      <c r="BS98" s="245">
        <f>BS39/BN39-1</f>
        <v>-7.5373134328358238E-2</v>
      </c>
      <c r="BT98" s="245">
        <f>BT39/BO39-1</f>
        <v>9.3696763202725686E-2</v>
      </c>
      <c r="BU98" s="244"/>
      <c r="BV98" s="246">
        <f>BV39/BQ39-1</f>
        <v>0.12572373862696451</v>
      </c>
      <c r="BW98" s="245">
        <f>BW39/BR39-1</f>
        <v>0.12710437710437716</v>
      </c>
      <c r="BX98" s="245">
        <f>BX39/BS39-1</f>
        <v>1.6142050040355072E-2</v>
      </c>
      <c r="BY98" s="245">
        <f>BY39/BT39-1</f>
        <v>0.14563862928348903</v>
      </c>
      <c r="BZ98" s="244"/>
      <c r="CA98" s="246">
        <f>CA39/BV39-1</f>
        <v>0.22483468038207199</v>
      </c>
      <c r="CB98" s="245">
        <f>CB39/BW39-1</f>
        <v>0.19268110530246463</v>
      </c>
      <c r="CC98" s="245">
        <f>CC39/BX39-1</f>
        <v>0.25099285146942019</v>
      </c>
      <c r="CD98" s="245">
        <f>CD39/BY39-1</f>
        <v>7.3419442556084347E-2</v>
      </c>
      <c r="CE98" s="244"/>
      <c r="CF98" s="246">
        <f>CF39/CA39-1</f>
        <v>-9.1181763647270597E-2</v>
      </c>
      <c r="CG98" s="245">
        <f>CG39/CB39-1</f>
        <v>-5.3224796493425153E-2</v>
      </c>
      <c r="CH98" s="245">
        <f>CH39/CC39-1</f>
        <v>-3.2380952380952399E-2</v>
      </c>
      <c r="CI98" s="245">
        <f>CI39/CD39-1</f>
        <v>-0.21215959468017731</v>
      </c>
      <c r="CJ98" s="244"/>
      <c r="CK98" s="246">
        <f>CK39/CF39-1</f>
        <v>-0.33003300330033003</v>
      </c>
      <c r="CL98" s="245">
        <f>CL39/CG39-1</f>
        <v>-0.32870370370370372</v>
      </c>
      <c r="CM98" s="245">
        <f>CM39/CH39-1</f>
        <v>-0.33398950131233596</v>
      </c>
      <c r="CN98" s="245">
        <f>CN39/CI39-1</f>
        <v>-0.18408360128617363</v>
      </c>
      <c r="CO98" s="244"/>
      <c r="CP98" s="880">
        <f>CP39/CK39-1</f>
        <v>-0.28669950738916261</v>
      </c>
      <c r="CQ98" s="245">
        <f>CQ39/CL39-1</f>
        <v>-0.28669950738916261</v>
      </c>
      <c r="CR98" s="245">
        <f>CR39/CM39-1</f>
        <v>-0.28669950738916261</v>
      </c>
      <c r="CS98" s="245">
        <f>CS39/CN39-1</f>
        <v>-0.28669950738916261</v>
      </c>
      <c r="CT98" s="244"/>
      <c r="CU98" s="246">
        <f>CU39/CP39-1</f>
        <v>-0.15745856353591159</v>
      </c>
      <c r="CV98" s="245">
        <f>CV39/CQ39-1</f>
        <v>-6.6298342541436517E-2</v>
      </c>
      <c r="CW98" s="245">
        <f>CW39/CR39-1</f>
        <v>-0.12430939226519333</v>
      </c>
      <c r="CX98" s="245">
        <f>CX39/CS39-1</f>
        <v>-2.7624309392265234E-2</v>
      </c>
      <c r="CY98" s="244"/>
      <c r="CZ98" s="246">
        <f>CZ39/CU39-1</f>
        <v>0.13114754098360648</v>
      </c>
      <c r="DA98" s="245">
        <f>DA39/CV39-1</f>
        <v>0.10355029585798814</v>
      </c>
      <c r="DB98" s="245">
        <f>DB39/CW39-1</f>
        <v>9.3059936908517438E-2</v>
      </c>
      <c r="DC98" s="245">
        <f>DC39/CX39-1</f>
        <v>0</v>
      </c>
      <c r="DD98" s="244"/>
      <c r="DE98" s="247">
        <f>DE39/CZ39-1</f>
        <v>8.6956521739129933E-3</v>
      </c>
      <c r="DF98" s="248">
        <f>DF39/DA39-1</f>
        <v>-7.7747989276139462E-2</v>
      </c>
      <c r="DG98" s="248">
        <f>DG39/DB39-1</f>
        <v>-1.8759018759018753E-2</v>
      </c>
      <c r="DH98" s="248">
        <f>DH39/DC39-1</f>
        <v>-4.5454545454545414E-2</v>
      </c>
      <c r="DI98" s="249"/>
      <c r="DJ98" s="247">
        <f>DJ39/DE39-1</f>
        <v>-4.5977011494252928E-2</v>
      </c>
      <c r="DK98" s="248">
        <f>DK39/DF39-1</f>
        <v>-4.6511627906976716E-2</v>
      </c>
      <c r="DL98" s="248">
        <f>DL39/DG39-1</f>
        <v>-4.705882352941182E-2</v>
      </c>
      <c r="DM98" s="248">
        <f>DM39/DH39-1</f>
        <v>-4.7619047619047672E-2</v>
      </c>
      <c r="DN98" s="249"/>
      <c r="DO98" s="247">
        <f>DO39/DJ39-1</f>
        <v>-4.8192771084337394E-2</v>
      </c>
      <c r="DP98" s="248">
        <f>DP39/DK39-1</f>
        <v>-4.8780487804878092E-2</v>
      </c>
      <c r="DQ98" s="248">
        <f>DQ39/DL39-1</f>
        <v>-4.9382716049382713E-2</v>
      </c>
      <c r="DR98" s="248">
        <f>DR39/DM39-1</f>
        <v>-5.0000000000000044E-2</v>
      </c>
      <c r="DS98" s="249"/>
      <c r="DT98" s="247">
        <f>DT39/DO39-1</f>
        <v>-5.0632911392405111E-2</v>
      </c>
      <c r="DU98" s="248">
        <f>DU39/DP39-1</f>
        <v>-5.1282051282051322E-2</v>
      </c>
      <c r="DV98" s="248">
        <f>DV39/DQ39-1</f>
        <v>-5.1948051948051965E-2</v>
      </c>
      <c r="DW98" s="248">
        <f>DW39/DR39-1</f>
        <v>-5.2631578947368474E-2</v>
      </c>
      <c r="DX98" s="249"/>
      <c r="DY98" s="247">
        <f>DY39/DT39-1</f>
        <v>-5.3333333333333344E-2</v>
      </c>
      <c r="DZ98" s="248">
        <f>DZ39/DU39-1</f>
        <v>-5.4054054054054057E-2</v>
      </c>
      <c r="EA98" s="248">
        <f>EA39/DV39-1</f>
        <v>-5.4794520547945202E-2</v>
      </c>
      <c r="EB98" s="248">
        <f>EB39/DW39-1</f>
        <v>-5.555555555555558E-2</v>
      </c>
      <c r="EC98" s="249"/>
      <c r="EF98"/>
      <c r="EG98"/>
      <c r="EH98"/>
      <c r="EI98"/>
      <c r="EJ98"/>
      <c r="EK98"/>
      <c r="EL98"/>
      <c r="EM98"/>
      <c r="EN98"/>
      <c r="EO98"/>
      <c r="EP98"/>
      <c r="EQ98"/>
      <c r="ER98"/>
      <c r="ES98"/>
      <c r="ET98"/>
      <c r="EU98"/>
      <c r="EV98"/>
      <c r="EW98"/>
      <c r="EX98"/>
      <c r="EY98"/>
      <c r="EZ98"/>
      <c r="FA98"/>
    </row>
    <row r="99" spans="1:157" s="172" customFormat="1" x14ac:dyDescent="0.2">
      <c r="A99" s="598" t="s">
        <v>270</v>
      </c>
      <c r="B99" s="599"/>
      <c r="C99" s="599"/>
      <c r="D99" s="599"/>
      <c r="E99" s="599"/>
      <c r="F99" s="599"/>
      <c r="G99" s="599"/>
      <c r="H99" s="600"/>
      <c r="I99" s="601"/>
      <c r="J99" s="601"/>
      <c r="K99" s="601"/>
      <c r="L99" s="601"/>
      <c r="M99" s="602"/>
      <c r="N99" s="601"/>
      <c r="O99" s="601"/>
      <c r="P99" s="601"/>
      <c r="Q99" s="601"/>
      <c r="R99" s="602"/>
      <c r="S99" s="601"/>
      <c r="T99" s="601"/>
      <c r="U99" s="601"/>
      <c r="V99" s="601"/>
      <c r="W99" s="602"/>
      <c r="X99" s="601"/>
      <c r="Y99" s="601"/>
      <c r="Z99" s="601"/>
      <c r="AA99" s="601"/>
      <c r="AB99" s="602"/>
      <c r="AC99" s="601"/>
      <c r="AD99" s="601"/>
      <c r="AE99" s="601"/>
      <c r="AF99" s="601"/>
      <c r="AG99" s="602"/>
      <c r="AH99" s="601"/>
      <c r="AI99" s="601"/>
      <c r="AJ99" s="601"/>
      <c r="AK99" s="601"/>
      <c r="AL99" s="602"/>
      <c r="AM99" s="601"/>
      <c r="AN99" s="601"/>
      <c r="AO99" s="601"/>
      <c r="AP99" s="601"/>
      <c r="AQ99" s="602"/>
      <c r="AR99" s="601"/>
      <c r="AS99" s="601"/>
      <c r="AT99" s="601"/>
      <c r="AU99" s="601"/>
      <c r="AV99" s="603"/>
      <c r="AW99" s="603"/>
      <c r="AX99" s="601"/>
      <c r="AY99" s="601"/>
      <c r="AZ99" s="601"/>
      <c r="BA99" s="602"/>
      <c r="BB99" s="603"/>
      <c r="BC99" s="601"/>
      <c r="BD99" s="601"/>
      <c r="BE99" s="601"/>
      <c r="BF99" s="602"/>
      <c r="BG99" s="603"/>
      <c r="BH99" s="601"/>
      <c r="BI99" s="601"/>
      <c r="BJ99" s="601"/>
      <c r="BK99" s="602"/>
      <c r="BL99" s="603"/>
      <c r="BM99" s="601"/>
      <c r="BN99" s="601"/>
      <c r="BO99" s="601"/>
      <c r="BP99" s="602"/>
      <c r="BQ99" s="603"/>
      <c r="BR99" s="601"/>
      <c r="BS99" s="601"/>
      <c r="BT99" s="601"/>
      <c r="BU99" s="602"/>
      <c r="BV99" s="603"/>
      <c r="BW99" s="601"/>
      <c r="BX99" s="601"/>
      <c r="BY99" s="601"/>
      <c r="BZ99" s="602"/>
      <c r="CA99" s="603"/>
      <c r="CB99" s="601"/>
      <c r="CC99" s="601"/>
      <c r="CD99" s="601"/>
      <c r="CE99" s="602"/>
      <c r="CF99" s="603"/>
      <c r="CG99" s="601"/>
      <c r="CH99" s="601"/>
      <c r="CI99" s="601"/>
      <c r="CJ99" s="602"/>
      <c r="CK99" s="603"/>
      <c r="CL99" s="601"/>
      <c r="CM99" s="601"/>
      <c r="CN99" s="601"/>
      <c r="CO99" s="602"/>
      <c r="CP99" s="896"/>
      <c r="CQ99" s="601"/>
      <c r="CR99" s="601"/>
      <c r="CS99" s="601"/>
      <c r="CT99" s="602"/>
      <c r="CU99" s="603"/>
      <c r="CV99" s="601"/>
      <c r="CW99" s="601"/>
      <c r="CX99" s="601"/>
      <c r="CY99" s="602"/>
      <c r="CZ99" s="603"/>
      <c r="DA99" s="601"/>
      <c r="DB99" s="601"/>
      <c r="DC99" s="601"/>
      <c r="DD99" s="602"/>
      <c r="DE99" s="606"/>
      <c r="DF99" s="604"/>
      <c r="DG99" s="604"/>
      <c r="DH99" s="604"/>
      <c r="DI99" s="605"/>
      <c r="DJ99" s="606"/>
      <c r="DK99" s="604"/>
      <c r="DL99" s="604"/>
      <c r="DM99" s="604"/>
      <c r="DN99" s="605"/>
      <c r="DO99" s="606"/>
      <c r="DP99" s="604"/>
      <c r="DQ99" s="604"/>
      <c r="DR99" s="604"/>
      <c r="DS99" s="605"/>
      <c r="DT99" s="606"/>
      <c r="DU99" s="604"/>
      <c r="DV99" s="604"/>
      <c r="DW99" s="604"/>
      <c r="DX99" s="605"/>
      <c r="DY99" s="606"/>
      <c r="DZ99" s="604"/>
      <c r="EA99" s="604"/>
      <c r="EB99" s="604"/>
      <c r="EC99" s="605"/>
      <c r="EF99"/>
      <c r="EG99"/>
      <c r="EH99"/>
      <c r="EI99"/>
      <c r="EJ99"/>
      <c r="EK99"/>
      <c r="EL99"/>
      <c r="EM99"/>
      <c r="EN99"/>
      <c r="EO99"/>
      <c r="EP99"/>
      <c r="EQ99"/>
      <c r="ER99"/>
      <c r="ES99"/>
      <c r="ET99"/>
      <c r="EU99"/>
      <c r="EV99"/>
      <c r="EW99"/>
      <c r="EX99"/>
      <c r="EY99"/>
      <c r="EZ99"/>
      <c r="FA99"/>
    </row>
    <row r="100" spans="1:157" s="172" customFormat="1" x14ac:dyDescent="0.2">
      <c r="A100" s="596" t="s">
        <v>43</v>
      </c>
      <c r="B100" s="102"/>
      <c r="C100" s="102"/>
      <c r="D100" s="102"/>
      <c r="E100" s="102"/>
      <c r="F100" s="102"/>
      <c r="G100" s="102"/>
      <c r="H100" s="181"/>
      <c r="I100" s="245"/>
      <c r="J100" s="245"/>
      <c r="K100" s="245"/>
      <c r="L100" s="245"/>
      <c r="M100" s="244"/>
      <c r="N100" s="245"/>
      <c r="O100" s="245"/>
      <c r="P100" s="245"/>
      <c r="Q100" s="245"/>
      <c r="R100" s="244"/>
      <c r="S100" s="245"/>
      <c r="T100" s="245"/>
      <c r="U100" s="245"/>
      <c r="V100" s="245"/>
      <c r="W100" s="244"/>
      <c r="X100" s="245">
        <f t="shared" ref="X100:AA101" si="453">X14/W14-1</f>
        <v>-0.15231788079470199</v>
      </c>
      <c r="Y100" s="245">
        <f t="shared" si="453"/>
        <v>-6.640625E-2</v>
      </c>
      <c r="Z100" s="245">
        <f t="shared" si="453"/>
        <v>-0.13389121338912136</v>
      </c>
      <c r="AA100" s="245">
        <f t="shared" si="453"/>
        <v>-0.15458937198067635</v>
      </c>
      <c r="AB100" s="244"/>
      <c r="AC100" s="245">
        <f t="shared" ref="AC100:AF101" si="454">AC14/AB14-1</f>
        <v>-2.8571428571428581E-2</v>
      </c>
      <c r="AD100" s="245">
        <f t="shared" si="454"/>
        <v>0.10588235294117654</v>
      </c>
      <c r="AE100" s="245">
        <f t="shared" si="454"/>
        <v>-0.13297872340425532</v>
      </c>
      <c r="AF100" s="245">
        <f t="shared" si="454"/>
        <v>3.0674846625766916E-2</v>
      </c>
      <c r="AG100" s="244"/>
      <c r="AH100" s="245">
        <f t="shared" ref="AH100:AK101" si="455">AH14/AG14-1</f>
        <v>4.1666666666666741E-2</v>
      </c>
      <c r="AI100" s="245">
        <f t="shared" si="455"/>
        <v>0.1657142857142857</v>
      </c>
      <c r="AJ100" s="245">
        <f t="shared" si="455"/>
        <v>-8.8235294117647078E-2</v>
      </c>
      <c r="AK100" s="245">
        <f t="shared" si="455"/>
        <v>-0.19354838709677424</v>
      </c>
      <c r="AL100" s="244"/>
      <c r="AM100" s="245">
        <f t="shared" ref="AM100:AP101" si="456">AM14/AL14-1</f>
        <v>0.3600000000000001</v>
      </c>
      <c r="AN100" s="245">
        <f t="shared" si="456"/>
        <v>-0.12745098039215685</v>
      </c>
      <c r="AO100" s="245">
        <f t="shared" si="456"/>
        <v>-5.6179775280898903E-2</v>
      </c>
      <c r="AP100" s="245">
        <f t="shared" si="456"/>
        <v>0.14285714285714279</v>
      </c>
      <c r="AQ100" s="244"/>
      <c r="AR100" s="245">
        <f t="shared" ref="AR100:AU101" si="457">AR14/AQ14-1</f>
        <v>4.1666666666666741E-2</v>
      </c>
      <c r="AS100" s="245">
        <f t="shared" si="457"/>
        <v>6.0000000000000053E-2</v>
      </c>
      <c r="AT100" s="245">
        <f t="shared" si="457"/>
        <v>7.0754716981132004E-2</v>
      </c>
      <c r="AU100" s="245">
        <f t="shared" si="457"/>
        <v>3.9647577092511099E-2</v>
      </c>
      <c r="AV100" s="246"/>
      <c r="AW100" s="246">
        <f t="shared" ref="AW100:AZ101" si="458">AW14/AV14-1</f>
        <v>9.3220338983050821E-2</v>
      </c>
      <c r="AX100" s="245">
        <f t="shared" si="458"/>
        <v>-0.13565891472868219</v>
      </c>
      <c r="AY100" s="245">
        <f t="shared" si="458"/>
        <v>0</v>
      </c>
      <c r="AZ100" s="245">
        <f t="shared" si="458"/>
        <v>-1.3452914798206317E-2</v>
      </c>
      <c r="BA100" s="244"/>
      <c r="BB100" s="246">
        <f t="shared" ref="BB100:BE101" si="459">BB14/BA14-1</f>
        <v>0.26363636363636367</v>
      </c>
      <c r="BC100" s="245">
        <f t="shared" si="459"/>
        <v>-9.3525179856115082E-2</v>
      </c>
      <c r="BD100" s="245">
        <f t="shared" si="459"/>
        <v>-7.9365079365079083E-3</v>
      </c>
      <c r="BE100" s="245">
        <f t="shared" si="459"/>
        <v>-9.9999999999999978E-2</v>
      </c>
      <c r="BF100" s="244"/>
      <c r="BG100" s="246">
        <f t="shared" ref="BG100:BJ101" si="460">BG14/BF14-1</f>
        <v>0.19111111111111101</v>
      </c>
      <c r="BH100" s="245">
        <f t="shared" si="460"/>
        <v>-0.11567164179104472</v>
      </c>
      <c r="BI100" s="245">
        <f t="shared" si="460"/>
        <v>5.9071729957805852E-2</v>
      </c>
      <c r="BJ100" s="245">
        <f t="shared" si="460"/>
        <v>-8.764940239043828E-2</v>
      </c>
      <c r="BK100" s="244"/>
      <c r="BL100" s="246">
        <f t="shared" ref="BL100:BO101" si="461">BL14/BK14-1</f>
        <v>0.23580786026200884</v>
      </c>
      <c r="BM100" s="245">
        <f t="shared" si="461"/>
        <v>-1.7667844522968212E-2</v>
      </c>
      <c r="BN100" s="245">
        <f t="shared" si="461"/>
        <v>-0.13309352517985606</v>
      </c>
      <c r="BO100" s="245">
        <f t="shared" si="461"/>
        <v>-8.2987551867219622E-3</v>
      </c>
      <c r="BP100" s="244"/>
      <c r="BQ100" s="246">
        <f t="shared" ref="BQ100:BT101" si="462">BQ14/BP14-1</f>
        <v>0.26778242677824271</v>
      </c>
      <c r="BR100" s="245">
        <f t="shared" si="462"/>
        <v>-0.14191419141914197</v>
      </c>
      <c r="BS100" s="245">
        <f t="shared" si="462"/>
        <v>-4.2307692307692268E-2</v>
      </c>
      <c r="BT100" s="245">
        <f t="shared" si="462"/>
        <v>2.8112449799196693E-2</v>
      </c>
      <c r="BU100" s="244"/>
      <c r="BV100" s="246">
        <f t="shared" ref="BV100:BY101" si="463">BV14/BU14-1</f>
        <v>0.21484375</v>
      </c>
      <c r="BW100" s="245">
        <f t="shared" si="463"/>
        <v>-5.144694533762062E-2</v>
      </c>
      <c r="BX100" s="245">
        <f t="shared" si="463"/>
        <v>-4.7457627118644097E-2</v>
      </c>
      <c r="BY100" s="245">
        <f t="shared" si="463"/>
        <v>1.7793594306049876E-2</v>
      </c>
      <c r="BZ100" s="244"/>
      <c r="CA100" s="246">
        <f t="shared" ref="CA100:CD101" si="464">CA14/BZ14-1</f>
        <v>0.19230769230769229</v>
      </c>
      <c r="CB100" s="245">
        <f t="shared" si="464"/>
        <v>-5.2785923753665642E-2</v>
      </c>
      <c r="CC100" s="245">
        <f t="shared" si="464"/>
        <v>-6.5015479876160964E-2</v>
      </c>
      <c r="CD100" s="245">
        <f t="shared" si="464"/>
        <v>-3.3112582781457123E-3</v>
      </c>
      <c r="CE100" s="244"/>
      <c r="CF100" s="246">
        <f t="shared" ref="CF100:CI101" si="465">CF14/CE14-1</f>
        <v>0.22259136212624586</v>
      </c>
      <c r="CG100" s="245">
        <f t="shared" si="465"/>
        <v>-4.3478260869565188E-2</v>
      </c>
      <c r="CH100" s="245">
        <f t="shared" si="465"/>
        <v>-1.1363636363636354E-2</v>
      </c>
      <c r="CI100" s="245">
        <f t="shared" si="465"/>
        <v>-8.333333333333337E-2</v>
      </c>
      <c r="CJ100" s="244"/>
      <c r="CK100" s="246">
        <f t="shared" ref="CK100:CN101" si="466">CK14/CJ14-1</f>
        <v>-0.16927899686520376</v>
      </c>
      <c r="CL100" s="245">
        <f t="shared" si="466"/>
        <v>0</v>
      </c>
      <c r="CM100" s="245">
        <f t="shared" si="466"/>
        <v>0</v>
      </c>
      <c r="CN100" s="245">
        <f t="shared" si="466"/>
        <v>0</v>
      </c>
      <c r="CO100" s="244"/>
      <c r="CP100" s="880">
        <f t="shared" ref="CP100:CS101" si="467">CP14/CO14-1</f>
        <v>0.13584905660377355</v>
      </c>
      <c r="CQ100" s="245">
        <f t="shared" si="467"/>
        <v>0</v>
      </c>
      <c r="CR100" s="245">
        <f t="shared" si="467"/>
        <v>0</v>
      </c>
      <c r="CS100" s="245">
        <f t="shared" si="467"/>
        <v>0</v>
      </c>
      <c r="CT100" s="244"/>
      <c r="CU100" s="246">
        <f t="shared" ref="CU100:CX101" si="468">CU14/CT14-1</f>
        <v>0</v>
      </c>
      <c r="CV100" s="245">
        <f t="shared" si="468"/>
        <v>-7.6411960132890311E-2</v>
      </c>
      <c r="CW100" s="245">
        <f t="shared" si="468"/>
        <v>0.19064748201438841</v>
      </c>
      <c r="CX100" s="245">
        <f t="shared" si="468"/>
        <v>0.1178247734138973</v>
      </c>
      <c r="CY100" s="244"/>
      <c r="CZ100" s="246">
        <f t="shared" ref="CZ100:DC101" si="469">CZ14/CY14-1</f>
        <v>-4.0540540540540571E-2</v>
      </c>
      <c r="DA100" s="245">
        <f t="shared" si="469"/>
        <v>2.8169014084507005E-3</v>
      </c>
      <c r="DB100" s="245">
        <f t="shared" si="469"/>
        <v>5.6179775280897903E-3</v>
      </c>
      <c r="DC100" s="245">
        <f t="shared" si="469"/>
        <v>0.11731843575418988</v>
      </c>
      <c r="DD100" s="244"/>
      <c r="DE100" s="247">
        <f>DE14/DD14-1</f>
        <v>-0.2931048167612802</v>
      </c>
      <c r="DF100" s="248">
        <f t="shared" ref="DF100:DF101" si="470">DF14/DE14-1</f>
        <v>-1.6791043314824838E-2</v>
      </c>
      <c r="DG100" s="248">
        <f t="shared" ref="DG100:DG101" si="471">DG14/DF14-1</f>
        <v>-1.0722810066967736E-2</v>
      </c>
      <c r="DH100" s="248">
        <f t="shared" ref="DH100:DH101" si="472">DH14/DG14-1</f>
        <v>0.21810753679125261</v>
      </c>
      <c r="DI100" s="249"/>
      <c r="DJ100" s="247">
        <f t="shared" ref="DJ100:DM101" si="473">DJ14/DI14-1</f>
        <v>-0.2275968609296688</v>
      </c>
      <c r="DK100" s="248">
        <f t="shared" si="473"/>
        <v>3.2882878843090158E-3</v>
      </c>
      <c r="DL100" s="248">
        <f t="shared" si="473"/>
        <v>7.1285288455880114E-3</v>
      </c>
      <c r="DM100" s="248">
        <f t="shared" si="473"/>
        <v>0.21382124538661307</v>
      </c>
      <c r="DN100" s="249"/>
      <c r="DO100" s="247">
        <f t="shared" ref="DO100:DR101" si="474">DO14/DN14-1</f>
        <v>-0.22981602425400449</v>
      </c>
      <c r="DP100" s="248">
        <f t="shared" si="474"/>
        <v>4.0056042304932538E-2</v>
      </c>
      <c r="DQ100" s="248">
        <f t="shared" si="474"/>
        <v>4.4717830849027251E-2</v>
      </c>
      <c r="DR100" s="248">
        <f t="shared" si="474"/>
        <v>0.26053612111647872</v>
      </c>
      <c r="DS100" s="249"/>
      <c r="DT100" s="247">
        <f t="shared" ref="DT100:DT101" si="475">DT14/DS14-1</f>
        <v>-0.20775859647206429</v>
      </c>
      <c r="DU100" s="248">
        <f t="shared" ref="DU100:DU101" si="476">DU14/DT14-1</f>
        <v>4.0168304726101667E-2</v>
      </c>
      <c r="DV100" s="248">
        <f t="shared" ref="DV100:DV101" si="477">DV14/DU14-1</f>
        <v>4.3797555221799511E-2</v>
      </c>
      <c r="DW100" s="248">
        <f t="shared" ref="DW100:DW101" si="478">DW14/DV14-1</f>
        <v>0.26105098181328379</v>
      </c>
      <c r="DX100" s="249"/>
      <c r="DY100" s="247">
        <f t="shared" ref="DY100:DY101" si="479">DY14/DX14-1</f>
        <v>-0.20774875438867935</v>
      </c>
      <c r="DZ100" s="248">
        <f t="shared" ref="DZ100:DZ101" si="480">DZ14/DY14-1</f>
        <v>4.3996678064950556E-2</v>
      </c>
      <c r="EA100" s="248">
        <f t="shared" ref="EA100:EA101" si="481">EA14/DZ14-1</f>
        <v>4.6608427118790097E-2</v>
      </c>
      <c r="EB100" s="248">
        <f t="shared" ref="EB100:EB101" si="482">EB14/EA14-1</f>
        <v>0.26605679747033295</v>
      </c>
      <c r="EC100" s="249"/>
      <c r="EF100"/>
      <c r="EG100"/>
      <c r="EH100"/>
      <c r="EI100"/>
      <c r="EJ100"/>
      <c r="EK100"/>
      <c r="EL100"/>
      <c r="EM100"/>
      <c r="EN100"/>
      <c r="EO100"/>
      <c r="EP100"/>
      <c r="EQ100"/>
      <c r="ER100"/>
      <c r="ES100"/>
      <c r="ET100"/>
      <c r="EU100"/>
      <c r="EV100"/>
      <c r="EW100"/>
      <c r="EX100"/>
      <c r="EY100"/>
      <c r="EZ100"/>
      <c r="FA100"/>
    </row>
    <row r="101" spans="1:157" s="172" customFormat="1" x14ac:dyDescent="0.2">
      <c r="A101" s="596" t="s">
        <v>44</v>
      </c>
      <c r="B101" s="102"/>
      <c r="C101" s="102"/>
      <c r="D101" s="102"/>
      <c r="E101" s="102"/>
      <c r="F101" s="102"/>
      <c r="G101" s="102"/>
      <c r="H101" s="181"/>
      <c r="I101" s="245"/>
      <c r="J101" s="245"/>
      <c r="K101" s="245"/>
      <c r="L101" s="245"/>
      <c r="M101" s="244"/>
      <c r="N101" s="245"/>
      <c r="O101" s="245"/>
      <c r="P101" s="245"/>
      <c r="Q101" s="245"/>
      <c r="R101" s="244"/>
      <c r="S101" s="245"/>
      <c r="T101" s="245"/>
      <c r="U101" s="245"/>
      <c r="V101" s="245"/>
      <c r="W101" s="244"/>
      <c r="X101" s="245">
        <f t="shared" si="453"/>
        <v>2.1276595744680771E-2</v>
      </c>
      <c r="Y101" s="245">
        <f t="shared" si="453"/>
        <v>0.125</v>
      </c>
      <c r="Z101" s="245">
        <f t="shared" si="453"/>
        <v>0</v>
      </c>
      <c r="AA101" s="245">
        <f t="shared" si="453"/>
        <v>3.7037037037036979E-2</v>
      </c>
      <c r="AB101" s="244"/>
      <c r="AC101" s="245">
        <f t="shared" si="454"/>
        <v>7.1428571428571397E-2</v>
      </c>
      <c r="AD101" s="245">
        <f t="shared" si="454"/>
        <v>0.28333333333333344</v>
      </c>
      <c r="AE101" s="245">
        <f t="shared" si="454"/>
        <v>-0.18181818181818177</v>
      </c>
      <c r="AF101" s="245">
        <f t="shared" si="454"/>
        <v>0</v>
      </c>
      <c r="AG101" s="244"/>
      <c r="AH101" s="245">
        <f t="shared" si="455"/>
        <v>0.11111111111111116</v>
      </c>
      <c r="AI101" s="245">
        <f t="shared" si="455"/>
        <v>-4.2857142857142816E-2</v>
      </c>
      <c r="AJ101" s="245">
        <f t="shared" si="455"/>
        <v>0</v>
      </c>
      <c r="AK101" s="245">
        <f t="shared" si="455"/>
        <v>0</v>
      </c>
      <c r="AL101" s="244"/>
      <c r="AM101" s="245">
        <f t="shared" si="456"/>
        <v>5.9701492537313383E-2</v>
      </c>
      <c r="AN101" s="245">
        <f t="shared" si="456"/>
        <v>2.8169014084507005E-2</v>
      </c>
      <c r="AO101" s="245">
        <f t="shared" si="456"/>
        <v>-1.3698630136986356E-2</v>
      </c>
      <c r="AP101" s="245">
        <f t="shared" si="456"/>
        <v>5.555555555555558E-2</v>
      </c>
      <c r="AQ101" s="244"/>
      <c r="AR101" s="245">
        <f t="shared" si="457"/>
        <v>6.578947368421062E-2</v>
      </c>
      <c r="AS101" s="245">
        <f t="shared" si="457"/>
        <v>-4.9382716049382713E-2</v>
      </c>
      <c r="AT101" s="245">
        <f t="shared" si="457"/>
        <v>-3.8961038961038974E-2</v>
      </c>
      <c r="AU101" s="245">
        <f t="shared" si="457"/>
        <v>0.14864864864864868</v>
      </c>
      <c r="AV101" s="246"/>
      <c r="AW101" s="246">
        <f t="shared" si="458"/>
        <v>-1.1764705882352899E-2</v>
      </c>
      <c r="AX101" s="245">
        <f t="shared" si="458"/>
        <v>0</v>
      </c>
      <c r="AY101" s="245">
        <f t="shared" si="458"/>
        <v>-4.7619047619047672E-2</v>
      </c>
      <c r="AZ101" s="245">
        <f t="shared" si="458"/>
        <v>0.16250000000000009</v>
      </c>
      <c r="BA101" s="244"/>
      <c r="BB101" s="246">
        <f t="shared" si="459"/>
        <v>4.3010752688172005E-2</v>
      </c>
      <c r="BC101" s="245">
        <f t="shared" si="459"/>
        <v>1.0309278350515427E-2</v>
      </c>
      <c r="BD101" s="245">
        <f t="shared" si="459"/>
        <v>-2.0408163265306145E-2</v>
      </c>
      <c r="BE101" s="245">
        <f t="shared" si="459"/>
        <v>0.33333333333333326</v>
      </c>
      <c r="BF101" s="244"/>
      <c r="BG101" s="246">
        <f t="shared" si="460"/>
        <v>1.5625E-2</v>
      </c>
      <c r="BH101" s="245">
        <f t="shared" si="460"/>
        <v>6.9230769230769207E-2</v>
      </c>
      <c r="BI101" s="245">
        <f t="shared" si="460"/>
        <v>0.12949640287769792</v>
      </c>
      <c r="BJ101" s="245">
        <f t="shared" si="460"/>
        <v>-8.9171974522292974E-2</v>
      </c>
      <c r="BK101" s="244"/>
      <c r="BL101" s="246">
        <f t="shared" si="461"/>
        <v>-0.13286713286713292</v>
      </c>
      <c r="BM101" s="245">
        <f t="shared" si="461"/>
        <v>8.0645161290322509E-2</v>
      </c>
      <c r="BN101" s="245">
        <f t="shared" si="461"/>
        <v>-0.13432835820895528</v>
      </c>
      <c r="BO101" s="245">
        <f t="shared" si="461"/>
        <v>5.1724137931034475E-2</v>
      </c>
      <c r="BP101" s="244"/>
      <c r="BQ101" s="246">
        <f t="shared" si="462"/>
        <v>-7.3770491803278659E-2</v>
      </c>
      <c r="BR101" s="245">
        <f t="shared" si="462"/>
        <v>0.22123893805309724</v>
      </c>
      <c r="BS101" s="245">
        <f t="shared" si="462"/>
        <v>7.9710144927536142E-2</v>
      </c>
      <c r="BT101" s="245">
        <f t="shared" si="462"/>
        <v>0.26845637583892623</v>
      </c>
      <c r="BU101" s="244"/>
      <c r="BV101" s="246">
        <f t="shared" si="463"/>
        <v>-0.17460317460317465</v>
      </c>
      <c r="BW101" s="245">
        <f t="shared" si="463"/>
        <v>0.10897435897435903</v>
      </c>
      <c r="BX101" s="245">
        <f t="shared" si="463"/>
        <v>7.5144508670520249E-2</v>
      </c>
      <c r="BY101" s="245">
        <f t="shared" si="463"/>
        <v>0.467741935483871</v>
      </c>
      <c r="BZ101" s="244"/>
      <c r="CA101" s="246">
        <f t="shared" si="464"/>
        <v>6.5934065934065922E-2</v>
      </c>
      <c r="CB101" s="245">
        <f t="shared" si="464"/>
        <v>4.8109965635738883E-2</v>
      </c>
      <c r="CC101" s="245">
        <f t="shared" si="464"/>
        <v>-4.5901639344262279E-2</v>
      </c>
      <c r="CD101" s="245">
        <f t="shared" si="464"/>
        <v>7.5601374570446689E-2</v>
      </c>
      <c r="CE101" s="244"/>
      <c r="CF101" s="246">
        <f t="shared" si="465"/>
        <v>-7.9872204472843489E-2</v>
      </c>
      <c r="CG101" s="245">
        <f t="shared" si="465"/>
        <v>0.10763888888888884</v>
      </c>
      <c r="CH101" s="245">
        <f t="shared" si="465"/>
        <v>-5.9561128526645746E-2</v>
      </c>
      <c r="CI101" s="245">
        <f t="shared" si="465"/>
        <v>-2.0000000000000018E-2</v>
      </c>
      <c r="CJ101" s="244"/>
      <c r="CK101" s="246">
        <f t="shared" si="466"/>
        <v>-0.86054421768707479</v>
      </c>
      <c r="CL101" s="245">
        <f t="shared" si="466"/>
        <v>0</v>
      </c>
      <c r="CM101" s="245">
        <f t="shared" si="466"/>
        <v>0</v>
      </c>
      <c r="CN101" s="245">
        <f t="shared" si="466"/>
        <v>0</v>
      </c>
      <c r="CO101" s="244"/>
      <c r="CP101" s="880">
        <f t="shared" si="467"/>
        <v>-2.4390243902439046E-2</v>
      </c>
      <c r="CQ101" s="245">
        <f t="shared" si="467"/>
        <v>0</v>
      </c>
      <c r="CR101" s="245">
        <f t="shared" si="467"/>
        <v>0</v>
      </c>
      <c r="CS101" s="245">
        <f t="shared" si="467"/>
        <v>0</v>
      </c>
      <c r="CT101" s="244"/>
      <c r="CU101" s="246">
        <f t="shared" si="468"/>
        <v>-2.5000000000000022E-2</v>
      </c>
      <c r="CV101" s="245">
        <f t="shared" si="468"/>
        <v>0</v>
      </c>
      <c r="CW101" s="245">
        <f t="shared" si="468"/>
        <v>-5.1282051282051322E-2</v>
      </c>
      <c r="CX101" s="245">
        <f t="shared" si="468"/>
        <v>-2.7027027027026973E-2</v>
      </c>
      <c r="CY101" s="244"/>
      <c r="CZ101" s="246">
        <f t="shared" si="469"/>
        <v>-5.555555555555558E-2</v>
      </c>
      <c r="DA101" s="245">
        <f t="shared" si="469"/>
        <v>-8.8235294117647078E-2</v>
      </c>
      <c r="DB101" s="245">
        <f t="shared" si="469"/>
        <v>-0.5161290322580645</v>
      </c>
      <c r="DC101" s="245">
        <f t="shared" si="469"/>
        <v>-0.1333333333333333</v>
      </c>
      <c r="DD101" s="244"/>
      <c r="DE101" s="247">
        <f>DE15/DD15-1</f>
        <v>0.45818538207843584</v>
      </c>
      <c r="DF101" s="248">
        <f t="shared" si="470"/>
        <v>-0.16547468337712146</v>
      </c>
      <c r="DG101" s="248">
        <f t="shared" si="471"/>
        <v>-6.4537904907046029E-2</v>
      </c>
      <c r="DH101" s="248">
        <f t="shared" si="472"/>
        <v>-0.12292893546111683</v>
      </c>
      <c r="DI101" s="249"/>
      <c r="DJ101" s="247">
        <f t="shared" si="473"/>
        <v>4.6861144690633072E-2</v>
      </c>
      <c r="DK101" s="248">
        <f t="shared" si="473"/>
        <v>-0.13781905954937446</v>
      </c>
      <c r="DL101" s="248">
        <f t="shared" si="473"/>
        <v>-4.6800194947771434E-2</v>
      </c>
      <c r="DM101" s="248">
        <f t="shared" si="473"/>
        <v>-0.14840275447666007</v>
      </c>
      <c r="DN101" s="249"/>
      <c r="DO101" s="247">
        <f t="shared" si="474"/>
        <v>5.8471085091912345E-2</v>
      </c>
      <c r="DP101" s="248">
        <f t="shared" si="474"/>
        <v>-3.3416694695768023E-2</v>
      </c>
      <c r="DQ101" s="248">
        <f t="shared" si="474"/>
        <v>7.0767727144622317E-2</v>
      </c>
      <c r="DR101" s="248">
        <f t="shared" si="474"/>
        <v>-3.120439310687817E-2</v>
      </c>
      <c r="DS101" s="249"/>
      <c r="DT101" s="247">
        <f t="shared" si="475"/>
        <v>0.13332173805060488</v>
      </c>
      <c r="DU101" s="248">
        <f t="shared" si="476"/>
        <v>-3.5964662768422251E-2</v>
      </c>
      <c r="DV101" s="248">
        <f t="shared" si="477"/>
        <v>6.7202869358069517E-2</v>
      </c>
      <c r="DW101" s="248">
        <f t="shared" si="478"/>
        <v>-3.2885452716498342E-2</v>
      </c>
      <c r="DX101" s="249"/>
      <c r="DY101" s="247">
        <f t="shared" si="479"/>
        <v>0.13807061086904193</v>
      </c>
      <c r="DZ101" s="248">
        <f t="shared" si="480"/>
        <v>-2.6119568879651056E-2</v>
      </c>
      <c r="EA101" s="248">
        <f t="shared" si="481"/>
        <v>7.6799762716269759E-2</v>
      </c>
      <c r="EB101" s="248">
        <f t="shared" si="482"/>
        <v>-2.3677795061235685E-2</v>
      </c>
      <c r="EC101" s="249"/>
      <c r="EF101"/>
      <c r="EG101"/>
      <c r="EH101"/>
      <c r="EI101"/>
      <c r="EJ101"/>
      <c r="EK101"/>
      <c r="EL101"/>
      <c r="EM101"/>
      <c r="EN101"/>
      <c r="EO101"/>
      <c r="EP101"/>
      <c r="EQ101"/>
      <c r="ER101"/>
      <c r="ES101"/>
      <c r="ET101"/>
      <c r="EU101"/>
      <c r="EV101"/>
      <c r="EW101"/>
      <c r="EX101"/>
      <c r="EY101"/>
      <c r="EZ101"/>
      <c r="FA101"/>
    </row>
    <row r="102" spans="1:157" s="172" customFormat="1" x14ac:dyDescent="0.2">
      <c r="A102" s="596" t="s">
        <v>46</v>
      </c>
      <c r="B102" s="102"/>
      <c r="C102" s="102"/>
      <c r="D102" s="102"/>
      <c r="E102" s="102"/>
      <c r="F102" s="102"/>
      <c r="G102" s="102"/>
      <c r="H102" s="181"/>
      <c r="I102" s="245"/>
      <c r="J102" s="245"/>
      <c r="K102" s="245"/>
      <c r="L102" s="245"/>
      <c r="M102" s="244"/>
      <c r="N102" s="245"/>
      <c r="O102" s="245"/>
      <c r="P102" s="245"/>
      <c r="Q102" s="245"/>
      <c r="R102" s="244"/>
      <c r="S102" s="245"/>
      <c r="T102" s="245"/>
      <c r="U102" s="245"/>
      <c r="V102" s="245"/>
      <c r="W102" s="244"/>
      <c r="X102" s="245">
        <f>X17/W17-1</f>
        <v>0.57352941176470584</v>
      </c>
      <c r="Y102" s="245">
        <f>Y17/X17-1</f>
        <v>-7.4766355140186924E-2</v>
      </c>
      <c r="Z102" s="245">
        <f>Z17/Y17-1</f>
        <v>-7.0707070707070718E-2</v>
      </c>
      <c r="AA102" s="245">
        <f>AA17/Z17-1</f>
        <v>0</v>
      </c>
      <c r="AB102" s="244"/>
      <c r="AC102" s="245">
        <f>AC17/AB17-1</f>
        <v>-2.1739130434782594E-2</v>
      </c>
      <c r="AD102" s="245">
        <f>AD17/AC17-1</f>
        <v>-8.8888888888888906E-2</v>
      </c>
      <c r="AE102" s="245">
        <f>AE17/AD17-1</f>
        <v>3.6585365853658569E-2</v>
      </c>
      <c r="AF102" s="245">
        <f>AF17/AE17-1</f>
        <v>0.29411764705882359</v>
      </c>
      <c r="AG102" s="244"/>
      <c r="AH102" s="245">
        <f>AH17/AG17-1</f>
        <v>0.16363636363636358</v>
      </c>
      <c r="AI102" s="245">
        <f>AI17/AH17-1</f>
        <v>-6.25E-2</v>
      </c>
      <c r="AJ102" s="245">
        <f>AJ17/AI17-1</f>
        <v>-0.10833333333333328</v>
      </c>
      <c r="AK102" s="245">
        <f>AK17/AJ17-1</f>
        <v>-0.39252336448598135</v>
      </c>
      <c r="AL102" s="244"/>
      <c r="AM102" s="245">
        <f>AM17/AL17-1</f>
        <v>0.81538461538461537</v>
      </c>
      <c r="AN102" s="245">
        <f>AN17/AM17-1</f>
        <v>-7.6271186440677985E-2</v>
      </c>
      <c r="AO102" s="245">
        <f>AO17/AN17-1</f>
        <v>-0.1009174311926605</v>
      </c>
      <c r="AP102" s="245">
        <f>AP17/AO17-1</f>
        <v>0.37755102040816335</v>
      </c>
      <c r="AQ102" s="244"/>
      <c r="AR102" s="245">
        <f t="shared" ref="AR102:AU104" si="483">AR17/AQ17-1</f>
        <v>0.10370370370370363</v>
      </c>
      <c r="AS102" s="245">
        <f t="shared" si="483"/>
        <v>-0.38926174496644295</v>
      </c>
      <c r="AT102" s="245">
        <f t="shared" si="483"/>
        <v>-0.10989010989010994</v>
      </c>
      <c r="AU102" s="245">
        <f t="shared" si="483"/>
        <v>-7.407407407407407E-2</v>
      </c>
      <c r="AV102" s="246"/>
      <c r="AW102" s="246">
        <f t="shared" ref="AW102:AZ104" si="484">AW17/AV17-1</f>
        <v>0.26666666666666661</v>
      </c>
      <c r="AX102" s="245">
        <f t="shared" si="484"/>
        <v>5.2631578947368363E-2</v>
      </c>
      <c r="AY102" s="245">
        <f t="shared" si="484"/>
        <v>-9.9999999999999978E-2</v>
      </c>
      <c r="AZ102" s="245">
        <f t="shared" si="484"/>
        <v>0.46666666666666656</v>
      </c>
      <c r="BA102" s="244"/>
      <c r="BB102" s="246">
        <f t="shared" ref="BB102:BE104" si="485">BB17/BA17-1</f>
        <v>0.11363636363636354</v>
      </c>
      <c r="BC102" s="245">
        <f t="shared" si="485"/>
        <v>3.4013605442176909E-2</v>
      </c>
      <c r="BD102" s="245">
        <f t="shared" si="485"/>
        <v>-8.5526315789473673E-2</v>
      </c>
      <c r="BE102" s="245">
        <f t="shared" si="485"/>
        <v>2.1582733812949728E-2</v>
      </c>
      <c r="BF102" s="244"/>
      <c r="BG102" s="246">
        <f t="shared" ref="BG102:BJ104" si="486">BG17/BF17-1</f>
        <v>0.38732394366197176</v>
      </c>
      <c r="BH102" s="245">
        <f t="shared" si="486"/>
        <v>7.6142131979695327E-2</v>
      </c>
      <c r="BI102" s="245">
        <f t="shared" si="486"/>
        <v>-0.15094339622641506</v>
      </c>
      <c r="BJ102" s="245">
        <f t="shared" si="486"/>
        <v>-4.4444444444444398E-2</v>
      </c>
      <c r="BK102" s="244"/>
      <c r="BL102" s="246">
        <f t="shared" ref="BL102:BO104" si="487">BL17/BK17-1</f>
        <v>0.11046511627906974</v>
      </c>
      <c r="BM102" s="245">
        <f t="shared" si="487"/>
        <v>5.2356020942408321E-2</v>
      </c>
      <c r="BN102" s="245">
        <f t="shared" si="487"/>
        <v>0.42786069651741299</v>
      </c>
      <c r="BO102" s="245">
        <f t="shared" si="487"/>
        <v>9.4076655052264702E-2</v>
      </c>
      <c r="BP102" s="244"/>
      <c r="BQ102" s="246">
        <f t="shared" ref="BQ102:BT104" si="488">BQ17/BP17-1</f>
        <v>-3.5031847133757954E-2</v>
      </c>
      <c r="BR102" s="245">
        <f t="shared" si="488"/>
        <v>0.12211221122112215</v>
      </c>
      <c r="BS102" s="245">
        <f t="shared" si="488"/>
        <v>-7.9411764705882404E-2</v>
      </c>
      <c r="BT102" s="245">
        <f t="shared" si="488"/>
        <v>-0.14057507987220452</v>
      </c>
      <c r="BU102" s="244"/>
      <c r="BV102" s="246">
        <f t="shared" ref="BV102:BY104" si="489">BV17/BU17-1</f>
        <v>-1.8587360594795488E-2</v>
      </c>
      <c r="BW102" s="245">
        <f t="shared" si="489"/>
        <v>-0.12121212121212122</v>
      </c>
      <c r="BX102" s="245">
        <f t="shared" si="489"/>
        <v>1.0086206896551726</v>
      </c>
      <c r="BY102" s="245">
        <f t="shared" si="489"/>
        <v>-0.27467811158798283</v>
      </c>
      <c r="BZ102" s="244"/>
      <c r="CA102" s="246">
        <f t="shared" ref="CA102:CD104" si="490">CA17/BZ17-1</f>
        <v>0.26331360946745552</v>
      </c>
      <c r="CB102" s="245">
        <f t="shared" si="490"/>
        <v>-8.6651053864168603E-2</v>
      </c>
      <c r="CC102" s="245">
        <f t="shared" si="490"/>
        <v>-0.17179487179487174</v>
      </c>
      <c r="CD102" s="245">
        <f t="shared" si="490"/>
        <v>-0.15789473684210531</v>
      </c>
      <c r="CE102" s="244"/>
      <c r="CF102" s="246">
        <f t="shared" ref="CF102:CI104" si="491">CF17/CE17-1</f>
        <v>-0.1654411764705882</v>
      </c>
      <c r="CG102" s="245">
        <f t="shared" si="491"/>
        <v>4.8458149779735615E-2</v>
      </c>
      <c r="CH102" s="245">
        <f t="shared" si="491"/>
        <v>-2.1008403361344574E-2</v>
      </c>
      <c r="CI102" s="245">
        <f t="shared" si="491"/>
        <v>0.22746781115879822</v>
      </c>
      <c r="CJ102" s="244"/>
      <c r="CK102" s="246">
        <f t="shared" ref="CK102:CN104" si="492">CK17/CJ17-1</f>
        <v>-0.42657342657342656</v>
      </c>
      <c r="CL102" s="245">
        <f t="shared" si="492"/>
        <v>0</v>
      </c>
      <c r="CM102" s="245">
        <f t="shared" si="492"/>
        <v>0</v>
      </c>
      <c r="CN102" s="245">
        <f t="shared" si="492"/>
        <v>0</v>
      </c>
      <c r="CO102" s="244"/>
      <c r="CP102" s="880">
        <f t="shared" ref="CP102:CS103" si="493">CP17/CO17-1</f>
        <v>-0.18902439024390238</v>
      </c>
      <c r="CQ102" s="245">
        <f t="shared" si="493"/>
        <v>0</v>
      </c>
      <c r="CR102" s="245">
        <f t="shared" si="493"/>
        <v>0</v>
      </c>
      <c r="CS102" s="245">
        <f t="shared" si="493"/>
        <v>0</v>
      </c>
      <c r="CT102" s="244"/>
      <c r="CU102" s="246">
        <f t="shared" ref="CU102:CX103" si="494">CU17/CT17-1</f>
        <v>-3.7593984962406068E-2</v>
      </c>
      <c r="CV102" s="245">
        <f t="shared" si="494"/>
        <v>0.4140625</v>
      </c>
      <c r="CW102" s="245">
        <f t="shared" si="494"/>
        <v>0.31491712707182318</v>
      </c>
      <c r="CX102" s="245">
        <f t="shared" si="494"/>
        <v>-7.5630252100840289E-2</v>
      </c>
      <c r="CY102" s="244"/>
      <c r="CZ102" s="246">
        <f t="shared" ref="CZ102:DC103" si="495">CZ17/CY17-1</f>
        <v>-2.2727272727272707E-2</v>
      </c>
      <c r="DA102" s="245">
        <f t="shared" si="495"/>
        <v>0.24186046511627901</v>
      </c>
      <c r="DB102" s="245">
        <f t="shared" si="495"/>
        <v>0.7415730337078652</v>
      </c>
      <c r="DC102" s="245">
        <f t="shared" si="495"/>
        <v>-0.2021505376344086</v>
      </c>
      <c r="DD102" s="244"/>
      <c r="DE102" s="247">
        <f>DE17/DD17-1</f>
        <v>0</v>
      </c>
      <c r="DF102" s="248">
        <f t="shared" ref="DF102:DF103" si="496">DF17/DE17-1</f>
        <v>0</v>
      </c>
      <c r="DG102" s="248">
        <f t="shared" ref="DG102:DG103" si="497">DG17/DF17-1</f>
        <v>0</v>
      </c>
      <c r="DH102" s="248">
        <f t="shared" ref="DH102:DH103" si="498">DH17/DG17-1</f>
        <v>0</v>
      </c>
      <c r="DI102" s="249"/>
      <c r="DJ102" s="247">
        <f t="shared" ref="DJ102:DM103" si="499">DJ17/DI17-1</f>
        <v>0</v>
      </c>
      <c r="DK102" s="248">
        <f t="shared" si="499"/>
        <v>0</v>
      </c>
      <c r="DL102" s="248">
        <f t="shared" si="499"/>
        <v>0</v>
      </c>
      <c r="DM102" s="248">
        <f t="shared" si="499"/>
        <v>0</v>
      </c>
      <c r="DN102" s="249"/>
      <c r="DO102" s="247">
        <f t="shared" ref="DO102:DR103" si="500">DO17/DN17-1</f>
        <v>0</v>
      </c>
      <c r="DP102" s="248">
        <f t="shared" si="500"/>
        <v>0</v>
      </c>
      <c r="DQ102" s="248">
        <f t="shared" si="500"/>
        <v>0</v>
      </c>
      <c r="DR102" s="248">
        <f t="shared" si="500"/>
        <v>0</v>
      </c>
      <c r="DS102" s="249"/>
      <c r="DT102" s="247">
        <f t="shared" ref="DT102:DT103" si="501">DT17/DS17-1</f>
        <v>0</v>
      </c>
      <c r="DU102" s="248">
        <f t="shared" ref="DU102:DU103" si="502">DU17/DT17-1</f>
        <v>0</v>
      </c>
      <c r="DV102" s="248">
        <f t="shared" ref="DV102:DV103" si="503">DV17/DU17-1</f>
        <v>0</v>
      </c>
      <c r="DW102" s="248">
        <f t="shared" ref="DW102:DW103" si="504">DW17/DV17-1</f>
        <v>0</v>
      </c>
      <c r="DX102" s="249"/>
      <c r="DY102" s="247">
        <f t="shared" ref="DY102:DY103" si="505">DY17/DX17-1</f>
        <v>0</v>
      </c>
      <c r="DZ102" s="248">
        <f t="shared" ref="DZ102:DZ103" si="506">DZ17/DY17-1</f>
        <v>0</v>
      </c>
      <c r="EA102" s="248">
        <f t="shared" ref="EA102:EA103" si="507">EA17/DZ17-1</f>
        <v>0</v>
      </c>
      <c r="EB102" s="248">
        <f t="shared" ref="EB102:EB103" si="508">EB17/EA17-1</f>
        <v>0</v>
      </c>
      <c r="EC102" s="249"/>
      <c r="EF102"/>
      <c r="EG102"/>
      <c r="EH102"/>
      <c r="EI102"/>
      <c r="EJ102"/>
      <c r="EK102"/>
      <c r="EL102"/>
      <c r="EM102"/>
      <c r="EN102"/>
      <c r="EO102"/>
      <c r="EP102"/>
      <c r="EQ102"/>
      <c r="ER102"/>
      <c r="ES102"/>
      <c r="ET102"/>
      <c r="EU102"/>
      <c r="EV102"/>
      <c r="EW102"/>
      <c r="EX102"/>
      <c r="EY102"/>
      <c r="EZ102"/>
      <c r="FA102"/>
    </row>
    <row r="103" spans="1:157" s="172" customFormat="1" x14ac:dyDescent="0.2">
      <c r="A103" s="596" t="s">
        <v>279</v>
      </c>
      <c r="B103" s="102"/>
      <c r="C103" s="102"/>
      <c r="D103" s="102"/>
      <c r="E103" s="102"/>
      <c r="F103" s="102"/>
      <c r="G103" s="102"/>
      <c r="H103" s="181"/>
      <c r="I103" s="245"/>
      <c r="J103" s="245"/>
      <c r="K103" s="245"/>
      <c r="L103" s="245"/>
      <c r="M103" s="244"/>
      <c r="N103" s="245"/>
      <c r="O103" s="245"/>
      <c r="P103" s="245"/>
      <c r="Q103" s="245"/>
      <c r="R103" s="244"/>
      <c r="S103" s="245"/>
      <c r="T103" s="245"/>
      <c r="U103" s="245"/>
      <c r="V103" s="245"/>
      <c r="W103" s="244"/>
      <c r="X103" s="245"/>
      <c r="Y103" s="245"/>
      <c r="Z103" s="245"/>
      <c r="AA103" s="245"/>
      <c r="AB103" s="244"/>
      <c r="AC103" s="245"/>
      <c r="AD103" s="245"/>
      <c r="AE103" s="245"/>
      <c r="AF103" s="245"/>
      <c r="AG103" s="244"/>
      <c r="AH103" s="245"/>
      <c r="AI103" s="245"/>
      <c r="AJ103" s="245"/>
      <c r="AK103" s="245"/>
      <c r="AL103" s="244"/>
      <c r="AM103" s="245"/>
      <c r="AN103" s="245"/>
      <c r="AO103" s="245">
        <f>AO18/AN18-1</f>
        <v>-4.1095890410958957E-2</v>
      </c>
      <c r="AP103" s="245">
        <f>AP18/AO18-1</f>
        <v>-7.1428571428571397E-2</v>
      </c>
      <c r="AQ103" s="244"/>
      <c r="AR103" s="245">
        <f t="shared" si="483"/>
        <v>0.1692307692307693</v>
      </c>
      <c r="AS103" s="245">
        <f t="shared" si="483"/>
        <v>2.6315789473684292E-2</v>
      </c>
      <c r="AT103" s="245">
        <f t="shared" si="483"/>
        <v>-2.5641025641025661E-2</v>
      </c>
      <c r="AU103" s="245">
        <f t="shared" si="483"/>
        <v>1.3157894736842035E-2</v>
      </c>
      <c r="AV103" s="246"/>
      <c r="AW103" s="246">
        <f t="shared" si="484"/>
        <v>0.32467532467532467</v>
      </c>
      <c r="AX103" s="245">
        <f t="shared" si="484"/>
        <v>-4.9019607843137303E-2</v>
      </c>
      <c r="AY103" s="245">
        <f t="shared" si="484"/>
        <v>2.0618556701030855E-2</v>
      </c>
      <c r="AZ103" s="245">
        <f t="shared" si="484"/>
        <v>-0.25252525252525249</v>
      </c>
      <c r="BA103" s="244"/>
      <c r="BB103" s="246">
        <f t="shared" si="485"/>
        <v>0.21621621621621623</v>
      </c>
      <c r="BC103" s="245">
        <f t="shared" si="485"/>
        <v>-0.15555555555555556</v>
      </c>
      <c r="BD103" s="245">
        <f t="shared" si="485"/>
        <v>0</v>
      </c>
      <c r="BE103" s="245">
        <f t="shared" si="485"/>
        <v>-5.2631578947368474E-2</v>
      </c>
      <c r="BF103" s="244"/>
      <c r="BG103" s="246">
        <f t="shared" si="486"/>
        <v>0.31944444444444442</v>
      </c>
      <c r="BH103" s="245">
        <f t="shared" si="486"/>
        <v>3.1578947368421151E-2</v>
      </c>
      <c r="BI103" s="245">
        <f t="shared" si="486"/>
        <v>5.1020408163265252E-2</v>
      </c>
      <c r="BJ103" s="245">
        <f t="shared" si="486"/>
        <v>6.7961165048543659E-2</v>
      </c>
      <c r="BK103" s="244"/>
      <c r="BL103" s="246">
        <f t="shared" si="487"/>
        <v>-9.0909090909090939E-2</v>
      </c>
      <c r="BM103" s="245">
        <f t="shared" si="487"/>
        <v>-9.9999999999999978E-2</v>
      </c>
      <c r="BN103" s="245">
        <f t="shared" si="487"/>
        <v>-6.6666666666666652E-2</v>
      </c>
      <c r="BO103" s="245">
        <f t="shared" si="487"/>
        <v>0.1785714285714286</v>
      </c>
      <c r="BP103" s="244"/>
      <c r="BQ103" s="246">
        <f t="shared" si="488"/>
        <v>-3.0303030303030276E-2</v>
      </c>
      <c r="BR103" s="245">
        <f t="shared" si="488"/>
        <v>-7.291666666666663E-2</v>
      </c>
      <c r="BS103" s="245">
        <f t="shared" si="488"/>
        <v>-8.98876404494382E-2</v>
      </c>
      <c r="BT103" s="245">
        <f t="shared" si="488"/>
        <v>-0.24691358024691357</v>
      </c>
      <c r="BU103" s="244"/>
      <c r="BV103" s="246">
        <f t="shared" si="489"/>
        <v>-3.2786885245901676E-2</v>
      </c>
      <c r="BW103" s="245">
        <f t="shared" si="489"/>
        <v>8.4745762711864403E-2</v>
      </c>
      <c r="BX103" s="245">
        <f t="shared" si="489"/>
        <v>0.1875</v>
      </c>
      <c r="BY103" s="245">
        <f t="shared" si="489"/>
        <v>0.5</v>
      </c>
      <c r="BZ103" s="244"/>
      <c r="CA103" s="246">
        <f t="shared" si="490"/>
        <v>0.2192982456140351</v>
      </c>
      <c r="CB103" s="245">
        <f t="shared" si="490"/>
        <v>-0.25179856115107913</v>
      </c>
      <c r="CC103" s="245">
        <f t="shared" si="490"/>
        <v>8.6538461538461453E-2</v>
      </c>
      <c r="CD103" s="245">
        <f t="shared" si="490"/>
        <v>0.20353982300884965</v>
      </c>
      <c r="CE103" s="244"/>
      <c r="CF103" s="246">
        <f t="shared" si="491"/>
        <v>-2.2058823529411797E-2</v>
      </c>
      <c r="CG103" s="245">
        <f t="shared" si="491"/>
        <v>-0.13533834586466165</v>
      </c>
      <c r="CH103" s="245">
        <f t="shared" si="491"/>
        <v>8.6956521739129933E-3</v>
      </c>
      <c r="CI103" s="245">
        <f t="shared" si="491"/>
        <v>-0.17241379310344829</v>
      </c>
      <c r="CJ103" s="244"/>
      <c r="CK103" s="246">
        <f t="shared" si="492"/>
        <v>-1.041666666666663E-2</v>
      </c>
      <c r="CL103" s="245">
        <f t="shared" si="492"/>
        <v>0</v>
      </c>
      <c r="CM103" s="245">
        <f t="shared" si="492"/>
        <v>0</v>
      </c>
      <c r="CN103" s="245">
        <f t="shared" si="492"/>
        <v>0</v>
      </c>
      <c r="CO103" s="244"/>
      <c r="CP103" s="880">
        <f t="shared" si="493"/>
        <v>8.4210526315789513E-2</v>
      </c>
      <c r="CQ103" s="245">
        <f t="shared" si="493"/>
        <v>0</v>
      </c>
      <c r="CR103" s="245">
        <f t="shared" si="493"/>
        <v>0</v>
      </c>
      <c r="CS103" s="245">
        <f t="shared" si="493"/>
        <v>0</v>
      </c>
      <c r="CT103" s="244"/>
      <c r="CU103" s="246">
        <f t="shared" si="494"/>
        <v>0.18446601941747565</v>
      </c>
      <c r="CV103" s="245">
        <f t="shared" si="494"/>
        <v>-0.16393442622950816</v>
      </c>
      <c r="CW103" s="245">
        <f t="shared" si="494"/>
        <v>0.33333333333333326</v>
      </c>
      <c r="CX103" s="245">
        <f t="shared" si="494"/>
        <v>-0.81617647058823528</v>
      </c>
      <c r="CY103" s="244"/>
      <c r="CZ103" s="246">
        <f t="shared" si="495"/>
        <v>1.48</v>
      </c>
      <c r="DA103" s="245">
        <f t="shared" si="495"/>
        <v>0.20967741935483875</v>
      </c>
      <c r="DB103" s="245">
        <f t="shared" si="495"/>
        <v>0.46666666666666656</v>
      </c>
      <c r="DC103" s="245">
        <f t="shared" si="495"/>
        <v>0.1272727272727272</v>
      </c>
      <c r="DD103" s="244"/>
      <c r="DE103" s="247">
        <f>DE18/DD18-1</f>
        <v>0</v>
      </c>
      <c r="DF103" s="248">
        <f t="shared" si="496"/>
        <v>0</v>
      </c>
      <c r="DG103" s="248">
        <f t="shared" si="497"/>
        <v>0</v>
      </c>
      <c r="DH103" s="248">
        <f t="shared" si="498"/>
        <v>0</v>
      </c>
      <c r="DI103" s="249"/>
      <c r="DJ103" s="247">
        <f t="shared" si="499"/>
        <v>0</v>
      </c>
      <c r="DK103" s="248">
        <f t="shared" si="499"/>
        <v>0</v>
      </c>
      <c r="DL103" s="248">
        <f t="shared" si="499"/>
        <v>0</v>
      </c>
      <c r="DM103" s="248">
        <f t="shared" si="499"/>
        <v>0</v>
      </c>
      <c r="DN103" s="249"/>
      <c r="DO103" s="247">
        <f t="shared" si="500"/>
        <v>0</v>
      </c>
      <c r="DP103" s="248">
        <f t="shared" si="500"/>
        <v>0</v>
      </c>
      <c r="DQ103" s="248">
        <f t="shared" si="500"/>
        <v>0</v>
      </c>
      <c r="DR103" s="248">
        <f t="shared" si="500"/>
        <v>0</v>
      </c>
      <c r="DS103" s="249"/>
      <c r="DT103" s="247">
        <f t="shared" si="501"/>
        <v>0</v>
      </c>
      <c r="DU103" s="248">
        <f t="shared" si="502"/>
        <v>0</v>
      </c>
      <c r="DV103" s="248">
        <f t="shared" si="503"/>
        <v>0</v>
      </c>
      <c r="DW103" s="248">
        <f t="shared" si="504"/>
        <v>0</v>
      </c>
      <c r="DX103" s="249"/>
      <c r="DY103" s="247">
        <f t="shared" si="505"/>
        <v>0</v>
      </c>
      <c r="DZ103" s="248">
        <f t="shared" si="506"/>
        <v>0</v>
      </c>
      <c r="EA103" s="248">
        <f t="shared" si="507"/>
        <v>0</v>
      </c>
      <c r="EB103" s="248">
        <f t="shared" si="508"/>
        <v>0</v>
      </c>
      <c r="EC103" s="249"/>
      <c r="EF103"/>
      <c r="EG103"/>
      <c r="EH103"/>
      <c r="EI103"/>
      <c r="EJ103"/>
      <c r="EK103"/>
      <c r="EL103"/>
      <c r="EM103"/>
      <c r="EN103"/>
      <c r="EO103"/>
      <c r="EP103"/>
      <c r="EQ103"/>
      <c r="ER103"/>
      <c r="ES103"/>
      <c r="ET103"/>
      <c r="EU103"/>
      <c r="EV103"/>
      <c r="EW103"/>
      <c r="EX103"/>
      <c r="EY103"/>
      <c r="EZ103"/>
      <c r="FA103"/>
    </row>
    <row r="104" spans="1:157" s="172" customFormat="1" x14ac:dyDescent="0.2">
      <c r="A104" s="596" t="s">
        <v>47</v>
      </c>
      <c r="B104" s="102"/>
      <c r="C104" s="102"/>
      <c r="D104" s="102"/>
      <c r="E104" s="102"/>
      <c r="F104" s="102"/>
      <c r="G104" s="102"/>
      <c r="H104" s="181"/>
      <c r="I104" s="245"/>
      <c r="J104" s="245"/>
      <c r="K104" s="245"/>
      <c r="L104" s="245"/>
      <c r="M104" s="244"/>
      <c r="N104" s="245"/>
      <c r="O104" s="245"/>
      <c r="P104" s="245"/>
      <c r="Q104" s="245"/>
      <c r="R104" s="244"/>
      <c r="S104" s="245"/>
      <c r="T104" s="245"/>
      <c r="U104" s="245"/>
      <c r="V104" s="245"/>
      <c r="W104" s="244"/>
      <c r="X104" s="245">
        <f>X19/W19-1</f>
        <v>4.0000000000000036E-2</v>
      </c>
      <c r="Y104" s="245">
        <f>Y19/X19-1</f>
        <v>0</v>
      </c>
      <c r="Z104" s="245">
        <f>Z19/Y19-1</f>
        <v>-2.5641025641025661E-2</v>
      </c>
      <c r="AA104" s="245">
        <f>AA19/Z19-1</f>
        <v>3.9473684210526327E-2</v>
      </c>
      <c r="AB104" s="244"/>
      <c r="AC104" s="245">
        <f>AC19/AB19-1</f>
        <v>5.0632911392405111E-2</v>
      </c>
      <c r="AD104" s="245">
        <f>AD19/AC19-1</f>
        <v>0</v>
      </c>
      <c r="AE104" s="245">
        <f>AE19/AD19-1</f>
        <v>0</v>
      </c>
      <c r="AF104" s="245">
        <f>AF19/AE19-1</f>
        <v>0.45783132530120474</v>
      </c>
      <c r="AG104" s="244"/>
      <c r="AH104" s="245">
        <f>AH19/AG19-1</f>
        <v>0</v>
      </c>
      <c r="AI104" s="245">
        <f>AI19/AH19-1</f>
        <v>0</v>
      </c>
      <c r="AJ104" s="245">
        <f>AJ19/AI19-1</f>
        <v>0</v>
      </c>
      <c r="AK104" s="245">
        <f>AK19/AJ19-1</f>
        <v>0.36363636363636354</v>
      </c>
      <c r="AL104" s="244"/>
      <c r="AM104" s="245">
        <f>AM19/AL19-1</f>
        <v>0</v>
      </c>
      <c r="AN104" s="245">
        <f>AN19/AM19-1</f>
        <v>0</v>
      </c>
      <c r="AO104" s="245">
        <f>AO19/AN19-1</f>
        <v>-7.2727272727272751E-2</v>
      </c>
      <c r="AP104" s="245">
        <f>AP19/AO19-1</f>
        <v>1.9607843137254832E-2</v>
      </c>
      <c r="AQ104" s="244"/>
      <c r="AR104" s="245">
        <f t="shared" si="483"/>
        <v>-5.7692307692307709E-2</v>
      </c>
      <c r="AS104" s="245">
        <f t="shared" si="483"/>
        <v>-2.7210884353741527E-2</v>
      </c>
      <c r="AT104" s="245">
        <f t="shared" si="483"/>
        <v>9.7902097902097918E-2</v>
      </c>
      <c r="AU104" s="245">
        <f t="shared" si="483"/>
        <v>3.8216560509554132E-2</v>
      </c>
      <c r="AV104" s="246"/>
      <c r="AW104" s="246">
        <f t="shared" si="484"/>
        <v>-2.4539877300613466E-2</v>
      </c>
      <c r="AX104" s="245">
        <f t="shared" si="484"/>
        <v>-6.2893081761006275E-3</v>
      </c>
      <c r="AY104" s="245">
        <f t="shared" si="484"/>
        <v>-5.0632911392405111E-2</v>
      </c>
      <c r="AZ104" s="245">
        <f t="shared" si="484"/>
        <v>-0.6333333333333333</v>
      </c>
      <c r="BA104" s="244"/>
      <c r="BB104" s="246">
        <f t="shared" si="485"/>
        <v>-3.6363636363636376E-2</v>
      </c>
      <c r="BC104" s="245">
        <f t="shared" si="485"/>
        <v>0.69811320754716988</v>
      </c>
      <c r="BD104" s="245">
        <f t="shared" si="485"/>
        <v>7.7777777777777724E-2</v>
      </c>
      <c r="BE104" s="245">
        <f t="shared" si="485"/>
        <v>0.28865979381443307</v>
      </c>
      <c r="BF104" s="244"/>
      <c r="BG104" s="246">
        <f t="shared" si="486"/>
        <v>3.2000000000000028E-2</v>
      </c>
      <c r="BH104" s="245">
        <f t="shared" si="486"/>
        <v>0.12403100775193798</v>
      </c>
      <c r="BI104" s="245">
        <f t="shared" si="486"/>
        <v>5.5172413793103559E-2</v>
      </c>
      <c r="BJ104" s="245">
        <f t="shared" si="486"/>
        <v>-0.47058823529411764</v>
      </c>
      <c r="BK104" s="244"/>
      <c r="BL104" s="246">
        <f t="shared" si="487"/>
        <v>-3.703703703703709E-2</v>
      </c>
      <c r="BM104" s="245">
        <f t="shared" si="487"/>
        <v>7.6923076923076872E-2</v>
      </c>
      <c r="BN104" s="245">
        <f t="shared" si="487"/>
        <v>-0.3571428571428571</v>
      </c>
      <c r="BO104" s="245">
        <f t="shared" si="487"/>
        <v>0.5</v>
      </c>
      <c r="BP104" s="244"/>
      <c r="BQ104" s="246">
        <f t="shared" si="488"/>
        <v>0.79012345679012341</v>
      </c>
      <c r="BR104" s="245">
        <f t="shared" si="488"/>
        <v>-0.26206896551724135</v>
      </c>
      <c r="BS104" s="245">
        <f t="shared" si="488"/>
        <v>1.8691588785046731E-2</v>
      </c>
      <c r="BT104" s="245">
        <f t="shared" si="488"/>
        <v>2.7522935779816571E-2</v>
      </c>
      <c r="BU104" s="244"/>
      <c r="BV104" s="246">
        <f t="shared" si="489"/>
        <v>4.4642857142857206E-2</v>
      </c>
      <c r="BW104" s="245">
        <f t="shared" si="489"/>
        <v>4.2735042735042805E-2</v>
      </c>
      <c r="BX104" s="245">
        <f t="shared" si="489"/>
        <v>-0.13114754098360659</v>
      </c>
      <c r="BY104" s="245">
        <f t="shared" si="489"/>
        <v>5.6603773584905648E-2</v>
      </c>
      <c r="BZ104" s="244"/>
      <c r="CA104" s="246">
        <f t="shared" si="490"/>
        <v>0.14285714285714279</v>
      </c>
      <c r="CB104" s="245">
        <f t="shared" si="490"/>
        <v>-2.34375E-2</v>
      </c>
      <c r="CC104" s="245">
        <f t="shared" si="490"/>
        <v>-0.13600000000000001</v>
      </c>
      <c r="CD104" s="245">
        <f t="shared" si="490"/>
        <v>2.7777777777777679E-2</v>
      </c>
      <c r="CE104" s="244"/>
      <c r="CF104" s="246">
        <f t="shared" si="491"/>
        <v>8.1081081081081141E-2</v>
      </c>
      <c r="CG104" s="245">
        <f t="shared" si="491"/>
        <v>-0.32499999999999996</v>
      </c>
      <c r="CH104" s="245">
        <f t="shared" si="491"/>
        <v>-1.2345679012345734E-2</v>
      </c>
      <c r="CI104" s="245">
        <f t="shared" si="491"/>
        <v>0.53750000000000009</v>
      </c>
      <c r="CJ104" s="244"/>
      <c r="CK104" s="246">
        <f t="shared" si="492"/>
        <v>-0.24390243902439024</v>
      </c>
      <c r="CL104" s="245">
        <f t="shared" si="492"/>
        <v>0</v>
      </c>
      <c r="CM104" s="245">
        <f t="shared" si="492"/>
        <v>0</v>
      </c>
      <c r="CN104" s="245">
        <f t="shared" si="492"/>
        <v>0</v>
      </c>
      <c r="CO104" s="244"/>
      <c r="CP104" s="880"/>
      <c r="CQ104" s="245"/>
      <c r="CR104" s="245"/>
      <c r="CS104" s="245"/>
      <c r="CT104" s="244"/>
      <c r="CU104" s="246"/>
      <c r="CV104" s="245"/>
      <c r="CW104" s="245"/>
      <c r="CX104" s="245"/>
      <c r="CY104" s="244"/>
      <c r="CZ104" s="246"/>
      <c r="DA104" s="248"/>
      <c r="DB104" s="245"/>
      <c r="DC104" s="245"/>
      <c r="DD104" s="244"/>
      <c r="DE104" s="247"/>
      <c r="DF104" s="248"/>
      <c r="DG104" s="248"/>
      <c r="DH104" s="248"/>
      <c r="DI104" s="249"/>
      <c r="DJ104" s="247"/>
      <c r="DK104" s="248"/>
      <c r="DL104" s="248"/>
      <c r="DM104" s="248"/>
      <c r="DN104" s="249"/>
      <c r="DO104" s="247"/>
      <c r="DP104" s="248"/>
      <c r="DQ104" s="248"/>
      <c r="DR104" s="248"/>
      <c r="DS104" s="249"/>
      <c r="DT104" s="247"/>
      <c r="DU104" s="248"/>
      <c r="DV104" s="248"/>
      <c r="DW104" s="248"/>
      <c r="DX104" s="249"/>
      <c r="DY104" s="247"/>
      <c r="DZ104" s="248"/>
      <c r="EA104" s="248"/>
      <c r="EB104" s="248"/>
      <c r="EC104" s="249"/>
      <c r="EF104"/>
      <c r="EG104"/>
      <c r="EH104"/>
      <c r="EI104"/>
      <c r="EJ104"/>
      <c r="EK104"/>
      <c r="EL104"/>
      <c r="EM104"/>
      <c r="EN104"/>
      <c r="EO104"/>
      <c r="EP104"/>
      <c r="EQ104"/>
      <c r="ER104"/>
      <c r="ES104"/>
      <c r="ET104"/>
      <c r="EU104"/>
      <c r="EV104"/>
      <c r="EW104"/>
      <c r="EX104"/>
      <c r="EY104"/>
      <c r="EZ104"/>
      <c r="FA104"/>
    </row>
    <row r="105" spans="1:157" s="172" customFormat="1" x14ac:dyDescent="0.2">
      <c r="A105" s="460" t="s">
        <v>268</v>
      </c>
      <c r="B105" s="102"/>
      <c r="C105" s="102"/>
      <c r="D105" s="102"/>
      <c r="E105" s="102"/>
      <c r="F105" s="102"/>
      <c r="G105" s="102"/>
      <c r="H105" s="181"/>
      <c r="I105" s="245"/>
      <c r="J105" s="245"/>
      <c r="K105" s="245"/>
      <c r="L105" s="245"/>
      <c r="M105" s="244"/>
      <c r="N105" s="245"/>
      <c r="O105" s="245"/>
      <c r="P105" s="245"/>
      <c r="Q105" s="245"/>
      <c r="R105" s="244"/>
      <c r="S105" s="245"/>
      <c r="T105" s="245"/>
      <c r="U105" s="245"/>
      <c r="V105" s="245"/>
      <c r="W105" s="244"/>
      <c r="X105" s="245"/>
      <c r="Y105" s="245"/>
      <c r="Z105" s="245"/>
      <c r="AA105" s="245"/>
      <c r="AB105" s="244"/>
      <c r="AC105" s="245"/>
      <c r="AD105" s="245"/>
      <c r="AE105" s="245"/>
      <c r="AF105" s="245"/>
      <c r="AG105" s="244"/>
      <c r="AH105" s="245"/>
      <c r="AI105" s="245"/>
      <c r="AJ105" s="245"/>
      <c r="AK105" s="245"/>
      <c r="AL105" s="244"/>
      <c r="AM105" s="245"/>
      <c r="AN105" s="245"/>
      <c r="AO105" s="245"/>
      <c r="AP105" s="245"/>
      <c r="AQ105" s="244"/>
      <c r="AR105" s="245"/>
      <c r="AS105" s="245"/>
      <c r="AT105" s="245"/>
      <c r="AU105" s="245"/>
      <c r="AV105" s="246"/>
      <c r="AW105" s="246"/>
      <c r="AX105" s="245"/>
      <c r="AY105" s="245"/>
      <c r="AZ105" s="245"/>
      <c r="BA105" s="244"/>
      <c r="BB105" s="246"/>
      <c r="BC105" s="245"/>
      <c r="BD105" s="245"/>
      <c r="BE105" s="245"/>
      <c r="BF105" s="244"/>
      <c r="BG105" s="246"/>
      <c r="BH105" s="245"/>
      <c r="BI105" s="245"/>
      <c r="BJ105" s="245"/>
      <c r="BK105" s="244"/>
      <c r="BL105" s="246"/>
      <c r="BM105" s="245"/>
      <c r="BN105" s="245"/>
      <c r="BO105" s="245"/>
      <c r="BP105" s="244"/>
      <c r="BQ105" s="246"/>
      <c r="BR105" s="245"/>
      <c r="BS105" s="245"/>
      <c r="BT105" s="245"/>
      <c r="BU105" s="244"/>
      <c r="BV105" s="246"/>
      <c r="BW105" s="245"/>
      <c r="BX105" s="245"/>
      <c r="BY105" s="245"/>
      <c r="BZ105" s="244"/>
      <c r="CA105" s="246"/>
      <c r="CB105" s="245"/>
      <c r="CC105" s="245"/>
      <c r="CD105" s="245"/>
      <c r="CE105" s="244"/>
      <c r="CF105" s="246"/>
      <c r="CG105" s="245"/>
      <c r="CH105" s="245"/>
      <c r="CI105" s="245"/>
      <c r="CJ105" s="244"/>
      <c r="CK105" s="246"/>
      <c r="CL105" s="245"/>
      <c r="CM105" s="245"/>
      <c r="CN105" s="245"/>
      <c r="CO105" s="244"/>
      <c r="CP105" s="880"/>
      <c r="CQ105" s="245"/>
      <c r="CR105" s="245"/>
      <c r="CS105" s="245"/>
      <c r="CT105" s="244"/>
      <c r="CU105" s="246"/>
      <c r="CV105" s="245"/>
      <c r="CW105" s="245"/>
      <c r="CX105" s="245"/>
      <c r="CY105" s="244"/>
      <c r="CZ105" s="246"/>
      <c r="DA105" s="248"/>
      <c r="DB105" s="245"/>
      <c r="DC105" s="245"/>
      <c r="DD105" s="244"/>
      <c r="DE105" s="247"/>
      <c r="DF105" s="248"/>
      <c r="DG105" s="248"/>
      <c r="DH105" s="248"/>
      <c r="DI105" s="249"/>
      <c r="DJ105" s="247"/>
      <c r="DK105" s="248"/>
      <c r="DL105" s="248"/>
      <c r="DM105" s="248"/>
      <c r="DN105" s="249"/>
      <c r="DO105" s="247"/>
      <c r="DP105" s="248"/>
      <c r="DQ105" s="248"/>
      <c r="DR105" s="248"/>
      <c r="DS105" s="249"/>
      <c r="DT105" s="247"/>
      <c r="DU105" s="248"/>
      <c r="DV105" s="248"/>
      <c r="DW105" s="248"/>
      <c r="DX105" s="249"/>
      <c r="DY105" s="247"/>
      <c r="DZ105" s="248"/>
      <c r="EA105" s="248"/>
      <c r="EB105" s="248"/>
      <c r="EC105" s="249"/>
      <c r="EF105"/>
      <c r="EG105"/>
      <c r="EH105"/>
      <c r="EI105"/>
      <c r="EJ105"/>
      <c r="EK105"/>
      <c r="EL105"/>
      <c r="EM105"/>
      <c r="EN105"/>
      <c r="EO105"/>
      <c r="EP105"/>
      <c r="EQ105"/>
      <c r="ER105"/>
      <c r="ES105"/>
      <c r="ET105"/>
      <c r="EU105"/>
      <c r="EV105"/>
      <c r="EW105"/>
      <c r="EX105"/>
      <c r="EY105"/>
      <c r="EZ105"/>
      <c r="FA105"/>
    </row>
    <row r="106" spans="1:157" s="172" customFormat="1" x14ac:dyDescent="0.2">
      <c r="A106" s="596" t="s">
        <v>429</v>
      </c>
      <c r="B106" s="102"/>
      <c r="C106" s="102"/>
      <c r="D106" s="102"/>
      <c r="E106" s="102"/>
      <c r="F106" s="102"/>
      <c r="G106" s="102"/>
      <c r="H106" s="181"/>
      <c r="I106" s="245"/>
      <c r="J106" s="245"/>
      <c r="K106" s="245"/>
      <c r="L106" s="245"/>
      <c r="M106" s="244"/>
      <c r="N106" s="245"/>
      <c r="O106" s="245"/>
      <c r="P106" s="245"/>
      <c r="Q106" s="245"/>
      <c r="R106" s="244"/>
      <c r="S106" s="245"/>
      <c r="T106" s="245"/>
      <c r="U106" s="245"/>
      <c r="V106" s="245"/>
      <c r="W106" s="244"/>
      <c r="X106" s="245">
        <f t="shared" ref="X106:AA107" si="509">X23/W23-1</f>
        <v>8.8305489260143144E-2</v>
      </c>
      <c r="Y106" s="245">
        <f t="shared" si="509"/>
        <v>0</v>
      </c>
      <c r="Z106" s="245">
        <f t="shared" si="509"/>
        <v>3.9473684210526327E-2</v>
      </c>
      <c r="AA106" s="245">
        <f t="shared" si="509"/>
        <v>-3.3755274261603407E-2</v>
      </c>
      <c r="AB106" s="244"/>
      <c r="AC106" s="245">
        <f t="shared" ref="AC106:AF107" si="510">AC23/AB23-1</f>
        <v>-0.77292576419213976</v>
      </c>
      <c r="AD106" s="245">
        <f t="shared" si="510"/>
        <v>9.6153846153845812E-3</v>
      </c>
      <c r="AE106" s="245">
        <f t="shared" si="510"/>
        <v>-9.52380952380949E-3</v>
      </c>
      <c r="AF106" s="245">
        <f t="shared" si="510"/>
        <v>2.5</v>
      </c>
      <c r="AG106" s="244"/>
      <c r="AH106" s="245">
        <f t="shared" ref="AH106:AK107" si="511">AH23/AG23-1</f>
        <v>0</v>
      </c>
      <c r="AI106" s="245">
        <f t="shared" si="511"/>
        <v>-2.7472527472527375E-3</v>
      </c>
      <c r="AJ106" s="245">
        <f t="shared" si="511"/>
        <v>-5.5096418732781816E-3</v>
      </c>
      <c r="AK106" s="245">
        <f t="shared" si="511"/>
        <v>-1.1080332409972304E-2</v>
      </c>
      <c r="AL106" s="244"/>
      <c r="AM106" s="245">
        <f t="shared" ref="AM106:AP107" si="512">AM23/AL23-1</f>
        <v>-5.6022408963585235E-3</v>
      </c>
      <c r="AN106" s="245">
        <f t="shared" si="512"/>
        <v>-8.4507042253521014E-3</v>
      </c>
      <c r="AO106" s="245">
        <f t="shared" si="512"/>
        <v>-2.8409090909090606E-3</v>
      </c>
      <c r="AP106" s="245">
        <f t="shared" si="512"/>
        <v>-1.139601139601143E-2</v>
      </c>
      <c r="AQ106" s="244"/>
      <c r="AR106" s="245">
        <f t="shared" ref="AR106:AU107" si="513">AR23/AQ23-1</f>
        <v>-8.6455331412104153E-3</v>
      </c>
      <c r="AS106" s="245">
        <f t="shared" si="513"/>
        <v>-1.1627906976744207E-2</v>
      </c>
      <c r="AT106" s="245">
        <f t="shared" si="513"/>
        <v>-8.8235294117646745E-3</v>
      </c>
      <c r="AU106" s="245">
        <f t="shared" si="513"/>
        <v>-2.0771513353115778E-2</v>
      </c>
      <c r="AV106" s="246"/>
      <c r="AW106" s="246">
        <f t="shared" ref="AW106:AZ107" si="514">AW23/AV23-1</f>
        <v>-9.0909090909090384E-3</v>
      </c>
      <c r="AX106" s="245">
        <f t="shared" si="514"/>
        <v>4.2813455657492394E-2</v>
      </c>
      <c r="AY106" s="245">
        <f t="shared" si="514"/>
        <v>-8.7976539589442737E-3</v>
      </c>
      <c r="AZ106" s="245">
        <f t="shared" si="514"/>
        <v>2.6627218934911268E-2</v>
      </c>
      <c r="BA106" s="244"/>
      <c r="BB106" s="246">
        <f t="shared" ref="BB106:BE108" si="515">BB23/BA23-1</f>
        <v>-1.1527377521613813E-2</v>
      </c>
      <c r="BC106" s="245">
        <f t="shared" si="515"/>
        <v>-8.7463556851311575E-3</v>
      </c>
      <c r="BD106" s="245">
        <f t="shared" si="515"/>
        <v>-1.1764705882352899E-2</v>
      </c>
      <c r="BE106" s="245">
        <f t="shared" si="515"/>
        <v>-8.9285714285713969E-3</v>
      </c>
      <c r="BF106" s="244"/>
      <c r="BG106" s="246">
        <f t="shared" ref="BG106:BJ108" si="516">BG23/BF23-1</f>
        <v>-1.8018018018018056E-2</v>
      </c>
      <c r="BH106" s="245">
        <f t="shared" si="516"/>
        <v>3.0581039755350758E-3</v>
      </c>
      <c r="BI106" s="245">
        <f t="shared" si="516"/>
        <v>-1.8292682926829285E-2</v>
      </c>
      <c r="BJ106" s="245">
        <f t="shared" si="516"/>
        <v>4.0372670807453437E-2</v>
      </c>
      <c r="BK106" s="244"/>
      <c r="BL106" s="246">
        <f t="shared" ref="BL106:BO108" si="517">BL23/BK23-1</f>
        <v>-8.9552238805969964E-3</v>
      </c>
      <c r="BM106" s="245">
        <f t="shared" si="517"/>
        <v>2.7108433734939652E-2</v>
      </c>
      <c r="BN106" s="245">
        <f t="shared" si="517"/>
        <v>0.31085043988269789</v>
      </c>
      <c r="BO106" s="245">
        <f t="shared" si="517"/>
        <v>3.3557046979865834E-2</v>
      </c>
      <c r="BP106" s="244"/>
      <c r="BQ106" s="246">
        <f t="shared" ref="BQ106:BT108" si="518">BQ23/BP23-1</f>
        <v>-1.9480519480519431E-2</v>
      </c>
      <c r="BR106" s="245">
        <f t="shared" si="518"/>
        <v>-1.9867549668874163E-2</v>
      </c>
      <c r="BS106" s="245">
        <f t="shared" si="518"/>
        <v>-9.009009009009028E-3</v>
      </c>
      <c r="BT106" s="245">
        <f t="shared" si="518"/>
        <v>7.9545454545454586E-2</v>
      </c>
      <c r="BU106" s="244"/>
      <c r="BV106" s="246">
        <f t="shared" ref="BV106:BY108" si="519">BV23/BU23-1</f>
        <v>-0.14105263157894732</v>
      </c>
      <c r="BW106" s="245">
        <f t="shared" si="519"/>
        <v>-2.450980392156854E-3</v>
      </c>
      <c r="BX106" s="245">
        <f t="shared" si="519"/>
        <v>-0.29729729729729726</v>
      </c>
      <c r="BY106" s="245">
        <f t="shared" si="519"/>
        <v>4.5454545454545414E-2</v>
      </c>
      <c r="BZ106" s="244"/>
      <c r="CA106" s="246">
        <f t="shared" ref="CA106:CD108" si="520">CA23/BZ23-1</f>
        <v>1.7123745819397995</v>
      </c>
      <c r="CB106" s="245">
        <f t="shared" si="520"/>
        <v>-9.6177558569667032E-2</v>
      </c>
      <c r="CC106" s="245">
        <f t="shared" si="520"/>
        <v>-2.7285129604365577E-2</v>
      </c>
      <c r="CD106" s="245">
        <f t="shared" si="520"/>
        <v>-3.2258064516129004E-2</v>
      </c>
      <c r="CE106" s="244"/>
      <c r="CF106" s="246">
        <f t="shared" ref="CF106:CI108" si="521">CF23/CE23-1</f>
        <v>4.3478260869564966E-3</v>
      </c>
      <c r="CG106" s="245">
        <f t="shared" si="521"/>
        <v>3.463203463203457E-2</v>
      </c>
      <c r="CH106" s="245">
        <f t="shared" si="521"/>
        <v>-0.10181311018131101</v>
      </c>
      <c r="CI106" s="245">
        <f t="shared" si="521"/>
        <v>-9.3167701863353658E-3</v>
      </c>
      <c r="CJ106" s="244"/>
      <c r="CK106" s="246">
        <f t="shared" ref="CK106:CN108" si="522">CK23/CJ23-1</f>
        <v>-0.70062695924764884</v>
      </c>
      <c r="CL106" s="245">
        <f t="shared" si="522"/>
        <v>0</v>
      </c>
      <c r="CM106" s="245">
        <f t="shared" si="522"/>
        <v>0</v>
      </c>
      <c r="CN106" s="245">
        <f t="shared" si="522"/>
        <v>0</v>
      </c>
      <c r="CO106" s="244"/>
      <c r="CP106" s="880">
        <f t="shared" ref="CP106:CS108" si="523">CP23/CO23-1</f>
        <v>-0.1413612565445026</v>
      </c>
      <c r="CQ106" s="245">
        <f t="shared" si="523"/>
        <v>0</v>
      </c>
      <c r="CR106" s="245">
        <f t="shared" si="523"/>
        <v>0</v>
      </c>
      <c r="CS106" s="245">
        <f t="shared" si="523"/>
        <v>0</v>
      </c>
      <c r="CT106" s="244"/>
      <c r="CU106" s="246">
        <f t="shared" ref="CU106:CX108" si="524">CU23/CT23-1</f>
        <v>0</v>
      </c>
      <c r="CV106" s="245">
        <f t="shared" si="524"/>
        <v>-6.0975609756097615E-3</v>
      </c>
      <c r="CW106" s="245">
        <f t="shared" si="524"/>
        <v>-6.1349693251533388E-3</v>
      </c>
      <c r="CX106" s="245">
        <f t="shared" si="524"/>
        <v>-6.7901234567901203E-2</v>
      </c>
      <c r="CY106" s="244"/>
      <c r="CZ106" s="246">
        <f t="shared" ref="CZ106:DC108" si="525">CZ23/CY23-1</f>
        <v>-6.6225165562914245E-3</v>
      </c>
      <c r="DA106" s="245">
        <f t="shared" si="525"/>
        <v>-2.0000000000000018E-2</v>
      </c>
      <c r="DB106" s="245">
        <f t="shared" si="525"/>
        <v>-0.21088435374149661</v>
      </c>
      <c r="DC106" s="245">
        <f t="shared" si="525"/>
        <v>-5.1724137931034475E-2</v>
      </c>
      <c r="DD106" s="244"/>
      <c r="DE106" s="247">
        <f>DE23/DD23-1</f>
        <v>0</v>
      </c>
      <c r="DF106" s="248">
        <f t="shared" ref="DF106" si="526">DF23/DE23-1</f>
        <v>0</v>
      </c>
      <c r="DG106" s="248">
        <f t="shared" ref="DG106" si="527">DG23/DF23-1</f>
        <v>0</v>
      </c>
      <c r="DH106" s="248">
        <f t="shared" ref="DH106" si="528">DH23/DG23-1</f>
        <v>0</v>
      </c>
      <c r="DI106" s="249"/>
      <c r="DJ106" s="247">
        <f t="shared" ref="DJ106:DM108" si="529">DJ23/DI23-1</f>
        <v>0</v>
      </c>
      <c r="DK106" s="248">
        <f t="shared" si="529"/>
        <v>0</v>
      </c>
      <c r="DL106" s="248">
        <f t="shared" si="529"/>
        <v>0</v>
      </c>
      <c r="DM106" s="248">
        <f t="shared" si="529"/>
        <v>0</v>
      </c>
      <c r="DN106" s="249"/>
      <c r="DO106" s="247">
        <f t="shared" ref="DO106:DR108" si="530">DO23/DN23-1</f>
        <v>0</v>
      </c>
      <c r="DP106" s="248">
        <f t="shared" si="530"/>
        <v>0</v>
      </c>
      <c r="DQ106" s="248">
        <f t="shared" si="530"/>
        <v>0</v>
      </c>
      <c r="DR106" s="248">
        <f t="shared" si="530"/>
        <v>0</v>
      </c>
      <c r="DS106" s="249"/>
      <c r="DT106" s="247">
        <f t="shared" ref="DT106" si="531">DT23/DS23-1</f>
        <v>0</v>
      </c>
      <c r="DU106" s="248">
        <f t="shared" ref="DU106" si="532">DU23/DT23-1</f>
        <v>0</v>
      </c>
      <c r="DV106" s="248">
        <f t="shared" ref="DV106" si="533">DV23/DU23-1</f>
        <v>0</v>
      </c>
      <c r="DW106" s="248">
        <f t="shared" ref="DW106" si="534">DW23/DV23-1</f>
        <v>0</v>
      </c>
      <c r="DX106" s="249"/>
      <c r="DY106" s="247">
        <f t="shared" ref="DY106" si="535">DY23/DX23-1</f>
        <v>0</v>
      </c>
      <c r="DZ106" s="248">
        <f t="shared" ref="DZ106" si="536">DZ23/DY23-1</f>
        <v>0</v>
      </c>
      <c r="EA106" s="248">
        <f t="shared" ref="EA106" si="537">EA23/DZ23-1</f>
        <v>0</v>
      </c>
      <c r="EB106" s="248">
        <f t="shared" ref="EB106" si="538">EB23/EA23-1</f>
        <v>0</v>
      </c>
      <c r="EC106" s="249"/>
      <c r="EF106"/>
      <c r="EG106"/>
      <c r="EH106"/>
      <c r="EI106"/>
      <c r="EJ106"/>
      <c r="EK106"/>
      <c r="EL106"/>
      <c r="EM106"/>
      <c r="EN106"/>
      <c r="EO106"/>
      <c r="EP106"/>
      <c r="EQ106"/>
      <c r="ER106"/>
      <c r="ES106"/>
      <c r="ET106"/>
      <c r="EU106"/>
      <c r="EV106"/>
      <c r="EW106"/>
      <c r="EX106"/>
      <c r="EY106"/>
      <c r="EZ106"/>
      <c r="FA106"/>
    </row>
    <row r="107" spans="1:157" s="172" customFormat="1" x14ac:dyDescent="0.2">
      <c r="A107" s="596" t="s">
        <v>168</v>
      </c>
      <c r="B107" s="102"/>
      <c r="C107" s="102"/>
      <c r="D107" s="102"/>
      <c r="E107" s="102"/>
      <c r="F107" s="102"/>
      <c r="G107" s="102"/>
      <c r="H107" s="181"/>
      <c r="I107" s="245"/>
      <c r="J107" s="245"/>
      <c r="K107" s="245"/>
      <c r="L107" s="245"/>
      <c r="M107" s="244"/>
      <c r="N107" s="245"/>
      <c r="O107" s="245"/>
      <c r="P107" s="245"/>
      <c r="Q107" s="245"/>
      <c r="R107" s="244"/>
      <c r="S107" s="245"/>
      <c r="T107" s="245"/>
      <c r="U107" s="245"/>
      <c r="V107" s="245"/>
      <c r="W107" s="244"/>
      <c r="X107" s="245">
        <f t="shared" si="509"/>
        <v>-3.5019455252918275E-2</v>
      </c>
      <c r="Y107" s="245">
        <f t="shared" si="509"/>
        <v>-8.8709677419354871E-2</v>
      </c>
      <c r="Z107" s="245">
        <f t="shared" si="509"/>
        <v>-8.8495575221239076E-3</v>
      </c>
      <c r="AA107" s="245">
        <f t="shared" si="509"/>
        <v>-4.9107142857142905E-2</v>
      </c>
      <c r="AB107" s="244"/>
      <c r="AC107" s="245">
        <f t="shared" si="510"/>
        <v>-9.3896713615023719E-3</v>
      </c>
      <c r="AD107" s="245">
        <f t="shared" si="510"/>
        <v>9.4786729857820884E-3</v>
      </c>
      <c r="AE107" s="245">
        <f t="shared" si="510"/>
        <v>2.8169014084507005E-2</v>
      </c>
      <c r="AF107" s="245">
        <f t="shared" si="510"/>
        <v>4.5662100456621113E-2</v>
      </c>
      <c r="AG107" s="244"/>
      <c r="AH107" s="245">
        <f t="shared" si="511"/>
        <v>1.7467248908296984E-2</v>
      </c>
      <c r="AI107" s="245">
        <f t="shared" si="511"/>
        <v>-2.5751072961373356E-2</v>
      </c>
      <c r="AJ107" s="245">
        <f t="shared" si="511"/>
        <v>8.8105726872247381E-3</v>
      </c>
      <c r="AK107" s="245">
        <f t="shared" si="511"/>
        <v>-0.19650655021834063</v>
      </c>
      <c r="AL107" s="244"/>
      <c r="AM107" s="245">
        <f t="shared" si="512"/>
        <v>0.10869565217391308</v>
      </c>
      <c r="AN107" s="245">
        <f t="shared" si="512"/>
        <v>-0.12745098039215685</v>
      </c>
      <c r="AO107" s="245">
        <f t="shared" si="512"/>
        <v>6.1797752808988804E-2</v>
      </c>
      <c r="AP107" s="245">
        <f t="shared" si="512"/>
        <v>2.6455026455026509E-2</v>
      </c>
      <c r="AQ107" s="244"/>
      <c r="AR107" s="245">
        <f t="shared" si="513"/>
        <v>7.2164948453608213E-2</v>
      </c>
      <c r="AS107" s="245">
        <f t="shared" si="513"/>
        <v>-0.13942307692307687</v>
      </c>
      <c r="AT107" s="245">
        <f t="shared" si="513"/>
        <v>6.1452513966480549E-2</v>
      </c>
      <c r="AU107" s="245">
        <f t="shared" si="513"/>
        <v>-8.9473684210526261E-2</v>
      </c>
      <c r="AV107" s="246"/>
      <c r="AW107" s="246">
        <f t="shared" si="514"/>
        <v>-9.2485549132947931E-2</v>
      </c>
      <c r="AX107" s="245">
        <f t="shared" si="514"/>
        <v>0.10191082802547768</v>
      </c>
      <c r="AY107" s="245">
        <f t="shared" si="514"/>
        <v>9.8265895953757232E-2</v>
      </c>
      <c r="AZ107" s="245">
        <f t="shared" si="514"/>
        <v>-0.27368421052631575</v>
      </c>
      <c r="BA107" s="244"/>
      <c r="BB107" s="246">
        <f t="shared" si="515"/>
        <v>-0.21739130434782605</v>
      </c>
      <c r="BC107" s="245">
        <f t="shared" si="515"/>
        <v>9.259259259259256E-2</v>
      </c>
      <c r="BD107" s="245">
        <f t="shared" si="515"/>
        <v>0.18644067796610164</v>
      </c>
      <c r="BE107" s="245">
        <f t="shared" si="515"/>
        <v>9.2857142857142749E-2</v>
      </c>
      <c r="BF107" s="244"/>
      <c r="BG107" s="246">
        <f t="shared" si="516"/>
        <v>-0.78431372549019607</v>
      </c>
      <c r="BH107" s="245">
        <f t="shared" si="516"/>
        <v>0.30303030303030298</v>
      </c>
      <c r="BI107" s="245">
        <f t="shared" si="516"/>
        <v>0.32558139534883712</v>
      </c>
      <c r="BJ107" s="245">
        <f t="shared" si="516"/>
        <v>0.14035087719298245</v>
      </c>
      <c r="BK107" s="244"/>
      <c r="BL107" s="246">
        <f t="shared" si="517"/>
        <v>-0.50769230769230766</v>
      </c>
      <c r="BM107" s="245">
        <f t="shared" si="517"/>
        <v>-0.28125</v>
      </c>
      <c r="BN107" s="245">
        <f t="shared" si="517"/>
        <v>3.2608695652173916</v>
      </c>
      <c r="BO107" s="245">
        <f t="shared" si="517"/>
        <v>0.46938775510204089</v>
      </c>
      <c r="BP107" s="244"/>
      <c r="BQ107" s="246">
        <f t="shared" si="518"/>
        <v>-0.13888888888888884</v>
      </c>
      <c r="BR107" s="245">
        <f t="shared" si="518"/>
        <v>6.4516129032258007E-2</v>
      </c>
      <c r="BS107" s="245">
        <f t="shared" si="518"/>
        <v>9.8484848484848397E-2</v>
      </c>
      <c r="BT107" s="245">
        <f t="shared" si="518"/>
        <v>6.2068965517241281E-2</v>
      </c>
      <c r="BU107" s="244"/>
      <c r="BV107" s="246">
        <f t="shared" si="519"/>
        <v>-0.12337662337662336</v>
      </c>
      <c r="BW107" s="245">
        <f t="shared" si="519"/>
        <v>5.9259259259259345E-2</v>
      </c>
      <c r="BX107" s="245">
        <f t="shared" si="519"/>
        <v>0.10489510489510478</v>
      </c>
      <c r="BY107" s="245">
        <f t="shared" si="519"/>
        <v>5.6962025316455778E-2</v>
      </c>
      <c r="BZ107" s="244"/>
      <c r="CA107" s="246">
        <f t="shared" si="520"/>
        <v>-0.80239520958083832</v>
      </c>
      <c r="CB107" s="245">
        <f t="shared" si="520"/>
        <v>0.27272727272727271</v>
      </c>
      <c r="CC107" s="245">
        <f t="shared" si="520"/>
        <v>0.38095238095238093</v>
      </c>
      <c r="CD107" s="245">
        <f t="shared" si="520"/>
        <v>0.24137931034482762</v>
      </c>
      <c r="CE107" s="244"/>
      <c r="CF107" s="246">
        <f t="shared" si="521"/>
        <v>-0.56944444444444442</v>
      </c>
      <c r="CG107" s="245">
        <f t="shared" si="521"/>
        <v>-6.4516129032258118E-2</v>
      </c>
      <c r="CH107" s="245">
        <f t="shared" si="521"/>
        <v>0.44827586206896552</v>
      </c>
      <c r="CI107" s="245">
        <f t="shared" si="521"/>
        <v>0.26190476190476186</v>
      </c>
      <c r="CJ107" s="244"/>
      <c r="CK107" s="246">
        <f t="shared" si="522"/>
        <v>-1</v>
      </c>
      <c r="CL107" s="245"/>
      <c r="CM107" s="245"/>
      <c r="CN107" s="245"/>
      <c r="CO107" s="244"/>
      <c r="CP107" s="880"/>
      <c r="CQ107" s="245"/>
      <c r="CR107" s="245"/>
      <c r="CS107" s="245"/>
      <c r="CT107" s="244"/>
      <c r="CU107" s="246"/>
      <c r="CV107" s="245"/>
      <c r="CW107" s="245"/>
      <c r="CX107" s="245"/>
      <c r="CY107" s="244"/>
      <c r="CZ107" s="246"/>
      <c r="DA107" s="245"/>
      <c r="DB107" s="245"/>
      <c r="DC107" s="245"/>
      <c r="DD107" s="244"/>
      <c r="DE107" s="247"/>
      <c r="DF107" s="248"/>
      <c r="DG107" s="248"/>
      <c r="DH107" s="248"/>
      <c r="DI107" s="249"/>
      <c r="DJ107" s="247"/>
      <c r="DK107" s="248"/>
      <c r="DL107" s="248"/>
      <c r="DM107" s="248"/>
      <c r="DN107" s="249"/>
      <c r="DO107" s="247"/>
      <c r="DP107" s="248"/>
      <c r="DQ107" s="248"/>
      <c r="DR107" s="248"/>
      <c r="DS107" s="249"/>
      <c r="DT107" s="247"/>
      <c r="DU107" s="248"/>
      <c r="DV107" s="248"/>
      <c r="DW107" s="248"/>
      <c r="DX107" s="249"/>
      <c r="DY107" s="247"/>
      <c r="DZ107" s="248"/>
      <c r="EA107" s="248"/>
      <c r="EB107" s="248"/>
      <c r="EC107" s="249"/>
      <c r="EF107"/>
      <c r="EG107"/>
      <c r="EH107"/>
      <c r="EI107"/>
      <c r="EJ107"/>
      <c r="EK107"/>
      <c r="EL107"/>
      <c r="EM107"/>
      <c r="EN107"/>
      <c r="EO107"/>
      <c r="EP107"/>
      <c r="EQ107"/>
      <c r="ER107"/>
      <c r="ES107"/>
      <c r="ET107"/>
      <c r="EU107"/>
      <c r="EV107"/>
      <c r="EW107"/>
      <c r="EX107"/>
      <c r="EY107"/>
      <c r="EZ107"/>
      <c r="FA107"/>
    </row>
    <row r="108" spans="1:157" s="172" customFormat="1" x14ac:dyDescent="0.2">
      <c r="A108" s="596" t="s">
        <v>431</v>
      </c>
      <c r="B108" s="102"/>
      <c r="C108" s="102"/>
      <c r="D108" s="102"/>
      <c r="E108" s="102"/>
      <c r="F108" s="102"/>
      <c r="G108" s="102"/>
      <c r="H108" s="181"/>
      <c r="I108" s="245"/>
      <c r="J108" s="245"/>
      <c r="K108" s="245"/>
      <c r="L108" s="245"/>
      <c r="M108" s="244"/>
      <c r="N108" s="245"/>
      <c r="O108" s="245"/>
      <c r="P108" s="245"/>
      <c r="Q108" s="245"/>
      <c r="R108" s="244"/>
      <c r="S108" s="245"/>
      <c r="T108" s="245"/>
      <c r="U108" s="245"/>
      <c r="V108" s="245"/>
      <c r="W108" s="244"/>
      <c r="X108" s="245"/>
      <c r="Y108" s="245"/>
      <c r="Z108" s="245"/>
      <c r="AA108" s="245"/>
      <c r="AB108" s="244"/>
      <c r="AC108" s="245"/>
      <c r="AD108" s="245"/>
      <c r="AE108" s="245"/>
      <c r="AF108" s="245"/>
      <c r="AG108" s="244"/>
      <c r="AH108" s="245"/>
      <c r="AI108" s="245"/>
      <c r="AJ108" s="245"/>
      <c r="AK108" s="245"/>
      <c r="AL108" s="244"/>
      <c r="AM108" s="245"/>
      <c r="AN108" s="245"/>
      <c r="AO108" s="245"/>
      <c r="AP108" s="245"/>
      <c r="AQ108" s="244"/>
      <c r="AR108" s="245"/>
      <c r="AS108" s="245"/>
      <c r="AT108" s="245"/>
      <c r="AU108" s="245"/>
      <c r="AV108" s="246"/>
      <c r="AW108" s="246"/>
      <c r="AX108" s="245"/>
      <c r="AY108" s="245"/>
      <c r="AZ108" s="245"/>
      <c r="BA108" s="244"/>
      <c r="BB108" s="246">
        <f t="shared" si="515"/>
        <v>-0.15542521994134895</v>
      </c>
      <c r="BC108" s="245">
        <f t="shared" si="515"/>
        <v>-7.986111111111116E-2</v>
      </c>
      <c r="BD108" s="245">
        <f t="shared" si="515"/>
        <v>0.46415094339622631</v>
      </c>
      <c r="BE108" s="245">
        <f t="shared" si="515"/>
        <v>-0.25257731958762886</v>
      </c>
      <c r="BF108" s="244"/>
      <c r="BG108" s="246">
        <f t="shared" si="516"/>
        <v>6.2068965517241281E-2</v>
      </c>
      <c r="BH108" s="245">
        <f t="shared" si="516"/>
        <v>-6.4935064935064957E-2</v>
      </c>
      <c r="BI108" s="245">
        <f t="shared" si="516"/>
        <v>-0.33680555555555558</v>
      </c>
      <c r="BJ108" s="245">
        <f t="shared" si="516"/>
        <v>0.73298429319371738</v>
      </c>
      <c r="BK108" s="244"/>
      <c r="BL108" s="246">
        <f t="shared" si="517"/>
        <v>-9.9697885196374569E-2</v>
      </c>
      <c r="BM108" s="245">
        <f t="shared" si="517"/>
        <v>0.14093959731543615</v>
      </c>
      <c r="BN108" s="245">
        <f t="shared" si="517"/>
        <v>-0.14411764705882357</v>
      </c>
      <c r="BO108" s="245">
        <f t="shared" si="517"/>
        <v>-0.13745704467353947</v>
      </c>
      <c r="BP108" s="244"/>
      <c r="BQ108" s="246">
        <f t="shared" si="518"/>
        <v>-7.569721115537853E-2</v>
      </c>
      <c r="BR108" s="245">
        <f t="shared" si="518"/>
        <v>0.15948275862068972</v>
      </c>
      <c r="BS108" s="245">
        <f t="shared" si="518"/>
        <v>0.22304832713754652</v>
      </c>
      <c r="BT108" s="245">
        <f t="shared" si="518"/>
        <v>0.11246200607902734</v>
      </c>
      <c r="BU108" s="244"/>
      <c r="BV108" s="246">
        <f t="shared" si="519"/>
        <v>0.14480874316939896</v>
      </c>
      <c r="BW108" s="245">
        <f t="shared" si="519"/>
        <v>4.7732696897375693E-3</v>
      </c>
      <c r="BX108" s="245">
        <f t="shared" si="519"/>
        <v>7.1258907363420665E-3</v>
      </c>
      <c r="BY108" s="245">
        <f t="shared" si="519"/>
        <v>0.29481132075471694</v>
      </c>
      <c r="BZ108" s="244"/>
      <c r="CA108" s="246">
        <f t="shared" si="520"/>
        <v>-1.6393442622950838E-2</v>
      </c>
      <c r="CB108" s="245">
        <f t="shared" si="520"/>
        <v>1.2962962962963065E-2</v>
      </c>
      <c r="CC108" s="245">
        <f t="shared" si="520"/>
        <v>-0.13893967093235837</v>
      </c>
      <c r="CD108" s="245">
        <f t="shared" si="520"/>
        <v>2.1231422505307851E-2</v>
      </c>
      <c r="CE108" s="244"/>
      <c r="CF108" s="246">
        <f t="shared" si="521"/>
        <v>0.18711018711018701</v>
      </c>
      <c r="CG108" s="245">
        <f t="shared" si="521"/>
        <v>0</v>
      </c>
      <c r="CH108" s="245">
        <f t="shared" si="521"/>
        <v>-7.0052539404553693E-3</v>
      </c>
      <c r="CI108" s="245">
        <f t="shared" si="521"/>
        <v>-0.29629629629629628</v>
      </c>
      <c r="CJ108" s="244"/>
      <c r="CK108" s="246">
        <f t="shared" si="522"/>
        <v>7.7694235588972482E-2</v>
      </c>
      <c r="CL108" s="245">
        <f t="shared" si="522"/>
        <v>0</v>
      </c>
      <c r="CM108" s="245">
        <f t="shared" si="522"/>
        <v>0</v>
      </c>
      <c r="CN108" s="245">
        <f t="shared" si="522"/>
        <v>0</v>
      </c>
      <c r="CO108" s="244"/>
      <c r="CP108" s="880">
        <f t="shared" si="523"/>
        <v>-2.7906976744186074E-2</v>
      </c>
      <c r="CQ108" s="245">
        <f t="shared" si="523"/>
        <v>0</v>
      </c>
      <c r="CR108" s="245">
        <f t="shared" si="523"/>
        <v>0</v>
      </c>
      <c r="CS108" s="245">
        <f t="shared" si="523"/>
        <v>0</v>
      </c>
      <c r="CT108" s="244"/>
      <c r="CU108" s="246">
        <f t="shared" si="524"/>
        <v>0.33971291866028719</v>
      </c>
      <c r="CV108" s="245">
        <f t="shared" si="524"/>
        <v>3.5714285714285809E-2</v>
      </c>
      <c r="CW108" s="245">
        <f t="shared" si="524"/>
        <v>0.28965517241379302</v>
      </c>
      <c r="CX108" s="245">
        <f t="shared" si="524"/>
        <v>3.475935828876997E-2</v>
      </c>
      <c r="CY108" s="244"/>
      <c r="CZ108" s="246">
        <f t="shared" si="525"/>
        <v>-2.4547803617571029E-2</v>
      </c>
      <c r="DA108" s="245">
        <f t="shared" si="525"/>
        <v>1.059602649006619E-2</v>
      </c>
      <c r="DB108" s="245">
        <f t="shared" si="525"/>
        <v>-0.14941022280471816</v>
      </c>
      <c r="DC108" s="245">
        <f t="shared" si="525"/>
        <v>-0.78582434514637911</v>
      </c>
      <c r="DD108" s="244"/>
      <c r="DE108" s="247">
        <f>DE25/DD25-1</f>
        <v>0</v>
      </c>
      <c r="DF108" s="248">
        <f t="shared" ref="DF108" si="539">DF25/DE25-1</f>
        <v>0</v>
      </c>
      <c r="DG108" s="248">
        <f t="shared" ref="DG108" si="540">DG25/DF25-1</f>
        <v>0</v>
      </c>
      <c r="DH108" s="248">
        <f t="shared" ref="DH108" si="541">DH25/DG25-1</f>
        <v>0</v>
      </c>
      <c r="DI108" s="249"/>
      <c r="DJ108" s="247">
        <f t="shared" si="529"/>
        <v>0</v>
      </c>
      <c r="DK108" s="248">
        <f t="shared" si="529"/>
        <v>0</v>
      </c>
      <c r="DL108" s="248">
        <f t="shared" si="529"/>
        <v>0</v>
      </c>
      <c r="DM108" s="248">
        <f t="shared" si="529"/>
        <v>0</v>
      </c>
      <c r="DN108" s="249"/>
      <c r="DO108" s="247">
        <f t="shared" si="530"/>
        <v>0</v>
      </c>
      <c r="DP108" s="248">
        <f t="shared" si="530"/>
        <v>0</v>
      </c>
      <c r="DQ108" s="248">
        <f t="shared" si="530"/>
        <v>0</v>
      </c>
      <c r="DR108" s="248">
        <f t="shared" si="530"/>
        <v>0</v>
      </c>
      <c r="DS108" s="249"/>
      <c r="DT108" s="247">
        <f t="shared" ref="DT108" si="542">DT25/DS25-1</f>
        <v>0</v>
      </c>
      <c r="DU108" s="248">
        <f t="shared" ref="DU108" si="543">DU25/DT25-1</f>
        <v>0</v>
      </c>
      <c r="DV108" s="248">
        <f t="shared" ref="DV108" si="544">DV25/DU25-1</f>
        <v>0</v>
      </c>
      <c r="DW108" s="248">
        <f t="shared" ref="DW108" si="545">DW25/DV25-1</f>
        <v>0</v>
      </c>
      <c r="DX108" s="249"/>
      <c r="DY108" s="247">
        <f t="shared" ref="DY108" si="546">DY25/DX25-1</f>
        <v>0</v>
      </c>
      <c r="DZ108" s="248">
        <f t="shared" ref="DZ108" si="547">DZ25/DY25-1</f>
        <v>0</v>
      </c>
      <c r="EA108" s="248">
        <f t="shared" ref="EA108" si="548">EA25/DZ25-1</f>
        <v>0</v>
      </c>
      <c r="EB108" s="248">
        <f t="shared" ref="EB108" si="549">EB25/EA25-1</f>
        <v>0</v>
      </c>
      <c r="EC108" s="249"/>
      <c r="EF108"/>
      <c r="EG108"/>
      <c r="EH108"/>
      <c r="EI108"/>
      <c r="EJ108"/>
      <c r="EK108"/>
      <c r="EL108"/>
      <c r="EM108"/>
      <c r="EN108"/>
      <c r="EO108"/>
      <c r="EP108"/>
      <c r="EQ108"/>
      <c r="ER108"/>
      <c r="ES108"/>
      <c r="ET108"/>
      <c r="EU108"/>
      <c r="EV108"/>
      <c r="EW108"/>
      <c r="EX108"/>
      <c r="EY108"/>
      <c r="EZ108"/>
      <c r="FA108"/>
    </row>
    <row r="109" spans="1:157" s="172" customFormat="1" x14ac:dyDescent="0.2">
      <c r="A109" s="596" t="s">
        <v>169</v>
      </c>
      <c r="B109" s="102"/>
      <c r="C109" s="102"/>
      <c r="D109" s="102"/>
      <c r="E109" s="102"/>
      <c r="F109" s="102"/>
      <c r="G109" s="102"/>
      <c r="H109" s="181"/>
      <c r="I109" s="245"/>
      <c r="J109" s="245"/>
      <c r="K109" s="245"/>
      <c r="L109" s="245"/>
      <c r="M109" s="244"/>
      <c r="N109" s="245"/>
      <c r="O109" s="245"/>
      <c r="P109" s="245"/>
      <c r="Q109" s="245"/>
      <c r="R109" s="244"/>
      <c r="S109" s="245"/>
      <c r="T109" s="245"/>
      <c r="U109" s="245"/>
      <c r="V109" s="245"/>
      <c r="W109" s="244"/>
      <c r="X109" s="245">
        <f>X27/W27-1</f>
        <v>0.30612244897959173</v>
      </c>
      <c r="Y109" s="245">
        <f>Y27/X27-1</f>
        <v>1.5625E-2</v>
      </c>
      <c r="Z109" s="245">
        <f>Z27/Y27-1</f>
        <v>9.2307692307691536E-3</v>
      </c>
      <c r="AA109" s="245">
        <f>AA27/Z27-1</f>
        <v>0.19817073170731714</v>
      </c>
      <c r="AB109" s="244"/>
      <c r="AC109" s="245">
        <f>AC27/AB27-1</f>
        <v>0.18320610687022909</v>
      </c>
      <c r="AD109" s="245">
        <f>AD27/AC27-1</f>
        <v>1.1569892473118282</v>
      </c>
      <c r="AE109" s="245">
        <f>AE27/AD27-1</f>
        <v>-9.9700897308075964E-3</v>
      </c>
      <c r="AF109" s="245">
        <f>AF27/AE27-1</f>
        <v>-0.44108761329305135</v>
      </c>
      <c r="AG109" s="244"/>
      <c r="AH109" s="245">
        <f>AH27/AG27-1</f>
        <v>5.0450450450450379E-2</v>
      </c>
      <c r="AI109" s="245">
        <f>AI27/AH27-1</f>
        <v>6.1749571183533414E-2</v>
      </c>
      <c r="AJ109" s="245">
        <f>AJ27/AI27-1</f>
        <v>-0.1211631663974152</v>
      </c>
      <c r="AK109" s="245">
        <f>AK27/AJ27-1</f>
        <v>-0.13235294117647056</v>
      </c>
      <c r="AL109" s="244"/>
      <c r="AM109" s="245">
        <f>AM27/AL27-1</f>
        <v>8.2627118644067687E-2</v>
      </c>
      <c r="AN109" s="245">
        <f>AN27/AM27-1</f>
        <v>-0.1095890410958904</v>
      </c>
      <c r="AO109" s="245">
        <f>AO27/AN27-1</f>
        <v>1.538461538461533E-2</v>
      </c>
      <c r="AP109" s="245">
        <f>AP27/AO27-1</f>
        <v>-9.9567099567099526E-2</v>
      </c>
      <c r="AQ109" s="244"/>
      <c r="AR109" s="245">
        <f>AR27/AQ27-1</f>
        <v>-2.4038461538461453E-3</v>
      </c>
      <c r="AS109" s="245">
        <f>AS27/AR27-1</f>
        <v>4.5783132530120563E-2</v>
      </c>
      <c r="AT109" s="245">
        <f>AT27/AS27-1</f>
        <v>6.4516129032258007E-2</v>
      </c>
      <c r="AU109" s="245">
        <f>AU27/AT27-1</f>
        <v>4.3290043290042934E-3</v>
      </c>
      <c r="AV109" s="246"/>
      <c r="AW109" s="246">
        <f>AW27/AV27-1</f>
        <v>8.8362068965517349E-2</v>
      </c>
      <c r="AX109" s="245">
        <f>AX27/AW27-1</f>
        <v>3.9603960396039639E-3</v>
      </c>
      <c r="AY109" s="245">
        <f>AY27/AX27-1</f>
        <v>1.5779092702169706E-2</v>
      </c>
      <c r="AZ109" s="245">
        <f>AZ27/AY27-1</f>
        <v>-0.29514563106796121</v>
      </c>
      <c r="BA109" s="244"/>
      <c r="BB109" s="246">
        <f>BB27/BA27-1</f>
        <v>1.6528925619834656E-2</v>
      </c>
      <c r="BC109" s="245">
        <f>BC27/BB27-1</f>
        <v>7.046070460704601E-2</v>
      </c>
      <c r="BD109" s="245">
        <f>BD27/BC27-1</f>
        <v>-0.2556962025316456</v>
      </c>
      <c r="BE109" s="245">
        <f>BE27/BD27-1</f>
        <v>0.57823129251700678</v>
      </c>
      <c r="BF109" s="244"/>
      <c r="BG109" s="246">
        <f>BG27/BF27-1</f>
        <v>2.8017241379310276E-2</v>
      </c>
      <c r="BH109" s="245">
        <f>BH27/BG27-1</f>
        <v>-1.2578616352201255E-2</v>
      </c>
      <c r="BI109" s="245">
        <f>BI27/BH27-1</f>
        <v>0.21443736730360929</v>
      </c>
      <c r="BJ109" s="245">
        <f>BJ27/BI27-1</f>
        <v>-1.9230769230769273E-2</v>
      </c>
      <c r="BK109" s="244"/>
      <c r="BL109" s="246">
        <f>BL27/BK27-1</f>
        <v>-5.3475935828877219E-3</v>
      </c>
      <c r="BM109" s="245">
        <f>BM27/BL27-1</f>
        <v>4.3010752688172005E-2</v>
      </c>
      <c r="BN109" s="245">
        <f>BN27/BM27-1</f>
        <v>-5.6701030927835072E-2</v>
      </c>
      <c r="BO109" s="245">
        <f>BO27/BN27-1</f>
        <v>-9.1074681238615396E-3</v>
      </c>
      <c r="BP109" s="244"/>
      <c r="BQ109" s="246">
        <f>BQ27/BP27-1</f>
        <v>-9.1911764705882026E-3</v>
      </c>
      <c r="BR109" s="245">
        <f>BR27/BQ27-1</f>
        <v>-1.8552875695732829E-2</v>
      </c>
      <c r="BS109" s="245">
        <f>BS27/BR27-1</f>
        <v>0</v>
      </c>
      <c r="BT109" s="245">
        <f>BT27/BS27-1</f>
        <v>-1.8903591682419618E-2</v>
      </c>
      <c r="BU109" s="244"/>
      <c r="BV109" s="246">
        <f>BV27/BU27-1</f>
        <v>-2.3121387283236983E-2</v>
      </c>
      <c r="BW109" s="245">
        <f>BW27/BV27-1</f>
        <v>1.7751479289940919E-2</v>
      </c>
      <c r="BX109" s="245">
        <f>BX27/BW27-1</f>
        <v>-5.8139534883720922E-2</v>
      </c>
      <c r="BY109" s="245">
        <f>BY27/BX27-1</f>
        <v>-2.2633744855967031E-2</v>
      </c>
      <c r="BZ109" s="244"/>
      <c r="CA109" s="246">
        <f>CA27/BZ27-1</f>
        <v>0.11789473684210527</v>
      </c>
      <c r="CB109" s="245">
        <f>CB27/CA27-1</f>
        <v>-3.5781544256120568E-2</v>
      </c>
      <c r="CC109" s="245">
        <f>CC27/CB27-1</f>
        <v>3.125E-2</v>
      </c>
      <c r="CD109" s="245">
        <f>CD27/CC27-1</f>
        <v>8.9015151515151603E-2</v>
      </c>
      <c r="CE109" s="244"/>
      <c r="CF109" s="246">
        <f>CF27/CE27-1</f>
        <v>-0.18608695652173912</v>
      </c>
      <c r="CG109" s="245">
        <f>CG27/CF27-1</f>
        <v>2.564102564102555E-2</v>
      </c>
      <c r="CH109" s="245">
        <f>CH27/CG27-1</f>
        <v>5.8333333333333348E-2</v>
      </c>
      <c r="CI109" s="245">
        <f>CI27/CH27-1</f>
        <v>0.11417322834645671</v>
      </c>
      <c r="CJ109" s="244"/>
      <c r="CK109" s="246">
        <f>CK27/CJ27-1</f>
        <v>-0.36219081272084808</v>
      </c>
      <c r="CL109" s="245">
        <f>CL27/CK27-1</f>
        <v>0</v>
      </c>
      <c r="CM109" s="245">
        <f>CM27/CL27-1</f>
        <v>0</v>
      </c>
      <c r="CN109" s="245">
        <f>CN27/CM27-1</f>
        <v>0</v>
      </c>
      <c r="CO109" s="244"/>
      <c r="CP109" s="880">
        <f>CP27/CO27-1</f>
        <v>0.34072022160664828</v>
      </c>
      <c r="CQ109" s="245">
        <f>CQ27/CP27-1</f>
        <v>0</v>
      </c>
      <c r="CR109" s="245">
        <f>CR27/CQ27-1</f>
        <v>0</v>
      </c>
      <c r="CS109" s="245">
        <f>CS27/CR27-1</f>
        <v>0</v>
      </c>
      <c r="CT109" s="244"/>
      <c r="CU109" s="246">
        <f>CU27/CT27-1</f>
        <v>-0.37396694214876036</v>
      </c>
      <c r="CV109" s="245">
        <f>CV27/CU27-1</f>
        <v>0.12541254125412538</v>
      </c>
      <c r="CW109" s="245">
        <f>CW27/CV27-1</f>
        <v>1.1730205278592365E-2</v>
      </c>
      <c r="CX109" s="245">
        <f>CX27/CW27-1</f>
        <v>7.2463768115942129E-2</v>
      </c>
      <c r="CY109" s="244"/>
      <c r="CZ109" s="246">
        <f>CZ27/CY27-1</f>
        <v>-3.2432432432432434E-2</v>
      </c>
      <c r="DA109" s="245">
        <f>DA27/CZ27-1</f>
        <v>-5.027932960893855E-2</v>
      </c>
      <c r="DB109" s="245">
        <f>DB27/DA27-1</f>
        <v>-0.10588235294117643</v>
      </c>
      <c r="DC109" s="245">
        <f>DC27/DB27-1</f>
        <v>0.13815789473684204</v>
      </c>
      <c r="DD109" s="244"/>
      <c r="DE109" s="247">
        <f>DE27/DD27-1</f>
        <v>0</v>
      </c>
      <c r="DF109" s="248">
        <f>DF27/DE27-1</f>
        <v>0</v>
      </c>
      <c r="DG109" s="248">
        <f>DG27/DF27-1</f>
        <v>0</v>
      </c>
      <c r="DH109" s="248">
        <f>DH27/DG27-1</f>
        <v>0</v>
      </c>
      <c r="DI109" s="249"/>
      <c r="DJ109" s="247">
        <f>DJ27/DI27-1</f>
        <v>0</v>
      </c>
      <c r="DK109" s="248">
        <f>DK27/DJ27-1</f>
        <v>0</v>
      </c>
      <c r="DL109" s="248">
        <f>DL27/DK27-1</f>
        <v>0</v>
      </c>
      <c r="DM109" s="248">
        <f>DM27/DL27-1</f>
        <v>0</v>
      </c>
      <c r="DN109" s="249"/>
      <c r="DO109" s="247">
        <f>DO27/DN27-1</f>
        <v>0</v>
      </c>
      <c r="DP109" s="248">
        <f>DP27/DO27-1</f>
        <v>0</v>
      </c>
      <c r="DQ109" s="248">
        <f>DQ27/DP27-1</f>
        <v>0</v>
      </c>
      <c r="DR109" s="248">
        <f>DR27/DQ27-1</f>
        <v>0</v>
      </c>
      <c r="DS109" s="249"/>
      <c r="DT109" s="247">
        <f>DT27/DS27-1</f>
        <v>0</v>
      </c>
      <c r="DU109" s="248">
        <f>DU27/DT27-1</f>
        <v>0</v>
      </c>
      <c r="DV109" s="248">
        <f>DV27/DU27-1</f>
        <v>0</v>
      </c>
      <c r="DW109" s="248">
        <f>DW27/DV27-1</f>
        <v>0</v>
      </c>
      <c r="DX109" s="249"/>
      <c r="DY109" s="247">
        <f>DY27/DX27-1</f>
        <v>0</v>
      </c>
      <c r="DZ109" s="248">
        <f>DZ27/DY27-1</f>
        <v>0</v>
      </c>
      <c r="EA109" s="248">
        <f>EA27/DZ27-1</f>
        <v>0</v>
      </c>
      <c r="EB109" s="248">
        <f>EB27/EA27-1</f>
        <v>0</v>
      </c>
      <c r="EC109" s="249"/>
      <c r="EF109"/>
      <c r="EG109"/>
      <c r="EH109"/>
      <c r="EI109"/>
      <c r="EJ109"/>
      <c r="EK109"/>
      <c r="EL109"/>
      <c r="EM109"/>
      <c r="EN109"/>
      <c r="EO109"/>
      <c r="EP109"/>
      <c r="EQ109"/>
      <c r="ER109"/>
      <c r="ES109"/>
      <c r="ET109"/>
      <c r="EU109"/>
      <c r="EV109"/>
      <c r="EW109"/>
      <c r="EX109"/>
      <c r="EY109"/>
      <c r="EZ109"/>
      <c r="FA109"/>
    </row>
    <row r="110" spans="1:157" s="172" customFormat="1" x14ac:dyDescent="0.2">
      <c r="A110" s="597" t="s">
        <v>269</v>
      </c>
      <c r="B110" s="102"/>
      <c r="C110" s="102"/>
      <c r="D110" s="102"/>
      <c r="E110" s="102"/>
      <c r="F110" s="102"/>
      <c r="G110" s="102"/>
      <c r="H110" s="181"/>
      <c r="I110" s="245"/>
      <c r="J110" s="245"/>
      <c r="K110" s="245"/>
      <c r="L110" s="245"/>
      <c r="M110" s="244"/>
      <c r="N110" s="245"/>
      <c r="O110" s="245"/>
      <c r="P110" s="245"/>
      <c r="Q110" s="245"/>
      <c r="R110" s="244"/>
      <c r="S110" s="245"/>
      <c r="T110" s="245"/>
      <c r="U110" s="245"/>
      <c r="V110" s="245"/>
      <c r="W110" s="244"/>
      <c r="X110" s="245"/>
      <c r="Y110" s="245"/>
      <c r="Z110" s="245"/>
      <c r="AA110" s="245"/>
      <c r="AB110" s="244"/>
      <c r="AC110" s="245"/>
      <c r="AD110" s="245"/>
      <c r="AE110" s="245"/>
      <c r="AF110" s="245"/>
      <c r="AG110" s="244"/>
      <c r="AH110" s="245"/>
      <c r="AI110" s="245"/>
      <c r="AJ110" s="245"/>
      <c r="AK110" s="245"/>
      <c r="AL110" s="244"/>
      <c r="AM110" s="245"/>
      <c r="AN110" s="245"/>
      <c r="AO110" s="245"/>
      <c r="AP110" s="245"/>
      <c r="AQ110" s="244"/>
      <c r="AR110" s="245"/>
      <c r="AS110" s="245"/>
      <c r="AT110" s="245"/>
      <c r="AU110" s="245"/>
      <c r="AV110" s="246"/>
      <c r="AW110" s="246"/>
      <c r="AX110" s="245"/>
      <c r="AY110" s="245"/>
      <c r="AZ110" s="245"/>
      <c r="BA110" s="244"/>
      <c r="BB110" s="246"/>
      <c r="BC110" s="245"/>
      <c r="BD110" s="245"/>
      <c r="BE110" s="245"/>
      <c r="BF110" s="244"/>
      <c r="BG110" s="246"/>
      <c r="BH110" s="245"/>
      <c r="BI110" s="245"/>
      <c r="BJ110" s="245"/>
      <c r="BK110" s="244"/>
      <c r="BL110" s="246"/>
      <c r="BM110" s="245"/>
      <c r="BN110" s="245"/>
      <c r="BO110" s="245"/>
      <c r="BP110" s="244"/>
      <c r="BQ110" s="246"/>
      <c r="BR110" s="245"/>
      <c r="BS110" s="245"/>
      <c r="BT110" s="245"/>
      <c r="BU110" s="244"/>
      <c r="BV110" s="246"/>
      <c r="BW110" s="245"/>
      <c r="BX110" s="245"/>
      <c r="BY110" s="245"/>
      <c r="BZ110" s="244"/>
      <c r="CA110" s="246"/>
      <c r="CB110" s="245"/>
      <c r="CC110" s="245"/>
      <c r="CD110" s="245"/>
      <c r="CE110" s="244"/>
      <c r="CF110" s="246"/>
      <c r="CG110" s="245"/>
      <c r="CH110" s="245"/>
      <c r="CI110" s="245"/>
      <c r="CJ110" s="244"/>
      <c r="CK110" s="246"/>
      <c r="CL110" s="245"/>
      <c r="CM110" s="245"/>
      <c r="CN110" s="245"/>
      <c r="CO110" s="244"/>
      <c r="CP110" s="880"/>
      <c r="CQ110" s="245"/>
      <c r="CR110" s="245"/>
      <c r="CS110" s="245"/>
      <c r="CT110" s="244"/>
      <c r="CU110" s="246"/>
      <c r="CV110" s="245"/>
      <c r="CW110" s="245"/>
      <c r="CX110" s="245"/>
      <c r="CY110" s="244"/>
      <c r="CZ110" s="246"/>
      <c r="DA110" s="245"/>
      <c r="DB110" s="245"/>
      <c r="DC110" s="245"/>
      <c r="DD110" s="244"/>
      <c r="DE110" s="247"/>
      <c r="DF110" s="248"/>
      <c r="DG110" s="248"/>
      <c r="DH110" s="248"/>
      <c r="DI110" s="249"/>
      <c r="DJ110" s="247"/>
      <c r="DK110" s="248"/>
      <c r="DL110" s="248"/>
      <c r="DM110" s="248"/>
      <c r="DN110" s="249"/>
      <c r="DO110" s="247"/>
      <c r="DP110" s="248"/>
      <c r="DQ110" s="248"/>
      <c r="DR110" s="248"/>
      <c r="DS110" s="249"/>
      <c r="DT110" s="247"/>
      <c r="DU110" s="248"/>
      <c r="DV110" s="248"/>
      <c r="DW110" s="248"/>
      <c r="DX110" s="249"/>
      <c r="DY110" s="247"/>
      <c r="DZ110" s="248"/>
      <c r="EA110" s="248"/>
      <c r="EB110" s="248"/>
      <c r="EC110" s="249"/>
      <c r="EF110"/>
      <c r="EG110"/>
      <c r="EH110"/>
      <c r="EI110"/>
      <c r="EJ110"/>
      <c r="EK110"/>
      <c r="EL110"/>
      <c r="EM110"/>
      <c r="EN110"/>
      <c r="EO110"/>
      <c r="EP110"/>
      <c r="EQ110"/>
      <c r="ER110"/>
      <c r="ES110"/>
      <c r="ET110"/>
      <c r="EU110"/>
      <c r="EV110"/>
      <c r="EW110"/>
      <c r="EX110"/>
      <c r="EY110"/>
      <c r="EZ110"/>
      <c r="FA110"/>
    </row>
    <row r="111" spans="1:157" s="172" customFormat="1" x14ac:dyDescent="0.2">
      <c r="A111" s="596" t="s">
        <v>166</v>
      </c>
      <c r="B111" s="102"/>
      <c r="C111" s="102"/>
      <c r="D111" s="102"/>
      <c r="E111" s="102"/>
      <c r="F111" s="102"/>
      <c r="G111" s="102"/>
      <c r="H111" s="181"/>
      <c r="I111" s="245"/>
      <c r="J111" s="245"/>
      <c r="K111" s="245"/>
      <c r="L111" s="245"/>
      <c r="M111" s="244"/>
      <c r="N111" s="245"/>
      <c r="O111" s="245"/>
      <c r="P111" s="245"/>
      <c r="Q111" s="245"/>
      <c r="R111" s="244"/>
      <c r="S111" s="245"/>
      <c r="T111" s="245"/>
      <c r="U111" s="245"/>
      <c r="V111" s="245"/>
      <c r="W111" s="244"/>
      <c r="X111" s="245">
        <f>X31/W31-1</f>
        <v>-1.1247443762781195E-2</v>
      </c>
      <c r="Y111" s="245">
        <f>Y31/X31-1</f>
        <v>-4.1365046535677408E-2</v>
      </c>
      <c r="Z111" s="245">
        <f>Z31/Y31-1</f>
        <v>3.6677454153182243E-2</v>
      </c>
      <c r="AA111" s="245">
        <f>AA31/Z31-1</f>
        <v>3.5379812695109258E-2</v>
      </c>
      <c r="AB111" s="244"/>
      <c r="AC111" s="245">
        <f>AC31/AB31-1</f>
        <v>-7.6381909547738713E-2</v>
      </c>
      <c r="AD111" s="245">
        <f>AD31/AC31-1</f>
        <v>8.1610446137105441E-2</v>
      </c>
      <c r="AE111" s="245">
        <f>AE31/AD31-1</f>
        <v>3.7223340040241526E-2</v>
      </c>
      <c r="AF111" s="245">
        <f>AF31/AE31-1</f>
        <v>0.13094083414161006</v>
      </c>
      <c r="AG111" s="244"/>
      <c r="AH111" s="245">
        <f>AH31/AG31-1</f>
        <v>-4.8027444253859297E-2</v>
      </c>
      <c r="AI111" s="245">
        <f>AI31/AH31-1</f>
        <v>1.8918918918918948E-2</v>
      </c>
      <c r="AJ111" s="245">
        <f>AJ31/AI31-1</f>
        <v>6.0123784261715274E-2</v>
      </c>
      <c r="AK111" s="245">
        <f>AK31/AJ31-1</f>
        <v>-3.5029190992493797E-2</v>
      </c>
      <c r="AL111" s="244"/>
      <c r="AM111" s="245">
        <f>AM31/AL31-1</f>
        <v>6.8280034572169468E-2</v>
      </c>
      <c r="AN111" s="245">
        <f>AN31/AM31-1</f>
        <v>-0.11245954692556637</v>
      </c>
      <c r="AO111" s="245">
        <f>AO31/AN31-1</f>
        <v>7.2014585232452077E-2</v>
      </c>
      <c r="AP111" s="245">
        <f>AP31/AO31-1</f>
        <v>-1.3605442176870763E-2</v>
      </c>
      <c r="AQ111" s="244"/>
      <c r="AR111" s="245">
        <f>AR31/AQ31-1</f>
        <v>2.0689655172413834E-2</v>
      </c>
      <c r="AS111" s="245">
        <f>AS31/AR31-1</f>
        <v>2.533783783783794E-2</v>
      </c>
      <c r="AT111" s="245">
        <f>AT31/AS31-1</f>
        <v>2.1416803953871577E-2</v>
      </c>
      <c r="AU111" s="245">
        <f>AU31/AT31-1</f>
        <v>-1.612903225806428E-3</v>
      </c>
      <c r="AV111" s="246"/>
      <c r="AW111" s="246">
        <f>AW31/AV31-1</f>
        <v>-2.4232633279482996E-2</v>
      </c>
      <c r="AX111" s="245">
        <f>AX31/AW31-1</f>
        <v>-1.9039735099337762E-2</v>
      </c>
      <c r="AY111" s="245">
        <f>AY31/AX31-1</f>
        <v>2.2784810126582178E-2</v>
      </c>
      <c r="AZ111" s="245">
        <f>AZ31/AY31-1</f>
        <v>0.14438943894389444</v>
      </c>
      <c r="BA111" s="244"/>
      <c r="BB111" s="246">
        <f>BB31/BA31-1</f>
        <v>-7.8586878154289885E-2</v>
      </c>
      <c r="BC111" s="245">
        <f>BC31/BB31-1</f>
        <v>-1.0954616588419452E-2</v>
      </c>
      <c r="BD111" s="245">
        <f>BD31/BC31-1</f>
        <v>0.10759493670886067</v>
      </c>
      <c r="BE111" s="245">
        <f>BE31/BD31-1</f>
        <v>0.1785714285714286</v>
      </c>
      <c r="BF111" s="244"/>
      <c r="BG111" s="246">
        <f>BG31/BF31-1</f>
        <v>-0.11030303030303035</v>
      </c>
      <c r="BH111" s="245">
        <f>BH31/BG31-1</f>
        <v>1.5667574931880202E-2</v>
      </c>
      <c r="BI111" s="245">
        <f>BI31/BH31-1</f>
        <v>-1.0060362173038184E-2</v>
      </c>
      <c r="BJ111" s="245">
        <f>BJ31/BI31-1</f>
        <v>-3.6585365853658569E-2</v>
      </c>
      <c r="BK111" s="244"/>
      <c r="BL111" s="246">
        <f>BL31/BK31-1</f>
        <v>-0.10900140646976086</v>
      </c>
      <c r="BM111" s="245">
        <f>BM31/BL31-1</f>
        <v>5.9984214680347314E-2</v>
      </c>
      <c r="BN111" s="245">
        <f>BN31/BM31-1</f>
        <v>3.3507073715562274E-2</v>
      </c>
      <c r="BO111" s="245">
        <f>BO31/BN31-1</f>
        <v>1.8011527377521652E-2</v>
      </c>
      <c r="BP111" s="244"/>
      <c r="BQ111" s="246">
        <f>BQ31/BP31-1</f>
        <v>-3.5385704175513122E-2</v>
      </c>
      <c r="BR111" s="245">
        <f>BR31/BQ31-1</f>
        <v>-1.8341892883345534E-2</v>
      </c>
      <c r="BS111" s="245">
        <f>BS31/BR31-1</f>
        <v>2.6905829596412634E-2</v>
      </c>
      <c r="BT111" s="245">
        <f>BT31/BS31-1</f>
        <v>0.1659388646288209</v>
      </c>
      <c r="BU111" s="244"/>
      <c r="BV111" s="246">
        <f>BV31/BU31-1</f>
        <v>-0.12858926342072408</v>
      </c>
      <c r="BW111" s="245">
        <f>BW31/BV31-1</f>
        <v>6.5902578796561695E-2</v>
      </c>
      <c r="BX111" s="245">
        <f>BX31/BW31-1</f>
        <v>0.176747311827957</v>
      </c>
      <c r="BY111" s="245">
        <f>BY31/BX31-1</f>
        <v>7.0245573957738339E-2</v>
      </c>
      <c r="BZ111" s="244"/>
      <c r="CA111" s="246">
        <f>CA31/BZ31-1</f>
        <v>-6.5101387406616862E-2</v>
      </c>
      <c r="CB111" s="245">
        <f>CB31/CA31-1</f>
        <v>1.0273972602739656E-2</v>
      </c>
      <c r="CC111" s="245">
        <f>CC31/CB31-1</f>
        <v>3.2768361581920979E-2</v>
      </c>
      <c r="CD111" s="245">
        <f>CD31/CC31-1</f>
        <v>6.4004376367614801E-2</v>
      </c>
      <c r="CE111" s="244"/>
      <c r="CF111" s="246">
        <f>CF31/CE31-1</f>
        <v>-4.061696658097691E-2</v>
      </c>
      <c r="CG111" s="245">
        <f>CG31/CF31-1</f>
        <v>-6.8060021436227247E-2</v>
      </c>
      <c r="CH111" s="245">
        <f>CH31/CG31-1</f>
        <v>3.4502587694076325E-3</v>
      </c>
      <c r="CI111" s="245">
        <f>CI31/CH31-1</f>
        <v>0.10544412607449849</v>
      </c>
      <c r="CJ111" s="244"/>
      <c r="CK111" s="246">
        <f>CK31/CJ31-1</f>
        <v>-0.49818558838776572</v>
      </c>
      <c r="CL111" s="245">
        <f>CL31/CK31-1</f>
        <v>0</v>
      </c>
      <c r="CM111" s="245">
        <f>CM31/CL31-1</f>
        <v>0</v>
      </c>
      <c r="CN111" s="245">
        <f>CN31/CM31-1</f>
        <v>0</v>
      </c>
      <c r="CO111" s="244"/>
      <c r="CP111" s="880">
        <f>CP31/CO31-1</f>
        <v>9.4008264462809965E-2</v>
      </c>
      <c r="CQ111" s="245">
        <f>CQ31/CP31-1</f>
        <v>0</v>
      </c>
      <c r="CR111" s="245">
        <f>CR31/CQ31-1</f>
        <v>0</v>
      </c>
      <c r="CS111" s="245">
        <f>CS31/CR31-1</f>
        <v>0</v>
      </c>
      <c r="CT111" s="244"/>
      <c r="CU111" s="246">
        <f>CU31/CT31-1</f>
        <v>7.0821529745042522E-2</v>
      </c>
      <c r="CV111" s="245">
        <f>CV31/CU31-1</f>
        <v>-3.4391534391534417E-2</v>
      </c>
      <c r="CW111" s="245">
        <f>CW31/CV31-1</f>
        <v>-3.1050228310502304E-2</v>
      </c>
      <c r="CX111" s="245">
        <f>CX31/CW31-1</f>
        <v>6.6918001885014178E-2</v>
      </c>
      <c r="CY111" s="244"/>
      <c r="CZ111" s="246">
        <f>CZ31/CY31-1</f>
        <v>-0.14134275618374559</v>
      </c>
      <c r="DA111" s="245">
        <f>DA31/CZ31-1</f>
        <v>-4.4238683127572065E-2</v>
      </c>
      <c r="DB111" s="245">
        <f>DB31/DA31-1</f>
        <v>-0.11410118406889125</v>
      </c>
      <c r="DC111" s="245">
        <f>DC31/DB31-1</f>
        <v>-1.2150668286755817E-2</v>
      </c>
      <c r="DD111" s="244"/>
      <c r="DE111" s="247">
        <f>DE31/DD31-1</f>
        <v>2.9091972809078603E-2</v>
      </c>
      <c r="DF111" s="248">
        <f>DF31/DE31-1</f>
        <v>-3.4485927610897416E-2</v>
      </c>
      <c r="DG111" s="248">
        <f>DG31/DF31-1</f>
        <v>-2.7130050007869055E-2</v>
      </c>
      <c r="DH111" s="248">
        <f>DH31/DG31-1</f>
        <v>0.28683258338898998</v>
      </c>
      <c r="DI111" s="249"/>
      <c r="DJ111" s="247">
        <f>DJ31/DI31-1</f>
        <v>-0.32797485652520131</v>
      </c>
      <c r="DK111" s="248">
        <f>DK31/DJ31-1</f>
        <v>-1.1633765361153792E-2</v>
      </c>
      <c r="DL111" s="248">
        <f>DL31/DK31-1</f>
        <v>-1.6155779717124674E-2</v>
      </c>
      <c r="DM111" s="248">
        <f>DM31/DL31-1</f>
        <v>0.5615064404386616</v>
      </c>
      <c r="DN111" s="249"/>
      <c r="DO111" s="247">
        <f>DO31/DN31-1</f>
        <v>-0.37833250283055886</v>
      </c>
      <c r="DP111" s="248">
        <f>DP31/DO31-1</f>
        <v>4.2438298312831524E-2</v>
      </c>
      <c r="DQ111" s="248">
        <f>DQ31/DP31-1</f>
        <v>3.6261378415433088E-2</v>
      </c>
      <c r="DR111" s="248">
        <f>DR31/DQ31-1</f>
        <v>0.66074392826110295</v>
      </c>
      <c r="DS111" s="249"/>
      <c r="DT111" s="247">
        <f>DT31/DS31-1</f>
        <v>-0.3579854498841879</v>
      </c>
      <c r="DU111" s="248">
        <f>DU31/DT31-1</f>
        <v>4.4581077084890675E-2</v>
      </c>
      <c r="DV111" s="248">
        <f>DV31/DU31-1</f>
        <v>3.3773721069292106E-2</v>
      </c>
      <c r="DW111" s="248">
        <f>DW31/DV31-1</f>
        <v>0.65998019585758283</v>
      </c>
      <c r="DX111" s="249"/>
      <c r="DY111" s="247">
        <f>DY31/DX31-1</f>
        <v>-0.3549601372376382</v>
      </c>
      <c r="DZ111" s="248">
        <f>DZ31/DY31-1</f>
        <v>5.2313639496199826E-2</v>
      </c>
      <c r="EA111" s="248">
        <f>EA31/DZ31-1</f>
        <v>3.7157280623162148E-2</v>
      </c>
      <c r="EB111" s="248">
        <f>EB31/EA31-1</f>
        <v>0.66798185949735256</v>
      </c>
      <c r="EC111" s="249"/>
      <c r="EF111"/>
      <c r="EG111"/>
      <c r="EH111"/>
      <c r="EI111"/>
      <c r="EJ111"/>
      <c r="EK111"/>
      <c r="EL111"/>
      <c r="EM111"/>
      <c r="EN111"/>
      <c r="EO111"/>
      <c r="EP111"/>
      <c r="EQ111"/>
      <c r="ER111"/>
      <c r="ES111"/>
      <c r="ET111"/>
      <c r="EU111"/>
      <c r="EV111"/>
      <c r="EW111"/>
      <c r="EX111"/>
      <c r="EY111"/>
      <c r="EZ111"/>
      <c r="FA111"/>
    </row>
    <row r="112" spans="1:157" s="172" customFormat="1" x14ac:dyDescent="0.2">
      <c r="A112" s="596" t="s">
        <v>167</v>
      </c>
      <c r="B112" s="102"/>
      <c r="C112" s="102"/>
      <c r="D112" s="102"/>
      <c r="E112" s="102"/>
      <c r="F112" s="102"/>
      <c r="G112" s="102"/>
      <c r="H112" s="181"/>
      <c r="I112" s="245"/>
      <c r="J112" s="245"/>
      <c r="K112" s="245"/>
      <c r="L112" s="245"/>
      <c r="M112" s="244"/>
      <c r="N112" s="245"/>
      <c r="O112" s="245"/>
      <c r="P112" s="245"/>
      <c r="Q112" s="245"/>
      <c r="R112" s="244"/>
      <c r="S112" s="245"/>
      <c r="T112" s="245"/>
      <c r="U112" s="245"/>
      <c r="V112" s="245"/>
      <c r="W112" s="244"/>
      <c r="X112" s="245">
        <f>X33/W33-1</f>
        <v>0.16891891891891886</v>
      </c>
      <c r="Y112" s="245">
        <f>Y33/X33-1</f>
        <v>0.21387283236994215</v>
      </c>
      <c r="Z112" s="245">
        <f>Z33/Y33-1</f>
        <v>0.10952380952380958</v>
      </c>
      <c r="AA112" s="245">
        <f>AA33/Z33-1</f>
        <v>-0.51072961373390557</v>
      </c>
      <c r="AB112" s="244"/>
      <c r="AC112" s="245">
        <f>AC33/AB33-1</f>
        <v>1.3157894736842106</v>
      </c>
      <c r="AD112" s="245">
        <f>AD33/AC33-1</f>
        <v>8.3333333333333259E-2</v>
      </c>
      <c r="AE112" s="245">
        <f>AE33/AD33-1</f>
        <v>-0.1048951048951049</v>
      </c>
      <c r="AF112" s="245">
        <f>AF33/AE33-1</f>
        <v>-0.1875</v>
      </c>
      <c r="AG112" s="244"/>
      <c r="AH112" s="245">
        <f>AH33/AG33-1</f>
        <v>1.4423076923076872E-2</v>
      </c>
      <c r="AI112" s="245">
        <f>AI33/AH33-1</f>
        <v>0.21327014218009488</v>
      </c>
      <c r="AJ112" s="245">
        <f>AJ33/AI33-1</f>
        <v>4.6875E-2</v>
      </c>
      <c r="AK112" s="245">
        <f>AK33/AJ33-1</f>
        <v>-0.11194029850746268</v>
      </c>
      <c r="AL112" s="244"/>
      <c r="AM112" s="245">
        <f>AM33/AL33-1</f>
        <v>-0.12184873949579833</v>
      </c>
      <c r="AN112" s="245">
        <f>AN33/AM33-1</f>
        <v>-0.21531100478468901</v>
      </c>
      <c r="AO112" s="245">
        <f>AO33/AN33-1</f>
        <v>-0.10365853658536583</v>
      </c>
      <c r="AP112" s="245">
        <f>AP33/AO33-1</f>
        <v>-0.24489795918367352</v>
      </c>
      <c r="AQ112" s="244"/>
      <c r="AR112" s="245">
        <f t="shared" ref="AR112:AU113" si="550">AR33/AQ33-1</f>
        <v>-8.108108108108103E-2</v>
      </c>
      <c r="AS112" s="245">
        <f t="shared" si="550"/>
        <v>-0.41176470588235292</v>
      </c>
      <c r="AT112" s="245">
        <f t="shared" si="550"/>
        <v>1.2666666666666666</v>
      </c>
      <c r="AU112" s="245">
        <f t="shared" si="550"/>
        <v>-0.41911764705882348</v>
      </c>
      <c r="AV112" s="246"/>
      <c r="AW112" s="246">
        <f t="shared" ref="AW112:AZ113" si="551">AW33/AV33-1</f>
        <v>0.49367088607594933</v>
      </c>
      <c r="AX112" s="245">
        <f t="shared" si="551"/>
        <v>-0.4576271186440678</v>
      </c>
      <c r="AY112" s="245">
        <f t="shared" si="551"/>
        <v>0.609375</v>
      </c>
      <c r="AZ112" s="245">
        <f t="shared" si="551"/>
        <v>-0.64077669902912615</v>
      </c>
      <c r="BA112" s="244"/>
      <c r="BB112" s="246">
        <f t="shared" ref="BB112:BE113" si="552">BB33/BA33-1</f>
        <v>1.3243243243243241</v>
      </c>
      <c r="BC112" s="245">
        <f t="shared" si="552"/>
        <v>-0.43023255813953487</v>
      </c>
      <c r="BD112" s="245">
        <f t="shared" si="552"/>
        <v>1.0204081632653059</v>
      </c>
      <c r="BE112" s="245">
        <f t="shared" si="552"/>
        <v>-0.4747474747474747</v>
      </c>
      <c r="BF112" s="244"/>
      <c r="BG112" s="246">
        <f t="shared" ref="BG112:BJ113" si="553">BG33/BF33-1</f>
        <v>0.63461538461538458</v>
      </c>
      <c r="BH112" s="245">
        <f t="shared" si="553"/>
        <v>-0.67058823529411771</v>
      </c>
      <c r="BI112" s="245">
        <f t="shared" si="553"/>
        <v>2.6071428571428572</v>
      </c>
      <c r="BJ112" s="245">
        <f t="shared" si="553"/>
        <v>0.18811881188118806</v>
      </c>
      <c r="BK112" s="244"/>
      <c r="BL112" s="246">
        <f t="shared" ref="BL112:BO113" si="554">BL33/BK33-1</f>
        <v>-9.9999999999999978E-2</v>
      </c>
      <c r="BM112" s="245">
        <f t="shared" si="554"/>
        <v>-0.19444444444444442</v>
      </c>
      <c r="BN112" s="245">
        <f t="shared" si="554"/>
        <v>-0.68965517241379315</v>
      </c>
      <c r="BO112" s="245">
        <f t="shared" si="554"/>
        <v>2.0370370370370372</v>
      </c>
      <c r="BP112" s="244"/>
      <c r="BQ112" s="246">
        <f t="shared" ref="BQ112:BT113" si="555">BQ33/BP33-1</f>
        <v>-1.2195121951219523E-2</v>
      </c>
      <c r="BR112" s="245">
        <f t="shared" si="555"/>
        <v>-0.14814814814814814</v>
      </c>
      <c r="BS112" s="245">
        <f t="shared" si="555"/>
        <v>0.3623188405797102</v>
      </c>
      <c r="BT112" s="245">
        <f t="shared" si="555"/>
        <v>-0.35106382978723405</v>
      </c>
      <c r="BU112" s="244"/>
      <c r="BV112" s="246">
        <f t="shared" ref="BV112:BY113" si="556">BV33/BU33-1</f>
        <v>0.72131147540983598</v>
      </c>
      <c r="BW112" s="245">
        <f t="shared" si="556"/>
        <v>-0.21904761904761905</v>
      </c>
      <c r="BX112" s="245">
        <f t="shared" si="556"/>
        <v>0.5</v>
      </c>
      <c r="BY112" s="245">
        <f t="shared" si="556"/>
        <v>0.15447154471544722</v>
      </c>
      <c r="BZ112" s="244"/>
      <c r="CA112" s="246">
        <f t="shared" ref="CA112:CD113" si="557">CA33/BZ33-1</f>
        <v>0.27464788732394374</v>
      </c>
      <c r="CB112" s="245">
        <f t="shared" si="557"/>
        <v>-0.3204419889502762</v>
      </c>
      <c r="CC112" s="245">
        <f t="shared" si="557"/>
        <v>-0.2032520325203252</v>
      </c>
      <c r="CD112" s="245">
        <f t="shared" si="557"/>
        <v>-1.0204081632653073E-2</v>
      </c>
      <c r="CE112" s="244"/>
      <c r="CF112" s="246">
        <f t="shared" ref="CF112:CI113" si="558">CF33/CE33-1</f>
        <v>-0.15463917525773196</v>
      </c>
      <c r="CG112" s="245">
        <f t="shared" si="558"/>
        <v>0.24390243902439024</v>
      </c>
      <c r="CH112" s="245">
        <f t="shared" si="558"/>
        <v>0.46078431372549011</v>
      </c>
      <c r="CI112" s="245">
        <f t="shared" si="558"/>
        <v>0.13422818791946312</v>
      </c>
      <c r="CJ112" s="244"/>
      <c r="CK112" s="246">
        <f t="shared" ref="CK112:CN113" si="559">CK33/CJ33-1</f>
        <v>-0.75739644970414199</v>
      </c>
      <c r="CL112" s="245">
        <f t="shared" si="559"/>
        <v>0</v>
      </c>
      <c r="CM112" s="245">
        <f t="shared" si="559"/>
        <v>0</v>
      </c>
      <c r="CN112" s="245">
        <f t="shared" si="559"/>
        <v>0</v>
      </c>
      <c r="CO112" s="244"/>
      <c r="CP112" s="880">
        <f t="shared" ref="CP112:CS113" si="560">CP33/CO33-1</f>
        <v>0.34146341463414642</v>
      </c>
      <c r="CQ112" s="245">
        <f t="shared" si="560"/>
        <v>0</v>
      </c>
      <c r="CR112" s="245">
        <f t="shared" si="560"/>
        <v>0</v>
      </c>
      <c r="CS112" s="245">
        <f t="shared" si="560"/>
        <v>0</v>
      </c>
      <c r="CT112" s="244"/>
      <c r="CU112" s="246">
        <f t="shared" ref="CU112:CX113" si="561">CU33/CT33-1</f>
        <v>0.8727272727272728</v>
      </c>
      <c r="CV112" s="245">
        <f t="shared" si="561"/>
        <v>-0.27184466019417475</v>
      </c>
      <c r="CW112" s="245">
        <f t="shared" si="561"/>
        <v>-0.8</v>
      </c>
      <c r="CX112" s="245">
        <f t="shared" si="561"/>
        <v>1.4666666666666668</v>
      </c>
      <c r="CY112" s="244"/>
      <c r="CZ112" s="246">
        <f t="shared" ref="CZ112:DC113" si="562">CZ33/CY33-1</f>
        <v>0.21621621621621623</v>
      </c>
      <c r="DA112" s="245">
        <f t="shared" si="562"/>
        <v>-0.71111111111111114</v>
      </c>
      <c r="DB112" s="245">
        <f t="shared" si="562"/>
        <v>1.0769230769230771</v>
      </c>
      <c r="DC112" s="245">
        <f t="shared" si="562"/>
        <v>3.5555555555555554</v>
      </c>
      <c r="DD112" s="244"/>
      <c r="DE112" s="247">
        <f>DE33/DD33-1</f>
        <v>0</v>
      </c>
      <c r="DF112" s="248">
        <f t="shared" ref="DF112:DF113" si="563">DF33/DE33-1</f>
        <v>0</v>
      </c>
      <c r="DG112" s="248">
        <f t="shared" ref="DG112:DG113" si="564">DG33/DF33-1</f>
        <v>0</v>
      </c>
      <c r="DH112" s="248">
        <f t="shared" ref="DH112:DH113" si="565">DH33/DG33-1</f>
        <v>0</v>
      </c>
      <c r="DI112" s="249"/>
      <c r="DJ112" s="247">
        <f t="shared" ref="DJ112:DM113" si="566">DJ33/DI33-1</f>
        <v>0</v>
      </c>
      <c r="DK112" s="248">
        <f t="shared" si="566"/>
        <v>0</v>
      </c>
      <c r="DL112" s="248">
        <f t="shared" si="566"/>
        <v>0</v>
      </c>
      <c r="DM112" s="248">
        <f t="shared" si="566"/>
        <v>0</v>
      </c>
      <c r="DN112" s="249"/>
      <c r="DO112" s="247">
        <f t="shared" ref="DO112:DR113" si="567">DO33/DN33-1</f>
        <v>0</v>
      </c>
      <c r="DP112" s="248">
        <f t="shared" si="567"/>
        <v>0</v>
      </c>
      <c r="DQ112" s="248">
        <f t="shared" si="567"/>
        <v>0</v>
      </c>
      <c r="DR112" s="248">
        <f t="shared" si="567"/>
        <v>0</v>
      </c>
      <c r="DS112" s="249"/>
      <c r="DT112" s="247">
        <f t="shared" ref="DT112:DT113" si="568">DT33/DS33-1</f>
        <v>0</v>
      </c>
      <c r="DU112" s="248">
        <f t="shared" ref="DU112:DU113" si="569">DU33/DT33-1</f>
        <v>0</v>
      </c>
      <c r="DV112" s="248">
        <f t="shared" ref="DV112:DV113" si="570">DV33/DU33-1</f>
        <v>0</v>
      </c>
      <c r="DW112" s="248">
        <f t="shared" ref="DW112:DW113" si="571">DW33/DV33-1</f>
        <v>0</v>
      </c>
      <c r="DX112" s="249"/>
      <c r="DY112" s="247">
        <f t="shared" ref="DY112:DY113" si="572">DY33/DX33-1</f>
        <v>0</v>
      </c>
      <c r="DZ112" s="248">
        <f t="shared" ref="DZ112:DZ113" si="573">DZ33/DY33-1</f>
        <v>0</v>
      </c>
      <c r="EA112" s="248">
        <f t="shared" ref="EA112:EA113" si="574">EA33/DZ33-1</f>
        <v>0</v>
      </c>
      <c r="EB112" s="248">
        <f t="shared" ref="EB112:EB113" si="575">EB33/EA33-1</f>
        <v>0</v>
      </c>
      <c r="EC112" s="249"/>
      <c r="EF112"/>
      <c r="EG112"/>
      <c r="EH112"/>
      <c r="EI112"/>
      <c r="EJ112"/>
      <c r="EK112"/>
      <c r="EL112"/>
      <c r="EM112"/>
      <c r="EN112"/>
      <c r="EO112"/>
      <c r="EP112"/>
      <c r="EQ112"/>
      <c r="ER112"/>
      <c r="ES112"/>
      <c r="ET112"/>
      <c r="EU112"/>
      <c r="EV112"/>
      <c r="EW112"/>
      <c r="EX112"/>
      <c r="EY112"/>
      <c r="EZ112"/>
      <c r="FA112"/>
    </row>
    <row r="113" spans="1:157" s="172" customFormat="1" x14ac:dyDescent="0.2">
      <c r="A113" s="596" t="s">
        <v>281</v>
      </c>
      <c r="B113" s="102"/>
      <c r="C113" s="102"/>
      <c r="D113" s="102"/>
      <c r="E113" s="102"/>
      <c r="F113" s="102"/>
      <c r="G113" s="102"/>
      <c r="H113" s="181"/>
      <c r="I113" s="245"/>
      <c r="J113" s="245"/>
      <c r="K113" s="245"/>
      <c r="L113" s="245"/>
      <c r="M113" s="244"/>
      <c r="N113" s="245"/>
      <c r="O113" s="245"/>
      <c r="P113" s="245"/>
      <c r="Q113" s="245"/>
      <c r="R113" s="244"/>
      <c r="S113" s="245"/>
      <c r="T113" s="245"/>
      <c r="U113" s="245"/>
      <c r="V113" s="245"/>
      <c r="W113" s="244"/>
      <c r="X113" s="245"/>
      <c r="Y113" s="245"/>
      <c r="Z113" s="245"/>
      <c r="AA113" s="245"/>
      <c r="AB113" s="244"/>
      <c r="AC113" s="245"/>
      <c r="AD113" s="245"/>
      <c r="AE113" s="245"/>
      <c r="AF113" s="245"/>
      <c r="AG113" s="244"/>
      <c r="AH113" s="245"/>
      <c r="AI113" s="245"/>
      <c r="AJ113" s="245"/>
      <c r="AK113" s="245"/>
      <c r="AL113" s="244"/>
      <c r="AM113" s="245"/>
      <c r="AN113" s="245"/>
      <c r="AO113" s="245">
        <f>AO34/AN34-1</f>
        <v>-4.1095890410958957E-2</v>
      </c>
      <c r="AP113" s="245">
        <f>AP34/AO34-1</f>
        <v>-7.1428571428571397E-2</v>
      </c>
      <c r="AQ113" s="244"/>
      <c r="AR113" s="245">
        <f t="shared" si="550"/>
        <v>0.1692307692307693</v>
      </c>
      <c r="AS113" s="245">
        <f t="shared" si="550"/>
        <v>2.6315789473684292E-2</v>
      </c>
      <c r="AT113" s="245">
        <f t="shared" si="550"/>
        <v>-2.5641025641025661E-2</v>
      </c>
      <c r="AU113" s="245">
        <f t="shared" si="550"/>
        <v>1.3157894736842035E-2</v>
      </c>
      <c r="AV113" s="246"/>
      <c r="AW113" s="246">
        <f t="shared" si="551"/>
        <v>0.32467532467532467</v>
      </c>
      <c r="AX113" s="245">
        <f t="shared" si="551"/>
        <v>-4.9019607843137303E-2</v>
      </c>
      <c r="AY113" s="245">
        <f t="shared" si="551"/>
        <v>2.0618556701030855E-2</v>
      </c>
      <c r="AZ113" s="245">
        <f t="shared" si="551"/>
        <v>-0.25252525252525249</v>
      </c>
      <c r="BA113" s="244"/>
      <c r="BB113" s="246">
        <f t="shared" si="552"/>
        <v>0.21621621621621623</v>
      </c>
      <c r="BC113" s="245">
        <f t="shared" si="552"/>
        <v>-0.15555555555555556</v>
      </c>
      <c r="BD113" s="245">
        <f t="shared" si="552"/>
        <v>0</v>
      </c>
      <c r="BE113" s="245">
        <f t="shared" si="552"/>
        <v>-5.2631578947368474E-2</v>
      </c>
      <c r="BF113" s="244"/>
      <c r="BG113" s="246">
        <f t="shared" si="553"/>
        <v>0.31944444444444442</v>
      </c>
      <c r="BH113" s="245">
        <f t="shared" si="553"/>
        <v>3.1578947368421151E-2</v>
      </c>
      <c r="BI113" s="245">
        <f t="shared" si="553"/>
        <v>5.1020408163265252E-2</v>
      </c>
      <c r="BJ113" s="245">
        <f t="shared" si="553"/>
        <v>6.7961165048543659E-2</v>
      </c>
      <c r="BK113" s="244"/>
      <c r="BL113" s="246">
        <f t="shared" si="554"/>
        <v>-9.0909090909090939E-2</v>
      </c>
      <c r="BM113" s="245">
        <f t="shared" si="554"/>
        <v>-9.9999999999999978E-2</v>
      </c>
      <c r="BN113" s="245">
        <f t="shared" si="554"/>
        <v>-6.6666666666666652E-2</v>
      </c>
      <c r="BO113" s="245">
        <f t="shared" si="554"/>
        <v>0.1785714285714286</v>
      </c>
      <c r="BP113" s="244"/>
      <c r="BQ113" s="246">
        <f t="shared" si="555"/>
        <v>-3.0303030303030276E-2</v>
      </c>
      <c r="BR113" s="245">
        <f t="shared" si="555"/>
        <v>-7.291666666666663E-2</v>
      </c>
      <c r="BS113" s="245">
        <f t="shared" si="555"/>
        <v>0.22471910112359561</v>
      </c>
      <c r="BT113" s="245">
        <f t="shared" si="555"/>
        <v>2.7522935779816571E-2</v>
      </c>
      <c r="BU113" s="244"/>
      <c r="BV113" s="246">
        <f t="shared" si="556"/>
        <v>4.4642857142857206E-2</v>
      </c>
      <c r="BW113" s="245">
        <f t="shared" si="556"/>
        <v>4.2735042735042805E-2</v>
      </c>
      <c r="BX113" s="245">
        <f t="shared" si="556"/>
        <v>-0.13114754098360659</v>
      </c>
      <c r="BY113" s="245">
        <f t="shared" si="556"/>
        <v>7.547169811320753E-2</v>
      </c>
      <c r="BZ113" s="244"/>
      <c r="CA113" s="246">
        <f t="shared" si="557"/>
        <v>0.2192982456140351</v>
      </c>
      <c r="CB113" s="245">
        <f t="shared" si="557"/>
        <v>-0.25179856115107913</v>
      </c>
      <c r="CC113" s="245">
        <f t="shared" si="557"/>
        <v>8.6538461538461453E-2</v>
      </c>
      <c r="CD113" s="245">
        <f t="shared" si="557"/>
        <v>0.20353982300884965</v>
      </c>
      <c r="CE113" s="244"/>
      <c r="CF113" s="246">
        <f t="shared" si="558"/>
        <v>-0.11764705882352944</v>
      </c>
      <c r="CG113" s="245">
        <f t="shared" si="558"/>
        <v>-0.32499999999999996</v>
      </c>
      <c r="CH113" s="245">
        <f t="shared" si="558"/>
        <v>-1.2345679012345734E-2</v>
      </c>
      <c r="CI113" s="245">
        <f t="shared" si="558"/>
        <v>0.19999999999999996</v>
      </c>
      <c r="CJ113" s="244"/>
      <c r="CK113" s="246">
        <f t="shared" si="559"/>
        <v>-1.041666666666663E-2</v>
      </c>
      <c r="CL113" s="245">
        <f t="shared" si="559"/>
        <v>0</v>
      </c>
      <c r="CM113" s="245">
        <f t="shared" si="559"/>
        <v>0</v>
      </c>
      <c r="CN113" s="245">
        <f t="shared" si="559"/>
        <v>0</v>
      </c>
      <c r="CO113" s="244"/>
      <c r="CP113" s="880">
        <f t="shared" si="560"/>
        <v>8.4210526315789513E-2</v>
      </c>
      <c r="CQ113" s="245">
        <f t="shared" si="560"/>
        <v>0</v>
      </c>
      <c r="CR113" s="245">
        <f t="shared" si="560"/>
        <v>0</v>
      </c>
      <c r="CS113" s="245">
        <f t="shared" si="560"/>
        <v>0</v>
      </c>
      <c r="CT113" s="244"/>
      <c r="CU113" s="246">
        <f t="shared" si="561"/>
        <v>0.18446601941747565</v>
      </c>
      <c r="CV113" s="245">
        <f t="shared" si="561"/>
        <v>-0.16393442622950816</v>
      </c>
      <c r="CW113" s="245">
        <f t="shared" si="561"/>
        <v>0.33333333333333326</v>
      </c>
      <c r="CX113" s="245">
        <f t="shared" si="561"/>
        <v>-1.4705882352941124E-2</v>
      </c>
      <c r="CY113" s="244"/>
      <c r="CZ113" s="246">
        <f t="shared" si="562"/>
        <v>0.10447761194029859</v>
      </c>
      <c r="DA113" s="245">
        <f t="shared" si="562"/>
        <v>8.783783783783794E-2</v>
      </c>
      <c r="DB113" s="245">
        <f t="shared" si="562"/>
        <v>0.12422360248447206</v>
      </c>
      <c r="DC113" s="245">
        <f t="shared" si="562"/>
        <v>0.11049723756906071</v>
      </c>
      <c r="DD113" s="244"/>
      <c r="DE113" s="247">
        <f>DE34/DD34-1</f>
        <v>0</v>
      </c>
      <c r="DF113" s="248">
        <f t="shared" si="563"/>
        <v>0</v>
      </c>
      <c r="DG113" s="248">
        <f t="shared" si="564"/>
        <v>0</v>
      </c>
      <c r="DH113" s="248">
        <f t="shared" si="565"/>
        <v>0</v>
      </c>
      <c r="DI113" s="249"/>
      <c r="DJ113" s="247">
        <f t="shared" si="566"/>
        <v>0</v>
      </c>
      <c r="DK113" s="248">
        <f t="shared" si="566"/>
        <v>0</v>
      </c>
      <c r="DL113" s="248">
        <f t="shared" si="566"/>
        <v>0</v>
      </c>
      <c r="DM113" s="248">
        <f t="shared" si="566"/>
        <v>0</v>
      </c>
      <c r="DN113" s="249"/>
      <c r="DO113" s="247">
        <f t="shared" si="567"/>
        <v>0</v>
      </c>
      <c r="DP113" s="248">
        <f t="shared" si="567"/>
        <v>0</v>
      </c>
      <c r="DQ113" s="248">
        <f t="shared" si="567"/>
        <v>0</v>
      </c>
      <c r="DR113" s="248">
        <f t="shared" si="567"/>
        <v>0</v>
      </c>
      <c r="DS113" s="249"/>
      <c r="DT113" s="247">
        <f t="shared" si="568"/>
        <v>0</v>
      </c>
      <c r="DU113" s="248">
        <f t="shared" si="569"/>
        <v>0</v>
      </c>
      <c r="DV113" s="248">
        <f t="shared" si="570"/>
        <v>0</v>
      </c>
      <c r="DW113" s="248">
        <f t="shared" si="571"/>
        <v>0</v>
      </c>
      <c r="DX113" s="249"/>
      <c r="DY113" s="247">
        <f t="shared" si="572"/>
        <v>0</v>
      </c>
      <c r="DZ113" s="248">
        <f t="shared" si="573"/>
        <v>0</v>
      </c>
      <c r="EA113" s="248">
        <f t="shared" si="574"/>
        <v>0</v>
      </c>
      <c r="EB113" s="248">
        <f t="shared" si="575"/>
        <v>0</v>
      </c>
      <c r="EC113" s="249"/>
      <c r="EF113"/>
      <c r="EG113"/>
      <c r="EH113"/>
      <c r="EI113"/>
      <c r="EJ113"/>
      <c r="EK113"/>
      <c r="EL113"/>
      <c r="EM113"/>
      <c r="EN113"/>
      <c r="EO113"/>
      <c r="EP113"/>
      <c r="EQ113"/>
      <c r="ER113"/>
      <c r="ES113"/>
      <c r="ET113"/>
      <c r="EU113"/>
      <c r="EV113"/>
      <c r="EW113"/>
      <c r="EX113"/>
      <c r="EY113"/>
      <c r="EZ113"/>
      <c r="FA113"/>
    </row>
    <row r="114" spans="1:157" s="172" customFormat="1" x14ac:dyDescent="0.2">
      <c r="A114" s="596" t="s">
        <v>545</v>
      </c>
      <c r="B114" s="102"/>
      <c r="C114" s="102"/>
      <c r="D114" s="102"/>
      <c r="E114" s="102"/>
      <c r="F114" s="102"/>
      <c r="G114" s="102"/>
      <c r="H114" s="181"/>
      <c r="I114" s="245"/>
      <c r="J114" s="245"/>
      <c r="K114" s="245"/>
      <c r="L114" s="245"/>
      <c r="M114" s="244"/>
      <c r="N114" s="245"/>
      <c r="O114" s="245"/>
      <c r="P114" s="245"/>
      <c r="Q114" s="245"/>
      <c r="R114" s="244"/>
      <c r="S114" s="245"/>
      <c r="T114" s="245"/>
      <c r="U114" s="245"/>
      <c r="V114" s="245"/>
      <c r="W114" s="244"/>
      <c r="X114" s="245">
        <f>X39/W39-1</f>
        <v>-1.179245283018826E-3</v>
      </c>
      <c r="Y114" s="245">
        <f>Y39/X39-1</f>
        <v>-1.1806375442739103E-2</v>
      </c>
      <c r="Z114" s="245">
        <f>Z39/Y39-1</f>
        <v>3.1063321385901954E-2</v>
      </c>
      <c r="AA114" s="245">
        <f>AA39/Z39-1</f>
        <v>7.415990730011579E-2</v>
      </c>
      <c r="AB114" s="244"/>
      <c r="AC114" s="245">
        <f>AC39/AB39-1</f>
        <v>-0.11542610571736789</v>
      </c>
      <c r="AD114" s="245">
        <f>AD39/AC39-1</f>
        <v>5.1219512195121997E-2</v>
      </c>
      <c r="AE114" s="245">
        <f>AE39/AD39-1</f>
        <v>2.4361948955916368E-2</v>
      </c>
      <c r="AF114" s="245">
        <f>AF39/AE39-1</f>
        <v>0.11778029445073623</v>
      </c>
      <c r="AG114" s="244"/>
      <c r="AH114" s="245">
        <f>AH39/AG39-1</f>
        <v>2.6342451874366679E-2</v>
      </c>
      <c r="AI114" s="245">
        <f>AI39/AH39-1</f>
        <v>7.8973346495556651E-3</v>
      </c>
      <c r="AJ114" s="245">
        <f>AJ39/AI39-1</f>
        <v>2.0568070519098924E-2</v>
      </c>
      <c r="AK114" s="245">
        <f>AK39/AJ39-1</f>
        <v>-5.6621880998080631E-2</v>
      </c>
      <c r="AL114" s="244"/>
      <c r="AM114" s="245">
        <f>AM39/AL39-1</f>
        <v>3.0518819938962771E-3</v>
      </c>
      <c r="AN114" s="245">
        <f>AN39/AM39-1</f>
        <v>1.3184584178498993E-2</v>
      </c>
      <c r="AO114" s="245">
        <f>AO39/AN39-1</f>
        <v>4.0040040040039138E-3</v>
      </c>
      <c r="AP114" s="245">
        <f>AP39/AO39-1</f>
        <v>-8.9730807577268479E-3</v>
      </c>
      <c r="AQ114" s="244"/>
      <c r="AR114" s="245">
        <f>AR39/AQ39-1</f>
        <v>1.0060362173038184E-2</v>
      </c>
      <c r="AS114" s="245">
        <f>AS39/AR39-1</f>
        <v>-1.195219123505975E-2</v>
      </c>
      <c r="AT114" s="245">
        <f>AT39/AS39-1</f>
        <v>2.7217741935483764E-2</v>
      </c>
      <c r="AU114" s="245">
        <f>AU39/AT39-1</f>
        <v>-2.3552502453385693E-2</v>
      </c>
      <c r="AV114" s="246"/>
      <c r="AW114" s="246">
        <f>AW39/AV39-1</f>
        <v>3.1155778894472297E-2</v>
      </c>
      <c r="AX114" s="245">
        <f>AX39/AW39-1</f>
        <v>4.580896686159841E-2</v>
      </c>
      <c r="AY114" s="245">
        <f>AY39/AX39-1</f>
        <v>-1.7707362534948756E-2</v>
      </c>
      <c r="AZ114" s="245">
        <f>AZ39/AY39-1</f>
        <v>0.1138519924098671</v>
      </c>
      <c r="BA114" s="244"/>
      <c r="BB114" s="246">
        <f>BB39/BA39-1</f>
        <v>1.2776831345826301E-2</v>
      </c>
      <c r="BC114" s="245">
        <f>BC39/BB39-1</f>
        <v>8.41042893187538E-4</v>
      </c>
      <c r="BD114" s="245">
        <f>BD39/BC39-1</f>
        <v>-3.3613445378151141E-3</v>
      </c>
      <c r="BE114" s="245">
        <f>BE39/BD39-1</f>
        <v>-5.817875210792578E-2</v>
      </c>
      <c r="BF114" s="244"/>
      <c r="BG114" s="246">
        <f>BG39/BF39-1</f>
        <v>7.6096687555953446E-2</v>
      </c>
      <c r="BH114" s="245">
        <f>BH39/BG39-1</f>
        <v>1.830282861896837E-2</v>
      </c>
      <c r="BI114" s="245">
        <f>BI39/BH39-1</f>
        <v>-5.6372549019607865E-2</v>
      </c>
      <c r="BJ114" s="245">
        <f>BJ39/BI39-1</f>
        <v>0.19220779220779227</v>
      </c>
      <c r="BK114" s="244"/>
      <c r="BL114" s="246">
        <f>BL39/BK39-1</f>
        <v>0</v>
      </c>
      <c r="BM114" s="245">
        <f>BM39/BL39-1</f>
        <v>-5.6644880174291923E-2</v>
      </c>
      <c r="BN114" s="245">
        <f>BN39/BM39-1</f>
        <v>3.1562740569669012E-2</v>
      </c>
      <c r="BO114" s="245">
        <f>BO39/BN39-1</f>
        <v>-0.12388059701492538</v>
      </c>
      <c r="BP114" s="244"/>
      <c r="BQ114" s="246">
        <f>BQ39/BP39-1</f>
        <v>2.9812606473594627E-2</v>
      </c>
      <c r="BR114" s="245">
        <f>BR39/BQ39-1</f>
        <v>-1.7369727047146455E-2</v>
      </c>
      <c r="BS114" s="245">
        <f>BS39/BR39-1</f>
        <v>4.2929292929293039E-2</v>
      </c>
      <c r="BT114" s="245">
        <f>BT39/BS39-1</f>
        <v>3.6319612590798966E-2</v>
      </c>
      <c r="BU114" s="244"/>
      <c r="BV114" s="246">
        <f>BV39/BU39-1</f>
        <v>5.9968847352025012E-2</v>
      </c>
      <c r="BW114" s="245">
        <f>BW39/BV39-1</f>
        <v>-1.6164584864070575E-2</v>
      </c>
      <c r="BX114" s="245">
        <f>BX39/BW39-1</f>
        <v>-5.9746079163554899E-2</v>
      </c>
      <c r="BY114" s="245">
        <f>BY39/BX39-1</f>
        <v>0.16838760921366158</v>
      </c>
      <c r="BZ114" s="244"/>
      <c r="CA114" s="246">
        <f>CA39/BZ39-1</f>
        <v>0.13324269204622707</v>
      </c>
      <c r="CB114" s="245">
        <f>CB39/CA39-1</f>
        <v>-4.1991601679664092E-2</v>
      </c>
      <c r="CC114" s="245">
        <f>CC39/CB39-1</f>
        <v>-1.3775829680651275E-2</v>
      </c>
      <c r="CD114" s="245">
        <f>CD39/CC39-1</f>
        <v>2.5396825396826195E-3</v>
      </c>
      <c r="CE114" s="244"/>
      <c r="CF114" s="246">
        <f>CF39/CE39-1</f>
        <v>-4.0531982267257738E-2</v>
      </c>
      <c r="CG114" s="245">
        <f>CG39/CF39-1</f>
        <v>-1.980198019801982E-3</v>
      </c>
      <c r="CH114" s="245">
        <f>CH39/CG39-1</f>
        <v>7.9365079365079083E-3</v>
      </c>
      <c r="CI114" s="245">
        <f>CI39/CH39-1</f>
        <v>-0.18372703412073488</v>
      </c>
      <c r="CJ114" s="244"/>
      <c r="CK114" s="246">
        <f>CK39/CJ39-1</f>
        <v>-0.18408360128617363</v>
      </c>
      <c r="CL114" s="245">
        <f>CL39/CK39-1</f>
        <v>0</v>
      </c>
      <c r="CM114" s="245">
        <f>CM39/CL39-1</f>
        <v>0</v>
      </c>
      <c r="CN114" s="245">
        <f>CN39/CM39-1</f>
        <v>0</v>
      </c>
      <c r="CO114" s="244"/>
      <c r="CP114" s="880">
        <f>CP39/CO39-1</f>
        <v>-0.28669950738916261</v>
      </c>
      <c r="CQ114" s="245">
        <f>CQ39/CP39-1</f>
        <v>0</v>
      </c>
      <c r="CR114" s="245">
        <f>CR39/CQ39-1</f>
        <v>0</v>
      </c>
      <c r="CS114" s="245">
        <f>CS39/CR39-1</f>
        <v>0</v>
      </c>
      <c r="CT114" s="244"/>
      <c r="CU114" s="246">
        <f>CU39/CT39-1</f>
        <v>-0.15745856353591159</v>
      </c>
      <c r="CV114" s="245">
        <f>CV39/CU39-1</f>
        <v>0.1081967213114754</v>
      </c>
      <c r="CW114" s="245">
        <f>CW39/CV39-1</f>
        <v>-6.2130177514792884E-2</v>
      </c>
      <c r="CX114" s="245">
        <f>CX39/CW39-1</f>
        <v>0.11041009463722395</v>
      </c>
      <c r="CY114" s="244"/>
      <c r="CZ114" s="246">
        <f>CZ39/CY39-1</f>
        <v>-1.9886363636363646E-2</v>
      </c>
      <c r="DA114" s="245">
        <f>DA39/CZ39-1</f>
        <v>8.1159420289855122E-2</v>
      </c>
      <c r="DB114" s="245">
        <f>DB39/DA39-1</f>
        <v>-7.104557640750675E-2</v>
      </c>
      <c r="DC114" s="245">
        <f>DC39/DB39-1</f>
        <v>1.5873015873015817E-2</v>
      </c>
      <c r="DD114" s="244"/>
      <c r="DE114" s="247">
        <f>DE39/DD39-1</f>
        <v>-1.1363636363636354E-2</v>
      </c>
      <c r="DF114" s="248">
        <f>DF39/DE39-1</f>
        <v>-1.1494252873563204E-2</v>
      </c>
      <c r="DG114" s="248">
        <f>DG39/DF39-1</f>
        <v>-1.1627906976744207E-2</v>
      </c>
      <c r="DH114" s="248">
        <f>DH39/DG39-1</f>
        <v>-1.1764705882352899E-2</v>
      </c>
      <c r="DI114" s="249"/>
      <c r="DJ114" s="247">
        <f>DJ39/DI39-1</f>
        <v>-1.1904761904761862E-2</v>
      </c>
      <c r="DK114" s="248">
        <f>DK39/DJ39-1</f>
        <v>-1.2048192771084376E-2</v>
      </c>
      <c r="DL114" s="248">
        <f>DL39/DK39-1</f>
        <v>-1.2195121951219523E-2</v>
      </c>
      <c r="DM114" s="248">
        <f>DM39/DL39-1</f>
        <v>-1.2345679012345734E-2</v>
      </c>
      <c r="DN114" s="249"/>
      <c r="DO114" s="247">
        <f>DO39/DN39-1</f>
        <v>-1.2499999999999956E-2</v>
      </c>
      <c r="DP114" s="248">
        <f>DP39/DO39-1</f>
        <v>-1.2658227848101222E-2</v>
      </c>
      <c r="DQ114" s="248">
        <f>DQ39/DP39-1</f>
        <v>-1.2820512820512775E-2</v>
      </c>
      <c r="DR114" s="248">
        <f>DR39/DQ39-1</f>
        <v>-1.2987012987012991E-2</v>
      </c>
      <c r="DS114" s="249"/>
      <c r="DT114" s="247">
        <f>DT39/DS39-1</f>
        <v>-1.3157894736842146E-2</v>
      </c>
      <c r="DU114" s="248">
        <f>DU39/DT39-1</f>
        <v>-1.3333333333333308E-2</v>
      </c>
      <c r="DV114" s="248">
        <f>DV39/DU39-1</f>
        <v>-1.3513513513513487E-2</v>
      </c>
      <c r="DW114" s="248">
        <f>DW39/DV39-1</f>
        <v>-1.3698630136986356E-2</v>
      </c>
      <c r="DX114" s="249"/>
      <c r="DY114" s="247">
        <f>DY39/DX39-1</f>
        <v>-1.388888888888884E-2</v>
      </c>
      <c r="DZ114" s="248">
        <f>DZ39/DY39-1</f>
        <v>-1.4084507042253502E-2</v>
      </c>
      <c r="EA114" s="248">
        <f>EA39/DZ39-1</f>
        <v>-1.4285714285714235E-2</v>
      </c>
      <c r="EB114" s="248">
        <f>EB39/EA39-1</f>
        <v>-1.4492753623188359E-2</v>
      </c>
      <c r="EC114" s="249"/>
      <c r="EF114"/>
      <c r="EG114"/>
      <c r="EH114"/>
      <c r="EI114"/>
      <c r="EJ114"/>
      <c r="EK114"/>
      <c r="EL114"/>
      <c r="EM114"/>
      <c r="EN114"/>
      <c r="EO114"/>
      <c r="EP114"/>
      <c r="EQ114"/>
      <c r="ER114"/>
      <c r="ES114"/>
      <c r="ET114"/>
      <c r="EU114"/>
      <c r="EV114"/>
      <c r="EW114"/>
      <c r="EX114"/>
      <c r="EY114"/>
      <c r="EZ114"/>
      <c r="FA114"/>
    </row>
    <row r="115" spans="1:157" s="172" customFormat="1" x14ac:dyDescent="0.2">
      <c r="A115" s="613"/>
      <c r="B115" s="613"/>
      <c r="C115" s="613"/>
      <c r="D115" s="613"/>
      <c r="E115" s="613"/>
      <c r="F115" s="613"/>
      <c r="G115" s="613"/>
      <c r="H115" s="614"/>
      <c r="I115" s="615"/>
      <c r="J115" s="615"/>
      <c r="K115" s="615"/>
      <c r="L115" s="615"/>
      <c r="M115" s="615"/>
      <c r="N115" s="615"/>
      <c r="O115" s="615"/>
      <c r="P115" s="615"/>
      <c r="Q115" s="615"/>
      <c r="R115" s="615"/>
      <c r="S115" s="615"/>
      <c r="T115" s="615"/>
      <c r="U115" s="615"/>
      <c r="V115" s="615"/>
      <c r="W115" s="615"/>
      <c r="X115" s="615"/>
      <c r="Y115" s="615"/>
      <c r="Z115" s="615"/>
      <c r="AA115" s="615"/>
      <c r="AB115" s="615"/>
      <c r="AC115" s="615"/>
      <c r="AD115" s="615"/>
      <c r="AE115" s="615"/>
      <c r="AF115" s="615"/>
      <c r="AG115" s="615"/>
      <c r="AH115" s="615"/>
      <c r="AI115" s="615"/>
      <c r="AJ115" s="615"/>
      <c r="AK115" s="615"/>
      <c r="AL115" s="615"/>
      <c r="AM115" s="615"/>
      <c r="AN115" s="615"/>
      <c r="AO115" s="615"/>
      <c r="AP115" s="615"/>
      <c r="AQ115" s="615"/>
      <c r="AR115" s="615"/>
      <c r="AS115" s="615"/>
      <c r="AT115" s="615"/>
      <c r="AU115" s="615"/>
      <c r="AV115" s="615"/>
      <c r="AW115" s="615"/>
      <c r="AX115" s="615"/>
      <c r="AY115" s="615"/>
      <c r="AZ115" s="615"/>
      <c r="BA115" s="615"/>
      <c r="BB115" s="615"/>
      <c r="BC115" s="615"/>
      <c r="BD115" s="615"/>
      <c r="BE115" s="615"/>
      <c r="BF115" s="615"/>
      <c r="BG115" s="615"/>
      <c r="BH115" s="615"/>
      <c r="BI115" s="615"/>
      <c r="BJ115" s="615"/>
      <c r="BK115" s="615"/>
      <c r="BL115" s="615"/>
      <c r="BM115" s="615"/>
      <c r="BN115" s="615"/>
      <c r="BO115" s="615"/>
      <c r="BP115" s="615"/>
      <c r="BQ115" s="615"/>
      <c r="BR115" s="615"/>
      <c r="BS115" s="615"/>
      <c r="BT115" s="615"/>
      <c r="BU115" s="615"/>
      <c r="BV115" s="615"/>
      <c r="BW115" s="615"/>
      <c r="BX115" s="615"/>
      <c r="BY115" s="615"/>
      <c r="BZ115" s="615"/>
      <c r="CA115" s="615"/>
      <c r="CB115" s="615"/>
      <c r="CC115" s="615"/>
      <c r="CD115" s="615"/>
      <c r="CE115" s="615"/>
      <c r="CF115" s="616"/>
      <c r="CG115" s="615"/>
      <c r="CH115" s="615"/>
      <c r="CI115" s="615"/>
      <c r="CJ115" s="615"/>
      <c r="CK115" s="615"/>
      <c r="CL115" s="616"/>
      <c r="CM115" s="615"/>
      <c r="CN115" s="615"/>
      <c r="CO115" s="615"/>
      <c r="CP115" s="897"/>
      <c r="CQ115" s="615"/>
      <c r="CR115" s="615"/>
      <c r="CS115" s="615"/>
      <c r="CT115" s="615"/>
      <c r="CU115" s="615"/>
      <c r="CV115" s="615"/>
      <c r="CW115" s="615"/>
      <c r="CX115" s="615"/>
      <c r="CY115" s="615"/>
      <c r="CZ115" s="615"/>
      <c r="DA115" s="616"/>
      <c r="DB115" s="616"/>
      <c r="DC115" s="615"/>
      <c r="DD115" s="615"/>
      <c r="DE115" s="616"/>
      <c r="DF115" s="616"/>
      <c r="DG115" s="616"/>
      <c r="DH115" s="616"/>
      <c r="DI115" s="616"/>
      <c r="DJ115" s="616"/>
      <c r="DK115" s="616"/>
      <c r="DL115" s="616"/>
      <c r="DM115" s="616"/>
      <c r="DN115" s="616"/>
      <c r="DO115" s="616"/>
      <c r="DP115" s="616"/>
      <c r="DQ115" s="616"/>
      <c r="DR115" s="616"/>
      <c r="DS115" s="616"/>
      <c r="DT115" s="616"/>
      <c r="DU115" s="616"/>
      <c r="DV115" s="616"/>
      <c r="DW115" s="616"/>
      <c r="DX115" s="616"/>
      <c r="DY115" s="616"/>
      <c r="DZ115" s="616"/>
      <c r="EA115" s="616"/>
      <c r="EB115" s="616"/>
      <c r="EC115" s="616"/>
      <c r="EF115"/>
      <c r="EG115"/>
      <c r="EH115"/>
      <c r="EI115"/>
      <c r="EJ115"/>
      <c r="EK115"/>
      <c r="EL115"/>
      <c r="EM115"/>
      <c r="EN115"/>
      <c r="EO115"/>
      <c r="EP115"/>
      <c r="EQ115"/>
      <c r="ER115"/>
      <c r="ES115"/>
      <c r="ET115"/>
      <c r="EU115"/>
      <c r="EV115"/>
      <c r="EW115"/>
      <c r="EX115"/>
      <c r="EY115"/>
      <c r="EZ115"/>
      <c r="FA115"/>
    </row>
    <row r="116" spans="1:157" s="172" customFormat="1" x14ac:dyDescent="0.2">
      <c r="A116" s="102"/>
      <c r="B116" s="102"/>
      <c r="C116" s="102"/>
      <c r="D116" s="102"/>
      <c r="E116" s="102"/>
      <c r="F116" s="102"/>
      <c r="G116" s="102"/>
      <c r="I116" s="245"/>
      <c r="J116" s="245"/>
      <c r="K116" s="245"/>
      <c r="L116" s="245"/>
      <c r="M116" s="245"/>
      <c r="N116" s="245"/>
      <c r="O116" s="245"/>
      <c r="P116" s="245"/>
      <c r="Q116" s="245"/>
      <c r="R116" s="245"/>
      <c r="S116" s="245"/>
      <c r="T116" s="245"/>
      <c r="U116" s="245"/>
      <c r="V116" s="245"/>
      <c r="W116" s="245"/>
      <c r="X116" s="245"/>
      <c r="Y116" s="245"/>
      <c r="Z116" s="245"/>
      <c r="AA116" s="245"/>
      <c r="AB116" s="245"/>
      <c r="AC116" s="245"/>
      <c r="AD116" s="245"/>
      <c r="AE116" s="245"/>
      <c r="AF116" s="245"/>
      <c r="AG116" s="245"/>
      <c r="AH116" s="245"/>
      <c r="AI116" s="245"/>
      <c r="AJ116" s="245"/>
      <c r="AK116" s="245"/>
      <c r="AL116" s="245"/>
      <c r="AM116" s="245"/>
      <c r="AN116" s="245"/>
      <c r="AO116" s="245"/>
      <c r="AP116" s="245"/>
      <c r="AQ116" s="245"/>
      <c r="AR116" s="245"/>
      <c r="AS116" s="245"/>
      <c r="AT116" s="245"/>
      <c r="AU116" s="245"/>
      <c r="AV116" s="245"/>
      <c r="AW116" s="245"/>
      <c r="AX116" s="245"/>
      <c r="AY116" s="245"/>
      <c r="AZ116" s="245"/>
      <c r="BA116" s="245"/>
      <c r="BB116" s="245"/>
      <c r="BC116" s="245"/>
      <c r="BD116" s="245"/>
      <c r="BE116" s="245"/>
      <c r="BF116" s="245"/>
      <c r="BG116" s="245"/>
      <c r="BH116" s="245"/>
      <c r="BI116" s="245"/>
      <c r="BJ116" s="245"/>
      <c r="BK116" s="245"/>
      <c r="BL116" s="245"/>
      <c r="BM116" s="245"/>
      <c r="BN116" s="245"/>
      <c r="BO116" s="245"/>
      <c r="BP116" s="245"/>
      <c r="BQ116" s="245"/>
      <c r="BR116" s="245"/>
      <c r="BS116" s="245"/>
      <c r="BT116" s="245"/>
      <c r="BU116" s="245"/>
      <c r="BV116" s="245"/>
      <c r="BW116" s="245"/>
      <c r="BX116" s="245"/>
      <c r="BY116" s="245"/>
      <c r="BZ116" s="245"/>
      <c r="CA116" s="245"/>
      <c r="CB116" s="245"/>
      <c r="CC116" s="245"/>
      <c r="CD116" s="245"/>
      <c r="CE116" s="245"/>
      <c r="CF116" s="248"/>
      <c r="CG116" s="245"/>
      <c r="CH116" s="245"/>
      <c r="CI116" s="245"/>
      <c r="CJ116" s="245"/>
      <c r="CK116" s="245"/>
      <c r="CL116" s="248"/>
      <c r="CM116" s="245"/>
      <c r="CN116" s="245"/>
      <c r="CO116" s="245"/>
      <c r="CP116" s="898"/>
      <c r="CQ116" s="245"/>
      <c r="CR116" s="245"/>
      <c r="CS116" s="245"/>
      <c r="CT116" s="245"/>
      <c r="CU116" s="245"/>
      <c r="CV116" s="245"/>
      <c r="CW116" s="245"/>
      <c r="CX116" s="245"/>
      <c r="CY116" s="245"/>
      <c r="CZ116" s="245"/>
      <c r="DA116" s="248"/>
      <c r="DB116" s="248"/>
      <c r="DC116" s="245"/>
      <c r="DD116" s="245"/>
      <c r="DE116" s="248"/>
      <c r="DF116" s="248"/>
      <c r="DG116" s="248"/>
      <c r="DH116" s="248"/>
      <c r="DI116" s="248"/>
      <c r="DJ116" s="248"/>
      <c r="DK116" s="248"/>
      <c r="DL116" s="248"/>
      <c r="DM116" s="248"/>
      <c r="DN116" s="248"/>
      <c r="DO116" s="248"/>
      <c r="DP116" s="248"/>
      <c r="DQ116" s="248"/>
      <c r="DR116" s="248"/>
      <c r="DS116" s="248"/>
      <c r="DT116" s="248"/>
      <c r="DU116" s="248"/>
      <c r="DV116" s="248"/>
      <c r="DW116" s="248"/>
      <c r="DX116" s="248"/>
      <c r="DY116" s="248"/>
      <c r="DZ116" s="248"/>
      <c r="EA116" s="248"/>
      <c r="EB116" s="248"/>
      <c r="EC116" s="248"/>
      <c r="EF116"/>
      <c r="EG116"/>
      <c r="EH116"/>
      <c r="EI116"/>
      <c r="EJ116"/>
      <c r="EK116"/>
      <c r="EL116"/>
      <c r="EM116"/>
      <c r="EN116"/>
      <c r="EO116"/>
      <c r="EP116"/>
      <c r="EQ116"/>
      <c r="ER116"/>
      <c r="ES116"/>
      <c r="ET116"/>
      <c r="EU116"/>
      <c r="EV116"/>
      <c r="EW116"/>
      <c r="EX116"/>
      <c r="EY116"/>
      <c r="EZ116"/>
      <c r="FA116"/>
    </row>
    <row r="117" spans="1:157" s="172" customFormat="1" x14ac:dyDescent="0.2">
      <c r="A117" s="533" t="s">
        <v>93</v>
      </c>
      <c r="V117" s="173"/>
      <c r="AR117" s="175"/>
      <c r="AS117" s="175"/>
      <c r="AT117" s="175"/>
      <c r="AU117" s="175"/>
      <c r="CP117" s="871"/>
      <c r="EF117"/>
      <c r="EG117"/>
      <c r="EH117"/>
      <c r="EI117"/>
      <c r="EJ117"/>
      <c r="EK117"/>
      <c r="EL117"/>
      <c r="EM117"/>
      <c r="EN117"/>
      <c r="EO117"/>
      <c r="EP117"/>
      <c r="EQ117"/>
      <c r="ER117"/>
      <c r="ES117"/>
      <c r="ET117"/>
      <c r="EU117"/>
      <c r="EV117"/>
      <c r="EW117"/>
      <c r="EX117"/>
      <c r="EY117"/>
      <c r="EZ117"/>
      <c r="FA117"/>
    </row>
    <row r="118" spans="1:157" s="172" customFormat="1" x14ac:dyDescent="0.2">
      <c r="A118" s="831" t="s">
        <v>360</v>
      </c>
      <c r="B118" s="832"/>
      <c r="C118" s="832"/>
      <c r="D118" s="832"/>
      <c r="E118" s="832"/>
      <c r="F118" s="832"/>
      <c r="G118" s="832"/>
      <c r="H118" s="832"/>
      <c r="I118" s="832"/>
      <c r="J118" s="832"/>
      <c r="K118" s="832"/>
      <c r="L118" s="832"/>
      <c r="M118" s="832"/>
      <c r="N118" s="832"/>
      <c r="O118" s="832"/>
      <c r="P118" s="832"/>
      <c r="Q118" s="832"/>
      <c r="R118" s="832"/>
      <c r="S118" s="832"/>
      <c r="T118" s="832"/>
      <c r="U118" s="832"/>
      <c r="V118" s="833"/>
      <c r="W118" s="832"/>
      <c r="X118" s="832"/>
      <c r="Y118" s="832"/>
      <c r="Z118" s="832"/>
      <c r="AA118" s="832"/>
      <c r="AB118" s="832"/>
      <c r="AC118" s="832"/>
      <c r="AD118" s="832"/>
      <c r="AE118" s="832"/>
      <c r="AF118" s="832"/>
      <c r="AG118" s="832"/>
      <c r="AH118" s="832">
        <f>'IS '!AF22</f>
        <v>1802</v>
      </c>
      <c r="AI118" s="832">
        <f>'IS '!AG22</f>
        <v>1936</v>
      </c>
      <c r="AJ118" s="832">
        <f>'IS '!AH22</f>
        <v>1989</v>
      </c>
      <c r="AK118" s="832">
        <f>'IS '!AI22</f>
        <v>2653</v>
      </c>
      <c r="AL118" s="832"/>
      <c r="AM118" s="834">
        <f>'IS '!AK22</f>
        <v>1970</v>
      </c>
      <c r="AN118" s="834">
        <f>'IS '!AL22</f>
        <v>2077</v>
      </c>
      <c r="AO118" s="834">
        <f>'IS '!AM22</f>
        <v>2179</v>
      </c>
      <c r="AP118" s="834">
        <f>'IS '!AN22</f>
        <v>2785</v>
      </c>
      <c r="AQ118" s="834"/>
      <c r="AR118" s="834">
        <f>'IS '!AP22</f>
        <v>2054</v>
      </c>
      <c r="AS118" s="834">
        <f>'IS '!AQ22</f>
        <v>2153</v>
      </c>
      <c r="AT118" s="834">
        <f>'IS '!AR22</f>
        <v>2243</v>
      </c>
      <c r="AU118" s="834">
        <f>'IS '!AS22</f>
        <v>2899</v>
      </c>
      <c r="AV118" s="834"/>
      <c r="AW118" s="834">
        <f>'IS '!AU22</f>
        <v>2085</v>
      </c>
      <c r="AX118" s="834">
        <f>'IS '!AV22</f>
        <v>2182</v>
      </c>
      <c r="AY118" s="834">
        <f>'IS '!AW22</f>
        <v>2278</v>
      </c>
      <c r="AZ118" s="834">
        <f>'IS '!AX22</f>
        <v>3016</v>
      </c>
      <c r="BA118" s="832"/>
      <c r="BB118" s="834">
        <f>'IS '!AZ22</f>
        <v>2223</v>
      </c>
      <c r="BC118" s="834">
        <f>'IS '!BA22</f>
        <v>2367</v>
      </c>
      <c r="BD118" s="834">
        <f>'IS '!BB22</f>
        <v>2564</v>
      </c>
      <c r="BE118" s="834">
        <f>'IS '!BC22</f>
        <v>3262</v>
      </c>
      <c r="BF118" s="832"/>
      <c r="BG118" s="834">
        <f>'IS '!BE22</f>
        <v>2413</v>
      </c>
      <c r="BH118" s="834">
        <f>'IS '!BF22</f>
        <v>2653</v>
      </c>
      <c r="BI118" s="834">
        <f>'IS '!BG22</f>
        <v>2842</v>
      </c>
      <c r="BJ118" s="834">
        <f>'IS '!BH22</f>
        <v>3383</v>
      </c>
      <c r="BK118" s="832"/>
      <c r="BL118" s="834">
        <f>'IS '!BJ22</f>
        <v>2217</v>
      </c>
      <c r="BM118" s="834">
        <f>'IS '!BK22</f>
        <v>2476</v>
      </c>
      <c r="BN118" s="834">
        <f>'IS '!BL22</f>
        <v>2778</v>
      </c>
      <c r="BO118" s="834">
        <f>'IS '!BM22</f>
        <v>3365</v>
      </c>
      <c r="BP118" s="832"/>
      <c r="BQ118" s="834">
        <f>'IS '!BO22</f>
        <v>2345</v>
      </c>
      <c r="BR118" s="834">
        <f>'IS '!BP22</f>
        <v>2574</v>
      </c>
      <c r="BS118" s="834">
        <f>'IS '!BQ22</f>
        <v>2862</v>
      </c>
      <c r="BT118" s="834">
        <f>'IS '!BR22</f>
        <v>3562</v>
      </c>
      <c r="BU118" s="832"/>
      <c r="BV118" s="834">
        <f>'IS '!BT22</f>
        <v>2425</v>
      </c>
      <c r="BW118" s="834">
        <f>'IS '!BU22</f>
        <v>2816</v>
      </c>
      <c r="BX118" s="834">
        <f>'IS '!BV22</f>
        <v>3274</v>
      </c>
      <c r="BY118" s="834">
        <f>'IS '!BW22</f>
        <v>4111</v>
      </c>
      <c r="BZ118" s="722"/>
      <c r="CA118" s="834">
        <f>'IS '!BY22</f>
        <v>2743</v>
      </c>
      <c r="CB118" s="834">
        <f>'IS '!BZ22</f>
        <v>3168</v>
      </c>
      <c r="CC118" s="834">
        <f>'IS '!CA22</f>
        <v>3569</v>
      </c>
      <c r="CD118" s="834">
        <f>'IS '!CB22</f>
        <v>4153</v>
      </c>
      <c r="CE118" s="722"/>
      <c r="CF118" s="834">
        <f>'IS '!CD22</f>
        <v>1421.3265000000001</v>
      </c>
      <c r="CG118" s="834">
        <f>'IS '!CE22</f>
        <v>1500.7075</v>
      </c>
      <c r="CH118" s="834">
        <f>'IS '!CF22</f>
        <v>1500.5374999999999</v>
      </c>
      <c r="CI118" s="834">
        <f>'IS '!CG22</f>
        <v>1994.4285</v>
      </c>
      <c r="CJ118" s="1134">
        <f>SUM(CF118:CI118)</f>
        <v>6417</v>
      </c>
      <c r="CK118" s="834">
        <f>'IS '!CI22</f>
        <v>1391.4389999999999</v>
      </c>
      <c r="CL118" s="834">
        <f>'IS '!CJ22</f>
        <v>1551.0029999999999</v>
      </c>
      <c r="CM118" s="834">
        <f>'IS '!CK22</f>
        <v>1574.605</v>
      </c>
      <c r="CN118" s="834">
        <f>'IS '!CL22</f>
        <v>2069.953</v>
      </c>
      <c r="CO118" s="1134">
        <f>SUM(CK118:CN118)</f>
        <v>6587</v>
      </c>
      <c r="CP118" s="899">
        <f>'IS '!CN22</f>
        <v>1476.3225</v>
      </c>
      <c r="CQ118" s="834">
        <f>'IS '!CO22</f>
        <v>1530.5160000000001</v>
      </c>
      <c r="CR118" s="834">
        <f>'IS '!CP22</f>
        <v>1519.4425000000001</v>
      </c>
      <c r="CS118" s="834">
        <f>'IS '!CQ22</f>
        <v>1895</v>
      </c>
      <c r="CT118" s="1134">
        <f>SUM(CP118:CS118)</f>
        <v>6421.2809999999999</v>
      </c>
      <c r="CU118" s="834">
        <f>'IS '!CS22</f>
        <v>1443</v>
      </c>
      <c r="CV118" s="834">
        <f>'IS '!CT22</f>
        <v>1510</v>
      </c>
      <c r="CW118" s="834">
        <f>'IS '!CU22</f>
        <v>1517</v>
      </c>
      <c r="CX118" s="834">
        <f>'IS '!CV22</f>
        <v>1887</v>
      </c>
      <c r="CY118" s="1134">
        <f>SUM(CU118:CX118)</f>
        <v>6357</v>
      </c>
      <c r="CZ118" s="834">
        <f>'IS '!CX22</f>
        <v>1417</v>
      </c>
      <c r="DA118" s="834">
        <f>'IS '!CY22</f>
        <v>1448</v>
      </c>
      <c r="DB118" s="834">
        <f>'IS '!CZ22</f>
        <v>1436</v>
      </c>
      <c r="DC118" s="834">
        <f>'IS '!DA22</f>
        <v>1577</v>
      </c>
      <c r="DD118" s="1134">
        <f>SUM(CZ118:DC118)</f>
        <v>5878</v>
      </c>
      <c r="DE118" s="835">
        <f>'IS '!DC22</f>
        <v>1086.3862816089797</v>
      </c>
      <c r="DF118" s="835">
        <f>'IS '!DD22</f>
        <v>1068.1447224978519</v>
      </c>
      <c r="DG118" s="835">
        <f>'IS '!DE22</f>
        <v>1056.6912095144737</v>
      </c>
      <c r="DH118" s="835">
        <f>'IS '!DF22</f>
        <v>1287.1635263706448</v>
      </c>
      <c r="DI118" s="1134">
        <f>SUM(DE118:DH118)</f>
        <v>4498.3857399919498</v>
      </c>
      <c r="DJ118" s="835">
        <f>'IS '!DH22</f>
        <v>994.20914826552314</v>
      </c>
      <c r="DK118" s="835">
        <f>'IS '!DI22</f>
        <v>997.47839416223394</v>
      </c>
      <c r="DL118" s="835">
        <f>'IS '!DJ22</f>
        <v>1004.5889476678701</v>
      </c>
      <c r="DM118" s="835">
        <f>'IS '!DK22</f>
        <v>1219.3914075598414</v>
      </c>
      <c r="DN118" s="722"/>
      <c r="DO118" s="835">
        <f>'IS '!DM22</f>
        <v>949.14674058691162</v>
      </c>
      <c r="DP118" s="835">
        <f>'IS '!DN22</f>
        <v>987.16580258144984</v>
      </c>
      <c r="DQ118" s="835">
        <f>'IS '!DO22</f>
        <v>1031.3097159612312</v>
      </c>
      <c r="DR118" s="835">
        <f>'IS '!DP22</f>
        <v>1300.0031490275078</v>
      </c>
      <c r="DS118" s="722"/>
      <c r="DT118" s="835">
        <f>'IS '!DR22</f>
        <v>1029.9163193762888</v>
      </c>
      <c r="DU118" s="835">
        <f>'IS '!DS22</f>
        <v>1071.2863119353806</v>
      </c>
      <c r="DV118" s="835">
        <f>'IS '!DT22</f>
        <v>1118.2060333407285</v>
      </c>
      <c r="DW118" s="835">
        <f>'IS '!DU22</f>
        <v>1410.1148162138634</v>
      </c>
      <c r="DX118" s="722"/>
      <c r="DY118" s="835">
        <f>'IS '!DW22</f>
        <v>1117.1652196004115</v>
      </c>
      <c r="DZ118" s="835">
        <f>'IS '!DX22</f>
        <v>1166.3167781125308</v>
      </c>
      <c r="EA118" s="835">
        <f>'IS '!DY22</f>
        <v>1220.6769686626108</v>
      </c>
      <c r="EB118" s="835">
        <f>'IS '!DZ22</f>
        <v>1545.446373690779</v>
      </c>
      <c r="EC118" s="722"/>
      <c r="EF118"/>
      <c r="EG118"/>
      <c r="EH118"/>
      <c r="EI118"/>
      <c r="EJ118"/>
      <c r="EK118"/>
      <c r="EL118"/>
      <c r="EM118"/>
      <c r="EN118"/>
      <c r="EO118"/>
      <c r="EP118"/>
      <c r="EQ118"/>
      <c r="ER118"/>
      <c r="ES118"/>
      <c r="ET118"/>
      <c r="EU118"/>
      <c r="EV118"/>
      <c r="EW118"/>
      <c r="EX118"/>
      <c r="EY118"/>
      <c r="EZ118"/>
      <c r="FA118"/>
    </row>
    <row r="119" spans="1:157" s="172" customFormat="1" x14ac:dyDescent="0.2">
      <c r="A119" s="267" t="s">
        <v>69</v>
      </c>
      <c r="V119" s="173"/>
      <c r="AH119" s="172">
        <f>'IS '!AF24</f>
        <v>492</v>
      </c>
      <c r="AI119" s="172">
        <f>'IS '!AG24</f>
        <v>532</v>
      </c>
      <c r="AJ119" s="172">
        <f>'IS '!AH24</f>
        <v>544</v>
      </c>
      <c r="AK119" s="172">
        <f>'IS '!AI24</f>
        <v>732</v>
      </c>
      <c r="AM119" s="268">
        <f>'IS '!AK24</f>
        <v>540</v>
      </c>
      <c r="AN119" s="268">
        <f>'IS '!AL24</f>
        <v>588</v>
      </c>
      <c r="AO119" s="268">
        <f>'IS '!AM24</f>
        <v>618</v>
      </c>
      <c r="AP119" s="268">
        <f>'IS '!AN24</f>
        <v>792</v>
      </c>
      <c r="AQ119" s="268"/>
      <c r="AR119" s="268">
        <f>'IS '!AP24</f>
        <v>574</v>
      </c>
      <c r="AS119" s="268">
        <f>'IS '!AQ24</f>
        <v>600</v>
      </c>
      <c r="AT119" s="268">
        <f>'IS '!AR24</f>
        <v>619</v>
      </c>
      <c r="AU119" s="268">
        <f>'IS '!AS24</f>
        <v>791</v>
      </c>
      <c r="AV119" s="268"/>
      <c r="AW119" s="268">
        <f>'IS '!AU24</f>
        <v>557</v>
      </c>
      <c r="AX119" s="268">
        <f>'IS '!AV24</f>
        <v>583</v>
      </c>
      <c r="AY119" s="268">
        <f>'IS '!AW24</f>
        <v>606</v>
      </c>
      <c r="AZ119" s="268">
        <f>'IS '!AX24</f>
        <v>803</v>
      </c>
      <c r="BB119" s="268">
        <f>'IS '!AZ24</f>
        <v>586</v>
      </c>
      <c r="BC119" s="268">
        <f>'IS '!BA24</f>
        <v>638</v>
      </c>
      <c r="BD119" s="268">
        <f>'IS '!BB24</f>
        <v>700</v>
      </c>
      <c r="BE119" s="268">
        <f>'IS '!BC24</f>
        <v>900</v>
      </c>
      <c r="BG119" s="268">
        <f>'IS '!BE24</f>
        <v>669</v>
      </c>
      <c r="BH119" s="268">
        <f>'IS '!BF24</f>
        <v>766</v>
      </c>
      <c r="BI119" s="268">
        <f>'IS '!BG24</f>
        <v>830</v>
      </c>
      <c r="BJ119" s="268">
        <f>'IS '!BH24</f>
        <v>974</v>
      </c>
      <c r="BL119" s="268">
        <f>'IS '!BJ24</f>
        <v>611</v>
      </c>
      <c r="BM119" s="268">
        <f>'IS '!BK24</f>
        <v>693</v>
      </c>
      <c r="BN119" s="268">
        <f>'IS '!BL24</f>
        <v>777</v>
      </c>
      <c r="BO119" s="268">
        <f>'IS '!BM24</f>
        <v>922</v>
      </c>
      <c r="BQ119" s="268">
        <f>'IS '!BO24</f>
        <v>625</v>
      </c>
      <c r="BR119" s="268">
        <f>'IS '!BP24</f>
        <v>699</v>
      </c>
      <c r="BS119" s="268">
        <f>'IS '!BQ24</f>
        <v>788</v>
      </c>
      <c r="BT119" s="268">
        <f>'IS '!BR24</f>
        <v>979</v>
      </c>
      <c r="BV119" s="268">
        <f>'IS '!BT24</f>
        <v>662</v>
      </c>
      <c r="BW119" s="268">
        <f>'IS '!BU24</f>
        <v>792</v>
      </c>
      <c r="BX119" s="268">
        <f>'IS '!BV24</f>
        <v>970</v>
      </c>
      <c r="BY119" s="268">
        <f>'IS '!BW24</f>
        <v>1209</v>
      </c>
      <c r="BZ119" s="181"/>
      <c r="CA119" s="268">
        <f>'IS '!BY24</f>
        <v>767</v>
      </c>
      <c r="CB119" s="268">
        <f>'IS '!BZ24</f>
        <v>916</v>
      </c>
      <c r="CC119" s="268">
        <f>'IS '!CA24</f>
        <v>1029</v>
      </c>
      <c r="CD119" s="268">
        <f>'IS '!CB24</f>
        <v>1162</v>
      </c>
      <c r="CE119" s="181"/>
      <c r="CF119" s="268">
        <f>'IS '!CD24</f>
        <v>305</v>
      </c>
      <c r="CG119" s="268">
        <f>'IS '!CE24</f>
        <v>336</v>
      </c>
      <c r="CH119" s="268">
        <f>'IS '!CF24</f>
        <v>332</v>
      </c>
      <c r="CI119" s="268">
        <f>'IS '!CG24</f>
        <v>438</v>
      </c>
      <c r="CJ119" s="1135">
        <f>SUM(CF119:CI119)</f>
        <v>1411</v>
      </c>
      <c r="CK119" s="268">
        <f>'IS '!CI24</f>
        <v>307</v>
      </c>
      <c r="CL119" s="268">
        <f>'IS '!CJ24</f>
        <v>355</v>
      </c>
      <c r="CM119" s="268">
        <f>'IS '!CK24</f>
        <v>353</v>
      </c>
      <c r="CN119" s="268">
        <f>'IS '!CL24</f>
        <v>456</v>
      </c>
      <c r="CO119" s="1135">
        <f>SUM(CK119:CN119)</f>
        <v>1471</v>
      </c>
      <c r="CP119" s="900">
        <f>'IS '!CN24</f>
        <v>296</v>
      </c>
      <c r="CQ119" s="268">
        <f>'IS '!CO24</f>
        <v>326</v>
      </c>
      <c r="CR119" s="268">
        <f>'IS '!CP24</f>
        <v>322</v>
      </c>
      <c r="CS119" s="268">
        <f>'IS '!CQ24</f>
        <v>404</v>
      </c>
      <c r="CT119" s="1135">
        <f>SUM(CP119:CS119)</f>
        <v>1348</v>
      </c>
      <c r="CU119" s="268">
        <f>'IS '!CS24</f>
        <v>287</v>
      </c>
      <c r="CV119" s="268">
        <f>'IS '!CT24</f>
        <v>307</v>
      </c>
      <c r="CW119" s="268">
        <f>'IS '!CU24</f>
        <v>303</v>
      </c>
      <c r="CX119" s="268">
        <f>'IS '!CV24</f>
        <v>370</v>
      </c>
      <c r="CY119" s="1135">
        <f>SUM(CU119:CX119)</f>
        <v>1267</v>
      </c>
      <c r="CZ119" s="268">
        <f>'IS '!CX24</f>
        <v>276</v>
      </c>
      <c r="DA119" s="268">
        <f>'IS '!CY24</f>
        <v>280</v>
      </c>
      <c r="DB119" s="268">
        <f>'IS '!CZ24</f>
        <v>275</v>
      </c>
      <c r="DC119" s="268">
        <f>'IS '!DA24</f>
        <v>272</v>
      </c>
      <c r="DD119" s="1135">
        <f>SUM(CZ119:DC119)</f>
        <v>1103</v>
      </c>
      <c r="DE119" s="269">
        <f>'IS '!DC24</f>
        <v>153.88144561463022</v>
      </c>
      <c r="DF119" s="269">
        <f>'IS '!DD24</f>
        <v>142.88674607525323</v>
      </c>
      <c r="DG119" s="269">
        <f>'IS '!DE24</f>
        <v>133.6651348445713</v>
      </c>
      <c r="DH119" s="269">
        <f>'IS '!DF24</f>
        <v>157.91674966346227</v>
      </c>
      <c r="DI119" s="1135">
        <f>SUM(DE119:DH119)</f>
        <v>588.35007619791702</v>
      </c>
      <c r="DJ119" s="269">
        <f>'IS '!DH24</f>
        <v>110.30008131807531</v>
      </c>
      <c r="DK119" s="269">
        <f>'IS '!DI24</f>
        <v>105.81334000251744</v>
      </c>
      <c r="DL119" s="269">
        <f>'IS '!DJ24</f>
        <v>100.8612550623248</v>
      </c>
      <c r="DM119" s="269">
        <f>'IS '!DK24</f>
        <v>115.70014101242006</v>
      </c>
      <c r="DN119" s="181"/>
      <c r="DO119" s="269">
        <f>'IS '!DM24</f>
        <v>81.709291014213136</v>
      </c>
      <c r="DP119" s="269">
        <f>'IS '!DN24</f>
        <v>87.877340377068151</v>
      </c>
      <c r="DQ119" s="269">
        <f>'IS '!DO24</f>
        <v>94.09622002306763</v>
      </c>
      <c r="DR119" s="269">
        <f>'IS '!DP24</f>
        <v>122.79469665040412</v>
      </c>
      <c r="DS119" s="181"/>
      <c r="DT119" s="269">
        <f>'IS '!DR24</f>
        <v>92.852026106253604</v>
      </c>
      <c r="DU119" s="269">
        <f>'IS '!DS24</f>
        <v>99.597975518441501</v>
      </c>
      <c r="DV119" s="269">
        <f>'IS '!DT24</f>
        <v>106.29124525553554</v>
      </c>
      <c r="DW119" s="269">
        <f>'IS '!DU24</f>
        <v>138.46840296360244</v>
      </c>
      <c r="DX119" s="181"/>
      <c r="DY119" s="269">
        <f>'IS '!DW24</f>
        <v>105.14253579048339</v>
      </c>
      <c r="DZ119" s="269">
        <f>'IS '!DX24</f>
        <v>113.93319038879849</v>
      </c>
      <c r="EA119" s="269">
        <f>'IS '!DY24</f>
        <v>122.6832323761658</v>
      </c>
      <c r="EB119" s="269">
        <f>'IS '!DZ24</f>
        <v>161.34430809637317</v>
      </c>
      <c r="EC119" s="181"/>
      <c r="EF119"/>
      <c r="EG119"/>
      <c r="EH119"/>
      <c r="EI119"/>
      <c r="EJ119"/>
      <c r="EK119"/>
      <c r="EL119"/>
      <c r="EM119"/>
      <c r="EN119"/>
      <c r="EO119"/>
      <c r="EP119"/>
      <c r="EQ119"/>
      <c r="ER119"/>
      <c r="ES119"/>
      <c r="ET119"/>
      <c r="EU119"/>
      <c r="EV119"/>
      <c r="EW119"/>
      <c r="EX119"/>
      <c r="EY119"/>
      <c r="EZ119"/>
      <c r="FA119"/>
    </row>
    <row r="120" spans="1:157" s="172" customFormat="1" x14ac:dyDescent="0.2">
      <c r="A120" s="267" t="s">
        <v>391</v>
      </c>
      <c r="V120" s="173"/>
      <c r="AH120" s="172">
        <f>'IS '!AF28</f>
        <v>203</v>
      </c>
      <c r="AI120" s="172">
        <f>'IS '!AG28</f>
        <v>208</v>
      </c>
      <c r="AJ120" s="172">
        <f>'IS '!AH28</f>
        <v>212</v>
      </c>
      <c r="AK120" s="172">
        <f>'IS '!AI28</f>
        <v>322</v>
      </c>
      <c r="AM120" s="268">
        <f>'IS '!AK28</f>
        <v>237</v>
      </c>
      <c r="AN120" s="268">
        <f>'IS '!AL28</f>
        <v>234</v>
      </c>
      <c r="AO120" s="268">
        <f>'IS '!AM28</f>
        <v>250</v>
      </c>
      <c r="AP120" s="268">
        <f>'IS '!AN28</f>
        <v>335</v>
      </c>
      <c r="AQ120" s="268"/>
      <c r="AR120" s="268">
        <f>'IS '!AP28</f>
        <v>247</v>
      </c>
      <c r="AS120" s="268">
        <f>'IS '!AQ28</f>
        <v>273</v>
      </c>
      <c r="AT120" s="268">
        <f>'IS '!AR28</f>
        <v>264</v>
      </c>
      <c r="AU120" s="268">
        <f>'IS '!AS28</f>
        <v>374</v>
      </c>
      <c r="AV120" s="268"/>
      <c r="AW120" s="268">
        <f>'IS '!AU28</f>
        <v>254</v>
      </c>
      <c r="AX120" s="268">
        <f>'IS '!AV28</f>
        <v>264</v>
      </c>
      <c r="AY120" s="268">
        <f>'IS '!AW28</f>
        <v>271</v>
      </c>
      <c r="AZ120" s="268">
        <f>'IS '!AX28</f>
        <v>398</v>
      </c>
      <c r="BB120" s="268">
        <f>'IS '!AZ28</f>
        <v>262</v>
      </c>
      <c r="BC120" s="268">
        <f>'IS '!BA28</f>
        <v>287</v>
      </c>
      <c r="BD120" s="268">
        <f>'IS '!BB28</f>
        <v>281</v>
      </c>
      <c r="BE120" s="268">
        <f>'IS '!BC28</f>
        <v>463</v>
      </c>
      <c r="BG120" s="268">
        <f>'IS '!BE28</f>
        <v>276</v>
      </c>
      <c r="BH120" s="268">
        <f>'IS '!BF28</f>
        <v>317</v>
      </c>
      <c r="BI120" s="268">
        <f>'IS '!BG28</f>
        <v>305</v>
      </c>
      <c r="BJ120" s="268">
        <f>'IS '!BH28</f>
        <v>444</v>
      </c>
      <c r="BL120" s="268">
        <f>'IS '!BJ28</f>
        <v>255</v>
      </c>
      <c r="BM120" s="268">
        <f>'IS '!BK28</f>
        <v>281</v>
      </c>
      <c r="BN120" s="268">
        <f>'IS '!BL28</f>
        <v>276</v>
      </c>
      <c r="BO120" s="268">
        <f>'IS '!BM28</f>
        <v>409</v>
      </c>
      <c r="BQ120" s="268">
        <f>'IS '!BO28</f>
        <v>245</v>
      </c>
      <c r="BR120" s="268">
        <f>'IS '!BP28</f>
        <v>283</v>
      </c>
      <c r="BS120" s="268">
        <f>'IS '!BQ28</f>
        <v>285</v>
      </c>
      <c r="BT120" s="268">
        <f>'IS '!BR28</f>
        <v>464</v>
      </c>
      <c r="BV120" s="268">
        <f>'IS '!BT28</f>
        <v>255</v>
      </c>
      <c r="BW120" s="268">
        <f>'IS '!BU28</f>
        <v>308</v>
      </c>
      <c r="BX120" s="268">
        <f>'IS '!BV28</f>
        <v>310</v>
      </c>
      <c r="BY120" s="268">
        <f>'IS '!BW28</f>
        <v>499</v>
      </c>
      <c r="BZ120" s="181"/>
      <c r="CA120" s="268">
        <f>'IS '!BY28</f>
        <v>272</v>
      </c>
      <c r="CB120" s="268">
        <f>'IS '!BZ28</f>
        <v>346</v>
      </c>
      <c r="CC120" s="268">
        <f>'IS '!CA28</f>
        <v>332</v>
      </c>
      <c r="CD120" s="268">
        <f>'IS '!CB28</f>
        <v>560</v>
      </c>
      <c r="CE120" s="181"/>
      <c r="CF120" s="268">
        <f>'IS '!CD28</f>
        <v>209</v>
      </c>
      <c r="CG120" s="268">
        <f>'IS '!CE28</f>
        <v>250</v>
      </c>
      <c r="CH120" s="268">
        <f>'IS '!CF28</f>
        <v>228</v>
      </c>
      <c r="CI120" s="268">
        <f>'IS '!CG28</f>
        <v>383</v>
      </c>
      <c r="CJ120" s="1135">
        <f>SUM(CF120:CI120)</f>
        <v>1070</v>
      </c>
      <c r="CK120" s="268">
        <f>'IS '!CI28</f>
        <v>209</v>
      </c>
      <c r="CL120" s="268">
        <f>'IS '!CJ28</f>
        <v>250</v>
      </c>
      <c r="CM120" s="268">
        <f>'IS '!CK28</f>
        <v>228</v>
      </c>
      <c r="CN120" s="268">
        <f>'IS '!CL28</f>
        <v>357</v>
      </c>
      <c r="CO120" s="1135">
        <f>SUM(CK120:CN120)</f>
        <v>1044</v>
      </c>
      <c r="CP120" s="900">
        <f>'IS '!CN28</f>
        <v>227</v>
      </c>
      <c r="CQ120" s="268">
        <f>'IS '!CO28</f>
        <v>253</v>
      </c>
      <c r="CR120" s="268">
        <f>'IS '!CP28</f>
        <v>238</v>
      </c>
      <c r="CS120" s="268">
        <f>'IS '!CQ28</f>
        <v>381</v>
      </c>
      <c r="CT120" s="1135">
        <f>SUM(CP120:CS120)</f>
        <v>1099</v>
      </c>
      <c r="CU120" s="268">
        <f>'IS '!CS28</f>
        <v>243</v>
      </c>
      <c r="CV120" s="268">
        <f>'IS '!CT28</f>
        <v>254</v>
      </c>
      <c r="CW120" s="268">
        <f>'IS '!CU28</f>
        <v>270</v>
      </c>
      <c r="CX120" s="268">
        <f>'IS '!CV28</f>
        <v>362</v>
      </c>
      <c r="CY120" s="1135">
        <f>SUM(CU120:CX120)</f>
        <v>1129</v>
      </c>
      <c r="CZ120" s="268">
        <f>'IS '!CX28</f>
        <v>237</v>
      </c>
      <c r="DA120" s="268">
        <f>'IS '!CY28</f>
        <v>247</v>
      </c>
      <c r="DB120" s="268">
        <f>'IS '!CZ28</f>
        <v>215</v>
      </c>
      <c r="DC120" s="268">
        <f>'IS '!DA28</f>
        <v>300</v>
      </c>
      <c r="DD120" s="1135">
        <f>SUM(CZ120:DC120)</f>
        <v>999</v>
      </c>
      <c r="DE120" s="269">
        <f>'IS '!DC28</f>
        <v>210.23499999999999</v>
      </c>
      <c r="DF120" s="269">
        <f>'IS '!DD28</f>
        <v>215.625</v>
      </c>
      <c r="DG120" s="269">
        <f>'IS '!DE28</f>
        <v>191.6</v>
      </c>
      <c r="DH120" s="269">
        <f>'IS '!DF28</f>
        <v>264.435</v>
      </c>
      <c r="DI120" s="1135">
        <f>SUM(DE120:DH120)</f>
        <v>881.89499999999998</v>
      </c>
      <c r="DJ120" s="269">
        <f>'IS '!DH28</f>
        <v>212.32649999999998</v>
      </c>
      <c r="DK120" s="269">
        <f>'IS '!DI28</f>
        <v>216.41550000000001</v>
      </c>
      <c r="DL120" s="269">
        <f>'IS '!DJ28</f>
        <v>191.6</v>
      </c>
      <c r="DM120" s="269">
        <f>'IS '!DK28</f>
        <v>264.435</v>
      </c>
      <c r="DN120" s="181"/>
      <c r="DO120" s="269">
        <f>'IS '!DM28</f>
        <v>223.38007500000001</v>
      </c>
      <c r="DP120" s="269">
        <f>'IS '!DN28</f>
        <v>227.80552499999996</v>
      </c>
      <c r="DQ120" s="269">
        <f>'IS '!DO28</f>
        <v>201.5625</v>
      </c>
      <c r="DR120" s="269">
        <f>'IS '!DP28</f>
        <v>278.19225</v>
      </c>
      <c r="DS120" s="181"/>
      <c r="DT120" s="269">
        <f>'IS '!DR28</f>
        <v>237.00911624999998</v>
      </c>
      <c r="DU120" s="269">
        <f>'IS '!DS28</f>
        <v>243.13903874999997</v>
      </c>
      <c r="DV120" s="269">
        <f>'IS '!DT28</f>
        <v>213.74475000000001</v>
      </c>
      <c r="DW120" s="269">
        <f>'IS '!DU28</f>
        <v>294.96678750000001</v>
      </c>
      <c r="DX120" s="181"/>
      <c r="DY120" s="269">
        <f>'IS '!DW28</f>
        <v>254.18964956249999</v>
      </c>
      <c r="DZ120" s="269">
        <f>'IS '!DX28</f>
        <v>262.23514818749999</v>
      </c>
      <c r="EA120" s="269">
        <f>'IS '!DY28</f>
        <v>229.09466250000003</v>
      </c>
      <c r="EB120" s="269">
        <f>'IS '!DZ28</f>
        <v>316.24287187499999</v>
      </c>
      <c r="EC120" s="181"/>
      <c r="EF120"/>
      <c r="EG120"/>
      <c r="EH120"/>
      <c r="EI120"/>
      <c r="EJ120"/>
      <c r="EK120"/>
      <c r="EL120"/>
      <c r="EM120"/>
      <c r="EN120"/>
      <c r="EO120"/>
      <c r="EP120"/>
      <c r="EQ120"/>
      <c r="ER120"/>
      <c r="ES120"/>
      <c r="ET120"/>
      <c r="EU120"/>
      <c r="EV120"/>
      <c r="EW120"/>
      <c r="EX120"/>
      <c r="EY120"/>
      <c r="EZ120"/>
      <c r="FA120"/>
    </row>
    <row r="121" spans="1:157" s="172" customFormat="1" x14ac:dyDescent="0.2">
      <c r="A121" s="267" t="s">
        <v>392</v>
      </c>
      <c r="V121" s="173"/>
      <c r="AH121" s="172">
        <f>SUM('IS '!AF24:AF37)</f>
        <v>1585</v>
      </c>
      <c r="AI121" s="172">
        <f>SUM('IS '!AG24:AG37)</f>
        <v>1679</v>
      </c>
      <c r="AJ121" s="172">
        <f>SUM('IS '!AH24:AH37)</f>
        <v>1716</v>
      </c>
      <c r="AK121" s="172">
        <f>SUM('IS '!AI24:AI37)</f>
        <v>2325</v>
      </c>
      <c r="AM121" s="268">
        <f>SUM('IS '!AK24:AK37)</f>
        <v>1727</v>
      </c>
      <c r="AN121" s="268">
        <f>SUM('IS '!AL24:AL37)</f>
        <v>1816</v>
      </c>
      <c r="AO121" s="268">
        <f>SUM('IS '!AM24:AM37)</f>
        <v>1888</v>
      </c>
      <c r="AP121" s="268">
        <f>SUM('IS '!AN24:AN37)</f>
        <v>2455</v>
      </c>
      <c r="AQ121" s="268"/>
      <c r="AR121" s="268">
        <f>SUM('IS '!AP24:AP37)</f>
        <v>1814</v>
      </c>
      <c r="AS121" s="268">
        <f>SUM('IS '!AQ24:AQ37)</f>
        <v>1896</v>
      </c>
      <c r="AT121" s="268">
        <f>SUM('IS '!AR24:AR37)</f>
        <v>1942</v>
      </c>
      <c r="AU121" s="268">
        <f>SUM('IS '!AS24:AS37)</f>
        <v>2565</v>
      </c>
      <c r="AV121" s="268"/>
      <c r="AW121" s="268">
        <f>SUM('IS '!AU24:AU37)</f>
        <v>1813</v>
      </c>
      <c r="AX121" s="268">
        <f>SUM('IS '!AV24:AV37)</f>
        <v>1878</v>
      </c>
      <c r="AY121" s="268">
        <f>SUM('IS '!AW24:AW37)</f>
        <v>1939</v>
      </c>
      <c r="AZ121" s="268">
        <f>SUM('IS '!AX24:AX37)</f>
        <v>2704</v>
      </c>
      <c r="BB121" s="268">
        <f>SUM('IS '!AZ24:AZ37)</f>
        <v>1910</v>
      </c>
      <c r="BC121" s="268">
        <f>SUM('IS '!BA24:BA37)</f>
        <v>2062</v>
      </c>
      <c r="BD121" s="268">
        <f>SUM('IS '!BB24:BB37)</f>
        <v>2162</v>
      </c>
      <c r="BE121" s="268">
        <f>SUM('IS '!BC24:BC37)</f>
        <v>2949</v>
      </c>
      <c r="BG121" s="268">
        <f>SUM('IS '!BE24:BE37)</f>
        <v>2010</v>
      </c>
      <c r="BH121" s="268">
        <f>SUM('IS '!BF24:BF37)</f>
        <v>2345</v>
      </c>
      <c r="BI121" s="268">
        <f>SUM('IS '!BG24:BG37)</f>
        <v>2426</v>
      </c>
      <c r="BJ121" s="268">
        <f>SUM('IS '!BH24:BH37)</f>
        <v>3033</v>
      </c>
      <c r="BL121" s="268">
        <f>SUM('IS '!BJ24:BJ37)</f>
        <v>1856</v>
      </c>
      <c r="BM121" s="268">
        <f>SUM('IS '!BK24:BK37)</f>
        <v>2105</v>
      </c>
      <c r="BN121" s="268">
        <f>SUM('IS '!BL24:BL37)</f>
        <v>2317</v>
      </c>
      <c r="BO121" s="268">
        <f>SUM('IS '!BM24:BM37)</f>
        <v>3045</v>
      </c>
      <c r="BQ121" s="268">
        <f>SUM('IS '!BO24:BO37)</f>
        <v>2048</v>
      </c>
      <c r="BR121" s="268">
        <f>SUM('IS '!BP24:BP37)</f>
        <v>2155</v>
      </c>
      <c r="BS121" s="268">
        <f>SUM('IS '!BQ24:BQ37)</f>
        <v>2321</v>
      </c>
      <c r="BT121" s="268">
        <f>SUM('IS '!BR24:BR37)</f>
        <v>3160</v>
      </c>
      <c r="BV121" s="268">
        <f>SUM('IS '!BT24:BT37)</f>
        <v>2091</v>
      </c>
      <c r="BW121" s="268">
        <f>SUM('IS '!BU24:BU37)</f>
        <v>2421</v>
      </c>
      <c r="BX121" s="268">
        <f>SUM('IS '!BV24:BV37)</f>
        <v>2877</v>
      </c>
      <c r="BY121" s="268">
        <f>SUM('IS '!BW24:BW37)</f>
        <v>3629</v>
      </c>
      <c r="BZ121" s="181"/>
      <c r="CA121" s="268">
        <f>SUM('IS '!BY24:BY37)</f>
        <v>2073</v>
      </c>
      <c r="CB121" s="268">
        <f>SUM('IS '!BZ24:BZ37)</f>
        <v>2686</v>
      </c>
      <c r="CC121" s="268">
        <f>SUM('IS '!CA24:CA37)</f>
        <v>2900</v>
      </c>
      <c r="CD121" s="268">
        <f>SUM('IS '!CB24:CB37)</f>
        <v>3639</v>
      </c>
      <c r="CE121" s="181"/>
      <c r="CF121" s="268">
        <f>SUM('IS '!CD24:CD37)</f>
        <v>1028</v>
      </c>
      <c r="CG121" s="268">
        <f>SUM('IS '!CE24:CE37)</f>
        <v>1117</v>
      </c>
      <c r="CH121" s="268">
        <f>SUM('IS '!CF24:CF37)</f>
        <v>1075</v>
      </c>
      <c r="CI121" s="268">
        <f>SUM('IS '!CG24:CG37)</f>
        <v>1577</v>
      </c>
      <c r="CJ121" s="1135">
        <f>SUM(CF121:CI121)</f>
        <v>4797</v>
      </c>
      <c r="CK121" s="268">
        <f>SUM('IS '!CI24:CI37)</f>
        <v>1065.5</v>
      </c>
      <c r="CL121" s="268">
        <f>SUM('IS '!CJ24:CJ37)</f>
        <v>1258.5</v>
      </c>
      <c r="CM121" s="268">
        <f>SUM('IS '!CK24:CK37)</f>
        <v>1158.5</v>
      </c>
      <c r="CN121" s="268">
        <f>SUM('IS '!CL24:CL37)</f>
        <v>1590.5</v>
      </c>
      <c r="CO121" s="1135">
        <f>SUM(CK121:CN121)</f>
        <v>5073</v>
      </c>
      <c r="CP121" s="900">
        <f>SUM('IS '!CN24:CN37)</f>
        <v>1044</v>
      </c>
      <c r="CQ121" s="268">
        <f>SUM('IS '!CO24:CO37)</f>
        <v>1326</v>
      </c>
      <c r="CR121" s="268">
        <f>SUM('IS '!CP24:CP37)</f>
        <v>1195.5</v>
      </c>
      <c r="CS121" s="268">
        <f>SUM('IS '!CQ24:CQ37)</f>
        <v>1891</v>
      </c>
      <c r="CT121" s="1135">
        <f>SUM(CP121:CS121)</f>
        <v>5456.5</v>
      </c>
      <c r="CU121" s="268">
        <f>SUM('IS '!CS24:CS37)</f>
        <v>1096</v>
      </c>
      <c r="CV121" s="268">
        <f>SUM('IS '!CT24:CT37)</f>
        <v>1047</v>
      </c>
      <c r="CW121" s="268">
        <f>SUM('IS '!CU24:CU37)</f>
        <v>1100</v>
      </c>
      <c r="CX121" s="268">
        <f>SUM('IS '!CV24:CV37)</f>
        <v>1556</v>
      </c>
      <c r="CY121" s="1135">
        <f>SUM(CU121:CX121)</f>
        <v>4799</v>
      </c>
      <c r="CZ121" s="268">
        <f>SUM('IS '!CX24:CX37)</f>
        <v>823</v>
      </c>
      <c r="DA121" s="268">
        <f>SUM('IS '!CY24:CY37)</f>
        <v>1011</v>
      </c>
      <c r="DB121" s="268">
        <f>SUM('IS '!CZ24:CZ37)</f>
        <v>593</v>
      </c>
      <c r="DC121" s="268">
        <f>SUM('IS '!DA24:DA37)</f>
        <v>-390</v>
      </c>
      <c r="DD121" s="1135">
        <f>SUM(CZ121:DC121)</f>
        <v>2037</v>
      </c>
      <c r="DE121" s="269">
        <f>SUM('IS '!DC24:DC37)</f>
        <v>708.39959867755306</v>
      </c>
      <c r="DF121" s="269">
        <f>SUM('IS '!DD24:DD37)</f>
        <v>670.10603955697525</v>
      </c>
      <c r="DG121" s="269">
        <f>SUM('IS '!DE24:DE37)</f>
        <v>623.58141922829691</v>
      </c>
      <c r="DH121" s="269">
        <f>SUM('IS '!DF24:DF37)</f>
        <v>785.37159315554072</v>
      </c>
      <c r="DI121" s="1135">
        <f>SUM(DE121:DH121)</f>
        <v>2787.4586506183659</v>
      </c>
      <c r="DJ121" s="269">
        <f>SUM('IS '!DH24:DH37)</f>
        <v>575.43897650145675</v>
      </c>
      <c r="DK121" s="269">
        <f>SUM('IS '!DI24:DI37)</f>
        <v>557.21627514794648</v>
      </c>
      <c r="DL121" s="269">
        <f>SUM('IS '!DJ24:DJ37)</f>
        <v>524.37861993656134</v>
      </c>
      <c r="DM121" s="269">
        <f>SUM('IS '!DK24:DK37)</f>
        <v>660.80258322678537</v>
      </c>
      <c r="DN121" s="181"/>
      <c r="DO121" s="269">
        <f>SUM('IS '!DM24:DM37)</f>
        <v>512.43594976574389</v>
      </c>
      <c r="DP121" s="269">
        <f>SUM('IS '!DN24:DN37)</f>
        <v>523.35522722329665</v>
      </c>
      <c r="DQ121" s="269">
        <f>SUM('IS '!DO24:DO37)</f>
        <v>518.75312180840797</v>
      </c>
      <c r="DR121" s="269">
        <f>SUM('IS '!DP24:DP37)</f>
        <v>695.25860484650991</v>
      </c>
      <c r="DS121" s="181"/>
      <c r="DT121" s="269">
        <f>SUM('IS '!DR24:DR37)</f>
        <v>556.80219611313487</v>
      </c>
      <c r="DU121" s="269">
        <f>SUM('IS '!DS24:DS37)</f>
        <v>569.83577512723605</v>
      </c>
      <c r="DV121" s="269">
        <f>SUM('IS '!DT24:DT37)</f>
        <v>563.46902140596171</v>
      </c>
      <c r="DW121" s="269">
        <f>SUM('IS '!DU24:DU37)</f>
        <v>754.84177472990962</v>
      </c>
      <c r="DX121" s="181"/>
      <c r="DY121" s="269">
        <f>SUM('IS '!DW24:DW37)</f>
        <v>607.36837882316001</v>
      </c>
      <c r="DZ121" s="269">
        <f>SUM('IS '!DX24:DX37)</f>
        <v>626.18692458783573</v>
      </c>
      <c r="EA121" s="269">
        <f>SUM('IS '!DY24:DY37)</f>
        <v>621.21718317741829</v>
      </c>
      <c r="EB121" s="269">
        <f>SUM('IS '!DZ24:DZ37)</f>
        <v>836.21462540363086</v>
      </c>
      <c r="EC121" s="181"/>
      <c r="EF121"/>
      <c r="EG121"/>
      <c r="EH121"/>
      <c r="EI121"/>
      <c r="EJ121"/>
      <c r="EK121"/>
      <c r="EL121"/>
      <c r="EM121"/>
      <c r="EN121"/>
      <c r="EO121"/>
      <c r="EP121"/>
      <c r="EQ121"/>
      <c r="ER121"/>
      <c r="ES121"/>
      <c r="ET121"/>
      <c r="EU121"/>
      <c r="EV121"/>
      <c r="EW121"/>
      <c r="EX121"/>
      <c r="EY121"/>
      <c r="EZ121"/>
      <c r="FA121"/>
    </row>
    <row r="122" spans="1:157" s="172" customFormat="1" x14ac:dyDescent="0.2">
      <c r="A122" s="270"/>
      <c r="V122" s="173"/>
      <c r="AM122" s="268"/>
      <c r="AN122" s="268"/>
      <c r="AO122" s="268"/>
      <c r="AP122" s="268"/>
      <c r="AQ122" s="268"/>
      <c r="AR122" s="268"/>
      <c r="AS122" s="268"/>
      <c r="AT122" s="268"/>
      <c r="AU122" s="268"/>
      <c r="AV122" s="268"/>
      <c r="AW122" s="268"/>
      <c r="AX122" s="268"/>
      <c r="AY122" s="268"/>
      <c r="AZ122" s="268"/>
      <c r="BB122" s="268"/>
      <c r="BC122" s="268"/>
      <c r="BD122" s="268"/>
      <c r="BE122" s="268"/>
      <c r="BG122" s="268"/>
      <c r="BH122" s="268"/>
      <c r="BI122" s="268"/>
      <c r="BJ122" s="268"/>
      <c r="BL122" s="268"/>
      <c r="BM122" s="268"/>
      <c r="BN122" s="268"/>
      <c r="BO122" s="268"/>
      <c r="BQ122" s="268"/>
      <c r="BR122" s="268"/>
      <c r="BS122" s="268"/>
      <c r="BT122" s="268"/>
      <c r="BV122" s="268"/>
      <c r="BW122" s="268"/>
      <c r="BX122" s="268"/>
      <c r="BY122" s="268"/>
      <c r="BZ122" s="181"/>
      <c r="CA122" s="268"/>
      <c r="CB122" s="268"/>
      <c r="CC122" s="268"/>
      <c r="CD122" s="268"/>
      <c r="CE122" s="181"/>
      <c r="CF122" s="268"/>
      <c r="CG122" s="268"/>
      <c r="CH122" s="269"/>
      <c r="CI122" s="268"/>
      <c r="CJ122" s="181"/>
      <c r="CK122" s="269"/>
      <c r="CL122" s="268"/>
      <c r="CM122" s="268"/>
      <c r="CN122" s="268"/>
      <c r="CO122" s="181"/>
      <c r="CP122" s="900"/>
      <c r="CQ122" s="268"/>
      <c r="CR122" s="268"/>
      <c r="CS122" s="268"/>
      <c r="CT122" s="181"/>
      <c r="CU122" s="268"/>
      <c r="CV122" s="268"/>
      <c r="CW122" s="268"/>
      <c r="CX122" s="268"/>
      <c r="CY122" s="181"/>
      <c r="CZ122" s="268"/>
      <c r="DA122" s="269"/>
      <c r="DB122" s="268"/>
      <c r="DC122" s="268"/>
      <c r="DD122" s="181"/>
      <c r="DE122" s="269"/>
      <c r="DF122" s="269"/>
      <c r="DG122" s="269"/>
      <c r="DH122" s="269"/>
      <c r="DI122" s="181"/>
      <c r="DJ122" s="269"/>
      <c r="DK122" s="269"/>
      <c r="DL122" s="269"/>
      <c r="DM122" s="269"/>
      <c r="DN122" s="181"/>
      <c r="DO122" s="269"/>
      <c r="DP122" s="269"/>
      <c r="DQ122" s="269"/>
      <c r="DR122" s="269"/>
      <c r="DS122" s="181"/>
      <c r="DT122" s="269"/>
      <c r="DU122" s="269"/>
      <c r="DV122" s="269"/>
      <c r="DW122" s="269"/>
      <c r="DX122" s="181"/>
      <c r="DY122" s="269"/>
      <c r="DZ122" s="269"/>
      <c r="EA122" s="269"/>
      <c r="EB122" s="269"/>
      <c r="EC122" s="181"/>
      <c r="EF122"/>
      <c r="EG122"/>
      <c r="EH122"/>
      <c r="EI122"/>
      <c r="EJ122"/>
      <c r="EK122"/>
      <c r="EL122"/>
      <c r="EM122"/>
      <c r="EN122"/>
      <c r="EO122"/>
      <c r="EP122"/>
      <c r="EQ122"/>
      <c r="ER122"/>
      <c r="ES122"/>
      <c r="ET122"/>
      <c r="EU122"/>
      <c r="EV122"/>
      <c r="EW122"/>
      <c r="EX122"/>
      <c r="EY122"/>
      <c r="EZ122"/>
      <c r="FA122"/>
    </row>
    <row r="123" spans="1:157" s="172" customFormat="1" x14ac:dyDescent="0.2">
      <c r="A123" s="271" t="s">
        <v>329</v>
      </c>
      <c r="V123" s="173"/>
      <c r="AH123" s="172">
        <f t="shared" ref="AH123:AK124" si="576">AH14*365/AH118</f>
        <v>35.446725860155382</v>
      </c>
      <c r="AI123" s="172">
        <f t="shared" si="576"/>
        <v>38.460743801652896</v>
      </c>
      <c r="AJ123" s="172">
        <f t="shared" si="576"/>
        <v>34.132730015082956</v>
      </c>
      <c r="AK123" s="172">
        <f t="shared" si="576"/>
        <v>20.63701470033924</v>
      </c>
      <c r="AM123" s="268">
        <f t="shared" ref="AM123:AP124" si="577">AM14*365/AM118</f>
        <v>37.796954314720814</v>
      </c>
      <c r="AN123" s="268">
        <f t="shared" si="577"/>
        <v>31.280693307655273</v>
      </c>
      <c r="AO123" s="268">
        <f t="shared" si="577"/>
        <v>28.141349242771913</v>
      </c>
      <c r="AP123" s="268">
        <f t="shared" si="577"/>
        <v>25.163375224416516</v>
      </c>
      <c r="AQ123" s="268"/>
      <c r="AR123" s="268">
        <f t="shared" ref="AR123:AU124" si="578">AR14*365/AR118</f>
        <v>35.540408958130477</v>
      </c>
      <c r="AS123" s="268">
        <f t="shared" si="578"/>
        <v>35.940548072457034</v>
      </c>
      <c r="AT123" s="268">
        <f t="shared" si="578"/>
        <v>36.939366919304504</v>
      </c>
      <c r="AU123" s="268">
        <f t="shared" si="578"/>
        <v>29.713694377371507</v>
      </c>
      <c r="AV123" s="268"/>
      <c r="AW123" s="268">
        <f t="shared" ref="AW123:AZ124" si="579">AW14*365/AW118</f>
        <v>45.165467625899282</v>
      </c>
      <c r="AX123" s="268">
        <f t="shared" si="579"/>
        <v>37.302933088909256</v>
      </c>
      <c r="AY123" s="268">
        <f t="shared" si="579"/>
        <v>35.730904302019319</v>
      </c>
      <c r="AZ123" s="268">
        <f t="shared" si="579"/>
        <v>26.624668435013263</v>
      </c>
      <c r="BB123" s="268">
        <f t="shared" ref="BB123:BE124" si="580">BB14*365/BB118</f>
        <v>45.645524066576698</v>
      </c>
      <c r="BC123" s="268">
        <f t="shared" si="580"/>
        <v>38.859315589353614</v>
      </c>
      <c r="BD123" s="268">
        <f t="shared" si="580"/>
        <v>35.588923556942277</v>
      </c>
      <c r="BE123" s="268">
        <f t="shared" si="580"/>
        <v>25.176272225628448</v>
      </c>
      <c r="BG123" s="268">
        <f t="shared" ref="BG123:BJ124" si="581">BG14*365/BG118</f>
        <v>40.538748445917946</v>
      </c>
      <c r="BH123" s="268">
        <f t="shared" si="581"/>
        <v>32.606483226536</v>
      </c>
      <c r="BI123" s="268">
        <f t="shared" si="581"/>
        <v>32.236101337086559</v>
      </c>
      <c r="BJ123" s="268">
        <f t="shared" si="581"/>
        <v>24.7073603310671</v>
      </c>
      <c r="BL123" s="268">
        <f t="shared" ref="BL123:BO124" si="582">BL14*365/BL118</f>
        <v>46.592241768155162</v>
      </c>
      <c r="BM123" s="268">
        <f t="shared" si="582"/>
        <v>40.981421647819062</v>
      </c>
      <c r="BN123" s="268">
        <f t="shared" si="582"/>
        <v>31.664866810655148</v>
      </c>
      <c r="BO123" s="268">
        <f t="shared" si="582"/>
        <v>25.924219910846954</v>
      </c>
      <c r="BQ123" s="268">
        <f t="shared" ref="BQ123:BT124" si="583">BQ14*365/BQ118</f>
        <v>47.162046908315567</v>
      </c>
      <c r="BR123" s="268">
        <f t="shared" si="583"/>
        <v>36.868686868686872</v>
      </c>
      <c r="BS123" s="268">
        <f t="shared" si="583"/>
        <v>31.755765199161427</v>
      </c>
      <c r="BT123" s="268">
        <f t="shared" si="583"/>
        <v>26.232453677709152</v>
      </c>
      <c r="BV123" s="268">
        <f>BV14*365/BV118</f>
        <v>46.810309278350516</v>
      </c>
      <c r="BW123" s="268">
        <f t="shared" ref="BW123:BY125" si="584">BR123</f>
        <v>36.868686868686872</v>
      </c>
      <c r="BX123" s="268">
        <f t="shared" si="584"/>
        <v>31.755765199161427</v>
      </c>
      <c r="BY123" s="268">
        <f t="shared" si="584"/>
        <v>26.232453677709152</v>
      </c>
      <c r="BZ123" s="181"/>
      <c r="CA123" s="268">
        <f>CA14*365/CA118</f>
        <v>45.375501275975211</v>
      </c>
      <c r="CB123" s="268">
        <f t="shared" ref="CB123:CC125" si="585">BW123</f>
        <v>36.868686868686872</v>
      </c>
      <c r="CC123" s="268">
        <f t="shared" si="585"/>
        <v>31.755765199161427</v>
      </c>
      <c r="CD123" s="268">
        <f>BY123</f>
        <v>26.232453677709152</v>
      </c>
      <c r="CE123" s="181"/>
      <c r="CF123" s="268">
        <f t="shared" ref="CF123:CM123" si="586">CF14*365/CF118</f>
        <v>94.503268601549323</v>
      </c>
      <c r="CG123" s="268">
        <f t="shared" si="586"/>
        <v>85.612952557377099</v>
      </c>
      <c r="CH123" s="268">
        <f t="shared" si="586"/>
        <v>84.649667202585746</v>
      </c>
      <c r="CI123" s="268">
        <f t="shared" si="586"/>
        <v>58.380132453983684</v>
      </c>
      <c r="CJ123" s="1137">
        <f t="shared" si="586"/>
        <v>18.144771700171418</v>
      </c>
      <c r="CK123" s="268">
        <f t="shared" si="586"/>
        <v>69.514366062759493</v>
      </c>
      <c r="CL123" s="268">
        <f t="shared" si="586"/>
        <v>62.362870993802076</v>
      </c>
      <c r="CM123" s="268">
        <f t="shared" si="586"/>
        <v>61.428104191209862</v>
      </c>
      <c r="CN123" s="268">
        <f t="shared" ref="CN123" si="587">CN14*365/CN118</f>
        <v>46.728114116600715</v>
      </c>
      <c r="CO123" s="1137">
        <f t="shared" ref="CO123:CT123" si="588">CO14*365/CO118</f>
        <v>14.684226506755731</v>
      </c>
      <c r="CP123" s="268">
        <f t="shared" si="588"/>
        <v>74.418021807565765</v>
      </c>
      <c r="CQ123" s="268">
        <f t="shared" si="588"/>
        <v>71.782980380472992</v>
      </c>
      <c r="CR123" s="268">
        <f t="shared" si="588"/>
        <v>72.306125437454853</v>
      </c>
      <c r="CS123" s="268">
        <f t="shared" si="588"/>
        <v>57.976253298153033</v>
      </c>
      <c r="CT123" s="1137">
        <f t="shared" si="588"/>
        <v>17.10951444112164</v>
      </c>
      <c r="CU123" s="268">
        <f t="shared" ref="CU123:CW123" si="589">CU14*365/CU118</f>
        <v>76.136521136521139</v>
      </c>
      <c r="CV123" s="268">
        <f t="shared" si="589"/>
        <v>67.198675496688736</v>
      </c>
      <c r="CW123" s="268">
        <f t="shared" si="589"/>
        <v>79.640738299274886</v>
      </c>
      <c r="CX123" s="268">
        <f t="shared" ref="CX123" si="590">CX14*365/CX118</f>
        <v>71.568627450980387</v>
      </c>
      <c r="CY123" s="1137">
        <f>CY14*365/CY118</f>
        <v>21.244297624665723</v>
      </c>
      <c r="CZ123" s="268">
        <f t="shared" ref="CZ123:DA123" si="591">CZ14*365/CZ118</f>
        <v>91.443189837685253</v>
      </c>
      <c r="DA123" s="268">
        <f t="shared" si="591"/>
        <v>89.737569060773481</v>
      </c>
      <c r="DB123" s="268">
        <f t="shared" ref="DB123:DC123" si="592">DA123</f>
        <v>89.737569060773481</v>
      </c>
      <c r="DC123" s="268">
        <f t="shared" si="592"/>
        <v>89.737569060773481</v>
      </c>
      <c r="DD123" s="1137">
        <f>DD14*365/DD118</f>
        <v>24.838380401497108</v>
      </c>
      <c r="DE123" s="269">
        <v>95</v>
      </c>
      <c r="DF123" s="269">
        <v>95</v>
      </c>
      <c r="DG123" s="269">
        <v>95</v>
      </c>
      <c r="DH123" s="269">
        <v>95</v>
      </c>
      <c r="DI123" s="1137">
        <f>DI14*365/DI118</f>
        <v>27.18320350300375</v>
      </c>
      <c r="DJ123" s="269">
        <v>95</v>
      </c>
      <c r="DK123" s="269">
        <v>95</v>
      </c>
      <c r="DL123" s="269">
        <v>95</v>
      </c>
      <c r="DM123" s="269">
        <v>95</v>
      </c>
      <c r="DN123" s="181"/>
      <c r="DO123" s="269">
        <v>94</v>
      </c>
      <c r="DP123" s="269">
        <v>94</v>
      </c>
      <c r="DQ123" s="269">
        <v>94</v>
      </c>
      <c r="DR123" s="269">
        <v>94</v>
      </c>
      <c r="DS123" s="181"/>
      <c r="DT123" s="269">
        <v>94</v>
      </c>
      <c r="DU123" s="269">
        <v>94</v>
      </c>
      <c r="DV123" s="269">
        <v>94</v>
      </c>
      <c r="DW123" s="269">
        <v>94</v>
      </c>
      <c r="DX123" s="181"/>
      <c r="DY123" s="269">
        <v>94</v>
      </c>
      <c r="DZ123" s="269">
        <v>94</v>
      </c>
      <c r="EA123" s="269">
        <v>94</v>
      </c>
      <c r="EB123" s="269">
        <v>94</v>
      </c>
      <c r="EC123" s="181"/>
      <c r="EF123"/>
      <c r="EG123"/>
      <c r="EH123"/>
      <c r="EI123"/>
      <c r="EJ123"/>
      <c r="EK123"/>
      <c r="EL123"/>
      <c r="EM123"/>
      <c r="EN123"/>
      <c r="EO123"/>
      <c r="EP123"/>
      <c r="EQ123"/>
      <c r="ER123"/>
      <c r="ES123"/>
      <c r="ET123"/>
      <c r="EU123"/>
      <c r="EV123"/>
      <c r="EW123"/>
      <c r="EX123"/>
      <c r="EY123"/>
      <c r="EZ123"/>
      <c r="FA123"/>
    </row>
    <row r="124" spans="1:157" s="172" customFormat="1" x14ac:dyDescent="0.2">
      <c r="A124" s="271" t="s">
        <v>20</v>
      </c>
      <c r="V124" s="173"/>
      <c r="AH124" s="172">
        <f t="shared" si="576"/>
        <v>51.930894308943088</v>
      </c>
      <c r="AI124" s="172">
        <f t="shared" si="576"/>
        <v>45.968045112781958</v>
      </c>
      <c r="AJ124" s="172">
        <f t="shared" si="576"/>
        <v>44.954044117647058</v>
      </c>
      <c r="AK124" s="172">
        <f t="shared" si="576"/>
        <v>33.408469945355193</v>
      </c>
      <c r="AM124" s="268">
        <f t="shared" si="577"/>
        <v>47.99074074074074</v>
      </c>
      <c r="AN124" s="268">
        <f t="shared" si="577"/>
        <v>45.314625850340136</v>
      </c>
      <c r="AO124" s="268">
        <f t="shared" si="577"/>
        <v>42.524271844660191</v>
      </c>
      <c r="AP124" s="268">
        <f t="shared" si="577"/>
        <v>35.025252525252526</v>
      </c>
      <c r="AQ124" s="268"/>
      <c r="AR124" s="268">
        <f t="shared" si="578"/>
        <v>51.50696864111498</v>
      </c>
      <c r="AS124" s="268">
        <f t="shared" si="578"/>
        <v>46.841666666666669</v>
      </c>
      <c r="AT124" s="268">
        <f t="shared" si="578"/>
        <v>43.634894991922458</v>
      </c>
      <c r="AU124" s="268">
        <f t="shared" si="578"/>
        <v>39.222503160556258</v>
      </c>
      <c r="AV124" s="268"/>
      <c r="AW124" s="268">
        <f t="shared" si="579"/>
        <v>55.044883303411133</v>
      </c>
      <c r="AX124" s="268">
        <f t="shared" si="579"/>
        <v>52.590051457975989</v>
      </c>
      <c r="AY124" s="268">
        <f t="shared" si="579"/>
        <v>48.184818481848183</v>
      </c>
      <c r="AZ124" s="268">
        <f t="shared" si="579"/>
        <v>42.272727272727273</v>
      </c>
      <c r="BB124" s="268">
        <f t="shared" si="580"/>
        <v>60.418088737201366</v>
      </c>
      <c r="BC124" s="268">
        <f t="shared" si="580"/>
        <v>56.065830721003138</v>
      </c>
      <c r="BD124" s="268">
        <f t="shared" si="580"/>
        <v>50.057142857142857</v>
      </c>
      <c r="BE124" s="268">
        <f t="shared" si="580"/>
        <v>51.911111111111111</v>
      </c>
      <c r="BG124" s="268">
        <f t="shared" si="581"/>
        <v>70.926756352765324</v>
      </c>
      <c r="BH124" s="268">
        <f t="shared" si="581"/>
        <v>66.233681462140993</v>
      </c>
      <c r="BI124" s="268">
        <f t="shared" si="581"/>
        <v>69.0421686746988</v>
      </c>
      <c r="BJ124" s="268">
        <f t="shared" si="581"/>
        <v>53.588295687885008</v>
      </c>
      <c r="BL124" s="268">
        <f t="shared" si="582"/>
        <v>74.075286415711943</v>
      </c>
      <c r="BM124" s="268">
        <f t="shared" si="582"/>
        <v>70.577200577200571</v>
      </c>
      <c r="BN124" s="268">
        <f t="shared" si="582"/>
        <v>54.491634491634493</v>
      </c>
      <c r="BO124" s="268">
        <f t="shared" si="582"/>
        <v>48.297180043383946</v>
      </c>
      <c r="BQ124" s="268">
        <f t="shared" si="583"/>
        <v>65.992000000000004</v>
      </c>
      <c r="BR124" s="268">
        <f t="shared" si="583"/>
        <v>72.060085836909877</v>
      </c>
      <c r="BS124" s="268">
        <f t="shared" si="583"/>
        <v>69.016497461928935</v>
      </c>
      <c r="BT124" s="268">
        <f t="shared" si="583"/>
        <v>70.464759959141986</v>
      </c>
      <c r="BV124" s="268">
        <f>BV15*365/BV119</f>
        <v>86.012084592145015</v>
      </c>
      <c r="BW124" s="268">
        <f t="shared" si="584"/>
        <v>72.060085836909877</v>
      </c>
      <c r="BX124" s="268">
        <f t="shared" si="584"/>
        <v>69.016497461928935</v>
      </c>
      <c r="BY124" s="268">
        <f t="shared" si="584"/>
        <v>70.464759959141986</v>
      </c>
      <c r="BZ124" s="181"/>
      <c r="CA124" s="268">
        <f>CA15*365/CA119</f>
        <v>138.48109517601043</v>
      </c>
      <c r="CB124" s="268">
        <f t="shared" si="585"/>
        <v>72.060085836909877</v>
      </c>
      <c r="CC124" s="268">
        <f t="shared" si="585"/>
        <v>69.016497461928935</v>
      </c>
      <c r="CD124" s="268">
        <f>BY124</f>
        <v>70.464759959141986</v>
      </c>
      <c r="CE124" s="181"/>
      <c r="CF124" s="268">
        <f>CF15*365/CF119</f>
        <v>344.65573770491801</v>
      </c>
      <c r="CG124" s="268">
        <f>CG15*365/CG119</f>
        <v>346.53273809523807</v>
      </c>
      <c r="CH124" s="268">
        <f>CH15*365/CH119</f>
        <v>329.81927710843371</v>
      </c>
      <c r="CI124" s="268">
        <f>CI15*365/CI119</f>
        <v>245</v>
      </c>
      <c r="CJ124" s="1137">
        <f t="shared" ref="CJ124" si="593">CJ15*365/CJ119</f>
        <v>76.052445074415303</v>
      </c>
      <c r="CK124" s="268">
        <f>CK15*365/CK119</f>
        <v>48.745928338762212</v>
      </c>
      <c r="CL124" s="268">
        <f>CL15*365/CL119</f>
        <v>42.154929577464792</v>
      </c>
      <c r="CM124" s="268">
        <f>CM15*365/CM119</f>
        <v>42.393767705382437</v>
      </c>
      <c r="CN124" s="268">
        <f t="shared" ref="CN124:CO124" si="594">CN15*365/CN119</f>
        <v>32.817982456140349</v>
      </c>
      <c r="CO124" s="1137">
        <f t="shared" si="594"/>
        <v>10.173351461590755</v>
      </c>
      <c r="CP124" s="268">
        <f t="shared" ref="CP124:CR124" si="595">CP15*365/CP119</f>
        <v>49.324324324324323</v>
      </c>
      <c r="CQ124" s="268">
        <f t="shared" si="595"/>
        <v>44.785276073619634</v>
      </c>
      <c r="CR124" s="268">
        <f t="shared" si="595"/>
        <v>45.341614906832298</v>
      </c>
      <c r="CS124" s="268">
        <f>CS15*365/CS119</f>
        <v>36.138613861386141</v>
      </c>
      <c r="CT124" s="1137">
        <f t="shared" ref="CT124:CW124" si="596">CT15*365/CT119</f>
        <v>10.830860534124628</v>
      </c>
      <c r="CU124" s="268">
        <f t="shared" si="596"/>
        <v>49.599303135888505</v>
      </c>
      <c r="CV124" s="268">
        <f t="shared" si="596"/>
        <v>46.368078175895768</v>
      </c>
      <c r="CW124" s="268">
        <f t="shared" si="596"/>
        <v>44.570957095709574</v>
      </c>
      <c r="CX124" s="268">
        <f t="shared" ref="CX124" si="597">CX15*365/CX119</f>
        <v>35.513513513513516</v>
      </c>
      <c r="CY124" s="1137">
        <f t="shared" ref="CY124:CZ124" si="598">CY15*365/CY119</f>
        <v>10.370955011838991</v>
      </c>
      <c r="CZ124" s="268">
        <f t="shared" si="598"/>
        <v>44.963768115942031</v>
      </c>
      <c r="DA124" s="268">
        <f t="shared" ref="DA124" si="599">DA15*365/DA119</f>
        <v>40.410714285714285</v>
      </c>
      <c r="DB124" s="268">
        <f t="shared" ref="DB124:DC125" si="600">DA124</f>
        <v>40.410714285714285</v>
      </c>
      <c r="DC124" s="268">
        <f t="shared" si="600"/>
        <v>40.410714285714285</v>
      </c>
      <c r="DD124" s="1137">
        <f t="shared" ref="DD124" si="601">DD15*365/DD119</f>
        <v>4.3019038984587485</v>
      </c>
      <c r="DE124" s="269">
        <f>CZ124</f>
        <v>44.963768115942031</v>
      </c>
      <c r="DF124" s="269">
        <f>DA124</f>
        <v>40.410714285714285</v>
      </c>
      <c r="DG124" s="269">
        <f>DB124</f>
        <v>40.410714285714285</v>
      </c>
      <c r="DH124" s="269">
        <v>30</v>
      </c>
      <c r="DI124" s="1137">
        <f t="shared" ref="DI124" si="602">DI15*365/DI119</f>
        <v>8.0521830140975528</v>
      </c>
      <c r="DJ124" s="269">
        <f t="shared" ref="DJ124:DM125" si="603">DE124</f>
        <v>44.963768115942031</v>
      </c>
      <c r="DK124" s="269">
        <f t="shared" si="603"/>
        <v>40.410714285714285</v>
      </c>
      <c r="DL124" s="269">
        <f t="shared" si="603"/>
        <v>40.410714285714285</v>
      </c>
      <c r="DM124" s="269">
        <f t="shared" si="603"/>
        <v>30</v>
      </c>
      <c r="DN124" s="181"/>
      <c r="DO124" s="269">
        <f t="shared" ref="DO124:DR124" si="604">DJ124</f>
        <v>44.963768115942031</v>
      </c>
      <c r="DP124" s="269">
        <f t="shared" si="604"/>
        <v>40.410714285714285</v>
      </c>
      <c r="DQ124" s="269">
        <f t="shared" si="604"/>
        <v>40.410714285714285</v>
      </c>
      <c r="DR124" s="269">
        <f t="shared" si="604"/>
        <v>30</v>
      </c>
      <c r="DS124" s="181"/>
      <c r="DT124" s="269">
        <f t="shared" ref="DT124" si="605">DO124</f>
        <v>44.963768115942031</v>
      </c>
      <c r="DU124" s="269">
        <f t="shared" ref="DU124" si="606">DP124</f>
        <v>40.410714285714285</v>
      </c>
      <c r="DV124" s="269">
        <f t="shared" ref="DV124" si="607">DQ124</f>
        <v>40.410714285714285</v>
      </c>
      <c r="DW124" s="269">
        <f t="shared" ref="DW124" si="608">DR124</f>
        <v>30</v>
      </c>
      <c r="DX124" s="181"/>
      <c r="DY124" s="269">
        <f t="shared" ref="DY124" si="609">DT124</f>
        <v>44.963768115942031</v>
      </c>
      <c r="DZ124" s="269">
        <f t="shared" ref="DZ124" si="610">DU124</f>
        <v>40.410714285714285</v>
      </c>
      <c r="EA124" s="269">
        <f t="shared" ref="EA124" si="611">DV124</f>
        <v>40.410714285714285</v>
      </c>
      <c r="EB124" s="269">
        <f t="shared" ref="EB124" si="612">DW124</f>
        <v>30</v>
      </c>
      <c r="EC124" s="181"/>
      <c r="EF124"/>
      <c r="EG124"/>
      <c r="EH124"/>
      <c r="EI124"/>
      <c r="EJ124"/>
      <c r="EK124"/>
      <c r="EL124"/>
      <c r="EM124"/>
      <c r="EN124"/>
      <c r="EO124"/>
      <c r="EP124"/>
      <c r="EQ124"/>
      <c r="ER124"/>
      <c r="ES124"/>
      <c r="ET124"/>
      <c r="EU124"/>
      <c r="EV124"/>
      <c r="EW124"/>
      <c r="EX124"/>
      <c r="EY124"/>
      <c r="EZ124"/>
      <c r="FA124"/>
    </row>
    <row r="125" spans="1:157" s="172" customFormat="1" x14ac:dyDescent="0.2">
      <c r="A125" s="271" t="s">
        <v>21</v>
      </c>
      <c r="V125" s="173"/>
      <c r="AH125" s="172">
        <f>AH31*365/AH119</f>
        <v>823.47560975609758</v>
      </c>
      <c r="AI125" s="172">
        <f>AI31*365/AI119</f>
        <v>775.96804511278197</v>
      </c>
      <c r="AJ125" s="172">
        <f>AJ31*365/AJ119</f>
        <v>804.47610294117646</v>
      </c>
      <c r="AK125" s="172">
        <f>AK31*365/AK119</f>
        <v>576.91939890710387</v>
      </c>
      <c r="AM125" s="268">
        <f>AM31*365/AM121</f>
        <v>261.22756224667052</v>
      </c>
      <c r="AN125" s="268">
        <f>AN31*365/AN121</f>
        <v>220.4873348017621</v>
      </c>
      <c r="AO125" s="268">
        <f>AO31*365/AO121</f>
        <v>227.35169491525423</v>
      </c>
      <c r="AP125" s="268">
        <f>AP31*365/AP121</f>
        <v>172.4643584521385</v>
      </c>
      <c r="AQ125" s="268"/>
      <c r="AR125" s="268">
        <f>AR31*365/AR121</f>
        <v>238.23594266813672</v>
      </c>
      <c r="AS125" s="268">
        <f>AS31*365/AS121</f>
        <v>233.707805907173</v>
      </c>
      <c r="AT125" s="268">
        <f>AT31*365/AT121</f>
        <v>233.05870236869208</v>
      </c>
      <c r="AU125" s="268">
        <f>AU31*365/AU121</f>
        <v>176.16764132553607</v>
      </c>
      <c r="AV125" s="268"/>
      <c r="AW125" s="268">
        <f>AW31*365/AW121</f>
        <v>243.19911748483176</v>
      </c>
      <c r="AX125" s="268">
        <f>AX31*365/AX121</f>
        <v>230.31150159744408</v>
      </c>
      <c r="AY125" s="268">
        <f>AY31*365/AY121</f>
        <v>228.14853017019081</v>
      </c>
      <c r="AZ125" s="268">
        <f>AZ31*365/AZ121</f>
        <v>187.2244822485207</v>
      </c>
      <c r="BB125" s="268">
        <f>BB31*365/BB121</f>
        <v>244.22513089005236</v>
      </c>
      <c r="BC125" s="268">
        <f>BC31*365/BC121</f>
        <v>223.74393792434529</v>
      </c>
      <c r="BD125" s="268">
        <f>BD31*365/BD121</f>
        <v>236.35522664199814</v>
      </c>
      <c r="BE125" s="268">
        <f>BE31*365/BE121</f>
        <v>204.22177009155646</v>
      </c>
      <c r="BG125" s="268">
        <f>BG31*365/BG121</f>
        <v>266.57711442786069</v>
      </c>
      <c r="BH125" s="268">
        <f>BH31*365/BH121</f>
        <v>232.07462686567163</v>
      </c>
      <c r="BI125" s="268">
        <f>BI31*365/BI121</f>
        <v>222.06924979389942</v>
      </c>
      <c r="BJ125" s="268">
        <f>BJ31*365/BJ121</f>
        <v>171.12759643916914</v>
      </c>
      <c r="BL125" s="268">
        <f>BL31*365/BL121</f>
        <v>249.16756465517241</v>
      </c>
      <c r="BM125" s="268">
        <f>BM31*365/BM121</f>
        <v>232.87173396674584</v>
      </c>
      <c r="BN125" s="268">
        <f>BN31*365/BN121</f>
        <v>218.65343116098404</v>
      </c>
      <c r="BO125" s="268">
        <f>BO31*365/BO121</f>
        <v>169.37438423645321</v>
      </c>
      <c r="BQ125" s="268">
        <f>BQ31*365/BQ121</f>
        <v>242.91748046875</v>
      </c>
      <c r="BR125" s="268">
        <f>BR31*365/BR121</f>
        <v>226.62180974477957</v>
      </c>
      <c r="BS125" s="268">
        <f>BS31*365/BS121</f>
        <v>216.07496768634209</v>
      </c>
      <c r="BT125" s="268">
        <f>BT31*365/BT121</f>
        <v>185.04113924050634</v>
      </c>
      <c r="BV125" s="268">
        <f>BV31*365/BV121</f>
        <v>243.68244858919178</v>
      </c>
      <c r="BW125" s="268">
        <f t="shared" si="584"/>
        <v>226.62180974477957</v>
      </c>
      <c r="BX125" s="268">
        <f t="shared" si="584"/>
        <v>216.07496768634209</v>
      </c>
      <c r="BY125" s="268">
        <f t="shared" si="584"/>
        <v>185.04113924050634</v>
      </c>
      <c r="BZ125" s="181"/>
      <c r="CA125" s="268">
        <f>CA31*365/CA121</f>
        <v>308.48046309696093</v>
      </c>
      <c r="CB125" s="268">
        <f t="shared" si="585"/>
        <v>226.62180974477957</v>
      </c>
      <c r="CC125" s="268">
        <f t="shared" si="585"/>
        <v>216.07496768634209</v>
      </c>
      <c r="CD125" s="268">
        <f>BY125</f>
        <v>185.04113924050634</v>
      </c>
      <c r="CE125" s="181"/>
      <c r="CF125" s="268">
        <f t="shared" ref="CF125:CT125" si="613">CF31*365/CF121</f>
        <v>662.53891050583661</v>
      </c>
      <c r="CG125" s="268">
        <f t="shared" si="613"/>
        <v>568.24977618621313</v>
      </c>
      <c r="CH125" s="268">
        <f t="shared" si="613"/>
        <v>592.48837209302326</v>
      </c>
      <c r="CI125" s="268">
        <f t="shared" si="613"/>
        <v>446.4711477488903</v>
      </c>
      <c r="CJ125" s="1137">
        <f t="shared" si="613"/>
        <v>146.776110068793</v>
      </c>
      <c r="CK125" s="268">
        <f t="shared" si="613"/>
        <v>331.60018770530269</v>
      </c>
      <c r="CL125" s="268">
        <f t="shared" si="613"/>
        <v>280.74692093762417</v>
      </c>
      <c r="CM125" s="268">
        <f t="shared" si="613"/>
        <v>304.98057833405267</v>
      </c>
      <c r="CN125" s="268">
        <f t="shared" si="613"/>
        <v>222.14397988054071</v>
      </c>
      <c r="CO125" s="1137">
        <f t="shared" si="613"/>
        <v>69.647151586832251</v>
      </c>
      <c r="CP125" s="268">
        <f t="shared" si="613"/>
        <v>370.2442528735632</v>
      </c>
      <c r="CQ125" s="268">
        <f t="shared" si="613"/>
        <v>291.50452488687785</v>
      </c>
      <c r="CR125" s="268">
        <f t="shared" si="613"/>
        <v>323.32496863237139</v>
      </c>
      <c r="CS125" s="268">
        <f t="shared" si="613"/>
        <v>204.40772078265468</v>
      </c>
      <c r="CT125" s="1137">
        <f t="shared" si="613"/>
        <v>70.839365893888029</v>
      </c>
      <c r="CU125" s="268">
        <f t="shared" ref="CU125:CW125" si="614">CU31*365/CU121</f>
        <v>377.65510948905109</v>
      </c>
      <c r="CV125" s="268">
        <f t="shared" si="614"/>
        <v>381.73352435530086</v>
      </c>
      <c r="CW125" s="268">
        <f t="shared" si="614"/>
        <v>352.05909090909091</v>
      </c>
      <c r="CX125" s="268">
        <f t="shared" ref="CX125" si="615">CX31*365/CX121</f>
        <v>265.53984575835477</v>
      </c>
      <c r="CY125" s="1137">
        <f>CY31*365/CY121</f>
        <v>86.097103563242342</v>
      </c>
      <c r="CZ125" s="268">
        <f t="shared" ref="CZ125:DA125" si="616">CZ31*365/CZ121</f>
        <v>431.08140947752128</v>
      </c>
      <c r="DA125" s="268">
        <f t="shared" si="616"/>
        <v>335.3956478733927</v>
      </c>
      <c r="DB125" s="268">
        <f>CW125</f>
        <v>352.05909090909091</v>
      </c>
      <c r="DC125" s="268">
        <f t="shared" si="600"/>
        <v>352.05909090909091</v>
      </c>
      <c r="DD125" s="1137">
        <f>DD31*365/DD121</f>
        <v>145.67746686303389</v>
      </c>
      <c r="DE125" s="269">
        <f>CZ125</f>
        <v>431.08140947752128</v>
      </c>
      <c r="DF125" s="269">
        <v>440</v>
      </c>
      <c r="DG125" s="269">
        <v>460</v>
      </c>
      <c r="DH125" s="269">
        <v>470</v>
      </c>
      <c r="DI125" s="1137">
        <f>DI31*365/DI121</f>
        <v>132.42336301606414</v>
      </c>
      <c r="DJ125" s="269">
        <f>DE125</f>
        <v>431.08140947752128</v>
      </c>
      <c r="DK125" s="269">
        <f t="shared" si="603"/>
        <v>440</v>
      </c>
      <c r="DL125" s="269">
        <f t="shared" si="603"/>
        <v>460</v>
      </c>
      <c r="DM125" s="269">
        <v>570</v>
      </c>
      <c r="DN125" s="181"/>
      <c r="DO125" s="269">
        <f>DJ125*1.06</f>
        <v>456.94629404617257</v>
      </c>
      <c r="DP125" s="269">
        <f>DK125*1.06</f>
        <v>466.40000000000003</v>
      </c>
      <c r="DQ125" s="269">
        <f>DL125*1.06</f>
        <v>487.6</v>
      </c>
      <c r="DR125" s="269">
        <f>DM125*1.06</f>
        <v>604.20000000000005</v>
      </c>
      <c r="DS125" s="181"/>
      <c r="DT125" s="269">
        <f>DO125*1.06</f>
        <v>484.36307168894297</v>
      </c>
      <c r="DU125" s="269">
        <f>DP125*1.06</f>
        <v>494.38400000000007</v>
      </c>
      <c r="DV125" s="269">
        <f>DQ125*1.06</f>
        <v>516.85599999999999</v>
      </c>
      <c r="DW125" s="269">
        <f>DR125*1.06</f>
        <v>640.45200000000011</v>
      </c>
      <c r="DX125" s="181"/>
      <c r="DY125" s="269">
        <f>DT125*1.06</f>
        <v>513.42485599027953</v>
      </c>
      <c r="DZ125" s="269">
        <f>DU125*1.06</f>
        <v>524.04704000000015</v>
      </c>
      <c r="EA125" s="269">
        <f>DV125*1.06</f>
        <v>547.86736000000008</v>
      </c>
      <c r="EB125" s="269">
        <f>DW125*1.06</f>
        <v>678.87912000000017</v>
      </c>
      <c r="EC125" s="181"/>
      <c r="EF125"/>
      <c r="EG125"/>
      <c r="EH125"/>
      <c r="EI125"/>
      <c r="EJ125"/>
      <c r="EK125"/>
      <c r="EL125"/>
      <c r="EM125"/>
      <c r="EN125"/>
      <c r="EO125"/>
      <c r="EP125"/>
      <c r="EQ125"/>
      <c r="ER125"/>
      <c r="ES125"/>
      <c r="ET125"/>
      <c r="EU125"/>
      <c r="EV125"/>
      <c r="EW125"/>
      <c r="EX125"/>
      <c r="EY125"/>
      <c r="EZ125"/>
      <c r="FA125"/>
    </row>
    <row r="126" spans="1:157" s="172" customFormat="1" x14ac:dyDescent="0.2">
      <c r="A126" s="174"/>
      <c r="V126" s="173"/>
      <c r="AR126" s="175"/>
      <c r="AS126" s="175"/>
      <c r="AT126" s="175"/>
      <c r="AU126" s="175"/>
      <c r="BZ126" s="181"/>
      <c r="CE126" s="181"/>
      <c r="CJ126" s="181"/>
      <c r="CO126" s="181"/>
      <c r="CP126" s="871"/>
      <c r="CT126" s="181"/>
      <c r="CY126" s="181"/>
      <c r="DD126" s="181"/>
      <c r="DI126" s="181"/>
      <c r="DN126" s="181"/>
      <c r="DS126" s="181"/>
      <c r="DX126" s="181"/>
      <c r="EC126" s="181"/>
      <c r="EF126"/>
      <c r="EG126"/>
      <c r="EH126"/>
      <c r="EI126"/>
      <c r="EJ126"/>
      <c r="EK126"/>
      <c r="EL126"/>
      <c r="EM126"/>
      <c r="EN126"/>
      <c r="EO126"/>
      <c r="EP126"/>
      <c r="EQ126"/>
      <c r="ER126"/>
      <c r="ES126"/>
      <c r="ET126"/>
      <c r="EU126"/>
      <c r="EV126"/>
      <c r="EW126"/>
      <c r="EX126"/>
      <c r="EY126"/>
      <c r="EZ126"/>
      <c r="FA126"/>
    </row>
    <row r="127" spans="1:157" s="172" customFormat="1" x14ac:dyDescent="0.2">
      <c r="A127" s="174" t="s">
        <v>23</v>
      </c>
      <c r="V127" s="173"/>
      <c r="AM127" s="272">
        <f>(AM119-AH119)/AH119</f>
        <v>9.7560975609756101E-2</v>
      </c>
      <c r="AN127" s="272">
        <f>(AN119-AI119)/AI119</f>
        <v>0.10526315789473684</v>
      </c>
      <c r="AO127" s="272">
        <f>(AO119-AJ119)/AJ119</f>
        <v>0.13602941176470587</v>
      </c>
      <c r="AP127" s="272">
        <f>(AP119-AK119)/AK119</f>
        <v>8.1967213114754092E-2</v>
      </c>
      <c r="AR127" s="272">
        <f>(AR119-AM119)/AM119</f>
        <v>6.2962962962962957E-2</v>
      </c>
      <c r="AS127" s="272">
        <f>(AS119-AN119)/AN119</f>
        <v>2.0408163265306121E-2</v>
      </c>
      <c r="AT127" s="272">
        <f>(AT119-AO119)/AO119</f>
        <v>1.6181229773462784E-3</v>
      </c>
      <c r="AU127" s="272">
        <f>(AU119-AP119)/AP119</f>
        <v>-1.2626262626262627E-3</v>
      </c>
      <c r="AW127" s="272">
        <f>(AW119-AR119)/AR119</f>
        <v>-2.9616724738675958E-2</v>
      </c>
      <c r="AX127" s="272">
        <f>(AX119-AS119)/AS119</f>
        <v>-2.8333333333333332E-2</v>
      </c>
      <c r="AY127" s="272">
        <f>(AY119-AT119)/AT119</f>
        <v>-2.10016155088853E-2</v>
      </c>
      <c r="AZ127" s="272">
        <f>(AZ119-AU119)/AU119</f>
        <v>1.5170670037926675E-2</v>
      </c>
      <c r="BB127" s="272">
        <f>(BB119-AW119)/AW119</f>
        <v>5.2064631956912029E-2</v>
      </c>
      <c r="BC127" s="272">
        <f>(BC119-AX119)/AX119</f>
        <v>9.4339622641509441E-2</v>
      </c>
      <c r="BD127" s="272">
        <v>1.6E-2</v>
      </c>
      <c r="BE127" s="272">
        <v>0.02</v>
      </c>
      <c r="BG127" s="272">
        <f>(BG119-BB119)/BB119</f>
        <v>0.14163822525597269</v>
      </c>
      <c r="BH127" s="272">
        <f>(BH119-BC119)/BC119</f>
        <v>0.20062695924764889</v>
      </c>
      <c r="BI127" s="272">
        <v>1.6E-2</v>
      </c>
      <c r="BJ127" s="272">
        <v>0.02</v>
      </c>
      <c r="BL127" s="272">
        <f>(BL119-BG119)/BG119</f>
        <v>-8.6696562032884908E-2</v>
      </c>
      <c r="BM127" s="272">
        <f>(BM119-BH119)/BH119</f>
        <v>-9.5300261096605748E-2</v>
      </c>
      <c r="BN127" s="272">
        <v>1.6E-2</v>
      </c>
      <c r="BO127" s="272">
        <v>0.02</v>
      </c>
      <c r="BQ127" s="272">
        <f>(BQ119-BL119)/BL119</f>
        <v>2.2913256955810146E-2</v>
      </c>
      <c r="BR127" s="272">
        <f>(BR119-BM119)/BM119</f>
        <v>8.658008658008658E-3</v>
      </c>
      <c r="BS127" s="272">
        <v>1.6E-2</v>
      </c>
      <c r="BT127" s="272">
        <v>0.02</v>
      </c>
      <c r="BV127" s="272">
        <f>(BV119-BQ119)/BQ119</f>
        <v>5.9200000000000003E-2</v>
      </c>
      <c r="BW127" s="272">
        <f>(BW119-BR119)/BR119</f>
        <v>0.13304721030042918</v>
      </c>
      <c r="BX127" s="272">
        <f>(BX119-BS119)/BS119</f>
        <v>0.23096446700507614</v>
      </c>
      <c r="BY127" s="272">
        <f>(BY119-BT119)/BT119</f>
        <v>0.23493360572012256</v>
      </c>
      <c r="BZ127" s="181"/>
      <c r="CA127" s="272">
        <f>(CA119-BV119)/BV119</f>
        <v>0.15861027190332327</v>
      </c>
      <c r="CB127" s="272">
        <f>(CB119-BW119)/BW119</f>
        <v>0.15656565656565657</v>
      </c>
      <c r="CC127" s="272">
        <f>(CC119-BX119)/BX119</f>
        <v>6.0824742268041236E-2</v>
      </c>
      <c r="CD127" s="272">
        <f>(CD119-BY119)/BY119</f>
        <v>-3.8875103391232423E-2</v>
      </c>
      <c r="CE127" s="181"/>
      <c r="CF127" s="272">
        <f>(CF119-CA119)/CA119</f>
        <v>-0.60234680573663624</v>
      </c>
      <c r="CG127" s="272">
        <f>(CG119-CB119)/CB119</f>
        <v>-0.63318777292576423</v>
      </c>
      <c r="CH127" s="272">
        <f>(CH119-CC119)/CC119</f>
        <v>-0.67735665694849367</v>
      </c>
      <c r="CI127" s="272">
        <f>(CI119-CD119)/CD119</f>
        <v>-0.62306368330464712</v>
      </c>
      <c r="CJ127" s="181"/>
      <c r="CK127" s="272">
        <f>(CK119-CF119)/CF119</f>
        <v>6.5573770491803279E-3</v>
      </c>
      <c r="CL127" s="272">
        <f>(CL119-CG119)/CG119</f>
        <v>5.6547619047619048E-2</v>
      </c>
      <c r="CM127" s="272">
        <f>(CM119-CH119)/CH119</f>
        <v>6.3253012048192767E-2</v>
      </c>
      <c r="CN127" s="272">
        <f>(CN119-CI119)/CI119</f>
        <v>4.1095890410958902E-2</v>
      </c>
      <c r="CO127" s="181"/>
      <c r="CP127" s="901">
        <f>(CP119-CK119)/CK119</f>
        <v>-3.5830618892508145E-2</v>
      </c>
      <c r="CQ127" s="272">
        <f>(CQ119-CL119)/CL119</f>
        <v>-8.1690140845070425E-2</v>
      </c>
      <c r="CR127" s="272">
        <f>(CR119-CM119)/CM119</f>
        <v>-8.7818696883852687E-2</v>
      </c>
      <c r="CS127" s="272">
        <f>(CS119-CN119)/CN119</f>
        <v>-0.11403508771929824</v>
      </c>
      <c r="CT127" s="181"/>
      <c r="CU127" s="272">
        <f>(CU119-CP119)/CP119</f>
        <v>-3.0405405405405407E-2</v>
      </c>
      <c r="CV127" s="272">
        <f>(CV119-CQ119)/CQ119</f>
        <v>-5.8282208588957052E-2</v>
      </c>
      <c r="CW127" s="272">
        <f>(CW119-CR119)/CR119</f>
        <v>-5.9006211180124224E-2</v>
      </c>
      <c r="CX127" s="272">
        <f>(CX119-CS119)/CS119</f>
        <v>-8.4158415841584164E-2</v>
      </c>
      <c r="CY127" s="181"/>
      <c r="CZ127" s="272">
        <f>(CZ119-CU119)/CU119</f>
        <v>-3.8327526132404179E-2</v>
      </c>
      <c r="DA127" s="272">
        <f>(DA119-CV119)/CV119</f>
        <v>-8.7947882736156349E-2</v>
      </c>
      <c r="DB127" s="272">
        <f>(DB119-CW119)/CW119</f>
        <v>-9.2409240924092403E-2</v>
      </c>
      <c r="DC127" s="272">
        <f>(DC119-CX119)/CX119</f>
        <v>-0.26486486486486488</v>
      </c>
      <c r="DD127" s="181"/>
      <c r="DE127" s="272">
        <f>(DE119-CZ119)/CZ119</f>
        <v>-0.44245853038177457</v>
      </c>
      <c r="DF127" s="272">
        <f>(DF119-DA119)/DA119</f>
        <v>-0.48969019258838131</v>
      </c>
      <c r="DG127" s="272">
        <f>(DG119-DB119)/DB119</f>
        <v>-0.51394496420155888</v>
      </c>
      <c r="DH127" s="272">
        <f>(DH119-DC119)/DC119</f>
        <v>-0.41942371447256521</v>
      </c>
      <c r="DI127" s="181"/>
      <c r="DJ127" s="272">
        <f>(DJ119-DE119)/DE119</f>
        <v>-0.28321389965166421</v>
      </c>
      <c r="DK127" s="272">
        <f>(DK119-DF119)/DF119</f>
        <v>-0.25946007653649406</v>
      </c>
      <c r="DL127" s="272">
        <f>(DL119-DG119)/DG119</f>
        <v>-0.24541837196656821</v>
      </c>
      <c r="DM127" s="272">
        <f>(DM119-DH119)/DH119</f>
        <v>-0.26733458446308184</v>
      </c>
      <c r="DN127" s="181"/>
      <c r="DO127" s="272">
        <f>(DO119-DJ119)/DJ119</f>
        <v>-0.25920914982296472</v>
      </c>
      <c r="DP127" s="272">
        <f>(DP119-DK119)/DK119</f>
        <v>-0.16950603416376955</v>
      </c>
      <c r="DQ127" s="272">
        <f>(DQ119-DL119)/DL119</f>
        <v>-6.7072683510401285E-2</v>
      </c>
      <c r="DR127" s="272">
        <f>(DR119-DM119)/DM119</f>
        <v>6.1318470106466676E-2</v>
      </c>
      <c r="DS127" s="181"/>
      <c r="DT127" s="272">
        <f>(DT119-DO119)/DO119</f>
        <v>0.1363704782373184</v>
      </c>
      <c r="DU127" s="272">
        <f>(DU119-DP119)/DP119</f>
        <v>0.13337494160703894</v>
      </c>
      <c r="DV127" s="272">
        <f>(DV119-DQ119)/DQ119</f>
        <v>0.12960164849850833</v>
      </c>
      <c r="DW127" s="272">
        <f>(DW119-DR119)/DR119</f>
        <v>0.12764155733713228</v>
      </c>
      <c r="DX127" s="181"/>
      <c r="DY127" s="272">
        <f>(DY119-DT119)/DT119</f>
        <v>0.13236662892164958</v>
      </c>
      <c r="DZ127" s="272">
        <f>(DZ119-DU119)/DU119</f>
        <v>0.1439307856985777</v>
      </c>
      <c r="EA127" s="272">
        <f>(EA119-DV119)/DV119</f>
        <v>0.15421765998904396</v>
      </c>
      <c r="EB127" s="272">
        <f>(EB119-DW119)/DW119</f>
        <v>0.16520667995848731</v>
      </c>
      <c r="EC127" s="181"/>
      <c r="EF127"/>
      <c r="EG127"/>
      <c r="EH127"/>
      <c r="EI127"/>
      <c r="EJ127"/>
      <c r="EK127"/>
      <c r="EL127"/>
      <c r="EM127"/>
      <c r="EN127"/>
      <c r="EO127"/>
      <c r="EP127"/>
      <c r="EQ127"/>
      <c r="ER127"/>
      <c r="ES127"/>
      <c r="ET127"/>
      <c r="EU127"/>
      <c r="EV127"/>
      <c r="EW127"/>
      <c r="EX127"/>
      <c r="EY127"/>
      <c r="EZ127"/>
      <c r="FA127"/>
    </row>
    <row r="128" spans="1:157" s="172" customFormat="1" ht="10.5" customHeight="1" x14ac:dyDescent="0.2">
      <c r="A128" s="242" t="s">
        <v>24</v>
      </c>
      <c r="B128" s="243"/>
      <c r="C128" s="243"/>
      <c r="D128" s="243"/>
      <c r="E128" s="243"/>
      <c r="F128" s="243"/>
      <c r="G128" s="243"/>
      <c r="H128" s="243"/>
      <c r="I128" s="243"/>
      <c r="J128" s="243"/>
      <c r="K128" s="243"/>
      <c r="L128" s="243"/>
      <c r="M128" s="243"/>
      <c r="N128" s="243"/>
      <c r="O128" s="243"/>
      <c r="P128" s="243"/>
      <c r="Q128" s="243"/>
      <c r="R128" s="243"/>
      <c r="S128" s="243"/>
      <c r="T128" s="243"/>
      <c r="U128" s="243"/>
      <c r="V128" s="836"/>
      <c r="W128" s="243"/>
      <c r="X128" s="243"/>
      <c r="Y128" s="243"/>
      <c r="Z128" s="243"/>
      <c r="AA128" s="243"/>
      <c r="AB128" s="243"/>
      <c r="AC128" s="243"/>
      <c r="AD128" s="243"/>
      <c r="AE128" s="243"/>
      <c r="AF128" s="243"/>
      <c r="AG128" s="243"/>
      <c r="AH128" s="243"/>
      <c r="AI128" s="243"/>
      <c r="AJ128" s="243"/>
      <c r="AK128" s="243"/>
      <c r="AL128" s="243"/>
      <c r="AM128" s="837">
        <f>(AM125-AH125)/AH125</f>
        <v>-0.6827743783157797</v>
      </c>
      <c r="AN128" s="837">
        <f>(AN125-AI125)/AI125</f>
        <v>-0.71585513580044946</v>
      </c>
      <c r="AO128" s="837">
        <f>(AO125-AJ125)/AJ125</f>
        <v>-0.71739161165377929</v>
      </c>
      <c r="AP128" s="837">
        <f>(AP125-AK125)/AK125</f>
        <v>-0.70105987287158478</v>
      </c>
      <c r="AQ128" s="243"/>
      <c r="AR128" s="837">
        <f>(AR125-AM125)/AM125</f>
        <v>-8.8013758505403814E-2</v>
      </c>
      <c r="AS128" s="837">
        <f>(AS125-AN125)/AN125</f>
        <v>5.9960229086615267E-2</v>
      </c>
      <c r="AT128" s="837">
        <f>(AT125-AO125)/AO125</f>
        <v>2.5102110875246175E-2</v>
      </c>
      <c r="AU128" s="837">
        <f>(AU125-AP125)/AP125</f>
        <v>2.1472743160583448E-2</v>
      </c>
      <c r="AV128" s="243"/>
      <c r="AW128" s="837"/>
      <c r="AX128" s="837"/>
      <c r="AY128" s="837"/>
      <c r="AZ128" s="837"/>
      <c r="BA128" s="243"/>
      <c r="BB128" s="837"/>
      <c r="BC128" s="837"/>
      <c r="BD128" s="837"/>
      <c r="BE128" s="837"/>
      <c r="BF128" s="243"/>
      <c r="BG128" s="837"/>
      <c r="BH128" s="837"/>
      <c r="BI128" s="837"/>
      <c r="BJ128" s="837"/>
      <c r="BK128" s="243"/>
      <c r="BL128" s="837"/>
      <c r="BM128" s="837"/>
      <c r="BN128" s="837"/>
      <c r="BO128" s="837"/>
      <c r="BP128" s="243"/>
      <c r="BQ128" s="837"/>
      <c r="BR128" s="837"/>
      <c r="BS128" s="837"/>
      <c r="BT128" s="837"/>
      <c r="BU128" s="243"/>
      <c r="BV128" s="837"/>
      <c r="BW128" s="837"/>
      <c r="BX128" s="837"/>
      <c r="BY128" s="837"/>
      <c r="BZ128" s="258"/>
      <c r="CA128" s="837"/>
      <c r="CB128" s="837"/>
      <c r="CC128" s="837"/>
      <c r="CD128" s="837"/>
      <c r="CE128" s="258"/>
      <c r="CF128" s="837"/>
      <c r="CG128" s="837"/>
      <c r="CH128" s="837"/>
      <c r="CI128" s="837"/>
      <c r="CJ128" s="258"/>
      <c r="CK128" s="837"/>
      <c r="CL128" s="837"/>
      <c r="CM128" s="837"/>
      <c r="CN128" s="837"/>
      <c r="CO128" s="258"/>
      <c r="CP128" s="902"/>
      <c r="CQ128" s="837"/>
      <c r="CR128" s="837"/>
      <c r="CS128" s="837"/>
      <c r="CT128" s="1136"/>
      <c r="CU128" s="837"/>
      <c r="CV128" s="837"/>
      <c r="CW128" s="837"/>
      <c r="CX128" s="837"/>
      <c r="CY128" s="258"/>
      <c r="CZ128" s="837"/>
      <c r="DA128" s="837"/>
      <c r="DB128" s="837"/>
      <c r="DC128" s="837"/>
      <c r="DD128" s="258"/>
      <c r="DE128" s="837"/>
      <c r="DF128" s="837"/>
      <c r="DG128" s="837"/>
      <c r="DH128" s="837"/>
      <c r="DI128" s="258"/>
      <c r="DJ128" s="837"/>
      <c r="DK128" s="837"/>
      <c r="DL128" s="837"/>
      <c r="DM128" s="837"/>
      <c r="DN128" s="258"/>
      <c r="DO128" s="837"/>
      <c r="DP128" s="837"/>
      <c r="DQ128" s="837"/>
      <c r="DR128" s="837"/>
      <c r="DS128" s="258"/>
      <c r="DT128" s="837"/>
      <c r="DU128" s="837"/>
      <c r="DV128" s="837"/>
      <c r="DW128" s="837"/>
      <c r="DX128" s="258"/>
      <c r="DY128" s="837"/>
      <c r="DZ128" s="837"/>
      <c r="EA128" s="837"/>
      <c r="EB128" s="837"/>
      <c r="EC128" s="258"/>
      <c r="EF128"/>
      <c r="EG128"/>
      <c r="EH128"/>
      <c r="EI128"/>
      <c r="EJ128"/>
      <c r="EK128"/>
      <c r="EL128"/>
      <c r="EM128"/>
      <c r="EN128"/>
      <c r="EO128"/>
      <c r="EP128"/>
      <c r="EQ128"/>
      <c r="ER128"/>
      <c r="ES128"/>
      <c r="ET128"/>
      <c r="EU128"/>
      <c r="EV128"/>
      <c r="EW128"/>
      <c r="EX128"/>
      <c r="EY128"/>
      <c r="EZ128"/>
      <c r="FA128"/>
    </row>
    <row r="129" spans="1:157" s="172" customFormat="1" x14ac:dyDescent="0.2">
      <c r="A129" s="174"/>
      <c r="V129" s="173"/>
      <c r="AM129" s="245">
        <f>AM127-AM128</f>
        <v>0.78033535392553577</v>
      </c>
      <c r="AN129" s="245">
        <f>AN127-AN128</f>
        <v>0.8211182936951863</v>
      </c>
      <c r="AO129" s="245">
        <f>AO127-AO128</f>
        <v>0.85342102341848514</v>
      </c>
      <c r="AP129" s="245">
        <f>AP127-AP128</f>
        <v>0.78302708598633886</v>
      </c>
      <c r="AR129" s="245">
        <f>AR127-AR128</f>
        <v>0.15097672146836677</v>
      </c>
      <c r="AS129" s="245">
        <f>AS127-AS128</f>
        <v>-3.9552065821309143E-2</v>
      </c>
      <c r="AT129" s="245">
        <f>AT127-AT128</f>
        <v>-2.3483987897899895E-2</v>
      </c>
      <c r="AU129" s="245">
        <f>AU127-AU128</f>
        <v>-2.2735369423209712E-2</v>
      </c>
      <c r="CP129" s="871"/>
      <c r="CZ129" s="172">
        <f>CF!CX34</f>
        <v>-48</v>
      </c>
      <c r="DA129" s="172">
        <f>CF!CY34</f>
        <v>-89</v>
      </c>
      <c r="DB129" s="172">
        <f>CF!CZ34</f>
        <v>-31</v>
      </c>
      <c r="DC129" s="172">
        <f>CF!DA34</f>
        <v>-5</v>
      </c>
      <c r="DD129" s="172">
        <f>CF!DB34</f>
        <v>-173</v>
      </c>
      <c r="DE129" s="172">
        <f>CF!DC34</f>
        <v>23.651773893780842</v>
      </c>
      <c r="DF129" s="172">
        <f>CF!DD34</f>
        <v>-28.852712510029846</v>
      </c>
      <c r="DG129" s="172">
        <f>CF!DE34</f>
        <v>-21.915628931650872</v>
      </c>
      <c r="DH129" s="172">
        <f>CF!DF34</f>
        <v>225.41697517284274</v>
      </c>
      <c r="DI129" s="172">
        <f>CF!DG34</f>
        <v>198.30040762494286</v>
      </c>
      <c r="DJ129" s="172">
        <f>CF!DH34</f>
        <v>-331.68110609466828</v>
      </c>
      <c r="DK129" s="172">
        <f>CF!DI34</f>
        <v>-7.9065314889144247</v>
      </c>
      <c r="DL129" s="172">
        <f>CF!DJ34</f>
        <v>-10.852043545967831</v>
      </c>
      <c r="DM129" s="172">
        <f>CF!DK34</f>
        <v>371.07755416013561</v>
      </c>
      <c r="DN129" s="172">
        <f>CF!DL34</f>
        <v>20.63787303058507</v>
      </c>
      <c r="DO129" s="172">
        <f>CF!DM34</f>
        <v>-390.41579248706955</v>
      </c>
      <c r="DP129" s="172">
        <f>CF!DN34</f>
        <v>27.225122727282951</v>
      </c>
      <c r="DQ129" s="172">
        <f>CF!DO34</f>
        <v>24.249710183107254</v>
      </c>
      <c r="DR129" s="172">
        <f>CF!DP34</f>
        <v>457.89377220405925</v>
      </c>
      <c r="DS129" s="172">
        <f>CF!DQ34</f>
        <v>118.9528126273799</v>
      </c>
      <c r="DT129" s="172">
        <f>CF!DR34</f>
        <v>-412.00226579658658</v>
      </c>
      <c r="DU129" s="172">
        <f>CF!DS34</f>
        <v>32.940459775332215</v>
      </c>
      <c r="DV129" s="172">
        <f>CF!DT34</f>
        <v>26.067547061085634</v>
      </c>
      <c r="DW129" s="172">
        <f>CF!DU34</f>
        <v>526.59610899046675</v>
      </c>
      <c r="DX129" s="172">
        <f>CF!DV34</f>
        <v>173.60185003029801</v>
      </c>
      <c r="DY129" s="172">
        <f>CF!DW34</f>
        <v>-470.14219692873883</v>
      </c>
      <c r="DZ129" s="172">
        <f>CF!DX34</f>
        <v>44.694196949666207</v>
      </c>
      <c r="EA129" s="172">
        <f>CF!DY34</f>
        <v>33.406065252301232</v>
      </c>
      <c r="EB129" s="172">
        <f>CF!DZ34</f>
        <v>622.86035860574839</v>
      </c>
      <c r="EC129" s="172">
        <f>CF!EA34</f>
        <v>230.818423878977</v>
      </c>
      <c r="EF129"/>
      <c r="EG129"/>
      <c r="EH129"/>
      <c r="EI129"/>
      <c r="EJ129"/>
      <c r="EK129"/>
      <c r="EL129"/>
      <c r="EM129"/>
      <c r="EN129"/>
      <c r="EO129"/>
      <c r="EP129"/>
      <c r="EQ129"/>
      <c r="ER129"/>
      <c r="ES129"/>
      <c r="ET129"/>
      <c r="EU129"/>
      <c r="EV129"/>
      <c r="EW129"/>
      <c r="EX129"/>
      <c r="EY129"/>
      <c r="EZ129"/>
      <c r="FA129"/>
    </row>
    <row r="130" spans="1:157" s="179" customFormat="1" x14ac:dyDescent="0.2">
      <c r="A130" s="533" t="s">
        <v>92</v>
      </c>
      <c r="V130" s="829"/>
      <c r="AR130" s="830"/>
      <c r="AS130" s="830"/>
      <c r="AT130" s="830"/>
      <c r="AU130" s="830"/>
      <c r="CP130" s="903"/>
      <c r="DE130" s="179">
        <f>CF!DC31</f>
        <v>117.24192670451208</v>
      </c>
      <c r="DF130" s="179">
        <f>CF!DD31</f>
        <v>4.7478030563209472</v>
      </c>
      <c r="DG130" s="179">
        <f>CF!DE31</f>
        <v>2.9810513244409549</v>
      </c>
      <c r="DH130" s="179">
        <f>CF!DF31</f>
        <v>-59.985945483113085</v>
      </c>
      <c r="DI130" s="179">
        <f>CF!DG31</f>
        <v>64.984835602160899</v>
      </c>
      <c r="DJ130" s="179">
        <f>CF!DH31</f>
        <v>76.248399780785121</v>
      </c>
      <c r="DK130" s="179">
        <f>CF!DI31</f>
        <v>-0.85089961695211969</v>
      </c>
      <c r="DL130" s="179">
        <f>CF!DJ31</f>
        <v>-1.8506920083162868</v>
      </c>
      <c r="DM130" s="179">
        <f>CF!DK31</f>
        <v>-55.907489560923977</v>
      </c>
      <c r="DN130" s="179">
        <f>CF!DL31</f>
        <v>17.639318594592737</v>
      </c>
      <c r="DO130" s="179">
        <f>CF!DM31</f>
        <v>72.938055076754068</v>
      </c>
      <c r="DP130" s="179">
        <f>CF!DN31</f>
        <v>-9.7912104862646459</v>
      </c>
      <c r="DQ130" s="179">
        <f>CF!DO31</f>
        <v>-11.368569473149194</v>
      </c>
      <c r="DR130" s="179">
        <f>CF!DP31</f>
        <v>-69.197760844465733</v>
      </c>
      <c r="DS130" s="179">
        <f>CF!DQ31</f>
        <v>-17.419485727125505</v>
      </c>
      <c r="DT130" s="179">
        <f>CF!DR31</f>
        <v>69.556608184149525</v>
      </c>
      <c r="DU130" s="179">
        <f>CF!DS31</f>
        <v>-10.654189864533237</v>
      </c>
      <c r="DV130" s="179">
        <f>CF!DT31</f>
        <v>-12.083435101651219</v>
      </c>
      <c r="DW130" s="179">
        <f>CF!DU31</f>
        <v>-75.176508465957966</v>
      </c>
      <c r="DX130" s="179">
        <f>CF!DV31</f>
        <v>-28.357525247992896</v>
      </c>
      <c r="DY130" s="179">
        <f>CF!DW31</f>
        <v>75.444553648395754</v>
      </c>
      <c r="DZ130" s="179">
        <f>CF!DX31</f>
        <v>-12.658209589422484</v>
      </c>
      <c r="EA130" s="179">
        <f>CF!DY31</f>
        <v>-13.999610717006874</v>
      </c>
      <c r="EB130" s="179">
        <f>CF!DZ31</f>
        <v>-83.63924403465154</v>
      </c>
      <c r="EC130" s="179">
        <f>CF!EA31</f>
        <v>-34.852510692685144</v>
      </c>
      <c r="EF130"/>
      <c r="EG130"/>
      <c r="EH130"/>
      <c r="EI130"/>
      <c r="EJ130"/>
      <c r="EK130"/>
      <c r="EL130"/>
      <c r="EM130"/>
      <c r="EN130"/>
      <c r="EO130"/>
      <c r="EP130"/>
      <c r="EQ130"/>
      <c r="ER130"/>
      <c r="ES130"/>
      <c r="ET130"/>
      <c r="EU130"/>
      <c r="EV130"/>
      <c r="EW130"/>
      <c r="EX130"/>
      <c r="EY130"/>
      <c r="EZ130"/>
      <c r="FA130"/>
    </row>
    <row r="131" spans="1:157" s="172" customFormat="1" ht="10.5" customHeight="1" x14ac:dyDescent="0.2">
      <c r="A131" s="271" t="s">
        <v>529</v>
      </c>
      <c r="V131" s="173"/>
      <c r="AQ131" s="617" t="s">
        <v>52</v>
      </c>
      <c r="AR131" s="617"/>
      <c r="AS131" s="617"/>
      <c r="AT131" s="617"/>
      <c r="AU131" s="617"/>
      <c r="AV131" s="617" t="s">
        <v>52</v>
      </c>
      <c r="AW131" s="617"/>
      <c r="AX131" s="617"/>
      <c r="AY131" s="617"/>
      <c r="AZ131" s="617"/>
      <c r="BA131" s="617" t="s">
        <v>52</v>
      </c>
      <c r="BB131" s="617"/>
      <c r="BC131" s="617"/>
      <c r="BD131" s="617"/>
      <c r="BE131" s="617"/>
      <c r="BF131" s="617" t="s">
        <v>52</v>
      </c>
      <c r="BG131" s="617" t="s">
        <v>52</v>
      </c>
      <c r="BH131" s="617" t="s">
        <v>52</v>
      </c>
      <c r="BI131" s="617" t="s">
        <v>52</v>
      </c>
      <c r="BJ131" s="617" t="s">
        <v>52</v>
      </c>
      <c r="BK131" s="617" t="s">
        <v>52</v>
      </c>
      <c r="BL131" s="617" t="s">
        <v>52</v>
      </c>
      <c r="BM131" s="617" t="s">
        <v>52</v>
      </c>
      <c r="BN131" s="617" t="s">
        <v>52</v>
      </c>
      <c r="BO131" s="617" t="s">
        <v>52</v>
      </c>
      <c r="BP131" s="617" t="s">
        <v>52</v>
      </c>
      <c r="BQ131" s="617" t="s">
        <v>52</v>
      </c>
      <c r="BR131" s="617" t="s">
        <v>52</v>
      </c>
      <c r="BS131" s="617" t="s">
        <v>52</v>
      </c>
      <c r="BT131" s="617" t="s">
        <v>52</v>
      </c>
      <c r="BU131" s="617" t="s">
        <v>52</v>
      </c>
      <c r="BV131" s="617" t="s">
        <v>52</v>
      </c>
      <c r="BW131" s="617" t="s">
        <v>52</v>
      </c>
      <c r="BX131" s="617" t="s">
        <v>52</v>
      </c>
      <c r="BY131" s="617" t="s">
        <v>52</v>
      </c>
      <c r="BZ131" s="617" t="s">
        <v>52</v>
      </c>
      <c r="CA131" s="617" t="s">
        <v>52</v>
      </c>
      <c r="CB131" s="617" t="s">
        <v>52</v>
      </c>
      <c r="CC131" s="617" t="s">
        <v>52</v>
      </c>
      <c r="CD131" s="617" t="s">
        <v>52</v>
      </c>
      <c r="CE131" s="617" t="s">
        <v>52</v>
      </c>
      <c r="CF131" s="617" t="s">
        <v>52</v>
      </c>
      <c r="CG131" s="617" t="s">
        <v>52</v>
      </c>
      <c r="CH131" s="617" t="s">
        <v>52</v>
      </c>
      <c r="CI131" s="617" t="s">
        <v>52</v>
      </c>
      <c r="CJ131" s="617" t="s">
        <v>52</v>
      </c>
      <c r="CK131" s="617" t="s">
        <v>52</v>
      </c>
      <c r="CL131" s="617" t="s">
        <v>52</v>
      </c>
      <c r="CM131" s="617" t="s">
        <v>52</v>
      </c>
      <c r="CN131" s="617" t="s">
        <v>52</v>
      </c>
      <c r="CO131" s="617" t="s">
        <v>52</v>
      </c>
      <c r="CP131" s="904" t="s">
        <v>52</v>
      </c>
      <c r="CQ131" s="617" t="s">
        <v>52</v>
      </c>
      <c r="CR131" s="617" t="s">
        <v>52</v>
      </c>
      <c r="CS131" s="617" t="s">
        <v>52</v>
      </c>
      <c r="CT131" s="617" t="s">
        <v>52</v>
      </c>
      <c r="CU131" s="617" t="s">
        <v>52</v>
      </c>
      <c r="CV131" s="617" t="s">
        <v>52</v>
      </c>
      <c r="CW131" s="617" t="s">
        <v>52</v>
      </c>
      <c r="CX131" s="617" t="s">
        <v>52</v>
      </c>
      <c r="CY131" s="617" t="s">
        <v>52</v>
      </c>
      <c r="CZ131" s="617" t="s">
        <v>52</v>
      </c>
      <c r="DA131" s="617" t="s">
        <v>52</v>
      </c>
      <c r="DB131" s="617" t="s">
        <v>52</v>
      </c>
      <c r="DC131" s="617" t="s">
        <v>52</v>
      </c>
      <c r="DD131" s="617" t="s">
        <v>52</v>
      </c>
      <c r="DE131" s="617" t="s">
        <v>52</v>
      </c>
      <c r="DF131" s="617" t="s">
        <v>52</v>
      </c>
      <c r="DG131" s="617" t="s">
        <v>52</v>
      </c>
      <c r="DH131" s="617" t="s">
        <v>52</v>
      </c>
      <c r="DI131" s="617" t="s">
        <v>52</v>
      </c>
      <c r="DJ131" s="617" t="s">
        <v>52</v>
      </c>
      <c r="DK131" s="617" t="s">
        <v>52</v>
      </c>
      <c r="DL131" s="617" t="s">
        <v>52</v>
      </c>
      <c r="DM131" s="617" t="s">
        <v>52</v>
      </c>
      <c r="DN131" s="617" t="s">
        <v>52</v>
      </c>
      <c r="DO131" s="617" t="s">
        <v>52</v>
      </c>
      <c r="DP131" s="617" t="s">
        <v>52</v>
      </c>
      <c r="DQ131" s="617" t="s">
        <v>52</v>
      </c>
      <c r="DR131" s="617" t="s">
        <v>52</v>
      </c>
      <c r="DS131" s="617" t="s">
        <v>52</v>
      </c>
      <c r="DT131" s="617" t="s">
        <v>52</v>
      </c>
      <c r="DU131" s="617" t="s">
        <v>52</v>
      </c>
      <c r="DV131" s="617" t="s">
        <v>52</v>
      </c>
      <c r="DW131" s="617" t="s">
        <v>52</v>
      </c>
      <c r="DX131" s="617" t="s">
        <v>52</v>
      </c>
      <c r="DY131" s="617" t="s">
        <v>52</v>
      </c>
      <c r="DZ131" s="617" t="s">
        <v>52</v>
      </c>
      <c r="EA131" s="617" t="s">
        <v>52</v>
      </c>
      <c r="EB131" s="617" t="s">
        <v>52</v>
      </c>
      <c r="EC131" s="617" t="s">
        <v>52</v>
      </c>
      <c r="EF131"/>
      <c r="EG131"/>
      <c r="EH131"/>
      <c r="EI131"/>
      <c r="EJ131"/>
      <c r="EK131"/>
      <c r="EL131"/>
      <c r="EM131"/>
      <c r="EN131"/>
      <c r="EO131"/>
      <c r="EP131"/>
      <c r="EQ131"/>
      <c r="ER131"/>
      <c r="ES131"/>
      <c r="ET131"/>
      <c r="EU131"/>
      <c r="EV131"/>
      <c r="EW131"/>
      <c r="EX131"/>
      <c r="EY131"/>
      <c r="EZ131"/>
      <c r="FA131"/>
    </row>
    <row r="132" spans="1:157" s="172" customFormat="1" x14ac:dyDescent="0.2">
      <c r="A132" s="271" t="s">
        <v>530</v>
      </c>
      <c r="V132" s="173"/>
      <c r="AQ132" s="617" t="s">
        <v>52</v>
      </c>
      <c r="AR132" s="617"/>
      <c r="AS132" s="617"/>
      <c r="AT132" s="617"/>
      <c r="AU132" s="617"/>
      <c r="AV132" s="617" t="s">
        <v>52</v>
      </c>
      <c r="AW132" s="617"/>
      <c r="AX132" s="617"/>
      <c r="AY132" s="617"/>
      <c r="AZ132" s="617"/>
      <c r="BA132" s="617" t="s">
        <v>52</v>
      </c>
      <c r="BB132" s="617"/>
      <c r="BC132" s="617"/>
      <c r="BD132" s="617"/>
      <c r="BE132" s="617"/>
      <c r="BF132" s="617" t="s">
        <v>52</v>
      </c>
      <c r="BG132" s="617" t="s">
        <v>52</v>
      </c>
      <c r="BH132" s="617" t="s">
        <v>52</v>
      </c>
      <c r="BI132" s="617" t="s">
        <v>52</v>
      </c>
      <c r="BJ132" s="617" t="s">
        <v>52</v>
      </c>
      <c r="BK132" s="617" t="s">
        <v>52</v>
      </c>
      <c r="BL132" s="617" t="s">
        <v>52</v>
      </c>
      <c r="BM132" s="617" t="s">
        <v>52</v>
      </c>
      <c r="BN132" s="617" t="s">
        <v>52</v>
      </c>
      <c r="BO132" s="617" t="s">
        <v>52</v>
      </c>
      <c r="BP132" s="617" t="s">
        <v>52</v>
      </c>
      <c r="BQ132" s="617" t="s">
        <v>52</v>
      </c>
      <c r="BR132" s="617" t="s">
        <v>52</v>
      </c>
      <c r="BS132" s="617" t="s">
        <v>52</v>
      </c>
      <c r="BT132" s="617" t="s">
        <v>52</v>
      </c>
      <c r="BU132" s="617" t="s">
        <v>52</v>
      </c>
      <c r="BV132" s="617" t="s">
        <v>52</v>
      </c>
      <c r="BW132" s="617" t="s">
        <v>52</v>
      </c>
      <c r="BX132" s="617" t="s">
        <v>52</v>
      </c>
      <c r="BY132" s="617" t="s">
        <v>52</v>
      </c>
      <c r="BZ132" s="617" t="s">
        <v>52</v>
      </c>
      <c r="CA132" s="617" t="s">
        <v>52</v>
      </c>
      <c r="CB132" s="617" t="s">
        <v>52</v>
      </c>
      <c r="CC132" s="617" t="s">
        <v>52</v>
      </c>
      <c r="CD132" s="617" t="s">
        <v>52</v>
      </c>
      <c r="CE132" s="617" t="s">
        <v>52</v>
      </c>
      <c r="CF132" s="617" t="s">
        <v>52</v>
      </c>
      <c r="CG132" s="617" t="s">
        <v>52</v>
      </c>
      <c r="CH132" s="617" t="s">
        <v>52</v>
      </c>
      <c r="CI132" s="617" t="s">
        <v>52</v>
      </c>
      <c r="CJ132" s="617" t="s">
        <v>52</v>
      </c>
      <c r="CK132" s="617" t="s">
        <v>52</v>
      </c>
      <c r="CL132" s="617" t="s">
        <v>52</v>
      </c>
      <c r="CM132" s="617" t="s">
        <v>52</v>
      </c>
      <c r="CN132" s="617" t="s">
        <v>52</v>
      </c>
      <c r="CO132" s="617" t="s">
        <v>52</v>
      </c>
      <c r="CP132" s="904" t="s">
        <v>52</v>
      </c>
      <c r="CQ132" s="617" t="s">
        <v>52</v>
      </c>
      <c r="CR132" s="617" t="s">
        <v>52</v>
      </c>
      <c r="CS132" s="617" t="s">
        <v>52</v>
      </c>
      <c r="CT132" s="617" t="s">
        <v>52</v>
      </c>
      <c r="CU132" s="617" t="s">
        <v>52</v>
      </c>
      <c r="CV132" s="617" t="s">
        <v>52</v>
      </c>
      <c r="CW132" s="617" t="s">
        <v>52</v>
      </c>
      <c r="CX132" s="617" t="s">
        <v>52</v>
      </c>
      <c r="CY132" s="617" t="s">
        <v>52</v>
      </c>
      <c r="CZ132" s="617" t="s">
        <v>52</v>
      </c>
      <c r="DA132" s="617" t="s">
        <v>52</v>
      </c>
      <c r="DB132" s="617" t="s">
        <v>52</v>
      </c>
      <c r="DC132" s="617" t="s">
        <v>52</v>
      </c>
      <c r="DD132" s="617" t="s">
        <v>52</v>
      </c>
      <c r="DE132" s="617" t="s">
        <v>52</v>
      </c>
      <c r="DF132" s="617" t="s">
        <v>52</v>
      </c>
      <c r="DG132" s="617" t="s">
        <v>52</v>
      </c>
      <c r="DH132" s="617" t="s">
        <v>52</v>
      </c>
      <c r="DI132" s="617" t="s">
        <v>52</v>
      </c>
      <c r="DJ132" s="617" t="s">
        <v>52</v>
      </c>
      <c r="DK132" s="617" t="s">
        <v>52</v>
      </c>
      <c r="DL132" s="617" t="s">
        <v>52</v>
      </c>
      <c r="DM132" s="617" t="s">
        <v>52</v>
      </c>
      <c r="DN132" s="617" t="s">
        <v>52</v>
      </c>
      <c r="DO132" s="617" t="s">
        <v>52</v>
      </c>
      <c r="DP132" s="617" t="s">
        <v>52</v>
      </c>
      <c r="DQ132" s="617" t="s">
        <v>52</v>
      </c>
      <c r="DR132" s="617" t="s">
        <v>52</v>
      </c>
      <c r="DS132" s="617" t="s">
        <v>52</v>
      </c>
      <c r="DT132" s="617" t="s">
        <v>52</v>
      </c>
      <c r="DU132" s="617" t="s">
        <v>52</v>
      </c>
      <c r="DV132" s="617" t="s">
        <v>52</v>
      </c>
      <c r="DW132" s="617" t="s">
        <v>52</v>
      </c>
      <c r="DX132" s="617" t="s">
        <v>52</v>
      </c>
      <c r="DY132" s="617" t="s">
        <v>52</v>
      </c>
      <c r="DZ132" s="617" t="s">
        <v>52</v>
      </c>
      <c r="EA132" s="617" t="s">
        <v>52</v>
      </c>
      <c r="EB132" s="617" t="s">
        <v>52</v>
      </c>
      <c r="EC132" s="617" t="s">
        <v>52</v>
      </c>
      <c r="EF132"/>
      <c r="EG132"/>
      <c r="EH132"/>
      <c r="EI132"/>
      <c r="EJ132"/>
      <c r="EK132"/>
      <c r="EL132"/>
      <c r="EM132"/>
      <c r="EN132"/>
      <c r="EO132"/>
      <c r="EP132"/>
      <c r="EQ132"/>
      <c r="ER132"/>
      <c r="ES132"/>
      <c r="ET132"/>
      <c r="EU132"/>
      <c r="EV132"/>
      <c r="EW132"/>
      <c r="EX132"/>
      <c r="EY132"/>
      <c r="EZ132"/>
      <c r="FA132"/>
    </row>
    <row r="133" spans="1:157" s="172" customFormat="1" x14ac:dyDescent="0.2">
      <c r="A133" s="174" t="s">
        <v>283</v>
      </c>
      <c r="V133" s="173"/>
      <c r="AR133" s="334">
        <f>1877-125</f>
        <v>1752</v>
      </c>
      <c r="AS133" s="334">
        <f>-127-15</f>
        <v>-142</v>
      </c>
      <c r="AT133" s="334">
        <v>52</v>
      </c>
      <c r="AU133" s="334">
        <f>-155-23</f>
        <v>-178</v>
      </c>
      <c r="AV133" s="334">
        <f>SUM(AR133:AU133)</f>
        <v>1484</v>
      </c>
      <c r="BA133" s="334">
        <f>100+(BA48-AV48)</f>
        <v>114</v>
      </c>
      <c r="BF133" s="334">
        <f>190.4+(BF48-BA48)</f>
        <v>366.4</v>
      </c>
      <c r="BG133" s="172">
        <v>27.5</v>
      </c>
      <c r="BH133" s="172">
        <f>-36+22</f>
        <v>-14</v>
      </c>
      <c r="BI133" s="172">
        <f>87</f>
        <v>87</v>
      </c>
      <c r="BJ133" s="261">
        <f>BJ79+3-114.271205</f>
        <v>-537.27120500000001</v>
      </c>
      <c r="BK133" s="172">
        <f>SUM(BG133:BJ133)+111.5-36</f>
        <v>-361.27120500000001</v>
      </c>
      <c r="BL133" s="261">
        <v>107</v>
      </c>
      <c r="BM133" s="721">
        <f>BM79-89.8+2.8</f>
        <v>-10.999999999999996</v>
      </c>
      <c r="BN133" s="721">
        <f>BN79+104.6-17.6</f>
        <v>148</v>
      </c>
      <c r="BO133" s="721">
        <f>BO79-92.4-6.6</f>
        <v>-44.000000000000007</v>
      </c>
      <c r="BP133" s="261">
        <f>SUM(BL133:BO133)+168</f>
        <v>368</v>
      </c>
      <c r="BQ133" s="172">
        <f>-37+6</f>
        <v>-31</v>
      </c>
      <c r="BS133" s="172">
        <f>125.44+26-23.44</f>
        <v>128</v>
      </c>
      <c r="BT133" s="172">
        <f>10-125.56</f>
        <v>-115.56</v>
      </c>
      <c r="BU133" s="261">
        <f>SUM(BQ133:BT133)-23.44+158</f>
        <v>116</v>
      </c>
      <c r="BV133" s="172">
        <f>132.8+50.01</f>
        <v>182.81</v>
      </c>
      <c r="BW133" s="172">
        <f>-124.424+75</f>
        <v>-49.424000000000007</v>
      </c>
      <c r="BX133" s="172">
        <f>130.584+13-12.584</f>
        <v>131</v>
      </c>
      <c r="BY133" s="172">
        <f>-50+120-354.6304</f>
        <v>-284.63040000000001</v>
      </c>
      <c r="BZ133" s="172">
        <f>SUM(BV133:BY133)+33+150-178+116.2444</f>
        <v>100.99999999999996</v>
      </c>
      <c r="CA133" s="172">
        <f>50+68-98.5185</f>
        <v>19.481499999999997</v>
      </c>
      <c r="CB133" s="172">
        <f>20.2124-43.2124</f>
        <v>-23.000000000000004</v>
      </c>
      <c r="CC133" s="172">
        <v>108</v>
      </c>
      <c r="CD133" s="172">
        <f>53-95.22</f>
        <v>-42.22</v>
      </c>
      <c r="CE133" s="172">
        <f>SUM(CA133:CD133)-14.4815+25-34+150</f>
        <v>188.78</v>
      </c>
      <c r="CG133" s="172">
        <f>-14.23413+19</f>
        <v>4.7658699999999996</v>
      </c>
      <c r="CH133" s="172">
        <f>50-45.000001+29+100.435001</f>
        <v>134.435</v>
      </c>
      <c r="CI133" s="172">
        <f>-25+103-25-26.54</f>
        <v>26.46</v>
      </c>
      <c r="CJ133" s="172">
        <f>-15.45913+99-25+1129.337058+169.10913-1129.337058-25-26.54+70</f>
        <v>246.1100000000001</v>
      </c>
      <c r="CK133" s="172">
        <f>25+58-25.000001-47.999999-43.206</f>
        <v>-33.206000000000003</v>
      </c>
      <c r="CL133" s="172">
        <f>25-33+66-48.000001-30.999999</f>
        <v>-20.999999999999996</v>
      </c>
      <c r="CM133" s="172">
        <f>164.24+30</f>
        <v>194.24</v>
      </c>
      <c r="CN133" s="172">
        <f>125+58-125-48-31+22+92-514.19</f>
        <v>-421.19000000000005</v>
      </c>
      <c r="CO133" s="172">
        <f>150+231-150-192-50.056651-65.149349+49.35-291.24+582.48-489.19</f>
        <v>-224.80599999999998</v>
      </c>
      <c r="CP133" s="871">
        <f>15+51-39+28.999999-49.999998+168.999999-48-31+20+92-142</f>
        <v>66</v>
      </c>
      <c r="CQ133" s="172">
        <f>15+51-39+29.000001+18.999999-48-31+19.999999+92.000002-42.000001</f>
        <v>66</v>
      </c>
      <c r="CR133" s="172">
        <f>15+50-39+29+19-48-31+20+92-42.000001</f>
        <v>64.999999000000003</v>
      </c>
      <c r="CS133" s="172">
        <f>15+59-39+29+19-48-31+104-42</f>
        <v>66</v>
      </c>
      <c r="CT133" s="172">
        <f>60+211-155.999999+115.999998-49.999998+225.999999-192-62.468468-61.531532+71.999999+368.000001-268</f>
        <v>263</v>
      </c>
      <c r="CU133" s="172">
        <f>15+41.000001-29.000001-31+20+92-42</f>
        <v>66</v>
      </c>
      <c r="CV133" s="172">
        <f>15+40.999999-28.999999-31+20+91.999999-41.999999</f>
        <v>66</v>
      </c>
      <c r="CW133" s="172">
        <f>15+40.000001-29.000001-31.000001+20.000001+92-42</f>
        <v>65</v>
      </c>
      <c r="CX133" s="172">
        <f>15+20+29-29-31+104-42</f>
        <v>66</v>
      </c>
      <c r="CY133" s="172">
        <f>60+211-156+116.000001-116.000001-56.446458-67.553542+72+368-168</f>
        <v>263</v>
      </c>
      <c r="CZ133" s="172">
        <f>15+51</f>
        <v>66</v>
      </c>
      <c r="DA133" s="172">
        <f>15+51</f>
        <v>66</v>
      </c>
      <c r="DB133" s="172">
        <f>15+50</f>
        <v>65</v>
      </c>
      <c r="DC133" s="172">
        <f>1+51.000001+14</f>
        <v>66.000000999999997</v>
      </c>
      <c r="DD133" s="172">
        <f>60+203</f>
        <v>263</v>
      </c>
      <c r="DE133" s="172">
        <f>15+51</f>
        <v>66</v>
      </c>
      <c r="DF133" s="172">
        <f>15+51</f>
        <v>66</v>
      </c>
      <c r="DG133" s="172">
        <f>15+50</f>
        <v>65</v>
      </c>
      <c r="DH133" s="172">
        <f>1+51.000001+14</f>
        <v>66.000000999999997</v>
      </c>
      <c r="DI133" s="172">
        <f>60+203</f>
        <v>263</v>
      </c>
      <c r="EF133"/>
      <c r="EG133"/>
      <c r="EH133"/>
      <c r="EI133"/>
      <c r="EJ133"/>
      <c r="EK133"/>
      <c r="EL133"/>
      <c r="EM133"/>
      <c r="EN133"/>
      <c r="EO133"/>
      <c r="EP133"/>
      <c r="EQ133"/>
      <c r="ER133"/>
      <c r="ES133"/>
      <c r="ET133"/>
      <c r="EU133"/>
      <c r="EV133"/>
      <c r="EW133"/>
      <c r="EX133"/>
      <c r="EY133"/>
      <c r="EZ133"/>
      <c r="FA133"/>
    </row>
    <row r="134" spans="1:157" s="172" customFormat="1" x14ac:dyDescent="0.2">
      <c r="A134" s="174"/>
      <c r="V134" s="173"/>
      <c r="AR134" s="175"/>
      <c r="AS134" s="175"/>
      <c r="AT134" s="175"/>
      <c r="AU134" s="175"/>
      <c r="CP134" s="871"/>
      <c r="EF134"/>
      <c r="EG134"/>
      <c r="EH134"/>
      <c r="EI134"/>
      <c r="EJ134"/>
      <c r="EK134"/>
      <c r="EL134"/>
      <c r="EM134"/>
      <c r="EN134"/>
      <c r="EO134"/>
      <c r="EP134"/>
      <c r="EQ134"/>
      <c r="ER134"/>
      <c r="ES134"/>
      <c r="ET134"/>
      <c r="EU134"/>
      <c r="EV134"/>
      <c r="EW134"/>
      <c r="EX134"/>
      <c r="EY134"/>
      <c r="EZ134"/>
      <c r="FA134"/>
    </row>
    <row r="135" spans="1:157" s="172" customFormat="1" hidden="1" outlineLevel="1" x14ac:dyDescent="0.2">
      <c r="A135" s="174"/>
      <c r="V135" s="173"/>
      <c r="AR135" s="175"/>
      <c r="AS135" s="175"/>
      <c r="AT135" s="175"/>
      <c r="AU135" s="175"/>
      <c r="CP135" s="871"/>
      <c r="EF135"/>
      <c r="EG135"/>
      <c r="EH135"/>
      <c r="EI135"/>
      <c r="EJ135"/>
      <c r="EK135"/>
      <c r="EL135"/>
      <c r="EM135"/>
      <c r="EN135"/>
      <c r="EO135"/>
      <c r="EP135"/>
      <c r="EQ135"/>
      <c r="ER135"/>
      <c r="ES135"/>
      <c r="ET135"/>
      <c r="EU135"/>
      <c r="EV135"/>
      <c r="EW135"/>
      <c r="EX135"/>
      <c r="EY135"/>
      <c r="EZ135"/>
      <c r="FA135"/>
    </row>
    <row r="136" spans="1:157" s="172" customFormat="1" hidden="1" outlineLevel="1" x14ac:dyDescent="0.2">
      <c r="A136" s="174"/>
      <c r="V136" s="173"/>
      <c r="AR136" s="175"/>
      <c r="AS136" s="175"/>
      <c r="AT136" s="175"/>
      <c r="AU136" s="175"/>
      <c r="CP136" s="871"/>
      <c r="EF136"/>
      <c r="EG136"/>
      <c r="EH136"/>
      <c r="EI136"/>
      <c r="EJ136"/>
      <c r="EK136"/>
      <c r="EL136"/>
      <c r="EM136"/>
      <c r="EN136"/>
      <c r="EO136"/>
      <c r="EP136"/>
      <c r="EQ136"/>
      <c r="ER136"/>
      <c r="ES136"/>
      <c r="ET136"/>
      <c r="EU136"/>
      <c r="EV136"/>
      <c r="EW136"/>
      <c r="EX136"/>
      <c r="EY136"/>
      <c r="EZ136"/>
      <c r="FA136"/>
    </row>
    <row r="137" spans="1:157" s="172" customFormat="1" hidden="1" outlineLevel="1" x14ac:dyDescent="0.2">
      <c r="A137" s="174" t="s">
        <v>57</v>
      </c>
      <c r="V137" s="173"/>
      <c r="AR137" s="175"/>
      <c r="AS137" s="175"/>
      <c r="AT137" s="175"/>
      <c r="AU137" s="175"/>
      <c r="CP137" s="871"/>
      <c r="EF137"/>
      <c r="EG137"/>
      <c r="EH137"/>
      <c r="EI137"/>
      <c r="EJ137"/>
      <c r="EK137"/>
      <c r="EL137"/>
      <c r="EM137"/>
      <c r="EN137"/>
      <c r="EO137"/>
      <c r="EP137"/>
      <c r="EQ137"/>
      <c r="ER137"/>
      <c r="ES137"/>
      <c r="ET137"/>
      <c r="EU137"/>
      <c r="EV137"/>
      <c r="EW137"/>
      <c r="EX137"/>
      <c r="EY137"/>
      <c r="EZ137"/>
      <c r="FA137"/>
    </row>
    <row r="138" spans="1:157" s="172" customFormat="1" hidden="1" outlineLevel="1" x14ac:dyDescent="0.2">
      <c r="A138" s="530" t="s">
        <v>58</v>
      </c>
      <c r="V138" s="173"/>
      <c r="AL138" s="194"/>
      <c r="AM138" s="196"/>
      <c r="AN138" s="196"/>
      <c r="AO138" s="196"/>
      <c r="AP138" s="196"/>
      <c r="AQ138" s="194"/>
      <c r="AR138" s="196"/>
      <c r="AS138" s="196"/>
      <c r="AT138" s="196"/>
      <c r="AU138" s="196"/>
      <c r="AV138" s="195"/>
      <c r="AW138" s="195"/>
      <c r="AX138" s="196"/>
      <c r="AY138" s="196"/>
      <c r="AZ138" s="197"/>
      <c r="BA138" s="194">
        <v>183</v>
      </c>
      <c r="BB138" s="195"/>
      <c r="BC138" s="196"/>
      <c r="BD138" s="196"/>
      <c r="BE138" s="196"/>
      <c r="BF138" s="194">
        <v>0</v>
      </c>
      <c r="BG138" s="195"/>
      <c r="BH138" s="196"/>
      <c r="BI138" s="196"/>
      <c r="BJ138" s="196"/>
      <c r="BK138" s="194"/>
      <c r="BL138" s="195"/>
      <c r="BM138" s="199"/>
      <c r="BN138" s="199"/>
      <c r="BO138" s="199"/>
      <c r="BP138" s="453"/>
      <c r="BQ138" s="199"/>
      <c r="BR138" s="199"/>
      <c r="BS138" s="199"/>
      <c r="BT138" s="199"/>
      <c r="BU138" s="194"/>
      <c r="BV138" s="195"/>
      <c r="BW138" s="196"/>
      <c r="BX138" s="196"/>
      <c r="BY138" s="196"/>
      <c r="BZ138" s="194"/>
      <c r="CA138" s="195"/>
      <c r="CB138" s="196"/>
      <c r="CC138" s="199"/>
      <c r="CD138" s="196"/>
      <c r="CE138" s="194"/>
      <c r="CF138" s="198"/>
      <c r="CG138" s="199"/>
      <c r="CH138" s="199"/>
      <c r="CI138" s="199"/>
      <c r="CJ138" s="200"/>
      <c r="CK138" s="198"/>
      <c r="CL138" s="199"/>
      <c r="CM138" s="196"/>
      <c r="CN138" s="196"/>
      <c r="CO138" s="194"/>
      <c r="CP138" s="905"/>
      <c r="CQ138" s="196"/>
      <c r="CR138" s="196"/>
      <c r="CS138" s="196"/>
      <c r="CT138" s="194"/>
      <c r="CU138" s="195"/>
      <c r="CV138" s="196"/>
      <c r="CW138" s="196"/>
      <c r="CX138" s="196"/>
      <c r="CY138" s="194"/>
      <c r="CZ138" s="195"/>
      <c r="DA138" s="199"/>
      <c r="DB138" s="199"/>
      <c r="DC138" s="196"/>
      <c r="DD138" s="194"/>
      <c r="DE138" s="198"/>
      <c r="DF138" s="199"/>
      <c r="DG138" s="199"/>
      <c r="DH138" s="199"/>
      <c r="DI138" s="200"/>
      <c r="DJ138" s="198"/>
      <c r="DK138" s="199"/>
      <c r="DL138" s="199"/>
      <c r="DM138" s="199"/>
      <c r="DN138" s="200"/>
      <c r="DO138" s="198"/>
      <c r="DP138" s="199"/>
      <c r="DQ138" s="199"/>
      <c r="DR138" s="199"/>
      <c r="DS138" s="200"/>
      <c r="DT138" s="198"/>
      <c r="DU138" s="199"/>
      <c r="DV138" s="199"/>
      <c r="DW138" s="199"/>
      <c r="DX138" s="200"/>
      <c r="DY138" s="198"/>
      <c r="DZ138" s="199"/>
      <c r="EA138" s="199"/>
      <c r="EB138" s="199"/>
      <c r="EC138" s="200"/>
      <c r="EF138"/>
      <c r="EG138"/>
      <c r="EH138"/>
      <c r="EI138"/>
      <c r="EJ138"/>
      <c r="EK138"/>
      <c r="EL138"/>
      <c r="EM138"/>
      <c r="EN138"/>
      <c r="EO138"/>
      <c r="EP138"/>
      <c r="EQ138"/>
      <c r="ER138"/>
      <c r="ES138"/>
      <c r="ET138"/>
      <c r="EU138"/>
      <c r="EV138"/>
      <c r="EW138"/>
      <c r="EX138"/>
      <c r="EY138"/>
      <c r="EZ138"/>
      <c r="FA138"/>
    </row>
    <row r="139" spans="1:157" s="172" customFormat="1" hidden="1" outlineLevel="1" x14ac:dyDescent="0.2">
      <c r="A139" s="530" t="s">
        <v>59</v>
      </c>
      <c r="V139" s="173"/>
      <c r="AL139" s="194"/>
      <c r="AM139" s="196"/>
      <c r="AN139" s="196"/>
      <c r="AO139" s="196"/>
      <c r="AP139" s="196"/>
      <c r="AQ139" s="194"/>
      <c r="AR139" s="196"/>
      <c r="AS139" s="196"/>
      <c r="AT139" s="196"/>
      <c r="AU139" s="196"/>
      <c r="AV139" s="195"/>
      <c r="AW139" s="195"/>
      <c r="AX139" s="196"/>
      <c r="AY139" s="196"/>
      <c r="AZ139" s="197"/>
      <c r="BA139" s="194">
        <v>16</v>
      </c>
      <c r="BB139" s="195"/>
      <c r="BC139" s="196"/>
      <c r="BD139" s="196"/>
      <c r="BE139" s="196"/>
      <c r="BF139" s="194">
        <v>268</v>
      </c>
      <c r="BG139" s="195"/>
      <c r="BH139" s="196"/>
      <c r="BI139" s="196"/>
      <c r="BJ139" s="196"/>
      <c r="BK139" s="194">
        <v>15</v>
      </c>
      <c r="BL139" s="195"/>
      <c r="BM139" s="199"/>
      <c r="BN139" s="199"/>
      <c r="BO139" s="199"/>
      <c r="BP139" s="453"/>
      <c r="BQ139" s="199"/>
      <c r="BR139" s="199"/>
      <c r="BS139" s="199"/>
      <c r="BT139" s="199"/>
      <c r="BU139" s="194"/>
      <c r="BV139" s="195"/>
      <c r="BW139" s="196"/>
      <c r="BX139" s="196"/>
      <c r="BY139" s="196"/>
      <c r="BZ139" s="194"/>
      <c r="CA139" s="195"/>
      <c r="CB139" s="196"/>
      <c r="CC139" s="199"/>
      <c r="CD139" s="196"/>
      <c r="CE139" s="194"/>
      <c r="CF139" s="198"/>
      <c r="CG139" s="199"/>
      <c r="CH139" s="199"/>
      <c r="CI139" s="199"/>
      <c r="CJ139" s="200"/>
      <c r="CK139" s="198"/>
      <c r="CL139" s="199"/>
      <c r="CM139" s="196"/>
      <c r="CN139" s="196"/>
      <c r="CO139" s="194"/>
      <c r="CP139" s="905"/>
      <c r="CQ139" s="196"/>
      <c r="CR139" s="196"/>
      <c r="CS139" s="196"/>
      <c r="CT139" s="194"/>
      <c r="CU139" s="195"/>
      <c r="CV139" s="196"/>
      <c r="CW139" s="196"/>
      <c r="CX139" s="196"/>
      <c r="CY139" s="194"/>
      <c r="CZ139" s="195"/>
      <c r="DA139" s="199"/>
      <c r="DB139" s="199"/>
      <c r="DC139" s="196"/>
      <c r="DD139" s="194"/>
      <c r="DE139" s="198"/>
      <c r="DF139" s="199"/>
      <c r="DG139" s="199"/>
      <c r="DH139" s="199"/>
      <c r="DI139" s="200"/>
      <c r="DJ139" s="198"/>
      <c r="DK139" s="199"/>
      <c r="DL139" s="199"/>
      <c r="DM139" s="199"/>
      <c r="DN139" s="200"/>
      <c r="DO139" s="198"/>
      <c r="DP139" s="199"/>
      <c r="DQ139" s="199"/>
      <c r="DR139" s="199"/>
      <c r="DS139" s="200"/>
      <c r="DT139" s="198"/>
      <c r="DU139" s="199"/>
      <c r="DV139" s="199"/>
      <c r="DW139" s="199"/>
      <c r="DX139" s="200"/>
      <c r="DY139" s="198"/>
      <c r="DZ139" s="199"/>
      <c r="EA139" s="199"/>
      <c r="EB139" s="199"/>
      <c r="EC139" s="200"/>
      <c r="EF139"/>
      <c r="EG139"/>
      <c r="EH139"/>
      <c r="EI139"/>
      <c r="EJ139"/>
      <c r="EK139"/>
      <c r="EL139"/>
      <c r="EM139"/>
      <c r="EN139"/>
      <c r="EO139"/>
      <c r="EP139"/>
      <c r="EQ139"/>
      <c r="ER139"/>
      <c r="ES139"/>
      <c r="ET139"/>
      <c r="EU139"/>
      <c r="EV139"/>
      <c r="EW139"/>
      <c r="EX139"/>
      <c r="EY139"/>
      <c r="EZ139"/>
      <c r="FA139"/>
    </row>
    <row r="140" spans="1:157" s="172" customFormat="1" hidden="1" outlineLevel="1" x14ac:dyDescent="0.2">
      <c r="A140" s="530" t="s">
        <v>527</v>
      </c>
      <c r="V140" s="173"/>
      <c r="AL140" s="194"/>
      <c r="AM140" s="196"/>
      <c r="AN140" s="196"/>
      <c r="AO140" s="196"/>
      <c r="AP140" s="196"/>
      <c r="AQ140" s="194"/>
      <c r="AR140" s="196"/>
      <c r="AS140" s="196"/>
      <c r="AT140" s="196"/>
      <c r="AU140" s="196"/>
      <c r="AV140" s="195"/>
      <c r="AW140" s="195"/>
      <c r="AX140" s="196"/>
      <c r="AY140" s="196"/>
      <c r="AZ140" s="197"/>
      <c r="BA140" s="194">
        <v>28</v>
      </c>
      <c r="BB140" s="195"/>
      <c r="BC140" s="196"/>
      <c r="BD140" s="196"/>
      <c r="BE140" s="196"/>
      <c r="BF140" s="194">
        <v>20</v>
      </c>
      <c r="BG140" s="195"/>
      <c r="BH140" s="196"/>
      <c r="BI140" s="196"/>
      <c r="BJ140" s="196"/>
      <c r="BK140" s="194">
        <v>10</v>
      </c>
      <c r="BL140" s="195"/>
      <c r="BM140" s="199"/>
      <c r="BN140" s="199"/>
      <c r="BO140" s="199"/>
      <c r="BP140" s="453"/>
      <c r="BQ140" s="199"/>
      <c r="BR140" s="199"/>
      <c r="BS140" s="199"/>
      <c r="BT140" s="199"/>
      <c r="BU140" s="194"/>
      <c r="BV140" s="195"/>
      <c r="BW140" s="196"/>
      <c r="BX140" s="196"/>
      <c r="BY140" s="196"/>
      <c r="BZ140" s="194"/>
      <c r="CA140" s="195"/>
      <c r="CB140" s="196"/>
      <c r="CC140" s="199"/>
      <c r="CD140" s="196"/>
      <c r="CE140" s="194"/>
      <c r="CF140" s="198"/>
      <c r="CG140" s="199"/>
      <c r="CH140" s="199"/>
      <c r="CI140" s="199"/>
      <c r="CJ140" s="200"/>
      <c r="CK140" s="198"/>
      <c r="CL140" s="199"/>
      <c r="CM140" s="196"/>
      <c r="CN140" s="196"/>
      <c r="CO140" s="194"/>
      <c r="CP140" s="905"/>
      <c r="CQ140" s="196"/>
      <c r="CR140" s="196"/>
      <c r="CS140" s="196"/>
      <c r="CT140" s="194"/>
      <c r="CU140" s="195"/>
      <c r="CV140" s="196"/>
      <c r="CW140" s="196"/>
      <c r="CX140" s="196"/>
      <c r="CY140" s="194"/>
      <c r="CZ140" s="195"/>
      <c r="DA140" s="199"/>
      <c r="DB140" s="199"/>
      <c r="DC140" s="196"/>
      <c r="DD140" s="194"/>
      <c r="DE140" s="198"/>
      <c r="DF140" s="199"/>
      <c r="DG140" s="199"/>
      <c r="DH140" s="199"/>
      <c r="DI140" s="200"/>
      <c r="DJ140" s="198"/>
      <c r="DK140" s="199"/>
      <c r="DL140" s="199"/>
      <c r="DM140" s="199"/>
      <c r="DN140" s="200"/>
      <c r="DO140" s="198"/>
      <c r="DP140" s="199"/>
      <c r="DQ140" s="199"/>
      <c r="DR140" s="199"/>
      <c r="DS140" s="200"/>
      <c r="DT140" s="198"/>
      <c r="DU140" s="199"/>
      <c r="DV140" s="199"/>
      <c r="DW140" s="199"/>
      <c r="DX140" s="200"/>
      <c r="DY140" s="198"/>
      <c r="DZ140" s="199"/>
      <c r="EA140" s="199"/>
      <c r="EB140" s="199"/>
      <c r="EC140" s="200"/>
      <c r="EF140"/>
      <c r="EG140"/>
      <c r="EH140"/>
      <c r="EI140"/>
      <c r="EJ140"/>
      <c r="EK140"/>
      <c r="EL140"/>
      <c r="EM140"/>
      <c r="EN140"/>
      <c r="EO140"/>
      <c r="EP140"/>
      <c r="EQ140"/>
      <c r="ER140"/>
      <c r="ES140"/>
      <c r="ET140"/>
      <c r="EU140"/>
      <c r="EV140"/>
      <c r="EW140"/>
      <c r="EX140"/>
      <c r="EY140"/>
      <c r="EZ140"/>
      <c r="FA140"/>
    </row>
    <row r="141" spans="1:157" s="172" customFormat="1" hidden="1" outlineLevel="1" x14ac:dyDescent="0.2">
      <c r="A141" s="530"/>
      <c r="V141" s="173"/>
      <c r="AL141" s="194"/>
      <c r="AM141" s="196"/>
      <c r="AN141" s="196"/>
      <c r="AO141" s="196"/>
      <c r="AP141" s="196"/>
      <c r="AQ141" s="194"/>
      <c r="AR141" s="196"/>
      <c r="AS141" s="196"/>
      <c r="AT141" s="196"/>
      <c r="AU141" s="196"/>
      <c r="AV141" s="195"/>
      <c r="AW141" s="195"/>
      <c r="AX141" s="196"/>
      <c r="AY141" s="196"/>
      <c r="AZ141" s="197"/>
      <c r="BA141" s="194"/>
      <c r="BB141" s="195"/>
      <c r="BC141" s="196"/>
      <c r="BD141" s="196"/>
      <c r="BE141" s="196"/>
      <c r="BF141" s="194"/>
      <c r="BG141" s="195"/>
      <c r="BH141" s="196"/>
      <c r="BI141" s="196"/>
      <c r="BJ141" s="196"/>
      <c r="BK141" s="194"/>
      <c r="BL141" s="195"/>
      <c r="BM141" s="199"/>
      <c r="BN141" s="199"/>
      <c r="BO141" s="199"/>
      <c r="BP141" s="453"/>
      <c r="BQ141" s="199"/>
      <c r="BR141" s="199"/>
      <c r="BS141" s="199"/>
      <c r="BT141" s="199"/>
      <c r="BU141" s="194"/>
      <c r="BV141" s="195"/>
      <c r="BW141" s="196"/>
      <c r="BX141" s="196"/>
      <c r="BY141" s="196"/>
      <c r="BZ141" s="194"/>
      <c r="CA141" s="195"/>
      <c r="CB141" s="196"/>
      <c r="CC141" s="199"/>
      <c r="CD141" s="196"/>
      <c r="CE141" s="194"/>
      <c r="CF141" s="198"/>
      <c r="CG141" s="199"/>
      <c r="CH141" s="199"/>
      <c r="CI141" s="199"/>
      <c r="CJ141" s="200"/>
      <c r="CK141" s="198"/>
      <c r="CL141" s="199"/>
      <c r="CM141" s="196"/>
      <c r="CN141" s="196"/>
      <c r="CO141" s="194"/>
      <c r="CP141" s="905"/>
      <c r="CQ141" s="196"/>
      <c r="CR141" s="196"/>
      <c r="CS141" s="196"/>
      <c r="CT141" s="194"/>
      <c r="CU141" s="195"/>
      <c r="CV141" s="196"/>
      <c r="CW141" s="196"/>
      <c r="CX141" s="196"/>
      <c r="CY141" s="194"/>
      <c r="CZ141" s="195"/>
      <c r="DA141" s="199"/>
      <c r="DB141" s="199"/>
      <c r="DC141" s="196"/>
      <c r="DD141" s="194"/>
      <c r="DE141" s="198"/>
      <c r="DF141" s="199"/>
      <c r="DG141" s="199"/>
      <c r="DH141" s="199"/>
      <c r="DI141" s="200"/>
      <c r="DJ141" s="198"/>
      <c r="DK141" s="199"/>
      <c r="DL141" s="199"/>
      <c r="DM141" s="199"/>
      <c r="DN141" s="200"/>
      <c r="DO141" s="198"/>
      <c r="DP141" s="199"/>
      <c r="DQ141" s="199"/>
      <c r="DR141" s="199"/>
      <c r="DS141" s="200"/>
      <c r="DT141" s="198"/>
      <c r="DU141" s="199"/>
      <c r="DV141" s="199"/>
      <c r="DW141" s="199"/>
      <c r="DX141" s="200"/>
      <c r="DY141" s="198"/>
      <c r="DZ141" s="199"/>
      <c r="EA141" s="199"/>
      <c r="EB141" s="199"/>
      <c r="EC141" s="200"/>
      <c r="EF141"/>
      <c r="EG141"/>
      <c r="EH141"/>
      <c r="EI141"/>
      <c r="EJ141"/>
      <c r="EK141"/>
      <c r="EL141"/>
      <c r="EM141"/>
      <c r="EN141"/>
      <c r="EO141"/>
      <c r="EP141"/>
      <c r="EQ141"/>
      <c r="ER141"/>
      <c r="ES141"/>
      <c r="ET141"/>
      <c r="EU141"/>
      <c r="EV141"/>
      <c r="EW141"/>
      <c r="EX141"/>
      <c r="EY141"/>
      <c r="EZ141"/>
      <c r="FA141"/>
    </row>
    <row r="142" spans="1:157" s="172" customFormat="1" hidden="1" outlineLevel="1" x14ac:dyDescent="0.2">
      <c r="A142" s="174" t="s">
        <v>479</v>
      </c>
      <c r="V142" s="173"/>
      <c r="AL142" s="194"/>
      <c r="AM142" s="196"/>
      <c r="AN142" s="196"/>
      <c r="AO142" s="196"/>
      <c r="AP142" s="196"/>
      <c r="AQ142" s="194"/>
      <c r="AR142" s="196"/>
      <c r="AS142" s="196"/>
      <c r="AT142" s="196"/>
      <c r="AU142" s="196"/>
      <c r="AV142" s="195"/>
      <c r="AW142" s="195"/>
      <c r="AX142" s="196"/>
      <c r="AY142" s="196"/>
      <c r="AZ142" s="197"/>
      <c r="BA142" s="194">
        <f>SUM(BA138:BA141)</f>
        <v>227</v>
      </c>
      <c r="BB142" s="195"/>
      <c r="BC142" s="196"/>
      <c r="BD142" s="196"/>
      <c r="BE142" s="196"/>
      <c r="BF142" s="194">
        <f>SUM(BF138:BF141)</f>
        <v>288</v>
      </c>
      <c r="BG142" s="195"/>
      <c r="BH142" s="196"/>
      <c r="BI142" s="196"/>
      <c r="BJ142" s="196"/>
      <c r="BK142" s="194">
        <f>SUM(BK138:BK141)</f>
        <v>25</v>
      </c>
      <c r="BL142" s="195"/>
      <c r="BM142" s="199"/>
      <c r="BN142" s="199"/>
      <c r="BO142" s="199"/>
      <c r="BP142" s="453"/>
      <c r="BQ142" s="199"/>
      <c r="BR142" s="199"/>
      <c r="BS142" s="199"/>
      <c r="BT142" s="199"/>
      <c r="BU142" s="194"/>
      <c r="BV142" s="195"/>
      <c r="BW142" s="196"/>
      <c r="BX142" s="196"/>
      <c r="BY142" s="196"/>
      <c r="BZ142" s="194"/>
      <c r="CA142" s="195"/>
      <c r="CB142" s="196"/>
      <c r="CC142" s="199"/>
      <c r="CD142" s="196"/>
      <c r="CE142" s="194"/>
      <c r="CF142" s="198"/>
      <c r="CG142" s="199"/>
      <c r="CH142" s="199"/>
      <c r="CI142" s="199"/>
      <c r="CJ142" s="200"/>
      <c r="CK142" s="198"/>
      <c r="CL142" s="199"/>
      <c r="CM142" s="196"/>
      <c r="CN142" s="196"/>
      <c r="CO142" s="194"/>
      <c r="CP142" s="905"/>
      <c r="CQ142" s="196"/>
      <c r="CR142" s="196"/>
      <c r="CS142" s="196"/>
      <c r="CT142" s="194"/>
      <c r="CU142" s="195"/>
      <c r="CV142" s="196"/>
      <c r="CW142" s="196"/>
      <c r="CX142" s="196"/>
      <c r="CY142" s="194"/>
      <c r="CZ142" s="195"/>
      <c r="DA142" s="199"/>
      <c r="DB142" s="199"/>
      <c r="DC142" s="196"/>
      <c r="DD142" s="194"/>
      <c r="DE142" s="198"/>
      <c r="DF142" s="199"/>
      <c r="DG142" s="199"/>
      <c r="DH142" s="199"/>
      <c r="DI142" s="200"/>
      <c r="DJ142" s="198"/>
      <c r="DK142" s="199"/>
      <c r="DL142" s="199"/>
      <c r="DM142" s="199"/>
      <c r="DN142" s="200"/>
      <c r="DO142" s="198"/>
      <c r="DP142" s="199"/>
      <c r="DQ142" s="199"/>
      <c r="DR142" s="199"/>
      <c r="DS142" s="200"/>
      <c r="DT142" s="198"/>
      <c r="DU142" s="199"/>
      <c r="DV142" s="199"/>
      <c r="DW142" s="199"/>
      <c r="DX142" s="200"/>
      <c r="DY142" s="198"/>
      <c r="DZ142" s="199"/>
      <c r="EA142" s="199"/>
      <c r="EB142" s="199"/>
      <c r="EC142" s="200"/>
      <c r="EF142"/>
      <c r="EG142"/>
      <c r="EH142"/>
      <c r="EI142"/>
      <c r="EJ142"/>
      <c r="EK142"/>
      <c r="EL142"/>
      <c r="EM142"/>
      <c r="EN142"/>
      <c r="EO142"/>
      <c r="EP142"/>
      <c r="EQ142"/>
      <c r="ER142"/>
      <c r="ES142"/>
      <c r="ET142"/>
      <c r="EU142"/>
      <c r="EV142"/>
      <c r="EW142"/>
      <c r="EX142"/>
      <c r="EY142"/>
      <c r="EZ142"/>
      <c r="FA142"/>
    </row>
    <row r="143" spans="1:157" s="172" customFormat="1" hidden="1" outlineLevel="1" x14ac:dyDescent="0.2">
      <c r="A143" s="174"/>
      <c r="V143" s="173"/>
      <c r="AL143" s="194"/>
      <c r="AM143" s="196"/>
      <c r="AN143" s="196"/>
      <c r="AO143" s="196"/>
      <c r="AP143" s="196"/>
      <c r="AQ143" s="194"/>
      <c r="AR143" s="196"/>
      <c r="AS143" s="196"/>
      <c r="AT143" s="196"/>
      <c r="AU143" s="196"/>
      <c r="AV143" s="195"/>
      <c r="AW143" s="195"/>
      <c r="AX143" s="196"/>
      <c r="AY143" s="196"/>
      <c r="AZ143" s="197"/>
      <c r="BA143" s="194"/>
      <c r="BB143" s="195"/>
      <c r="BC143" s="196"/>
      <c r="BD143" s="196"/>
      <c r="BE143" s="196"/>
      <c r="BF143" s="194"/>
      <c r="BG143" s="195"/>
      <c r="BH143" s="196"/>
      <c r="BI143" s="196"/>
      <c r="BJ143" s="196"/>
      <c r="BK143" s="194"/>
      <c r="BL143" s="195"/>
      <c r="BM143" s="199"/>
      <c r="BN143" s="199"/>
      <c r="BO143" s="199"/>
      <c r="BP143" s="453"/>
      <c r="BQ143" s="199"/>
      <c r="BR143" s="199"/>
      <c r="BS143" s="199"/>
      <c r="BT143" s="199"/>
      <c r="BU143" s="194"/>
      <c r="BV143" s="195"/>
      <c r="BW143" s="196"/>
      <c r="BX143" s="196"/>
      <c r="BY143" s="196"/>
      <c r="BZ143" s="194"/>
      <c r="CA143" s="195"/>
      <c r="CB143" s="196"/>
      <c r="CC143" s="199"/>
      <c r="CD143" s="196"/>
      <c r="CE143" s="194"/>
      <c r="CF143" s="198"/>
      <c r="CG143" s="199"/>
      <c r="CH143" s="199"/>
      <c r="CI143" s="199"/>
      <c r="CJ143" s="200"/>
      <c r="CK143" s="198"/>
      <c r="CL143" s="199"/>
      <c r="CM143" s="196"/>
      <c r="CN143" s="196"/>
      <c r="CO143" s="194"/>
      <c r="CP143" s="905"/>
      <c r="CQ143" s="196"/>
      <c r="CR143" s="196"/>
      <c r="CS143" s="196"/>
      <c r="CT143" s="194"/>
      <c r="CU143" s="195"/>
      <c r="CV143" s="196"/>
      <c r="CW143" s="196"/>
      <c r="CX143" s="196"/>
      <c r="CY143" s="194"/>
      <c r="CZ143" s="195"/>
      <c r="DA143" s="199"/>
      <c r="DB143" s="199"/>
      <c r="DC143" s="196"/>
      <c r="DD143" s="194"/>
      <c r="DE143" s="198"/>
      <c r="DF143" s="199"/>
      <c r="DG143" s="199"/>
      <c r="DH143" s="199"/>
      <c r="DI143" s="200"/>
      <c r="DJ143" s="198"/>
      <c r="DK143" s="199"/>
      <c r="DL143" s="199"/>
      <c r="DM143" s="199"/>
      <c r="DN143" s="200"/>
      <c r="DO143" s="198"/>
      <c r="DP143" s="199"/>
      <c r="DQ143" s="199"/>
      <c r="DR143" s="199"/>
      <c r="DS143" s="200"/>
      <c r="DT143" s="198"/>
      <c r="DU143" s="199"/>
      <c r="DV143" s="199"/>
      <c r="DW143" s="199"/>
      <c r="DX143" s="200"/>
      <c r="DY143" s="198"/>
      <c r="DZ143" s="199"/>
      <c r="EA143" s="199"/>
      <c r="EB143" s="199"/>
      <c r="EC143" s="200"/>
      <c r="EF143"/>
      <c r="EG143"/>
      <c r="EH143"/>
      <c r="EI143"/>
      <c r="EJ143"/>
      <c r="EK143"/>
      <c r="EL143"/>
      <c r="EM143"/>
      <c r="EN143"/>
      <c r="EO143"/>
      <c r="EP143"/>
      <c r="EQ143"/>
      <c r="ER143"/>
      <c r="ES143"/>
      <c r="ET143"/>
      <c r="EU143"/>
      <c r="EV143"/>
      <c r="EW143"/>
      <c r="EX143"/>
      <c r="EY143"/>
      <c r="EZ143"/>
      <c r="FA143"/>
    </row>
    <row r="144" spans="1:157" s="172" customFormat="1" hidden="1" outlineLevel="1" x14ac:dyDescent="0.2">
      <c r="A144" s="174"/>
      <c r="V144" s="173"/>
      <c r="AL144" s="194"/>
      <c r="AM144" s="196"/>
      <c r="AN144" s="196"/>
      <c r="AO144" s="196"/>
      <c r="AP144" s="196"/>
      <c r="AQ144" s="194"/>
      <c r="AR144" s="196"/>
      <c r="AS144" s="196"/>
      <c r="AT144" s="196"/>
      <c r="AU144" s="196"/>
      <c r="AV144" s="195"/>
      <c r="AW144" s="195"/>
      <c r="AX144" s="196"/>
      <c r="AY144" s="196"/>
      <c r="AZ144" s="197"/>
      <c r="BA144" s="194"/>
      <c r="BB144" s="195"/>
      <c r="BC144" s="196"/>
      <c r="BD144" s="196"/>
      <c r="BE144" s="196"/>
      <c r="BF144" s="194"/>
      <c r="BG144" s="195"/>
      <c r="BH144" s="196"/>
      <c r="BI144" s="196"/>
      <c r="BJ144" s="196"/>
      <c r="BK144" s="194"/>
      <c r="BL144" s="195"/>
      <c r="BM144" s="199"/>
      <c r="BN144" s="199"/>
      <c r="BO144" s="199"/>
      <c r="BP144" s="453"/>
      <c r="BQ144" s="199"/>
      <c r="BR144" s="199"/>
      <c r="BS144" s="199"/>
      <c r="BT144" s="199"/>
      <c r="BU144" s="194"/>
      <c r="BV144" s="195"/>
      <c r="BW144" s="196"/>
      <c r="BX144" s="196"/>
      <c r="BY144" s="196"/>
      <c r="BZ144" s="194"/>
      <c r="CA144" s="195"/>
      <c r="CB144" s="196"/>
      <c r="CC144" s="199"/>
      <c r="CD144" s="196"/>
      <c r="CE144" s="194"/>
      <c r="CF144" s="198"/>
      <c r="CG144" s="199"/>
      <c r="CH144" s="199"/>
      <c r="CI144" s="199"/>
      <c r="CJ144" s="200"/>
      <c r="CK144" s="198"/>
      <c r="CL144" s="199"/>
      <c r="CM144" s="196"/>
      <c r="CN144" s="196"/>
      <c r="CO144" s="194"/>
      <c r="CP144" s="905"/>
      <c r="CQ144" s="196"/>
      <c r="CR144" s="196"/>
      <c r="CS144" s="196"/>
      <c r="CT144" s="194"/>
      <c r="CU144" s="195"/>
      <c r="CV144" s="196"/>
      <c r="CW144" s="196"/>
      <c r="CX144" s="196"/>
      <c r="CY144" s="194"/>
      <c r="CZ144" s="195"/>
      <c r="DA144" s="199"/>
      <c r="DB144" s="199"/>
      <c r="DC144" s="196"/>
      <c r="DD144" s="194"/>
      <c r="DE144" s="198"/>
      <c r="DF144" s="199"/>
      <c r="DG144" s="199"/>
      <c r="DH144" s="199"/>
      <c r="DI144" s="200"/>
      <c r="DJ144" s="198"/>
      <c r="DK144" s="199"/>
      <c r="DL144" s="199"/>
      <c r="DM144" s="199"/>
      <c r="DN144" s="200"/>
      <c r="DO144" s="198"/>
      <c r="DP144" s="199"/>
      <c r="DQ144" s="199"/>
      <c r="DR144" s="199"/>
      <c r="DS144" s="200"/>
      <c r="DT144" s="198"/>
      <c r="DU144" s="199"/>
      <c r="DV144" s="199"/>
      <c r="DW144" s="199"/>
      <c r="DX144" s="200"/>
      <c r="DY144" s="198"/>
      <c r="DZ144" s="199"/>
      <c r="EA144" s="199"/>
      <c r="EB144" s="199"/>
      <c r="EC144" s="200"/>
      <c r="EF144"/>
      <c r="EG144"/>
      <c r="EH144"/>
      <c r="EI144"/>
      <c r="EJ144"/>
      <c r="EK144"/>
      <c r="EL144"/>
      <c r="EM144"/>
      <c r="EN144"/>
      <c r="EO144"/>
      <c r="EP144"/>
      <c r="EQ144"/>
      <c r="ER144"/>
      <c r="ES144"/>
      <c r="ET144"/>
      <c r="EU144"/>
      <c r="EV144"/>
      <c r="EW144"/>
      <c r="EX144"/>
      <c r="EY144"/>
      <c r="EZ144"/>
      <c r="FA144"/>
    </row>
    <row r="145" spans="1:157" s="172" customFormat="1" hidden="1" outlineLevel="1" x14ac:dyDescent="0.2">
      <c r="A145" s="174"/>
      <c r="V145" s="173"/>
      <c r="AL145" s="194"/>
      <c r="AM145" s="196"/>
      <c r="AN145" s="196"/>
      <c r="AO145" s="196"/>
      <c r="AP145" s="196"/>
      <c r="AQ145" s="194"/>
      <c r="AR145" s="196"/>
      <c r="AS145" s="196"/>
      <c r="AT145" s="196"/>
      <c r="AU145" s="196"/>
      <c r="AV145" s="195"/>
      <c r="AW145" s="195"/>
      <c r="AX145" s="196"/>
      <c r="AY145" s="196"/>
      <c r="AZ145" s="197"/>
      <c r="BA145" s="194"/>
      <c r="BB145" s="195"/>
      <c r="BC145" s="196"/>
      <c r="BD145" s="196"/>
      <c r="BE145" s="196"/>
      <c r="BF145" s="194"/>
      <c r="BG145" s="195"/>
      <c r="BH145" s="196"/>
      <c r="BI145" s="196"/>
      <c r="BJ145" s="196"/>
      <c r="BK145" s="194"/>
      <c r="BL145" s="195"/>
      <c r="BM145" s="199"/>
      <c r="BN145" s="199"/>
      <c r="BO145" s="199"/>
      <c r="BP145" s="453"/>
      <c r="BQ145" s="199"/>
      <c r="BR145" s="199"/>
      <c r="BS145" s="199"/>
      <c r="BT145" s="199"/>
      <c r="BU145" s="194"/>
      <c r="BV145" s="195"/>
      <c r="BW145" s="196"/>
      <c r="BX145" s="196"/>
      <c r="BY145" s="196"/>
      <c r="BZ145" s="194"/>
      <c r="CA145" s="195"/>
      <c r="CB145" s="196"/>
      <c r="CC145" s="199"/>
      <c r="CD145" s="196"/>
      <c r="CE145" s="194"/>
      <c r="CF145" s="198"/>
      <c r="CG145" s="199"/>
      <c r="CH145" s="199"/>
      <c r="CI145" s="199"/>
      <c r="CJ145" s="200"/>
      <c r="CK145" s="198"/>
      <c r="CL145" s="199"/>
      <c r="CM145" s="196"/>
      <c r="CN145" s="196"/>
      <c r="CO145" s="194"/>
      <c r="CP145" s="905"/>
      <c r="CQ145" s="196"/>
      <c r="CR145" s="196"/>
      <c r="CS145" s="196"/>
      <c r="CT145" s="194"/>
      <c r="CU145" s="195"/>
      <c r="CV145" s="196"/>
      <c r="CW145" s="196"/>
      <c r="CX145" s="196"/>
      <c r="CY145" s="194"/>
      <c r="CZ145" s="195"/>
      <c r="DA145" s="199"/>
      <c r="DB145" s="199"/>
      <c r="DC145" s="196"/>
      <c r="DD145" s="194"/>
      <c r="DE145" s="198"/>
      <c r="DF145" s="199"/>
      <c r="DG145" s="199"/>
      <c r="DH145" s="199"/>
      <c r="DI145" s="200"/>
      <c r="DJ145" s="198"/>
      <c r="DK145" s="199"/>
      <c r="DL145" s="199"/>
      <c r="DM145" s="199"/>
      <c r="DN145" s="200"/>
      <c r="DO145" s="198"/>
      <c r="DP145" s="199"/>
      <c r="DQ145" s="199"/>
      <c r="DR145" s="199"/>
      <c r="DS145" s="200"/>
      <c r="DT145" s="198"/>
      <c r="DU145" s="199"/>
      <c r="DV145" s="199"/>
      <c r="DW145" s="199"/>
      <c r="DX145" s="200"/>
      <c r="DY145" s="198"/>
      <c r="DZ145" s="199"/>
      <c r="EA145" s="199"/>
      <c r="EB145" s="199"/>
      <c r="EC145" s="200"/>
      <c r="EF145"/>
      <c r="EG145"/>
      <c r="EH145"/>
      <c r="EI145"/>
      <c r="EJ145"/>
      <c r="EK145"/>
      <c r="EL145"/>
      <c r="EM145"/>
      <c r="EN145"/>
      <c r="EO145"/>
      <c r="EP145"/>
      <c r="EQ145"/>
      <c r="ER145"/>
      <c r="ES145"/>
      <c r="ET145"/>
      <c r="EU145"/>
      <c r="EV145"/>
      <c r="EW145"/>
      <c r="EX145"/>
      <c r="EY145"/>
      <c r="EZ145"/>
      <c r="FA145"/>
    </row>
    <row r="146" spans="1:157" s="172" customFormat="1" hidden="1" outlineLevel="1" x14ac:dyDescent="0.2">
      <c r="A146" s="174" t="s">
        <v>544</v>
      </c>
      <c r="V146" s="173"/>
      <c r="AL146" s="194"/>
      <c r="AM146" s="196"/>
      <c r="AN146" s="196"/>
      <c r="AO146" s="196"/>
      <c r="AP146" s="196"/>
      <c r="AQ146" s="194"/>
      <c r="AR146" s="196"/>
      <c r="AS146" s="196"/>
      <c r="AT146" s="196"/>
      <c r="AU146" s="196"/>
      <c r="AV146" s="195"/>
      <c r="AW146" s="195"/>
      <c r="AX146" s="196"/>
      <c r="AY146" s="196"/>
      <c r="AZ146" s="197"/>
      <c r="BA146" s="194"/>
      <c r="BB146" s="195"/>
      <c r="BC146" s="196"/>
      <c r="BD146" s="196"/>
      <c r="BE146" s="196"/>
      <c r="BF146" s="194"/>
      <c r="BG146" s="195"/>
      <c r="BH146" s="196"/>
      <c r="BI146" s="196"/>
      <c r="BJ146" s="196"/>
      <c r="BK146" s="194"/>
      <c r="BL146" s="195"/>
      <c r="BM146" s="199"/>
      <c r="BN146" s="199"/>
      <c r="BO146" s="199"/>
      <c r="BP146" s="453"/>
      <c r="BQ146" s="199"/>
      <c r="BR146" s="199"/>
      <c r="BS146" s="199"/>
      <c r="BT146" s="199"/>
      <c r="BU146" s="194"/>
      <c r="BV146" s="195"/>
      <c r="BW146" s="196"/>
      <c r="BX146" s="196"/>
      <c r="BY146" s="196"/>
      <c r="BZ146" s="194"/>
      <c r="CA146" s="195"/>
      <c r="CB146" s="196"/>
      <c r="CC146" s="199"/>
      <c r="CD146" s="196"/>
      <c r="CE146" s="194"/>
      <c r="CF146" s="198"/>
      <c r="CG146" s="199"/>
      <c r="CH146" s="199"/>
      <c r="CI146" s="199"/>
      <c r="CJ146" s="200"/>
      <c r="CK146" s="198"/>
      <c r="CL146" s="199"/>
      <c r="CM146" s="196"/>
      <c r="CN146" s="196"/>
      <c r="CO146" s="194"/>
      <c r="CP146" s="905"/>
      <c r="CQ146" s="196"/>
      <c r="CR146" s="196"/>
      <c r="CS146" s="196"/>
      <c r="CT146" s="194"/>
      <c r="CU146" s="195"/>
      <c r="CV146" s="196"/>
      <c r="CW146" s="196"/>
      <c r="CX146" s="196"/>
      <c r="CY146" s="194"/>
      <c r="CZ146" s="195"/>
      <c r="DA146" s="199"/>
      <c r="DB146" s="199"/>
      <c r="DC146" s="196"/>
      <c r="DD146" s="194"/>
      <c r="DE146" s="198"/>
      <c r="DF146" s="199"/>
      <c r="DG146" s="199"/>
      <c r="DH146" s="199"/>
      <c r="DI146" s="200"/>
      <c r="DJ146" s="198"/>
      <c r="DK146" s="199"/>
      <c r="DL146" s="199"/>
      <c r="DM146" s="199"/>
      <c r="DN146" s="200"/>
      <c r="DO146" s="198"/>
      <c r="DP146" s="199"/>
      <c r="DQ146" s="199"/>
      <c r="DR146" s="199"/>
      <c r="DS146" s="200"/>
      <c r="DT146" s="198"/>
      <c r="DU146" s="199"/>
      <c r="DV146" s="199"/>
      <c r="DW146" s="199"/>
      <c r="DX146" s="200"/>
      <c r="DY146" s="198"/>
      <c r="DZ146" s="199"/>
      <c r="EA146" s="199"/>
      <c r="EB146" s="199"/>
      <c r="EC146" s="200"/>
      <c r="EF146"/>
      <c r="EG146"/>
      <c r="EH146"/>
      <c r="EI146"/>
      <c r="EJ146"/>
      <c r="EK146"/>
      <c r="EL146"/>
      <c r="EM146"/>
      <c r="EN146"/>
      <c r="EO146"/>
      <c r="EP146"/>
      <c r="EQ146"/>
      <c r="ER146"/>
      <c r="ES146"/>
      <c r="ET146"/>
      <c r="EU146"/>
      <c r="EV146"/>
      <c r="EW146"/>
      <c r="EX146"/>
      <c r="EY146"/>
      <c r="EZ146"/>
      <c r="FA146"/>
    </row>
    <row r="147" spans="1:157" s="172" customFormat="1" ht="22.5" hidden="1" outlineLevel="1" x14ac:dyDescent="0.2">
      <c r="A147" s="530" t="s">
        <v>480</v>
      </c>
      <c r="V147" s="173"/>
      <c r="AL147" s="194"/>
      <c r="AM147" s="196"/>
      <c r="AN147" s="196"/>
      <c r="AO147" s="196"/>
      <c r="AP147" s="196"/>
      <c r="AQ147" s="194"/>
      <c r="AR147" s="196"/>
      <c r="AS147" s="196"/>
      <c r="AT147" s="196"/>
      <c r="AU147" s="196"/>
      <c r="AV147" s="195"/>
      <c r="AW147" s="195"/>
      <c r="AX147" s="196"/>
      <c r="AY147" s="196"/>
      <c r="AZ147" s="197"/>
      <c r="BA147" s="194">
        <v>174</v>
      </c>
      <c r="BB147" s="195"/>
      <c r="BC147" s="196"/>
      <c r="BD147" s="196"/>
      <c r="BE147" s="196"/>
      <c r="BF147" s="194">
        <v>28</v>
      </c>
      <c r="BG147" s="195"/>
      <c r="BH147" s="196"/>
      <c r="BI147" s="196"/>
      <c r="BJ147" s="196"/>
      <c r="BK147" s="194">
        <v>0</v>
      </c>
      <c r="BL147" s="195"/>
      <c r="BM147" s="199"/>
      <c r="BN147" s="199"/>
      <c r="BO147" s="199"/>
      <c r="BP147" s="453"/>
      <c r="BQ147" s="199"/>
      <c r="BR147" s="199"/>
      <c r="BS147" s="199"/>
      <c r="BT147" s="199"/>
      <c r="BU147" s="194"/>
      <c r="BV147" s="195"/>
      <c r="BW147" s="196"/>
      <c r="BX147" s="196"/>
      <c r="BY147" s="196"/>
      <c r="BZ147" s="194"/>
      <c r="CA147" s="195"/>
      <c r="CB147" s="196"/>
      <c r="CC147" s="199"/>
      <c r="CD147" s="196"/>
      <c r="CE147" s="194"/>
      <c r="CF147" s="198"/>
      <c r="CG147" s="199"/>
      <c r="CH147" s="199"/>
      <c r="CI147" s="199"/>
      <c r="CJ147" s="200"/>
      <c r="CK147" s="198"/>
      <c r="CL147" s="199"/>
      <c r="CM147" s="196"/>
      <c r="CN147" s="196"/>
      <c r="CO147" s="194"/>
      <c r="CP147" s="905"/>
      <c r="CQ147" s="196"/>
      <c r="CR147" s="196"/>
      <c r="CS147" s="196"/>
      <c r="CT147" s="194"/>
      <c r="CU147" s="195"/>
      <c r="CV147" s="196"/>
      <c r="CW147" s="196"/>
      <c r="CX147" s="196"/>
      <c r="CY147" s="194"/>
      <c r="CZ147" s="195"/>
      <c r="DA147" s="199"/>
      <c r="DB147" s="199"/>
      <c r="DC147" s="196"/>
      <c r="DD147" s="194"/>
      <c r="DE147" s="198"/>
      <c r="DF147" s="199"/>
      <c r="DG147" s="199"/>
      <c r="DH147" s="199"/>
      <c r="DI147" s="200"/>
      <c r="DJ147" s="198"/>
      <c r="DK147" s="199"/>
      <c r="DL147" s="199"/>
      <c r="DM147" s="199"/>
      <c r="DN147" s="200"/>
      <c r="DO147" s="198"/>
      <c r="DP147" s="199"/>
      <c r="DQ147" s="199"/>
      <c r="DR147" s="199"/>
      <c r="DS147" s="200"/>
      <c r="DT147" s="198"/>
      <c r="DU147" s="199"/>
      <c r="DV147" s="199"/>
      <c r="DW147" s="199"/>
      <c r="DX147" s="200"/>
      <c r="DY147" s="198"/>
      <c r="DZ147" s="199"/>
      <c r="EA147" s="199"/>
      <c r="EB147" s="199"/>
      <c r="EC147" s="200"/>
      <c r="EF147"/>
      <c r="EG147"/>
      <c r="EH147"/>
      <c r="EI147"/>
      <c r="EJ147"/>
      <c r="EK147"/>
      <c r="EL147"/>
      <c r="EM147"/>
      <c r="EN147"/>
      <c r="EO147"/>
      <c r="EP147"/>
      <c r="EQ147"/>
      <c r="ER147"/>
      <c r="ES147"/>
      <c r="ET147"/>
      <c r="EU147"/>
      <c r="EV147"/>
      <c r="EW147"/>
      <c r="EX147"/>
      <c r="EY147"/>
      <c r="EZ147"/>
      <c r="FA147"/>
    </row>
    <row r="148" spans="1:157" s="172" customFormat="1" ht="22.5" hidden="1" outlineLevel="1" x14ac:dyDescent="0.2">
      <c r="A148" s="530" t="s">
        <v>514</v>
      </c>
      <c r="V148" s="173"/>
      <c r="AL148" s="194"/>
      <c r="AM148" s="196"/>
      <c r="AN148" s="196"/>
      <c r="AO148" s="196"/>
      <c r="AP148" s="196"/>
      <c r="AQ148" s="194"/>
      <c r="AR148" s="196"/>
      <c r="AS148" s="196"/>
      <c r="AT148" s="196"/>
      <c r="AU148" s="196"/>
      <c r="AV148" s="195"/>
      <c r="AW148" s="195"/>
      <c r="AX148" s="196"/>
      <c r="AY148" s="196"/>
      <c r="AZ148" s="197"/>
      <c r="BA148" s="194">
        <v>0</v>
      </c>
      <c r="BB148" s="195"/>
      <c r="BC148" s="196"/>
      <c r="BD148" s="196"/>
      <c r="BE148" s="196"/>
      <c r="BF148" s="194">
        <v>0</v>
      </c>
      <c r="BG148" s="195"/>
      <c r="BH148" s="196"/>
      <c r="BI148" s="196"/>
      <c r="BJ148" s="196"/>
      <c r="BK148" s="194">
        <v>299</v>
      </c>
      <c r="BL148" s="195"/>
      <c r="BM148" s="199"/>
      <c r="BN148" s="199"/>
      <c r="BO148" s="199"/>
      <c r="BP148" s="453"/>
      <c r="BQ148" s="199"/>
      <c r="BR148" s="199"/>
      <c r="BS148" s="199"/>
      <c r="BT148" s="199"/>
      <c r="BU148" s="194"/>
      <c r="BV148" s="195"/>
      <c r="BW148" s="196"/>
      <c r="BX148" s="196"/>
      <c r="BY148" s="196"/>
      <c r="BZ148" s="194"/>
      <c r="CA148" s="195"/>
      <c r="CB148" s="196"/>
      <c r="CC148" s="199"/>
      <c r="CD148" s="196"/>
      <c r="CE148" s="194"/>
      <c r="CF148" s="198"/>
      <c r="CG148" s="199"/>
      <c r="CH148" s="199"/>
      <c r="CI148" s="199"/>
      <c r="CJ148" s="200"/>
      <c r="CK148" s="198"/>
      <c r="CL148" s="199"/>
      <c r="CM148" s="196"/>
      <c r="CN148" s="196"/>
      <c r="CO148" s="194"/>
      <c r="CP148" s="905"/>
      <c r="CQ148" s="196"/>
      <c r="CR148" s="196"/>
      <c r="CS148" s="196"/>
      <c r="CT148" s="194"/>
      <c r="CU148" s="195"/>
      <c r="CV148" s="196"/>
      <c r="CW148" s="196"/>
      <c r="CX148" s="196"/>
      <c r="CY148" s="194"/>
      <c r="CZ148" s="195"/>
      <c r="DA148" s="199"/>
      <c r="DB148" s="199"/>
      <c r="DC148" s="196"/>
      <c r="DD148" s="194"/>
      <c r="DE148" s="198"/>
      <c r="DF148" s="199"/>
      <c r="DG148" s="199"/>
      <c r="DH148" s="199"/>
      <c r="DI148" s="200"/>
      <c r="DJ148" s="198"/>
      <c r="DK148" s="199"/>
      <c r="DL148" s="199"/>
      <c r="DM148" s="199"/>
      <c r="DN148" s="200"/>
      <c r="DO148" s="198"/>
      <c r="DP148" s="199"/>
      <c r="DQ148" s="199"/>
      <c r="DR148" s="199"/>
      <c r="DS148" s="200"/>
      <c r="DT148" s="198"/>
      <c r="DU148" s="199"/>
      <c r="DV148" s="199"/>
      <c r="DW148" s="199"/>
      <c r="DX148" s="200"/>
      <c r="DY148" s="198"/>
      <c r="DZ148" s="199"/>
      <c r="EA148" s="199"/>
      <c r="EB148" s="199"/>
      <c r="EC148" s="200"/>
      <c r="EF148"/>
      <c r="EG148"/>
      <c r="EH148"/>
      <c r="EI148"/>
      <c r="EJ148"/>
      <c r="EK148"/>
      <c r="EL148"/>
      <c r="EM148"/>
      <c r="EN148"/>
      <c r="EO148"/>
      <c r="EP148"/>
      <c r="EQ148"/>
      <c r="ER148"/>
      <c r="ES148"/>
      <c r="ET148"/>
      <c r="EU148"/>
      <c r="EV148"/>
      <c r="EW148"/>
      <c r="EX148"/>
      <c r="EY148"/>
      <c r="EZ148"/>
      <c r="FA148"/>
    </row>
    <row r="149" spans="1:157" s="172" customFormat="1" hidden="1" outlineLevel="1" x14ac:dyDescent="0.2">
      <c r="A149" s="530" t="s">
        <v>515</v>
      </c>
      <c r="V149" s="173"/>
      <c r="AL149" s="194"/>
      <c r="AM149" s="196"/>
      <c r="AN149" s="196"/>
      <c r="AO149" s="196"/>
      <c r="AP149" s="196"/>
      <c r="AQ149" s="194"/>
      <c r="AR149" s="196"/>
      <c r="AS149" s="196"/>
      <c r="AT149" s="196"/>
      <c r="AU149" s="196"/>
      <c r="AV149" s="195"/>
      <c r="AW149" s="195"/>
      <c r="AX149" s="196"/>
      <c r="AY149" s="196"/>
      <c r="AZ149" s="197"/>
      <c r="BA149" s="194">
        <v>251</v>
      </c>
      <c r="BB149" s="195"/>
      <c r="BC149" s="196"/>
      <c r="BD149" s="196"/>
      <c r="BE149" s="196"/>
      <c r="BF149" s="194">
        <v>250</v>
      </c>
      <c r="BG149" s="195"/>
      <c r="BH149" s="196"/>
      <c r="BI149" s="196"/>
      <c r="BJ149" s="196"/>
      <c r="BK149" s="194">
        <v>0</v>
      </c>
      <c r="BL149" s="195"/>
      <c r="BM149" s="199"/>
      <c r="BN149" s="199"/>
      <c r="BO149" s="199"/>
      <c r="BP149" s="453"/>
      <c r="BQ149" s="199"/>
      <c r="BR149" s="199"/>
      <c r="BS149" s="199"/>
      <c r="BT149" s="199"/>
      <c r="BU149" s="194"/>
      <c r="BV149" s="195"/>
      <c r="BW149" s="196"/>
      <c r="BX149" s="196"/>
      <c r="BY149" s="196"/>
      <c r="BZ149" s="194"/>
      <c r="CA149" s="195"/>
      <c r="CB149" s="196"/>
      <c r="CC149" s="199"/>
      <c r="CD149" s="196"/>
      <c r="CE149" s="194"/>
      <c r="CF149" s="198"/>
      <c r="CG149" s="199"/>
      <c r="CH149" s="199"/>
      <c r="CI149" s="199"/>
      <c r="CJ149" s="200"/>
      <c r="CK149" s="198"/>
      <c r="CL149" s="199"/>
      <c r="CM149" s="196"/>
      <c r="CN149" s="196"/>
      <c r="CO149" s="194"/>
      <c r="CP149" s="905"/>
      <c r="CQ149" s="196"/>
      <c r="CR149" s="196"/>
      <c r="CS149" s="196"/>
      <c r="CT149" s="194"/>
      <c r="CU149" s="195"/>
      <c r="CV149" s="196"/>
      <c r="CW149" s="196"/>
      <c r="CX149" s="196"/>
      <c r="CY149" s="194"/>
      <c r="CZ149" s="195"/>
      <c r="DA149" s="199"/>
      <c r="DB149" s="199"/>
      <c r="DC149" s="196"/>
      <c r="DD149" s="194"/>
      <c r="DE149" s="198"/>
      <c r="DF149" s="199"/>
      <c r="DG149" s="199"/>
      <c r="DH149" s="199"/>
      <c r="DI149" s="200"/>
      <c r="DJ149" s="198"/>
      <c r="DK149" s="199"/>
      <c r="DL149" s="199"/>
      <c r="DM149" s="199"/>
      <c r="DN149" s="200"/>
      <c r="DO149" s="198"/>
      <c r="DP149" s="199"/>
      <c r="DQ149" s="199"/>
      <c r="DR149" s="199"/>
      <c r="DS149" s="200"/>
      <c r="DT149" s="198"/>
      <c r="DU149" s="199"/>
      <c r="DV149" s="199"/>
      <c r="DW149" s="199"/>
      <c r="DX149" s="200"/>
      <c r="DY149" s="198"/>
      <c r="DZ149" s="199"/>
      <c r="EA149" s="199"/>
      <c r="EB149" s="199"/>
      <c r="EC149" s="200"/>
      <c r="EF149"/>
      <c r="EG149"/>
      <c r="EH149"/>
      <c r="EI149"/>
      <c r="EJ149"/>
      <c r="EK149"/>
      <c r="EL149"/>
      <c r="EM149"/>
      <c r="EN149"/>
      <c r="EO149"/>
      <c r="EP149"/>
      <c r="EQ149"/>
      <c r="ER149"/>
      <c r="ES149"/>
      <c r="ET149"/>
      <c r="EU149"/>
      <c r="EV149"/>
      <c r="EW149"/>
      <c r="EX149"/>
      <c r="EY149"/>
      <c r="EZ149"/>
      <c r="FA149"/>
    </row>
    <row r="150" spans="1:157" s="172" customFormat="1" hidden="1" outlineLevel="1" x14ac:dyDescent="0.2">
      <c r="A150" s="530" t="s">
        <v>386</v>
      </c>
      <c r="V150" s="173"/>
      <c r="AL150" s="194"/>
      <c r="AM150" s="196"/>
      <c r="AN150" s="196"/>
      <c r="AO150" s="196"/>
      <c r="AP150" s="196"/>
      <c r="AQ150" s="194"/>
      <c r="AR150" s="196"/>
      <c r="AS150" s="196"/>
      <c r="AT150" s="196"/>
      <c r="AU150" s="196"/>
      <c r="AV150" s="195"/>
      <c r="AW150" s="195"/>
      <c r="AX150" s="196"/>
      <c r="AY150" s="196"/>
      <c r="AZ150" s="197"/>
      <c r="BA150" s="194"/>
      <c r="BB150" s="195"/>
      <c r="BC150" s="196"/>
      <c r="BD150" s="196"/>
      <c r="BE150" s="196"/>
      <c r="BF150" s="194"/>
      <c r="BG150" s="195"/>
      <c r="BH150" s="196"/>
      <c r="BI150" s="196"/>
      <c r="BJ150" s="196"/>
      <c r="BK150" s="194">
        <v>375</v>
      </c>
      <c r="BL150" s="195"/>
      <c r="BM150" s="199"/>
      <c r="BN150" s="199"/>
      <c r="BO150" s="199"/>
      <c r="BP150" s="453"/>
      <c r="BQ150" s="199"/>
      <c r="BR150" s="199"/>
      <c r="BS150" s="199"/>
      <c r="BT150" s="199"/>
      <c r="BU150" s="194"/>
      <c r="BV150" s="195"/>
      <c r="BW150" s="196"/>
      <c r="BX150" s="196"/>
      <c r="BY150" s="196"/>
      <c r="BZ150" s="194"/>
      <c r="CA150" s="195"/>
      <c r="CB150" s="196"/>
      <c r="CC150" s="199"/>
      <c r="CD150" s="196"/>
      <c r="CE150" s="194"/>
      <c r="CF150" s="198"/>
      <c r="CG150" s="199"/>
      <c r="CH150" s="199"/>
      <c r="CI150" s="199"/>
      <c r="CJ150" s="200"/>
      <c r="CK150" s="198"/>
      <c r="CL150" s="199"/>
      <c r="CM150" s="196"/>
      <c r="CN150" s="196"/>
      <c r="CO150" s="194"/>
      <c r="CP150" s="905"/>
      <c r="CQ150" s="196"/>
      <c r="CR150" s="196"/>
      <c r="CS150" s="196"/>
      <c r="CT150" s="194"/>
      <c r="CU150" s="195"/>
      <c r="CV150" s="196"/>
      <c r="CW150" s="196"/>
      <c r="CX150" s="196"/>
      <c r="CY150" s="194"/>
      <c r="CZ150" s="195"/>
      <c r="DA150" s="199"/>
      <c r="DB150" s="199"/>
      <c r="DC150" s="196"/>
      <c r="DD150" s="194"/>
      <c r="DE150" s="198"/>
      <c r="DF150" s="199"/>
      <c r="DG150" s="199"/>
      <c r="DH150" s="199"/>
      <c r="DI150" s="200"/>
      <c r="DJ150" s="198"/>
      <c r="DK150" s="199"/>
      <c r="DL150" s="199"/>
      <c r="DM150" s="199"/>
      <c r="DN150" s="200"/>
      <c r="DO150" s="198"/>
      <c r="DP150" s="199"/>
      <c r="DQ150" s="199"/>
      <c r="DR150" s="199"/>
      <c r="DS150" s="200"/>
      <c r="DT150" s="198"/>
      <c r="DU150" s="199"/>
      <c r="DV150" s="199"/>
      <c r="DW150" s="199"/>
      <c r="DX150" s="200"/>
      <c r="DY150" s="198"/>
      <c r="DZ150" s="199"/>
      <c r="EA150" s="199"/>
      <c r="EB150" s="199"/>
      <c r="EC150" s="200"/>
      <c r="EF150"/>
      <c r="EG150"/>
      <c r="EH150"/>
      <c r="EI150"/>
      <c r="EJ150"/>
      <c r="EK150"/>
      <c r="EL150"/>
      <c r="EM150"/>
      <c r="EN150"/>
      <c r="EO150"/>
      <c r="EP150"/>
      <c r="EQ150"/>
      <c r="ER150"/>
      <c r="ES150"/>
      <c r="ET150"/>
      <c r="EU150"/>
      <c r="EV150"/>
      <c r="EW150"/>
      <c r="EX150"/>
      <c r="EY150"/>
      <c r="EZ150"/>
      <c r="FA150"/>
    </row>
    <row r="151" spans="1:157" s="172" customFormat="1" hidden="1" outlineLevel="1" x14ac:dyDescent="0.2">
      <c r="A151" s="530" t="s">
        <v>516</v>
      </c>
      <c r="V151" s="173"/>
      <c r="AL151" s="194"/>
      <c r="AM151" s="196"/>
      <c r="AN151" s="196"/>
      <c r="AO151" s="196"/>
      <c r="AP151" s="196"/>
      <c r="AQ151" s="194"/>
      <c r="AR151" s="196"/>
      <c r="AS151" s="196"/>
      <c r="AT151" s="196"/>
      <c r="AU151" s="196"/>
      <c r="AV151" s="195"/>
      <c r="AW151" s="195"/>
      <c r="AX151" s="196"/>
      <c r="AY151" s="196"/>
      <c r="AZ151" s="197"/>
      <c r="BA151" s="194">
        <v>646</v>
      </c>
      <c r="BB151" s="195"/>
      <c r="BC151" s="196"/>
      <c r="BD151" s="196"/>
      <c r="BE151" s="196"/>
      <c r="BF151" s="194">
        <v>648</v>
      </c>
      <c r="BG151" s="195"/>
      <c r="BH151" s="196"/>
      <c r="BI151" s="196"/>
      <c r="BJ151" s="196"/>
      <c r="BK151" s="194">
        <v>648</v>
      </c>
      <c r="BL151" s="195"/>
      <c r="BM151" s="199"/>
      <c r="BN151" s="199"/>
      <c r="BO151" s="199"/>
      <c r="BP151" s="453"/>
      <c r="BQ151" s="199"/>
      <c r="BR151" s="199"/>
      <c r="BS151" s="199"/>
      <c r="BT151" s="199"/>
      <c r="BU151" s="194"/>
      <c r="BV151" s="195"/>
      <c r="BW151" s="196"/>
      <c r="BX151" s="196"/>
      <c r="BY151" s="196"/>
      <c r="BZ151" s="194"/>
      <c r="CA151" s="195"/>
      <c r="CB151" s="196"/>
      <c r="CC151" s="199"/>
      <c r="CD151" s="196"/>
      <c r="CE151" s="194"/>
      <c r="CF151" s="198"/>
      <c r="CG151" s="199"/>
      <c r="CH151" s="199"/>
      <c r="CI151" s="199"/>
      <c r="CJ151" s="200"/>
      <c r="CK151" s="198"/>
      <c r="CL151" s="199"/>
      <c r="CM151" s="196"/>
      <c r="CN151" s="196"/>
      <c r="CO151" s="194"/>
      <c r="CP151" s="905"/>
      <c r="CQ151" s="196"/>
      <c r="CR151" s="196"/>
      <c r="CS151" s="196"/>
      <c r="CT151" s="194"/>
      <c r="CU151" s="195"/>
      <c r="CV151" s="196"/>
      <c r="CW151" s="196"/>
      <c r="CX151" s="196"/>
      <c r="CY151" s="194"/>
      <c r="CZ151" s="195"/>
      <c r="DA151" s="199"/>
      <c r="DB151" s="199"/>
      <c r="DC151" s="196"/>
      <c r="DD151" s="194"/>
      <c r="DE151" s="198"/>
      <c r="DF151" s="199"/>
      <c r="DG151" s="199"/>
      <c r="DH151" s="199"/>
      <c r="DI151" s="200"/>
      <c r="DJ151" s="198"/>
      <c r="DK151" s="199"/>
      <c r="DL151" s="199"/>
      <c r="DM151" s="199"/>
      <c r="DN151" s="200"/>
      <c r="DO151" s="198"/>
      <c r="DP151" s="199"/>
      <c r="DQ151" s="199"/>
      <c r="DR151" s="199"/>
      <c r="DS151" s="200"/>
      <c r="DT151" s="198"/>
      <c r="DU151" s="199"/>
      <c r="DV151" s="199"/>
      <c r="DW151" s="199"/>
      <c r="DX151" s="200"/>
      <c r="DY151" s="198"/>
      <c r="DZ151" s="199"/>
      <c r="EA151" s="199"/>
      <c r="EB151" s="199"/>
      <c r="EC151" s="200"/>
      <c r="EF151"/>
      <c r="EG151"/>
      <c r="EH151"/>
      <c r="EI151"/>
      <c r="EJ151"/>
      <c r="EK151"/>
      <c r="EL151"/>
      <c r="EM151"/>
      <c r="EN151"/>
      <c r="EO151"/>
      <c r="EP151"/>
      <c r="EQ151"/>
      <c r="ER151"/>
      <c r="ES151"/>
      <c r="ET151"/>
      <c r="EU151"/>
      <c r="EV151"/>
      <c r="EW151"/>
      <c r="EX151"/>
      <c r="EY151"/>
      <c r="EZ151"/>
      <c r="FA151"/>
    </row>
    <row r="152" spans="1:157" s="172" customFormat="1" hidden="1" outlineLevel="1" x14ac:dyDescent="0.2">
      <c r="A152" s="530" t="s">
        <v>425</v>
      </c>
      <c r="V152" s="173"/>
      <c r="AL152" s="194"/>
      <c r="AM152" s="196"/>
      <c r="AN152" s="196"/>
      <c r="AO152" s="196"/>
      <c r="AP152" s="196"/>
      <c r="AQ152" s="194"/>
      <c r="AR152" s="196"/>
      <c r="AS152" s="196"/>
      <c r="AT152" s="196"/>
      <c r="AU152" s="196"/>
      <c r="AV152" s="195"/>
      <c r="AW152" s="195"/>
      <c r="AX152" s="196"/>
      <c r="AY152" s="196"/>
      <c r="AZ152" s="197"/>
      <c r="BA152" s="194">
        <v>399</v>
      </c>
      <c r="BB152" s="195"/>
      <c r="BC152" s="196"/>
      <c r="BD152" s="196"/>
      <c r="BE152" s="196"/>
      <c r="BF152" s="194">
        <v>399</v>
      </c>
      <c r="BG152" s="195"/>
      <c r="BH152" s="196"/>
      <c r="BI152" s="196"/>
      <c r="BJ152" s="196"/>
      <c r="BK152" s="194">
        <v>399</v>
      </c>
      <c r="BL152" s="195"/>
      <c r="BM152" s="199"/>
      <c r="BN152" s="199"/>
      <c r="BO152" s="199"/>
      <c r="BP152" s="453"/>
      <c r="BQ152" s="199"/>
      <c r="BR152" s="199"/>
      <c r="BS152" s="199"/>
      <c r="BT152" s="199"/>
      <c r="BU152" s="194"/>
      <c r="BV152" s="195"/>
      <c r="BW152" s="196"/>
      <c r="BX152" s="196"/>
      <c r="BY152" s="196"/>
      <c r="BZ152" s="194"/>
      <c r="CA152" s="195"/>
      <c r="CB152" s="196"/>
      <c r="CC152" s="199"/>
      <c r="CD152" s="196"/>
      <c r="CE152" s="194"/>
      <c r="CF152" s="198"/>
      <c r="CG152" s="199"/>
      <c r="CH152" s="199"/>
      <c r="CI152" s="199"/>
      <c r="CJ152" s="200"/>
      <c r="CK152" s="198"/>
      <c r="CL152" s="199"/>
      <c r="CM152" s="196"/>
      <c r="CN152" s="196"/>
      <c r="CO152" s="194"/>
      <c r="CP152" s="905"/>
      <c r="CQ152" s="196"/>
      <c r="CR152" s="196"/>
      <c r="CS152" s="196"/>
      <c r="CT152" s="194"/>
      <c r="CU152" s="195"/>
      <c r="CV152" s="196"/>
      <c r="CW152" s="196"/>
      <c r="CX152" s="196"/>
      <c r="CY152" s="194"/>
      <c r="CZ152" s="195"/>
      <c r="DA152" s="199"/>
      <c r="DB152" s="199"/>
      <c r="DC152" s="196"/>
      <c r="DD152" s="194"/>
      <c r="DE152" s="198"/>
      <c r="DF152" s="199"/>
      <c r="DG152" s="199"/>
      <c r="DH152" s="199"/>
      <c r="DI152" s="200"/>
      <c r="DJ152" s="198"/>
      <c r="DK152" s="199"/>
      <c r="DL152" s="199"/>
      <c r="DM152" s="199"/>
      <c r="DN152" s="200"/>
      <c r="DO152" s="198"/>
      <c r="DP152" s="199"/>
      <c r="DQ152" s="199"/>
      <c r="DR152" s="199"/>
      <c r="DS152" s="200"/>
      <c r="DT152" s="198"/>
      <c r="DU152" s="199"/>
      <c r="DV152" s="199"/>
      <c r="DW152" s="199"/>
      <c r="DX152" s="200"/>
      <c r="DY152" s="198"/>
      <c r="DZ152" s="199"/>
      <c r="EA152" s="199"/>
      <c r="EB152" s="199"/>
      <c r="EC152" s="200"/>
      <c r="EF152"/>
      <c r="EG152"/>
      <c r="EH152"/>
      <c r="EI152"/>
      <c r="EJ152"/>
      <c r="EK152"/>
      <c r="EL152"/>
      <c r="EM152"/>
      <c r="EN152"/>
      <c r="EO152"/>
      <c r="EP152"/>
      <c r="EQ152"/>
      <c r="ER152"/>
      <c r="ES152"/>
      <c r="ET152"/>
      <c r="EU152"/>
      <c r="EV152"/>
      <c r="EW152"/>
      <c r="EX152"/>
      <c r="EY152"/>
      <c r="EZ152"/>
      <c r="FA152"/>
    </row>
    <row r="153" spans="1:157" s="172" customFormat="1" hidden="1" outlineLevel="1" x14ac:dyDescent="0.2">
      <c r="A153" s="530" t="s">
        <v>417</v>
      </c>
      <c r="V153" s="173"/>
      <c r="AL153" s="194"/>
      <c r="AM153" s="196"/>
      <c r="AN153" s="196"/>
      <c r="AO153" s="196"/>
      <c r="AP153" s="196"/>
      <c r="AQ153" s="194"/>
      <c r="AR153" s="196"/>
      <c r="AS153" s="196"/>
      <c r="AT153" s="196"/>
      <c r="AU153" s="196"/>
      <c r="AV153" s="195"/>
      <c r="AW153" s="195"/>
      <c r="AX153" s="196"/>
      <c r="AY153" s="196"/>
      <c r="AZ153" s="197"/>
      <c r="BA153" s="194">
        <v>300</v>
      </c>
      <c r="BB153" s="195"/>
      <c r="BC153" s="196"/>
      <c r="BD153" s="196"/>
      <c r="BE153" s="196"/>
      <c r="BF153" s="194">
        <v>300</v>
      </c>
      <c r="BG153" s="195"/>
      <c r="BH153" s="196"/>
      <c r="BI153" s="196"/>
      <c r="BJ153" s="196"/>
      <c r="BK153" s="194">
        <v>300</v>
      </c>
      <c r="BL153" s="195"/>
      <c r="BM153" s="199"/>
      <c r="BN153" s="199"/>
      <c r="BO153" s="199"/>
      <c r="BP153" s="453"/>
      <c r="BQ153" s="199"/>
      <c r="BR153" s="199"/>
      <c r="BS153" s="199"/>
      <c r="BT153" s="199"/>
      <c r="BU153" s="194"/>
      <c r="BV153" s="195"/>
      <c r="BW153" s="196"/>
      <c r="BX153" s="196"/>
      <c r="BY153" s="196"/>
      <c r="BZ153" s="194"/>
      <c r="CA153" s="195"/>
      <c r="CB153" s="196"/>
      <c r="CC153" s="199"/>
      <c r="CD153" s="196"/>
      <c r="CE153" s="194"/>
      <c r="CF153" s="198"/>
      <c r="CG153" s="199"/>
      <c r="CH153" s="199"/>
      <c r="CI153" s="199"/>
      <c r="CJ153" s="200"/>
      <c r="CK153" s="198"/>
      <c r="CL153" s="199"/>
      <c r="CM153" s="196"/>
      <c r="CN153" s="196"/>
      <c r="CO153" s="194"/>
      <c r="CP153" s="905"/>
      <c r="CQ153" s="196"/>
      <c r="CR153" s="196"/>
      <c r="CS153" s="196"/>
      <c r="CT153" s="194"/>
      <c r="CU153" s="195"/>
      <c r="CV153" s="196"/>
      <c r="CW153" s="196"/>
      <c r="CX153" s="196"/>
      <c r="CY153" s="194"/>
      <c r="CZ153" s="195"/>
      <c r="DA153" s="199"/>
      <c r="DB153" s="199"/>
      <c r="DC153" s="196"/>
      <c r="DD153" s="194"/>
      <c r="DE153" s="198"/>
      <c r="DF153" s="199"/>
      <c r="DG153" s="199"/>
      <c r="DH153" s="199"/>
      <c r="DI153" s="200"/>
      <c r="DJ153" s="198"/>
      <c r="DK153" s="199"/>
      <c r="DL153" s="199"/>
      <c r="DM153" s="199"/>
      <c r="DN153" s="200"/>
      <c r="DO153" s="198"/>
      <c r="DP153" s="199"/>
      <c r="DQ153" s="199"/>
      <c r="DR153" s="199"/>
      <c r="DS153" s="200"/>
      <c r="DT153" s="198"/>
      <c r="DU153" s="199"/>
      <c r="DV153" s="199"/>
      <c r="DW153" s="199"/>
      <c r="DX153" s="200"/>
      <c r="DY153" s="198"/>
      <c r="DZ153" s="199"/>
      <c r="EA153" s="199"/>
      <c r="EB153" s="199"/>
      <c r="EC153" s="200"/>
      <c r="EF153"/>
      <c r="EG153"/>
      <c r="EH153"/>
      <c r="EI153"/>
      <c r="EJ153"/>
      <c r="EK153"/>
      <c r="EL153"/>
      <c r="EM153"/>
      <c r="EN153"/>
      <c r="EO153"/>
      <c r="EP153"/>
      <c r="EQ153"/>
      <c r="ER153"/>
      <c r="ES153"/>
      <c r="ET153"/>
      <c r="EU153"/>
      <c r="EV153"/>
      <c r="EW153"/>
      <c r="EX153"/>
      <c r="EY153"/>
      <c r="EZ153"/>
      <c r="FA153"/>
    </row>
    <row r="154" spans="1:157" s="172" customFormat="1" hidden="1" outlineLevel="1" x14ac:dyDescent="0.2">
      <c r="A154" s="530" t="s">
        <v>418</v>
      </c>
      <c r="V154" s="173"/>
      <c r="AL154" s="194"/>
      <c r="AM154" s="196"/>
      <c r="AN154" s="196"/>
      <c r="AO154" s="196"/>
      <c r="AP154" s="196"/>
      <c r="AQ154" s="194"/>
      <c r="AR154" s="196"/>
      <c r="AS154" s="196"/>
      <c r="AT154" s="196"/>
      <c r="AU154" s="196"/>
      <c r="AV154" s="195"/>
      <c r="AW154" s="195"/>
      <c r="AX154" s="196"/>
      <c r="AY154" s="196"/>
      <c r="AZ154" s="197"/>
      <c r="BA154" s="194">
        <v>0</v>
      </c>
      <c r="BB154" s="195"/>
      <c r="BC154" s="196"/>
      <c r="BD154" s="196"/>
      <c r="BE154" s="196"/>
      <c r="BF154" s="194">
        <v>598</v>
      </c>
      <c r="BG154" s="195"/>
      <c r="BH154" s="196"/>
      <c r="BI154" s="196"/>
      <c r="BJ154" s="196"/>
      <c r="BK154" s="194">
        <v>598</v>
      </c>
      <c r="BL154" s="195"/>
      <c r="BM154" s="199"/>
      <c r="BN154" s="199"/>
      <c r="BO154" s="199"/>
      <c r="BP154" s="453"/>
      <c r="BQ154" s="199"/>
      <c r="BR154" s="199"/>
      <c r="BS154" s="199"/>
      <c r="BT154" s="199"/>
      <c r="BU154" s="194"/>
      <c r="BV154" s="195"/>
      <c r="BW154" s="196"/>
      <c r="BX154" s="196"/>
      <c r="BY154" s="196"/>
      <c r="BZ154" s="194"/>
      <c r="CA154" s="195"/>
      <c r="CB154" s="196"/>
      <c r="CC154" s="199"/>
      <c r="CD154" s="196"/>
      <c r="CE154" s="194"/>
      <c r="CF154" s="198"/>
      <c r="CG154" s="199"/>
      <c r="CH154" s="199"/>
      <c r="CI154" s="199"/>
      <c r="CJ154" s="200"/>
      <c r="CK154" s="198"/>
      <c r="CL154" s="199"/>
      <c r="CM154" s="196"/>
      <c r="CN154" s="196"/>
      <c r="CO154" s="194"/>
      <c r="CP154" s="905"/>
      <c r="CQ154" s="196"/>
      <c r="CR154" s="196"/>
      <c r="CS154" s="196"/>
      <c r="CT154" s="194"/>
      <c r="CU154" s="195"/>
      <c r="CV154" s="196"/>
      <c r="CW154" s="196"/>
      <c r="CX154" s="196"/>
      <c r="CY154" s="194"/>
      <c r="CZ154" s="195"/>
      <c r="DA154" s="199"/>
      <c r="DB154" s="199"/>
      <c r="DC154" s="196"/>
      <c r="DD154" s="194"/>
      <c r="DE154" s="198"/>
      <c r="DF154" s="199"/>
      <c r="DG154" s="199"/>
      <c r="DH154" s="199"/>
      <c r="DI154" s="200"/>
      <c r="DJ154" s="198"/>
      <c r="DK154" s="199"/>
      <c r="DL154" s="199"/>
      <c r="DM154" s="199"/>
      <c r="DN154" s="200"/>
      <c r="DO154" s="198"/>
      <c r="DP154" s="199"/>
      <c r="DQ154" s="199"/>
      <c r="DR154" s="199"/>
      <c r="DS154" s="200"/>
      <c r="DT154" s="198"/>
      <c r="DU154" s="199"/>
      <c r="DV154" s="199"/>
      <c r="DW154" s="199"/>
      <c r="DX154" s="200"/>
      <c r="DY154" s="198"/>
      <c r="DZ154" s="199"/>
      <c r="EA154" s="199"/>
      <c r="EB154" s="199"/>
      <c r="EC154" s="200"/>
      <c r="EF154"/>
      <c r="EG154"/>
      <c r="EH154"/>
      <c r="EI154"/>
      <c r="EJ154"/>
      <c r="EK154"/>
      <c r="EL154"/>
      <c r="EM154"/>
      <c r="EN154"/>
      <c r="EO154"/>
      <c r="EP154"/>
      <c r="EQ154"/>
      <c r="ER154"/>
      <c r="ES154"/>
      <c r="ET154"/>
      <c r="EU154"/>
      <c r="EV154"/>
      <c r="EW154"/>
      <c r="EX154"/>
      <c r="EY154"/>
      <c r="EZ154"/>
      <c r="FA154"/>
    </row>
    <row r="155" spans="1:157" s="172" customFormat="1" hidden="1" outlineLevel="1" x14ac:dyDescent="0.2">
      <c r="A155" s="530" t="s">
        <v>419</v>
      </c>
      <c r="V155" s="173"/>
      <c r="AL155" s="194"/>
      <c r="AM155" s="196"/>
      <c r="AN155" s="196"/>
      <c r="AO155" s="196"/>
      <c r="AP155" s="196"/>
      <c r="AQ155" s="194"/>
      <c r="AR155" s="196"/>
      <c r="AS155" s="196"/>
      <c r="AT155" s="196"/>
      <c r="AU155" s="196"/>
      <c r="AV155" s="195"/>
      <c r="AW155" s="195"/>
      <c r="AX155" s="196"/>
      <c r="AY155" s="196"/>
      <c r="AZ155" s="197"/>
      <c r="BA155" s="194">
        <v>0</v>
      </c>
      <c r="BB155" s="195"/>
      <c r="BC155" s="196"/>
      <c r="BD155" s="196"/>
      <c r="BE155" s="196"/>
      <c r="BF155" s="194">
        <v>597</v>
      </c>
      <c r="BG155" s="195"/>
      <c r="BH155" s="196"/>
      <c r="BI155" s="196"/>
      <c r="BJ155" s="196"/>
      <c r="BK155" s="194">
        <v>597</v>
      </c>
      <c r="BL155" s="195"/>
      <c r="BM155" s="199"/>
      <c r="BN155" s="199"/>
      <c r="BO155" s="199"/>
      <c r="BP155" s="453"/>
      <c r="BQ155" s="199"/>
      <c r="BR155" s="199"/>
      <c r="BS155" s="199"/>
      <c r="BT155" s="199"/>
      <c r="BU155" s="194"/>
      <c r="BV155" s="195"/>
      <c r="BW155" s="196"/>
      <c r="BX155" s="196"/>
      <c r="BY155" s="196"/>
      <c r="BZ155" s="194"/>
      <c r="CA155" s="195"/>
      <c r="CB155" s="196"/>
      <c r="CC155" s="199"/>
      <c r="CD155" s="196"/>
      <c r="CE155" s="194"/>
      <c r="CF155" s="198"/>
      <c r="CG155" s="199"/>
      <c r="CH155" s="199"/>
      <c r="CI155" s="199"/>
      <c r="CJ155" s="200"/>
      <c r="CK155" s="198"/>
      <c r="CL155" s="199"/>
      <c r="CM155" s="196"/>
      <c r="CN155" s="196"/>
      <c r="CO155" s="194"/>
      <c r="CP155" s="905"/>
      <c r="CQ155" s="196"/>
      <c r="CR155" s="196"/>
      <c r="CS155" s="196"/>
      <c r="CT155" s="194"/>
      <c r="CU155" s="195"/>
      <c r="CV155" s="196"/>
      <c r="CW155" s="196"/>
      <c r="CX155" s="196"/>
      <c r="CY155" s="194"/>
      <c r="CZ155" s="195"/>
      <c r="DA155" s="199"/>
      <c r="DB155" s="199"/>
      <c r="DC155" s="196"/>
      <c r="DD155" s="194"/>
      <c r="DE155" s="198"/>
      <c r="DF155" s="199"/>
      <c r="DG155" s="199"/>
      <c r="DH155" s="199"/>
      <c r="DI155" s="200"/>
      <c r="DJ155" s="198"/>
      <c r="DK155" s="199"/>
      <c r="DL155" s="199"/>
      <c r="DM155" s="199"/>
      <c r="DN155" s="200"/>
      <c r="DO155" s="198"/>
      <c r="DP155" s="199"/>
      <c r="DQ155" s="199"/>
      <c r="DR155" s="199"/>
      <c r="DS155" s="200"/>
      <c r="DT155" s="198"/>
      <c r="DU155" s="199"/>
      <c r="DV155" s="199"/>
      <c r="DW155" s="199"/>
      <c r="DX155" s="200"/>
      <c r="DY155" s="198"/>
      <c r="DZ155" s="199"/>
      <c r="EA155" s="199"/>
      <c r="EB155" s="199"/>
      <c r="EC155" s="200"/>
      <c r="EF155"/>
      <c r="EG155"/>
      <c r="EH155"/>
      <c r="EI155"/>
      <c r="EJ155"/>
      <c r="EK155"/>
      <c r="EL155"/>
      <c r="EM155"/>
      <c r="EN155"/>
      <c r="EO155"/>
      <c r="EP155"/>
      <c r="EQ155"/>
      <c r="ER155"/>
      <c r="ES155"/>
      <c r="ET155"/>
      <c r="EU155"/>
      <c r="EV155"/>
      <c r="EW155"/>
      <c r="EX155"/>
      <c r="EY155"/>
      <c r="EZ155"/>
      <c r="FA155"/>
    </row>
    <row r="156" spans="1:157" s="172" customFormat="1" hidden="1" outlineLevel="1" x14ac:dyDescent="0.2">
      <c r="A156" s="530" t="s">
        <v>420</v>
      </c>
      <c r="V156" s="173"/>
      <c r="AL156" s="194"/>
      <c r="AM156" s="196"/>
      <c r="AN156" s="196"/>
      <c r="AO156" s="196"/>
      <c r="AP156" s="196"/>
      <c r="AQ156" s="194"/>
      <c r="AR156" s="196"/>
      <c r="AS156" s="196"/>
      <c r="AT156" s="196"/>
      <c r="AU156" s="196"/>
      <c r="AV156" s="195"/>
      <c r="AW156" s="195"/>
      <c r="AX156" s="196"/>
      <c r="AY156" s="196"/>
      <c r="AZ156" s="197"/>
      <c r="BA156" s="194">
        <v>228</v>
      </c>
      <c r="BB156" s="195"/>
      <c r="BC156" s="196"/>
      <c r="BD156" s="196"/>
      <c r="BE156" s="196"/>
      <c r="BF156" s="194">
        <v>282</v>
      </c>
      <c r="BG156" s="195"/>
      <c r="BH156" s="196"/>
      <c r="BI156" s="196"/>
      <c r="BJ156" s="196"/>
      <c r="BK156" s="194">
        <v>234</v>
      </c>
      <c r="BL156" s="195"/>
      <c r="BM156" s="199"/>
      <c r="BN156" s="199"/>
      <c r="BO156" s="199"/>
      <c r="BP156" s="453"/>
      <c r="BQ156" s="199"/>
      <c r="BR156" s="199"/>
      <c r="BS156" s="199"/>
      <c r="BT156" s="199"/>
      <c r="BU156" s="194"/>
      <c r="BV156" s="195"/>
      <c r="BW156" s="196"/>
      <c r="BX156" s="196"/>
      <c r="BY156" s="196"/>
      <c r="BZ156" s="194">
        <v>437</v>
      </c>
      <c r="CA156" s="195"/>
      <c r="CB156" s="196"/>
      <c r="CC156" s="199"/>
      <c r="CD156" s="196"/>
      <c r="CE156" s="194"/>
      <c r="CF156" s="198"/>
      <c r="CG156" s="199"/>
      <c r="CH156" s="199"/>
      <c r="CI156" s="199"/>
      <c r="CJ156" s="200"/>
      <c r="CK156" s="198"/>
      <c r="CL156" s="199"/>
      <c r="CM156" s="196"/>
      <c r="CN156" s="196"/>
      <c r="CO156" s="194"/>
      <c r="CP156" s="905"/>
      <c r="CQ156" s="196"/>
      <c r="CR156" s="196"/>
      <c r="CS156" s="196"/>
      <c r="CT156" s="194"/>
      <c r="CU156" s="195"/>
      <c r="CV156" s="196"/>
      <c r="CW156" s="196"/>
      <c r="CX156" s="196"/>
      <c r="CY156" s="194"/>
      <c r="CZ156" s="195"/>
      <c r="DA156" s="199"/>
      <c r="DB156" s="199"/>
      <c r="DC156" s="196"/>
      <c r="DD156" s="194"/>
      <c r="DE156" s="198"/>
      <c r="DF156" s="199"/>
      <c r="DG156" s="199"/>
      <c r="DH156" s="199"/>
      <c r="DI156" s="200"/>
      <c r="DJ156" s="198"/>
      <c r="DK156" s="199"/>
      <c r="DL156" s="199"/>
      <c r="DM156" s="199"/>
      <c r="DN156" s="200"/>
      <c r="DO156" s="198"/>
      <c r="DP156" s="199"/>
      <c r="DQ156" s="199"/>
      <c r="DR156" s="199"/>
      <c r="DS156" s="200"/>
      <c r="DT156" s="198"/>
      <c r="DU156" s="199"/>
      <c r="DV156" s="199"/>
      <c r="DW156" s="199"/>
      <c r="DX156" s="200"/>
      <c r="DY156" s="198"/>
      <c r="DZ156" s="199"/>
      <c r="EA156" s="199"/>
      <c r="EB156" s="199"/>
      <c r="EC156" s="200"/>
      <c r="EF156"/>
      <c r="EG156"/>
      <c r="EH156"/>
      <c r="EI156"/>
      <c r="EJ156"/>
      <c r="EK156"/>
      <c r="EL156"/>
      <c r="EM156"/>
      <c r="EN156"/>
      <c r="EO156"/>
      <c r="EP156"/>
      <c r="EQ156"/>
      <c r="ER156"/>
      <c r="ES156"/>
      <c r="ET156"/>
      <c r="EU156"/>
      <c r="EV156"/>
      <c r="EW156"/>
      <c r="EX156"/>
      <c r="EY156"/>
      <c r="EZ156"/>
      <c r="FA156"/>
    </row>
    <row r="157" spans="1:157" s="172" customFormat="1" hidden="1" outlineLevel="1" x14ac:dyDescent="0.2">
      <c r="A157" s="530" t="s">
        <v>421</v>
      </c>
      <c r="V157" s="173"/>
      <c r="AL157" s="194"/>
      <c r="AM157" s="196"/>
      <c r="AN157" s="196"/>
      <c r="AO157" s="196"/>
      <c r="AP157" s="196"/>
      <c r="AQ157" s="194"/>
      <c r="AR157" s="196"/>
      <c r="AS157" s="196"/>
      <c r="AT157" s="196"/>
      <c r="AU157" s="196"/>
      <c r="AV157" s="195"/>
      <c r="AW157" s="195"/>
      <c r="AX157" s="196"/>
      <c r="AY157" s="196"/>
      <c r="AZ157" s="197"/>
      <c r="BA157" s="194">
        <v>76</v>
      </c>
      <c r="BB157" s="195"/>
      <c r="BC157" s="196"/>
      <c r="BD157" s="196"/>
      <c r="BE157" s="196"/>
      <c r="BF157" s="194">
        <v>73</v>
      </c>
      <c r="BG157" s="195"/>
      <c r="BH157" s="196"/>
      <c r="BI157" s="196"/>
      <c r="BJ157" s="196"/>
      <c r="BK157" s="194">
        <v>70</v>
      </c>
      <c r="BL157" s="195"/>
      <c r="BM157" s="199"/>
      <c r="BN157" s="199"/>
      <c r="BO157" s="199"/>
      <c r="BP157" s="453"/>
      <c r="BQ157" s="199"/>
      <c r="BR157" s="199"/>
      <c r="BS157" s="199"/>
      <c r="BT157" s="199"/>
      <c r="BU157" s="194"/>
      <c r="BV157" s="195"/>
      <c r="BW157" s="196"/>
      <c r="BX157" s="196"/>
      <c r="BY157" s="196"/>
      <c r="BZ157" s="194"/>
      <c r="CA157" s="195"/>
      <c r="CB157" s="196"/>
      <c r="CC157" s="199"/>
      <c r="CD157" s="196"/>
      <c r="CE157" s="194"/>
      <c r="CF157" s="198"/>
      <c r="CG157" s="199"/>
      <c r="CH157" s="199"/>
      <c r="CI157" s="199"/>
      <c r="CJ157" s="200"/>
      <c r="CK157" s="198"/>
      <c r="CL157" s="199"/>
      <c r="CM157" s="196"/>
      <c r="CN157" s="196"/>
      <c r="CO157" s="194"/>
      <c r="CP157" s="905"/>
      <c r="CQ157" s="196"/>
      <c r="CR157" s="196"/>
      <c r="CS157" s="196"/>
      <c r="CT157" s="194"/>
      <c r="CU157" s="195"/>
      <c r="CV157" s="196"/>
      <c r="CW157" s="196"/>
      <c r="CX157" s="196"/>
      <c r="CY157" s="194"/>
      <c r="CZ157" s="195"/>
      <c r="DA157" s="199"/>
      <c r="DB157" s="199"/>
      <c r="DC157" s="196"/>
      <c r="DD157" s="194"/>
      <c r="DE157" s="198"/>
      <c r="DF157" s="199"/>
      <c r="DG157" s="199"/>
      <c r="DH157" s="199"/>
      <c r="DI157" s="200"/>
      <c r="DJ157" s="198"/>
      <c r="DK157" s="199"/>
      <c r="DL157" s="199"/>
      <c r="DM157" s="199"/>
      <c r="DN157" s="200"/>
      <c r="DO157" s="198"/>
      <c r="DP157" s="199"/>
      <c r="DQ157" s="199"/>
      <c r="DR157" s="199"/>
      <c r="DS157" s="200"/>
      <c r="DT157" s="198"/>
      <c r="DU157" s="199"/>
      <c r="DV157" s="199"/>
      <c r="DW157" s="199"/>
      <c r="DX157" s="200"/>
      <c r="DY157" s="198"/>
      <c r="DZ157" s="199"/>
      <c r="EA157" s="199"/>
      <c r="EB157" s="199"/>
      <c r="EC157" s="200"/>
      <c r="EF157"/>
      <c r="EG157"/>
      <c r="EH157"/>
      <c r="EI157"/>
      <c r="EJ157"/>
      <c r="EK157"/>
      <c r="EL157"/>
      <c r="EM157"/>
      <c r="EN157"/>
      <c r="EO157"/>
      <c r="EP157"/>
      <c r="EQ157"/>
      <c r="ER157"/>
      <c r="ES157"/>
      <c r="ET157"/>
      <c r="EU157"/>
      <c r="EV157"/>
      <c r="EW157"/>
      <c r="EX157"/>
      <c r="EY157"/>
      <c r="EZ157"/>
      <c r="FA157"/>
    </row>
    <row r="158" spans="1:157" s="172" customFormat="1" hidden="1" outlineLevel="1" x14ac:dyDescent="0.2">
      <c r="A158" s="530"/>
      <c r="V158" s="173"/>
      <c r="AL158" s="194"/>
      <c r="AM158" s="196"/>
      <c r="AN158" s="196"/>
      <c r="AO158" s="196"/>
      <c r="AP158" s="196"/>
      <c r="AQ158" s="194"/>
      <c r="AR158" s="196"/>
      <c r="AS158" s="196"/>
      <c r="AT158" s="196"/>
      <c r="AU158" s="196"/>
      <c r="AV158" s="195"/>
      <c r="AW158" s="195"/>
      <c r="AX158" s="196"/>
      <c r="AY158" s="196"/>
      <c r="AZ158" s="197"/>
      <c r="BA158" s="194">
        <f>SUM(BA147:BA157)</f>
        <v>2074</v>
      </c>
      <c r="BB158" s="195"/>
      <c r="BC158" s="196"/>
      <c r="BD158" s="196"/>
      <c r="BE158" s="196"/>
      <c r="BF158" s="194">
        <f>SUM(BF147:BF157)</f>
        <v>3175</v>
      </c>
      <c r="BG158" s="195"/>
      <c r="BH158" s="196"/>
      <c r="BI158" s="196"/>
      <c r="BJ158" s="196"/>
      <c r="BK158" s="194">
        <f>SUM(BK147:BK157)</f>
        <v>3520</v>
      </c>
      <c r="BL158" s="195"/>
      <c r="BM158" s="199"/>
      <c r="BN158" s="199"/>
      <c r="BO158" s="199"/>
      <c r="BP158" s="453"/>
      <c r="BQ158" s="199"/>
      <c r="BR158" s="199"/>
      <c r="BS158" s="199"/>
      <c r="BT158" s="199"/>
      <c r="BU158" s="194"/>
      <c r="BV158" s="195"/>
      <c r="BW158" s="196"/>
      <c r="BX158" s="196"/>
      <c r="BY158" s="196"/>
      <c r="BZ158" s="194"/>
      <c r="CA158" s="195"/>
      <c r="CB158" s="196"/>
      <c r="CC158" s="199"/>
      <c r="CD158" s="196"/>
      <c r="CE158" s="194"/>
      <c r="CF158" s="198"/>
      <c r="CG158" s="199"/>
      <c r="CH158" s="199"/>
      <c r="CI158" s="199"/>
      <c r="CJ158" s="200"/>
      <c r="CK158" s="198"/>
      <c r="CL158" s="199"/>
      <c r="CM158" s="196"/>
      <c r="CN158" s="196"/>
      <c r="CO158" s="194"/>
      <c r="CP158" s="905"/>
      <c r="CQ158" s="196"/>
      <c r="CR158" s="196"/>
      <c r="CS158" s="196"/>
      <c r="CT158" s="194"/>
      <c r="CU158" s="195"/>
      <c r="CV158" s="196"/>
      <c r="CW158" s="196"/>
      <c r="CX158" s="196"/>
      <c r="CY158" s="194"/>
      <c r="CZ158" s="195"/>
      <c r="DA158" s="199"/>
      <c r="DB158" s="199"/>
      <c r="DC158" s="196"/>
      <c r="DD158" s="194"/>
      <c r="DE158" s="198"/>
      <c r="DF158" s="199"/>
      <c r="DG158" s="199"/>
      <c r="DH158" s="199"/>
      <c r="DI158" s="200"/>
      <c r="DJ158" s="198"/>
      <c r="DK158" s="199"/>
      <c r="DL158" s="199"/>
      <c r="DM158" s="199"/>
      <c r="DN158" s="200"/>
      <c r="DO158" s="198"/>
      <c r="DP158" s="199"/>
      <c r="DQ158" s="199"/>
      <c r="DR158" s="199"/>
      <c r="DS158" s="200"/>
      <c r="DT158" s="198"/>
      <c r="DU158" s="199"/>
      <c r="DV158" s="199"/>
      <c r="DW158" s="199"/>
      <c r="DX158" s="200"/>
      <c r="DY158" s="198"/>
      <c r="DZ158" s="199"/>
      <c r="EA158" s="199"/>
      <c r="EB158" s="199"/>
      <c r="EC158" s="200"/>
      <c r="EF158"/>
      <c r="EG158"/>
      <c r="EH158"/>
      <c r="EI158"/>
      <c r="EJ158"/>
      <c r="EK158"/>
      <c r="EL158"/>
      <c r="EM158"/>
      <c r="EN158"/>
      <c r="EO158"/>
      <c r="EP158"/>
      <c r="EQ158"/>
      <c r="ER158"/>
      <c r="ES158"/>
      <c r="ET158"/>
      <c r="EU158"/>
      <c r="EV158"/>
      <c r="EW158"/>
      <c r="EX158"/>
      <c r="EY158"/>
      <c r="EZ158"/>
      <c r="FA158"/>
    </row>
    <row r="159" spans="1:157" s="172" customFormat="1" hidden="1" outlineLevel="1" x14ac:dyDescent="0.2">
      <c r="A159" s="174" t="s">
        <v>422</v>
      </c>
      <c r="V159" s="173"/>
      <c r="AL159" s="194"/>
      <c r="AM159" s="196"/>
      <c r="AN159" s="196"/>
      <c r="AO159" s="196"/>
      <c r="AP159" s="196"/>
      <c r="AQ159" s="194"/>
      <c r="AR159" s="196"/>
      <c r="AS159" s="196"/>
      <c r="AT159" s="196"/>
      <c r="AU159" s="196"/>
      <c r="AV159" s="195"/>
      <c r="AW159" s="195"/>
      <c r="AX159" s="196"/>
      <c r="AY159" s="196"/>
      <c r="AZ159" s="197"/>
      <c r="BA159" s="194">
        <f>-BA139</f>
        <v>-16</v>
      </c>
      <c r="BB159" s="195"/>
      <c r="BC159" s="196"/>
      <c r="BD159" s="196"/>
      <c r="BE159" s="196"/>
      <c r="BF159" s="194">
        <f>-BF139</f>
        <v>-268</v>
      </c>
      <c r="BG159" s="195"/>
      <c r="BH159" s="196"/>
      <c r="BI159" s="196"/>
      <c r="BJ159" s="196"/>
      <c r="BK159" s="194">
        <f>-BK139</f>
        <v>-15</v>
      </c>
      <c r="BL159" s="195"/>
      <c r="BM159" s="199"/>
      <c r="BN159" s="199"/>
      <c r="BO159" s="199"/>
      <c r="BP159" s="453"/>
      <c r="BQ159" s="199"/>
      <c r="BR159" s="199"/>
      <c r="BS159" s="199"/>
      <c r="BT159" s="199"/>
      <c r="BU159" s="194"/>
      <c r="BV159" s="195"/>
      <c r="BW159" s="196"/>
      <c r="BX159" s="196"/>
      <c r="BY159" s="196"/>
      <c r="BZ159" s="194"/>
      <c r="CA159" s="195"/>
      <c r="CB159" s="196"/>
      <c r="CC159" s="199"/>
      <c r="CD159" s="196"/>
      <c r="CE159" s="194"/>
      <c r="CF159" s="198"/>
      <c r="CG159" s="199"/>
      <c r="CH159" s="199"/>
      <c r="CI159" s="199"/>
      <c r="CJ159" s="200"/>
      <c r="CK159" s="198"/>
      <c r="CL159" s="199"/>
      <c r="CM159" s="196"/>
      <c r="CN159" s="196"/>
      <c r="CO159" s="194"/>
      <c r="CP159" s="905"/>
      <c r="CQ159" s="196"/>
      <c r="CR159" s="196"/>
      <c r="CS159" s="196"/>
      <c r="CT159" s="194"/>
      <c r="CU159" s="195"/>
      <c r="CV159" s="196"/>
      <c r="CW159" s="196"/>
      <c r="CX159" s="196"/>
      <c r="CY159" s="194"/>
      <c r="CZ159" s="195"/>
      <c r="DA159" s="199"/>
      <c r="DB159" s="199"/>
      <c r="DC159" s="196"/>
      <c r="DD159" s="194"/>
      <c r="DE159" s="198"/>
      <c r="DF159" s="199"/>
      <c r="DG159" s="199"/>
      <c r="DH159" s="199"/>
      <c r="DI159" s="200"/>
      <c r="DJ159" s="198"/>
      <c r="DK159" s="199"/>
      <c r="DL159" s="199"/>
      <c r="DM159" s="199"/>
      <c r="DN159" s="200"/>
      <c r="DO159" s="198"/>
      <c r="DP159" s="199"/>
      <c r="DQ159" s="199"/>
      <c r="DR159" s="199"/>
      <c r="DS159" s="200"/>
      <c r="DT159" s="198"/>
      <c r="DU159" s="199"/>
      <c r="DV159" s="199"/>
      <c r="DW159" s="199"/>
      <c r="DX159" s="200"/>
      <c r="DY159" s="198"/>
      <c r="DZ159" s="199"/>
      <c r="EA159" s="199"/>
      <c r="EB159" s="199"/>
      <c r="EC159" s="200"/>
      <c r="EF159"/>
      <c r="EG159"/>
      <c r="EH159"/>
      <c r="EI159"/>
      <c r="EJ159"/>
      <c r="EK159"/>
      <c r="EL159"/>
      <c r="EM159"/>
      <c r="EN159"/>
      <c r="EO159"/>
      <c r="EP159"/>
      <c r="EQ159"/>
      <c r="ER159"/>
      <c r="ES159"/>
      <c r="ET159"/>
      <c r="EU159"/>
      <c r="EV159"/>
      <c r="EW159"/>
      <c r="EX159"/>
      <c r="EY159"/>
      <c r="EZ159"/>
      <c r="FA159"/>
    </row>
    <row r="160" spans="1:157" s="172" customFormat="1" hidden="1" outlineLevel="1" x14ac:dyDescent="0.2">
      <c r="A160" s="174" t="s">
        <v>130</v>
      </c>
      <c r="V160" s="173"/>
      <c r="AL160" s="194"/>
      <c r="AM160" s="196"/>
      <c r="AN160" s="196"/>
      <c r="AO160" s="196"/>
      <c r="AP160" s="196"/>
      <c r="AQ160" s="194"/>
      <c r="AR160" s="196"/>
      <c r="AS160" s="196"/>
      <c r="AT160" s="196"/>
      <c r="AU160" s="196"/>
      <c r="AV160" s="195"/>
      <c r="AW160" s="195"/>
      <c r="AX160" s="196"/>
      <c r="AY160" s="196"/>
      <c r="AZ160" s="197"/>
      <c r="BA160" s="194">
        <f>BA158+BA159</f>
        <v>2058</v>
      </c>
      <c r="BB160" s="195"/>
      <c r="BC160" s="196"/>
      <c r="BD160" s="196"/>
      <c r="BE160" s="196"/>
      <c r="BF160" s="194">
        <f>BF158+BF159</f>
        <v>2907</v>
      </c>
      <c r="BG160" s="195"/>
      <c r="BH160" s="196"/>
      <c r="BI160" s="196"/>
      <c r="BJ160" s="196"/>
      <c r="BK160" s="194">
        <f>BK158+BK159</f>
        <v>3505</v>
      </c>
      <c r="BL160" s="195"/>
      <c r="BM160" s="199"/>
      <c r="BN160" s="199"/>
      <c r="BO160" s="199"/>
      <c r="BP160" s="453"/>
      <c r="BQ160" s="199"/>
      <c r="BR160" s="199"/>
      <c r="BS160" s="199"/>
      <c r="BT160" s="199"/>
      <c r="BU160" s="194"/>
      <c r="BV160" s="195"/>
      <c r="BW160" s="196"/>
      <c r="BX160" s="196"/>
      <c r="BY160" s="196"/>
      <c r="BZ160" s="194"/>
      <c r="CA160" s="195"/>
      <c r="CB160" s="196"/>
      <c r="CC160" s="199"/>
      <c r="CD160" s="196"/>
      <c r="CE160" s="194"/>
      <c r="CF160" s="198"/>
      <c r="CG160" s="199"/>
      <c r="CH160" s="199"/>
      <c r="CI160" s="199"/>
      <c r="CJ160" s="200"/>
      <c r="CK160" s="198"/>
      <c r="CL160" s="199"/>
      <c r="CM160" s="196"/>
      <c r="CN160" s="196"/>
      <c r="CO160" s="194"/>
      <c r="CP160" s="905"/>
      <c r="CQ160" s="196"/>
      <c r="CR160" s="196"/>
      <c r="CS160" s="196"/>
      <c r="CT160" s="194"/>
      <c r="CU160" s="195"/>
      <c r="CV160" s="196"/>
      <c r="CW160" s="196"/>
      <c r="CX160" s="196"/>
      <c r="CY160" s="194"/>
      <c r="CZ160" s="195"/>
      <c r="DA160" s="199"/>
      <c r="DB160" s="199"/>
      <c r="DC160" s="196"/>
      <c r="DD160" s="194"/>
      <c r="DE160" s="198"/>
      <c r="DF160" s="199"/>
      <c r="DG160" s="199"/>
      <c r="DH160" s="199"/>
      <c r="DI160" s="200"/>
      <c r="DJ160" s="198"/>
      <c r="DK160" s="199"/>
      <c r="DL160" s="199"/>
      <c r="DM160" s="199"/>
      <c r="DN160" s="200"/>
      <c r="DO160" s="198"/>
      <c r="DP160" s="199"/>
      <c r="DQ160" s="199"/>
      <c r="DR160" s="199"/>
      <c r="DS160" s="200"/>
      <c r="DT160" s="198"/>
      <c r="DU160" s="199"/>
      <c r="DV160" s="199"/>
      <c r="DW160" s="199"/>
      <c r="DX160" s="200"/>
      <c r="DY160" s="198"/>
      <c r="DZ160" s="199"/>
      <c r="EA160" s="199"/>
      <c r="EB160" s="199"/>
      <c r="EC160" s="200"/>
      <c r="EF160"/>
      <c r="EG160"/>
      <c r="EH160"/>
      <c r="EI160"/>
      <c r="EJ160"/>
      <c r="EK160"/>
      <c r="EL160"/>
      <c r="EM160"/>
      <c r="EN160"/>
      <c r="EO160"/>
      <c r="EP160"/>
      <c r="EQ160"/>
      <c r="ER160"/>
      <c r="ES160"/>
      <c r="ET160"/>
      <c r="EU160"/>
      <c r="EV160"/>
      <c r="EW160"/>
      <c r="EX160"/>
      <c r="EY160"/>
      <c r="EZ160"/>
      <c r="FA160"/>
    </row>
    <row r="161" spans="1:157" s="172" customFormat="1" ht="22.5" hidden="1" outlineLevel="1" x14ac:dyDescent="0.2">
      <c r="A161" s="174" t="s">
        <v>423</v>
      </c>
      <c r="V161" s="173"/>
      <c r="AL161" s="194"/>
      <c r="AM161" s="196"/>
      <c r="AN161" s="196"/>
      <c r="AO161" s="196"/>
      <c r="AP161" s="196"/>
      <c r="AQ161" s="194"/>
      <c r="AR161" s="196"/>
      <c r="AS161" s="196"/>
      <c r="AT161" s="196"/>
      <c r="AU161" s="196"/>
      <c r="AV161" s="195"/>
      <c r="AW161" s="195"/>
      <c r="AX161" s="196"/>
      <c r="AY161" s="196"/>
      <c r="AZ161" s="197"/>
      <c r="BA161" s="194">
        <v>-13</v>
      </c>
      <c r="BB161" s="195"/>
      <c r="BC161" s="196"/>
      <c r="BD161" s="196"/>
      <c r="BE161" s="196"/>
      <c r="BF161" s="194">
        <v>17</v>
      </c>
      <c r="BG161" s="195"/>
      <c r="BH161" s="196"/>
      <c r="BI161" s="196"/>
      <c r="BJ161" s="196"/>
      <c r="BK161" s="194">
        <v>59</v>
      </c>
      <c r="BL161" s="195"/>
      <c r="BM161" s="199"/>
      <c r="BN161" s="199"/>
      <c r="BO161" s="199"/>
      <c r="BP161" s="453"/>
      <c r="BQ161" s="199"/>
      <c r="BR161" s="199"/>
      <c r="BS161" s="199"/>
      <c r="BT161" s="199"/>
      <c r="BU161" s="194"/>
      <c r="BV161" s="195"/>
      <c r="BW161" s="196"/>
      <c r="BX161" s="196"/>
      <c r="BY161" s="196"/>
      <c r="BZ161" s="194"/>
      <c r="CA161" s="195"/>
      <c r="CB161" s="196"/>
      <c r="CC161" s="199"/>
      <c r="CD161" s="196"/>
      <c r="CE161" s="194"/>
      <c r="CF161" s="198"/>
      <c r="CG161" s="199"/>
      <c r="CH161" s="199"/>
      <c r="CI161" s="199"/>
      <c r="CJ161" s="200"/>
      <c r="CK161" s="198"/>
      <c r="CL161" s="199"/>
      <c r="CM161" s="196"/>
      <c r="CN161" s="196"/>
      <c r="CO161" s="194"/>
      <c r="CP161" s="905"/>
      <c r="CQ161" s="196"/>
      <c r="CR161" s="196"/>
      <c r="CS161" s="196"/>
      <c r="CT161" s="194"/>
      <c r="CU161" s="195"/>
      <c r="CV161" s="196"/>
      <c r="CW161" s="196"/>
      <c r="CX161" s="196"/>
      <c r="CY161" s="194"/>
      <c r="CZ161" s="195"/>
      <c r="DA161" s="199"/>
      <c r="DB161" s="199"/>
      <c r="DC161" s="196"/>
      <c r="DD161" s="194"/>
      <c r="DE161" s="198"/>
      <c r="DF161" s="199"/>
      <c r="DG161" s="199"/>
      <c r="DH161" s="199"/>
      <c r="DI161" s="200"/>
      <c r="DJ161" s="198"/>
      <c r="DK161" s="199"/>
      <c r="DL161" s="199"/>
      <c r="DM161" s="199"/>
      <c r="DN161" s="200"/>
      <c r="DO161" s="198"/>
      <c r="DP161" s="199"/>
      <c r="DQ161" s="199"/>
      <c r="DR161" s="199"/>
      <c r="DS161" s="200"/>
      <c r="DT161" s="198"/>
      <c r="DU161" s="199"/>
      <c r="DV161" s="199"/>
      <c r="DW161" s="199"/>
      <c r="DX161" s="200"/>
      <c r="DY161" s="198"/>
      <c r="DZ161" s="199"/>
      <c r="EA161" s="199"/>
      <c r="EB161" s="199"/>
      <c r="EC161" s="200"/>
      <c r="EF161"/>
      <c r="EG161"/>
      <c r="EH161"/>
      <c r="EI161"/>
      <c r="EJ161"/>
      <c r="EK161"/>
      <c r="EL161"/>
      <c r="EM161"/>
      <c r="EN161"/>
      <c r="EO161"/>
      <c r="EP161"/>
      <c r="EQ161"/>
      <c r="ER161"/>
      <c r="ES161"/>
      <c r="ET161"/>
      <c r="EU161"/>
      <c r="EV161"/>
      <c r="EW161"/>
      <c r="EX161"/>
      <c r="EY161"/>
      <c r="EZ161"/>
      <c r="FA161"/>
    </row>
    <row r="162" spans="1:157" s="172" customFormat="1" hidden="1" outlineLevel="1" x14ac:dyDescent="0.2">
      <c r="A162" s="174" t="s">
        <v>424</v>
      </c>
      <c r="V162" s="173"/>
      <c r="AL162" s="194"/>
      <c r="AM162" s="196"/>
      <c r="AN162" s="196"/>
      <c r="AO162" s="196"/>
      <c r="AP162" s="196"/>
      <c r="AQ162" s="194"/>
      <c r="AR162" s="196"/>
      <c r="AS162" s="196"/>
      <c r="AT162" s="196"/>
      <c r="AU162" s="196"/>
      <c r="AV162" s="195"/>
      <c r="AW162" s="195"/>
      <c r="AX162" s="196"/>
      <c r="AY162" s="196"/>
      <c r="AZ162" s="197"/>
      <c r="BA162" s="194">
        <f>BA161+BA160</f>
        <v>2045</v>
      </c>
      <c r="BB162" s="195"/>
      <c r="BC162" s="196"/>
      <c r="BD162" s="196"/>
      <c r="BE162" s="196"/>
      <c r="BF162" s="194">
        <f>BF161+BF160</f>
        <v>2924</v>
      </c>
      <c r="BG162" s="195"/>
      <c r="BH162" s="196"/>
      <c r="BI162" s="196"/>
      <c r="BJ162" s="196"/>
      <c r="BK162" s="194">
        <f>BK161+BK160</f>
        <v>3564</v>
      </c>
      <c r="BL162" s="195"/>
      <c r="BM162" s="199"/>
      <c r="BN162" s="199"/>
      <c r="BO162" s="199"/>
      <c r="BP162" s="453"/>
      <c r="BQ162" s="199"/>
      <c r="BR162" s="199"/>
      <c r="BS162" s="199"/>
      <c r="BT162" s="199"/>
      <c r="BU162" s="194"/>
      <c r="BV162" s="195"/>
      <c r="BW162" s="196"/>
      <c r="BX162" s="196"/>
      <c r="BY162" s="196"/>
      <c r="BZ162" s="194"/>
      <c r="CA162" s="195"/>
      <c r="CB162" s="196"/>
      <c r="CC162" s="199"/>
      <c r="CD162" s="196"/>
      <c r="CE162" s="194"/>
      <c r="CF162" s="198"/>
      <c r="CG162" s="199"/>
      <c r="CH162" s="199"/>
      <c r="CI162" s="199"/>
      <c r="CJ162" s="200"/>
      <c r="CK162" s="198"/>
      <c r="CL162" s="199"/>
      <c r="CM162" s="196"/>
      <c r="CN162" s="196"/>
      <c r="CO162" s="194"/>
      <c r="CP162" s="905"/>
      <c r="CQ162" s="196"/>
      <c r="CR162" s="196"/>
      <c r="CS162" s="196"/>
      <c r="CT162" s="194"/>
      <c r="CU162" s="195"/>
      <c r="CV162" s="196"/>
      <c r="CW162" s="196"/>
      <c r="CX162" s="196"/>
      <c r="CY162" s="194"/>
      <c r="CZ162" s="195"/>
      <c r="DA162" s="199"/>
      <c r="DB162" s="199"/>
      <c r="DC162" s="196"/>
      <c r="DD162" s="194"/>
      <c r="DE162" s="198"/>
      <c r="DF162" s="199"/>
      <c r="DG162" s="199"/>
      <c r="DH162" s="199"/>
      <c r="DI162" s="200"/>
      <c r="DJ162" s="198"/>
      <c r="DK162" s="199"/>
      <c r="DL162" s="199"/>
      <c r="DM162" s="199"/>
      <c r="DN162" s="200"/>
      <c r="DO162" s="198"/>
      <c r="DP162" s="199"/>
      <c r="DQ162" s="199"/>
      <c r="DR162" s="199"/>
      <c r="DS162" s="200"/>
      <c r="DT162" s="198"/>
      <c r="DU162" s="199"/>
      <c r="DV162" s="199"/>
      <c r="DW162" s="199"/>
      <c r="DX162" s="200"/>
      <c r="DY162" s="198"/>
      <c r="DZ162" s="199"/>
      <c r="EA162" s="199"/>
      <c r="EB162" s="199"/>
      <c r="EC162" s="200"/>
      <c r="EF162"/>
      <c r="EG162"/>
      <c r="EH162"/>
      <c r="EI162"/>
      <c r="EJ162"/>
      <c r="EK162"/>
      <c r="EL162"/>
      <c r="EM162"/>
      <c r="EN162"/>
      <c r="EO162"/>
      <c r="EP162"/>
      <c r="EQ162"/>
      <c r="ER162"/>
      <c r="ES162"/>
      <c r="ET162"/>
      <c r="EU162"/>
      <c r="EV162"/>
      <c r="EW162"/>
      <c r="EX162"/>
      <c r="EY162"/>
      <c r="EZ162"/>
      <c r="FA162"/>
    </row>
    <row r="163" spans="1:157" s="172" customFormat="1" hidden="1" outlineLevel="1" x14ac:dyDescent="0.2">
      <c r="A163" s="174"/>
      <c r="V163" s="173"/>
      <c r="AL163" s="194"/>
      <c r="AM163" s="196"/>
      <c r="AN163" s="196"/>
      <c r="AO163" s="196"/>
      <c r="AP163" s="196"/>
      <c r="AQ163" s="194"/>
      <c r="AR163" s="196"/>
      <c r="AS163" s="196"/>
      <c r="AT163" s="196"/>
      <c r="AU163" s="196"/>
      <c r="AV163" s="195"/>
      <c r="AW163" s="195"/>
      <c r="AX163" s="196"/>
      <c r="AY163" s="196"/>
      <c r="AZ163" s="197"/>
      <c r="BA163" s="194"/>
      <c r="BB163" s="195"/>
      <c r="BC163" s="196"/>
      <c r="BD163" s="196"/>
      <c r="BE163" s="196"/>
      <c r="BF163" s="194"/>
      <c r="BG163" s="195"/>
      <c r="BH163" s="196"/>
      <c r="BI163" s="196"/>
      <c r="BJ163" s="196"/>
      <c r="BK163" s="194"/>
      <c r="BL163" s="195"/>
      <c r="BM163" s="199"/>
      <c r="BN163" s="199"/>
      <c r="BO163" s="199"/>
      <c r="BP163" s="453"/>
      <c r="BQ163" s="199"/>
      <c r="BR163" s="199"/>
      <c r="BS163" s="199"/>
      <c r="BT163" s="199"/>
      <c r="BU163" s="194"/>
      <c r="BV163" s="195"/>
      <c r="BW163" s="196"/>
      <c r="BX163" s="196"/>
      <c r="BY163" s="196"/>
      <c r="BZ163" s="194"/>
      <c r="CA163" s="195"/>
      <c r="CB163" s="196"/>
      <c r="CC163" s="199"/>
      <c r="CD163" s="196"/>
      <c r="CE163" s="194"/>
      <c r="CF163" s="198"/>
      <c r="CG163" s="199"/>
      <c r="CH163" s="199"/>
      <c r="CI163" s="199"/>
      <c r="CJ163" s="200"/>
      <c r="CK163" s="198"/>
      <c r="CL163" s="199"/>
      <c r="CM163" s="196"/>
      <c r="CN163" s="196"/>
      <c r="CO163" s="194"/>
      <c r="CP163" s="905"/>
      <c r="CQ163" s="196"/>
      <c r="CR163" s="196"/>
      <c r="CS163" s="196"/>
      <c r="CT163" s="194"/>
      <c r="CU163" s="195"/>
      <c r="CV163" s="196"/>
      <c r="CW163" s="196"/>
      <c r="CX163" s="196"/>
      <c r="CY163" s="194"/>
      <c r="CZ163" s="195"/>
      <c r="DA163" s="199"/>
      <c r="DB163" s="199"/>
      <c r="DC163" s="196"/>
      <c r="DD163" s="194"/>
      <c r="DE163" s="198"/>
      <c r="DF163" s="199"/>
      <c r="DG163" s="199"/>
      <c r="DH163" s="199"/>
      <c r="DI163" s="200"/>
      <c r="DJ163" s="198"/>
      <c r="DK163" s="199"/>
      <c r="DL163" s="199"/>
      <c r="DM163" s="199"/>
      <c r="DN163" s="200"/>
      <c r="DO163" s="198"/>
      <c r="DP163" s="199"/>
      <c r="DQ163" s="199"/>
      <c r="DR163" s="199"/>
      <c r="DS163" s="200"/>
      <c r="DT163" s="198"/>
      <c r="DU163" s="199"/>
      <c r="DV163" s="199"/>
      <c r="DW163" s="199"/>
      <c r="DX163" s="200"/>
      <c r="DY163" s="198"/>
      <c r="DZ163" s="199"/>
      <c r="EA163" s="199"/>
      <c r="EB163" s="199"/>
      <c r="EC163" s="200"/>
      <c r="EF163"/>
      <c r="EG163"/>
      <c r="EH163"/>
      <c r="EI163"/>
      <c r="EJ163"/>
      <c r="EK163"/>
      <c r="EL163"/>
      <c r="EM163"/>
      <c r="EN163"/>
      <c r="EO163"/>
      <c r="EP163"/>
      <c r="EQ163"/>
      <c r="ER163"/>
      <c r="ES163"/>
      <c r="ET163"/>
      <c r="EU163"/>
      <c r="EV163"/>
      <c r="EW163"/>
      <c r="EX163"/>
      <c r="EY163"/>
      <c r="EZ163"/>
      <c r="FA163"/>
    </row>
    <row r="164" spans="1:157" s="172" customFormat="1" hidden="1" outlineLevel="1" x14ac:dyDescent="0.2">
      <c r="A164" s="174"/>
      <c r="V164" s="173"/>
      <c r="AL164" s="194"/>
      <c r="AM164" s="196"/>
      <c r="AN164" s="196"/>
      <c r="AO164" s="196"/>
      <c r="AP164" s="196"/>
      <c r="AQ164" s="194"/>
      <c r="AR164" s="196"/>
      <c r="AS164" s="196"/>
      <c r="AT164" s="196"/>
      <c r="AU164" s="196"/>
      <c r="AV164" s="195"/>
      <c r="AW164" s="195"/>
      <c r="AX164" s="196"/>
      <c r="AY164" s="196"/>
      <c r="AZ164" s="197"/>
      <c r="BA164" s="194"/>
      <c r="BB164" s="195"/>
      <c r="BC164" s="196"/>
      <c r="BD164" s="196"/>
      <c r="BE164" s="196"/>
      <c r="BF164" s="194"/>
      <c r="BG164" s="195"/>
      <c r="BH164" s="196"/>
      <c r="BI164" s="196"/>
      <c r="BJ164" s="196"/>
      <c r="BK164" s="194"/>
      <c r="BL164" s="195"/>
      <c r="BM164" s="199"/>
      <c r="BN164" s="199"/>
      <c r="BO164" s="199"/>
      <c r="BP164" s="453"/>
      <c r="BQ164" s="199"/>
      <c r="BR164" s="199"/>
      <c r="BS164" s="199"/>
      <c r="BT164" s="199"/>
      <c r="BU164" s="194"/>
      <c r="BV164" s="195"/>
      <c r="BW164" s="196"/>
      <c r="BX164" s="196"/>
      <c r="BY164" s="196"/>
      <c r="BZ164" s="194"/>
      <c r="CA164" s="195"/>
      <c r="CB164" s="196"/>
      <c r="CC164" s="199"/>
      <c r="CD164" s="196"/>
      <c r="CE164" s="194"/>
      <c r="CF164" s="198"/>
      <c r="CG164" s="199"/>
      <c r="CH164" s="199"/>
      <c r="CI164" s="199"/>
      <c r="CJ164" s="200"/>
      <c r="CK164" s="198"/>
      <c r="CL164" s="199"/>
      <c r="CM164" s="196"/>
      <c r="CN164" s="196"/>
      <c r="CO164" s="194"/>
      <c r="CP164" s="905"/>
      <c r="CQ164" s="196"/>
      <c r="CR164" s="196"/>
      <c r="CS164" s="196"/>
      <c r="CT164" s="194"/>
      <c r="CU164" s="195"/>
      <c r="CV164" s="196"/>
      <c r="CW164" s="196"/>
      <c r="CX164" s="196"/>
      <c r="CY164" s="194"/>
      <c r="CZ164" s="195"/>
      <c r="DA164" s="199"/>
      <c r="DB164" s="199"/>
      <c r="DC164" s="196"/>
      <c r="DD164" s="194"/>
      <c r="DE164" s="198"/>
      <c r="DF164" s="199"/>
      <c r="DG164" s="199"/>
      <c r="DH164" s="199"/>
      <c r="DI164" s="200"/>
      <c r="DJ164" s="198"/>
      <c r="DK164" s="199"/>
      <c r="DL164" s="199"/>
      <c r="DM164" s="199"/>
      <c r="DN164" s="200"/>
      <c r="DO164" s="198"/>
      <c r="DP164" s="199"/>
      <c r="DQ164" s="199"/>
      <c r="DR164" s="199"/>
      <c r="DS164" s="200"/>
      <c r="DT164" s="198"/>
      <c r="DU164" s="199"/>
      <c r="DV164" s="199"/>
      <c r="DW164" s="199"/>
      <c r="DX164" s="200"/>
      <c r="DY164" s="198"/>
      <c r="DZ164" s="199"/>
      <c r="EA164" s="199"/>
      <c r="EB164" s="199"/>
      <c r="EC164" s="200"/>
      <c r="EF164"/>
      <c r="EG164"/>
      <c r="EH164"/>
      <c r="EI164"/>
      <c r="EJ164"/>
      <c r="EK164"/>
      <c r="EL164"/>
      <c r="EM164"/>
      <c r="EN164"/>
      <c r="EO164"/>
      <c r="EP164"/>
      <c r="EQ164"/>
      <c r="ER164"/>
      <c r="ES164"/>
      <c r="ET164"/>
      <c r="EU164"/>
      <c r="EV164"/>
      <c r="EW164"/>
      <c r="EX164"/>
      <c r="EY164"/>
      <c r="EZ164"/>
      <c r="FA164"/>
    </row>
    <row r="165" spans="1:157" s="172" customFormat="1" hidden="1" outlineLevel="1" x14ac:dyDescent="0.2">
      <c r="A165" s="174" t="s">
        <v>337</v>
      </c>
      <c r="V165" s="173"/>
      <c r="AL165" s="194"/>
      <c r="AM165" s="196"/>
      <c r="AN165" s="196"/>
      <c r="AO165" s="196"/>
      <c r="AP165" s="196"/>
      <c r="AQ165" s="194"/>
      <c r="AR165" s="196"/>
      <c r="AS165" s="196"/>
      <c r="AT165" s="196"/>
      <c r="AU165" s="196"/>
      <c r="AV165" s="195"/>
      <c r="AW165" s="195"/>
      <c r="AX165" s="196"/>
      <c r="AY165" s="196"/>
      <c r="AZ165" s="197"/>
      <c r="BA165" s="194"/>
      <c r="BB165" s="195"/>
      <c r="BC165" s="196"/>
      <c r="BD165" s="196"/>
      <c r="BE165" s="196"/>
      <c r="BF165" s="194"/>
      <c r="BG165" s="195"/>
      <c r="BH165" s="196"/>
      <c r="BI165" s="196"/>
      <c r="BJ165" s="196"/>
      <c r="BK165" s="194"/>
      <c r="BL165" s="195"/>
      <c r="BM165" s="199"/>
      <c r="BN165" s="199"/>
      <c r="BO165" s="199"/>
      <c r="BP165" s="453"/>
      <c r="BQ165" s="199"/>
      <c r="BR165" s="199"/>
      <c r="BS165" s="199"/>
      <c r="BT165" s="199"/>
      <c r="BU165" s="194"/>
      <c r="BV165" s="195"/>
      <c r="BW165" s="196"/>
      <c r="BX165" s="196"/>
      <c r="BY165" s="196"/>
      <c r="BZ165" s="194"/>
      <c r="CA165" s="195"/>
      <c r="CB165" s="196"/>
      <c r="CC165" s="199"/>
      <c r="CD165" s="196"/>
      <c r="CE165" s="194"/>
      <c r="CF165" s="198"/>
      <c r="CG165" s="199"/>
      <c r="CH165" s="199"/>
      <c r="CI165" s="199"/>
      <c r="CJ165" s="200"/>
      <c r="CK165" s="198"/>
      <c r="CL165" s="199"/>
      <c r="CM165" s="196"/>
      <c r="CN165" s="196"/>
      <c r="CO165" s="194"/>
      <c r="CP165" s="905"/>
      <c r="CQ165" s="196"/>
      <c r="CR165" s="196"/>
      <c r="CS165" s="196"/>
      <c r="CT165" s="194"/>
      <c r="CU165" s="195"/>
      <c r="CV165" s="196"/>
      <c r="CW165" s="196"/>
      <c r="CX165" s="196"/>
      <c r="CY165" s="194"/>
      <c r="CZ165" s="195"/>
      <c r="DA165" s="199"/>
      <c r="DB165" s="199"/>
      <c r="DC165" s="196"/>
      <c r="DD165" s="194"/>
      <c r="DE165" s="198"/>
      <c r="DF165" s="199"/>
      <c r="DG165" s="199"/>
      <c r="DH165" s="199"/>
      <c r="DI165" s="200"/>
      <c r="DJ165" s="198"/>
      <c r="DK165" s="199"/>
      <c r="DL165" s="199"/>
      <c r="DM165" s="199"/>
      <c r="DN165" s="200"/>
      <c r="DO165" s="198"/>
      <c r="DP165" s="199"/>
      <c r="DQ165" s="199"/>
      <c r="DR165" s="199"/>
      <c r="DS165" s="200"/>
      <c r="DT165" s="198"/>
      <c r="DU165" s="199"/>
      <c r="DV165" s="199"/>
      <c r="DW165" s="199"/>
      <c r="DX165" s="200"/>
      <c r="DY165" s="198"/>
      <c r="DZ165" s="199"/>
      <c r="EA165" s="199"/>
      <c r="EB165" s="199"/>
      <c r="EC165" s="200"/>
      <c r="EF165"/>
      <c r="EG165"/>
      <c r="EH165"/>
      <c r="EI165"/>
      <c r="EJ165"/>
      <c r="EK165"/>
      <c r="EL165"/>
      <c r="EM165"/>
      <c r="EN165"/>
      <c r="EO165"/>
      <c r="EP165"/>
      <c r="EQ165"/>
      <c r="ER165"/>
      <c r="ES165"/>
      <c r="ET165"/>
      <c r="EU165"/>
      <c r="EV165"/>
      <c r="EW165"/>
      <c r="EX165"/>
      <c r="EY165"/>
      <c r="EZ165"/>
      <c r="FA165"/>
    </row>
    <row r="166" spans="1:157" s="172" customFormat="1" hidden="1" outlineLevel="1" x14ac:dyDescent="0.2">
      <c r="A166" s="174"/>
      <c r="V166" s="173"/>
      <c r="AL166" s="194"/>
      <c r="AM166" s="196"/>
      <c r="AN166" s="196"/>
      <c r="AO166" s="196"/>
      <c r="AP166" s="196"/>
      <c r="AQ166" s="194"/>
      <c r="AR166" s="196"/>
      <c r="AS166" s="196"/>
      <c r="AT166" s="196"/>
      <c r="AU166" s="196"/>
      <c r="AV166" s="195"/>
      <c r="AW166" s="195"/>
      <c r="AX166" s="196"/>
      <c r="AY166" s="196"/>
      <c r="AZ166" s="197"/>
      <c r="BA166" s="194"/>
      <c r="BB166" s="195"/>
      <c r="BC166" s="196"/>
      <c r="BD166" s="196"/>
      <c r="BE166" s="196"/>
      <c r="BF166" s="194"/>
      <c r="BG166" s="195"/>
      <c r="BH166" s="196"/>
      <c r="BI166" s="196"/>
      <c r="BJ166" s="196"/>
      <c r="BK166" s="194"/>
      <c r="BL166" s="195"/>
      <c r="BM166" s="199"/>
      <c r="BN166" s="199"/>
      <c r="BO166" s="199"/>
      <c r="BP166" s="453"/>
      <c r="BQ166" s="199"/>
      <c r="BR166" s="199"/>
      <c r="BS166" s="199"/>
      <c r="BT166" s="199"/>
      <c r="BU166" s="194"/>
      <c r="BV166" s="195"/>
      <c r="BW166" s="196"/>
      <c r="BX166" s="196"/>
      <c r="BY166" s="196"/>
      <c r="BZ166" s="194"/>
      <c r="CA166" s="195"/>
      <c r="CB166" s="196"/>
      <c r="CC166" s="199"/>
      <c r="CD166" s="196"/>
      <c r="CE166" s="194"/>
      <c r="CF166" s="198"/>
      <c r="CG166" s="199"/>
      <c r="CH166" s="199"/>
      <c r="CI166" s="199"/>
      <c r="CJ166" s="200"/>
      <c r="CK166" s="198"/>
      <c r="CL166" s="199"/>
      <c r="CM166" s="196"/>
      <c r="CN166" s="196"/>
      <c r="CO166" s="194"/>
      <c r="CP166" s="905"/>
      <c r="CQ166" s="196"/>
      <c r="CR166" s="196"/>
      <c r="CS166" s="196"/>
      <c r="CT166" s="194"/>
      <c r="CU166" s="195"/>
      <c r="CV166" s="196"/>
      <c r="CW166" s="196"/>
      <c r="CX166" s="196"/>
      <c r="CY166" s="194"/>
      <c r="CZ166" s="195"/>
      <c r="DA166" s="199"/>
      <c r="DB166" s="199"/>
      <c r="DC166" s="196"/>
      <c r="DD166" s="194"/>
      <c r="DE166" s="198"/>
      <c r="DF166" s="199"/>
      <c r="DG166" s="199"/>
      <c r="DH166" s="199"/>
      <c r="DI166" s="200"/>
      <c r="DJ166" s="198"/>
      <c r="DK166" s="199"/>
      <c r="DL166" s="199"/>
      <c r="DM166" s="199"/>
      <c r="DN166" s="200"/>
      <c r="DO166" s="198"/>
      <c r="DP166" s="199"/>
      <c r="DQ166" s="199"/>
      <c r="DR166" s="199"/>
      <c r="DS166" s="200"/>
      <c r="DT166" s="198"/>
      <c r="DU166" s="199"/>
      <c r="DV166" s="199"/>
      <c r="DW166" s="199"/>
      <c r="DX166" s="200"/>
      <c r="DY166" s="198"/>
      <c r="DZ166" s="199"/>
      <c r="EA166" s="199"/>
      <c r="EB166" s="199"/>
      <c r="EC166" s="200"/>
      <c r="EF166"/>
      <c r="EG166"/>
      <c r="EH166"/>
      <c r="EI166"/>
      <c r="EJ166"/>
      <c r="EK166"/>
      <c r="EL166"/>
      <c r="EM166"/>
      <c r="EN166"/>
      <c r="EO166"/>
      <c r="EP166"/>
      <c r="EQ166"/>
      <c r="ER166"/>
      <c r="ES166"/>
      <c r="ET166"/>
      <c r="EU166"/>
      <c r="EV166"/>
      <c r="EW166"/>
      <c r="EX166"/>
      <c r="EY166"/>
      <c r="EZ166"/>
      <c r="FA166"/>
    </row>
    <row r="167" spans="1:157" s="172" customFormat="1" hidden="1" outlineLevel="1" x14ac:dyDescent="0.2">
      <c r="A167" s="534">
        <v>39569</v>
      </c>
      <c r="V167" s="173"/>
      <c r="AL167" s="194"/>
      <c r="AM167" s="196"/>
      <c r="AN167" s="196"/>
      <c r="AO167" s="196"/>
      <c r="AP167" s="196"/>
      <c r="AQ167" s="194"/>
      <c r="AR167" s="196"/>
      <c r="AS167" s="196"/>
      <c r="AT167" s="196"/>
      <c r="AU167" s="196"/>
      <c r="AV167" s="195"/>
      <c r="AW167" s="195"/>
      <c r="AX167" s="196"/>
      <c r="AY167" s="196"/>
      <c r="AZ167" s="197"/>
      <c r="BA167" s="194"/>
      <c r="BB167" s="195"/>
      <c r="BC167" s="196"/>
      <c r="BD167" s="196"/>
      <c r="BE167" s="196"/>
      <c r="BF167" s="194">
        <v>250</v>
      </c>
      <c r="BG167" s="195"/>
      <c r="BH167" s="196"/>
      <c r="BI167" s="196"/>
      <c r="BJ167" s="196"/>
      <c r="BK167" s="194"/>
      <c r="BL167" s="195"/>
      <c r="BM167" s="199"/>
      <c r="BN167" s="199"/>
      <c r="BO167" s="199"/>
      <c r="BP167" s="453"/>
      <c r="BQ167" s="199"/>
      <c r="BR167" s="199"/>
      <c r="BS167" s="199"/>
      <c r="BT167" s="199"/>
      <c r="BU167" s="194"/>
      <c r="BV167" s="195"/>
      <c r="BW167" s="196"/>
      <c r="BX167" s="196"/>
      <c r="BY167" s="196"/>
      <c r="BZ167" s="194"/>
      <c r="CA167" s="195"/>
      <c r="CB167" s="196"/>
      <c r="CC167" s="199"/>
      <c r="CD167" s="196"/>
      <c r="CE167" s="194"/>
      <c r="CF167" s="198"/>
      <c r="CG167" s="199"/>
      <c r="CH167" s="199"/>
      <c r="CI167" s="199"/>
      <c r="CJ167" s="200"/>
      <c r="CK167" s="198"/>
      <c r="CL167" s="199"/>
      <c r="CM167" s="196"/>
      <c r="CN167" s="196"/>
      <c r="CO167" s="194"/>
      <c r="CP167" s="905"/>
      <c r="CQ167" s="196"/>
      <c r="CR167" s="196"/>
      <c r="CS167" s="196"/>
      <c r="CT167" s="194"/>
      <c r="CU167" s="195"/>
      <c r="CV167" s="196"/>
      <c r="CW167" s="196"/>
      <c r="CX167" s="196"/>
      <c r="CY167" s="194"/>
      <c r="CZ167" s="195"/>
      <c r="DA167" s="199"/>
      <c r="DB167" s="199"/>
      <c r="DC167" s="196"/>
      <c r="DD167" s="194"/>
      <c r="DE167" s="198"/>
      <c r="DF167" s="199"/>
      <c r="DG167" s="199"/>
      <c r="DH167" s="199"/>
      <c r="DI167" s="200"/>
      <c r="DJ167" s="198"/>
      <c r="DK167" s="199"/>
      <c r="DL167" s="199"/>
      <c r="DM167" s="199"/>
      <c r="DN167" s="200"/>
      <c r="DO167" s="198"/>
      <c r="DP167" s="199"/>
      <c r="DQ167" s="199"/>
      <c r="DR167" s="199"/>
      <c r="DS167" s="200"/>
      <c r="DT167" s="198"/>
      <c r="DU167" s="199"/>
      <c r="DV167" s="199"/>
      <c r="DW167" s="199"/>
      <c r="DX167" s="200"/>
      <c r="DY167" s="198"/>
      <c r="DZ167" s="199"/>
      <c r="EA167" s="199"/>
      <c r="EB167" s="199"/>
      <c r="EC167" s="200"/>
      <c r="EF167"/>
      <c r="EG167"/>
      <c r="EH167"/>
      <c r="EI167"/>
      <c r="EJ167"/>
      <c r="EK167"/>
      <c r="EL167"/>
      <c r="EM167"/>
      <c r="EN167"/>
      <c r="EO167"/>
      <c r="EP167"/>
      <c r="EQ167"/>
      <c r="ER167"/>
      <c r="ES167"/>
      <c r="ET167"/>
      <c r="EU167"/>
      <c r="EV167"/>
      <c r="EW167"/>
      <c r="EX167"/>
      <c r="EY167"/>
      <c r="EZ167"/>
      <c r="FA167"/>
    </row>
    <row r="168" spans="1:157" s="536" customFormat="1" hidden="1" outlineLevel="1" x14ac:dyDescent="0.2">
      <c r="A168" s="535" t="s">
        <v>338</v>
      </c>
      <c r="V168" s="531"/>
      <c r="AG168" s="538"/>
      <c r="AH168" s="538"/>
      <c r="AI168" s="538"/>
      <c r="AJ168" s="538"/>
      <c r="AK168" s="538"/>
      <c r="AL168" s="540"/>
      <c r="AM168" s="538"/>
      <c r="AN168" s="538"/>
      <c r="AO168" s="538"/>
      <c r="AP168" s="538"/>
      <c r="AQ168" s="540"/>
      <c r="AR168" s="538"/>
      <c r="AS168" s="538"/>
      <c r="AT168" s="538"/>
      <c r="AU168" s="538"/>
      <c r="AV168" s="541"/>
      <c r="AW168" s="541"/>
      <c r="AX168" s="538"/>
      <c r="AY168" s="538"/>
      <c r="AZ168" s="542"/>
      <c r="BA168" s="540"/>
      <c r="BB168" s="541"/>
      <c r="BC168" s="538"/>
      <c r="BD168" s="538"/>
      <c r="BE168" s="538"/>
      <c r="BF168" s="540">
        <v>7.6499999999999999E-2</v>
      </c>
      <c r="BG168" s="541"/>
      <c r="BH168" s="538"/>
      <c r="BI168" s="538"/>
      <c r="BJ168" s="538"/>
      <c r="BK168" s="540"/>
      <c r="BL168" s="541"/>
      <c r="BM168" s="539"/>
      <c r="BN168" s="539"/>
      <c r="BO168" s="539"/>
      <c r="BP168" s="543"/>
      <c r="BQ168" s="539"/>
      <c r="BR168" s="539"/>
      <c r="BS168" s="539"/>
      <c r="BT168" s="539"/>
      <c r="BU168" s="540"/>
      <c r="BV168" s="541"/>
      <c r="BW168" s="538"/>
      <c r="BX168" s="538"/>
      <c r="BY168" s="538"/>
      <c r="BZ168" s="540"/>
      <c r="CA168" s="541"/>
      <c r="CB168" s="538"/>
      <c r="CC168" s="539"/>
      <c r="CD168" s="538"/>
      <c r="CE168" s="540"/>
      <c r="CF168" s="545"/>
      <c r="CG168" s="539"/>
      <c r="CH168" s="539"/>
      <c r="CI168" s="539"/>
      <c r="CJ168" s="544"/>
      <c r="CK168" s="545"/>
      <c r="CL168" s="539"/>
      <c r="CM168" s="538"/>
      <c r="CN168" s="538"/>
      <c r="CO168" s="540"/>
      <c r="CP168" s="906"/>
      <c r="CQ168" s="538"/>
      <c r="CR168" s="538"/>
      <c r="CS168" s="538"/>
      <c r="CT168" s="540"/>
      <c r="CU168" s="541"/>
      <c r="CV168" s="538"/>
      <c r="CW168" s="538"/>
      <c r="CX168" s="538"/>
      <c r="CY168" s="540"/>
      <c r="CZ168" s="541"/>
      <c r="DA168" s="539"/>
      <c r="DB168" s="539"/>
      <c r="DC168" s="538"/>
      <c r="DD168" s="540"/>
      <c r="DE168" s="545"/>
      <c r="DF168" s="539"/>
      <c r="DG168" s="539"/>
      <c r="DH168" s="539"/>
      <c r="DI168" s="544"/>
      <c r="DJ168" s="545"/>
      <c r="DK168" s="539"/>
      <c r="DL168" s="539"/>
      <c r="DM168" s="539"/>
      <c r="DN168" s="544"/>
      <c r="DO168" s="545"/>
      <c r="DP168" s="539"/>
      <c r="DQ168" s="539"/>
      <c r="DR168" s="539"/>
      <c r="DS168" s="544"/>
      <c r="DT168" s="545"/>
      <c r="DU168" s="539"/>
      <c r="DV168" s="539"/>
      <c r="DW168" s="539"/>
      <c r="DX168" s="544"/>
      <c r="DY168" s="545"/>
      <c r="DZ168" s="539"/>
      <c r="EA168" s="539"/>
      <c r="EB168" s="539"/>
      <c r="EC168" s="544"/>
      <c r="ED168" s="537"/>
      <c r="EF168"/>
      <c r="EG168"/>
      <c r="EH168"/>
      <c r="EI168"/>
      <c r="EJ168"/>
      <c r="EK168"/>
      <c r="EL168"/>
      <c r="EM168"/>
      <c r="EN168"/>
      <c r="EO168"/>
      <c r="EP168"/>
      <c r="EQ168"/>
      <c r="ER168"/>
      <c r="ES168"/>
      <c r="ET168"/>
      <c r="EU168"/>
      <c r="EV168"/>
      <c r="EW168"/>
      <c r="EX168"/>
      <c r="EY168"/>
      <c r="EZ168"/>
      <c r="FA168"/>
    </row>
    <row r="169" spans="1:157" s="536" customFormat="1" hidden="1" outlineLevel="1" x14ac:dyDescent="0.2">
      <c r="A169" s="535" t="s">
        <v>339</v>
      </c>
      <c r="V169" s="531"/>
      <c r="AG169" s="538"/>
      <c r="AH169" s="538"/>
      <c r="AI169" s="538"/>
      <c r="AJ169" s="538"/>
      <c r="AK169" s="538"/>
      <c r="AL169" s="540"/>
      <c r="AM169" s="538"/>
      <c r="AN169" s="538"/>
      <c r="AO169" s="538"/>
      <c r="AP169" s="538"/>
      <c r="AQ169" s="540"/>
      <c r="AR169" s="538"/>
      <c r="AS169" s="538"/>
      <c r="AT169" s="538"/>
      <c r="AU169" s="538"/>
      <c r="AV169" s="541"/>
      <c r="AW169" s="541"/>
      <c r="AX169" s="538"/>
      <c r="AY169" s="538"/>
      <c r="AZ169" s="542"/>
      <c r="BA169" s="540"/>
      <c r="BB169" s="541"/>
      <c r="BC169" s="538"/>
      <c r="BD169" s="538"/>
      <c r="BE169" s="538"/>
      <c r="BF169" s="540">
        <v>7.8100000000000003E-2</v>
      </c>
      <c r="BG169" s="541"/>
      <c r="BH169" s="538"/>
      <c r="BI169" s="538"/>
      <c r="BJ169" s="538"/>
      <c r="BK169" s="540"/>
      <c r="BL169" s="541"/>
      <c r="BM169" s="539"/>
      <c r="BN169" s="539"/>
      <c r="BO169" s="539"/>
      <c r="BP169" s="543"/>
      <c r="BQ169" s="539"/>
      <c r="BR169" s="539"/>
      <c r="BS169" s="539"/>
      <c r="BT169" s="539"/>
      <c r="BU169" s="540"/>
      <c r="BV169" s="541"/>
      <c r="BW169" s="538"/>
      <c r="BX169" s="538"/>
      <c r="BY169" s="538"/>
      <c r="BZ169" s="540"/>
      <c r="CA169" s="541"/>
      <c r="CB169" s="538"/>
      <c r="CC169" s="539"/>
      <c r="CD169" s="538"/>
      <c r="CE169" s="540"/>
      <c r="CF169" s="545"/>
      <c r="CG169" s="539"/>
      <c r="CH169" s="539"/>
      <c r="CI169" s="539"/>
      <c r="CJ169" s="544"/>
      <c r="CK169" s="545"/>
      <c r="CL169" s="539"/>
      <c r="CM169" s="538"/>
      <c r="CN169" s="538"/>
      <c r="CO169" s="540"/>
      <c r="CP169" s="906"/>
      <c r="CQ169" s="538"/>
      <c r="CR169" s="538"/>
      <c r="CS169" s="538"/>
      <c r="CT169" s="540"/>
      <c r="CU169" s="541"/>
      <c r="CV169" s="538"/>
      <c r="CW169" s="538"/>
      <c r="CX169" s="538"/>
      <c r="CY169" s="540"/>
      <c r="CZ169" s="541"/>
      <c r="DA169" s="539"/>
      <c r="DB169" s="539"/>
      <c r="DC169" s="538"/>
      <c r="DD169" s="540"/>
      <c r="DE169" s="545"/>
      <c r="DF169" s="539"/>
      <c r="DG169" s="539"/>
      <c r="DH169" s="539"/>
      <c r="DI169" s="544"/>
      <c r="DJ169" s="545"/>
      <c r="DK169" s="539"/>
      <c r="DL169" s="539"/>
      <c r="DM169" s="539"/>
      <c r="DN169" s="544"/>
      <c r="DO169" s="545"/>
      <c r="DP169" s="539"/>
      <c r="DQ169" s="539"/>
      <c r="DR169" s="539"/>
      <c r="DS169" s="544"/>
      <c r="DT169" s="545"/>
      <c r="DU169" s="539"/>
      <c r="DV169" s="539"/>
      <c r="DW169" s="539"/>
      <c r="DX169" s="544"/>
      <c r="DY169" s="545"/>
      <c r="DZ169" s="539"/>
      <c r="EA169" s="539"/>
      <c r="EB169" s="539"/>
      <c r="EC169" s="544"/>
      <c r="ED169" s="537"/>
      <c r="EF169"/>
      <c r="EG169"/>
      <c r="EH169"/>
      <c r="EI169"/>
      <c r="EJ169"/>
      <c r="EK169"/>
      <c r="EL169"/>
      <c r="EM169"/>
      <c r="EN169"/>
      <c r="EO169"/>
      <c r="EP169"/>
      <c r="EQ169"/>
      <c r="ER169"/>
      <c r="ES169"/>
      <c r="ET169"/>
      <c r="EU169"/>
      <c r="EV169"/>
      <c r="EW169"/>
      <c r="EX169"/>
      <c r="EY169"/>
      <c r="EZ169"/>
      <c r="FA169"/>
    </row>
    <row r="170" spans="1:157" s="172" customFormat="1" hidden="1" outlineLevel="1" x14ac:dyDescent="0.2">
      <c r="A170" s="534">
        <v>40634</v>
      </c>
      <c r="V170" s="173"/>
      <c r="AL170" s="194"/>
      <c r="AM170" s="196"/>
      <c r="AN170" s="196"/>
      <c r="AO170" s="196"/>
      <c r="AP170" s="196"/>
      <c r="AQ170" s="194"/>
      <c r="AR170" s="196"/>
      <c r="AS170" s="196"/>
      <c r="AT170" s="196"/>
      <c r="AU170" s="196"/>
      <c r="AV170" s="195"/>
      <c r="AW170" s="195"/>
      <c r="AX170" s="196"/>
      <c r="AY170" s="196"/>
      <c r="AZ170" s="197"/>
      <c r="BA170" s="194"/>
      <c r="BB170" s="195"/>
      <c r="BC170" s="196"/>
      <c r="BD170" s="196"/>
      <c r="BE170" s="196"/>
      <c r="BF170" s="194">
        <v>650</v>
      </c>
      <c r="BG170" s="195"/>
      <c r="BH170" s="196"/>
      <c r="BI170" s="196"/>
      <c r="BJ170" s="196"/>
      <c r="BK170" s="194">
        <v>650</v>
      </c>
      <c r="BL170" s="195"/>
      <c r="BM170" s="199"/>
      <c r="BN170" s="199"/>
      <c r="BO170" s="199"/>
      <c r="BP170" s="194">
        <v>650</v>
      </c>
      <c r="BQ170" s="199"/>
      <c r="BR170" s="199"/>
      <c r="BS170" s="199"/>
      <c r="BT170" s="199"/>
      <c r="BU170" s="194">
        <v>650</v>
      </c>
      <c r="BV170" s="195"/>
      <c r="BW170" s="196"/>
      <c r="BX170" s="196"/>
      <c r="BY170" s="196"/>
      <c r="BZ170" s="194"/>
      <c r="CA170" s="195"/>
      <c r="CB170" s="196"/>
      <c r="CC170" s="199"/>
      <c r="CD170" s="196"/>
      <c r="CE170" s="194"/>
      <c r="CF170" s="198"/>
      <c r="CG170" s="199"/>
      <c r="CH170" s="199"/>
      <c r="CI170" s="199"/>
      <c r="CJ170" s="200"/>
      <c r="CK170" s="198"/>
      <c r="CL170" s="199"/>
      <c r="CM170" s="196"/>
      <c r="CN170" s="196"/>
      <c r="CO170" s="194"/>
      <c r="CP170" s="905"/>
      <c r="CQ170" s="196"/>
      <c r="CR170" s="196"/>
      <c r="CS170" s="196"/>
      <c r="CT170" s="194"/>
      <c r="CU170" s="195"/>
      <c r="CV170" s="196"/>
      <c r="CW170" s="196"/>
      <c r="CX170" s="196"/>
      <c r="CY170" s="194"/>
      <c r="CZ170" s="195"/>
      <c r="DA170" s="199"/>
      <c r="DB170" s="199"/>
      <c r="DC170" s="196"/>
      <c r="DD170" s="194"/>
      <c r="DE170" s="198"/>
      <c r="DF170" s="199"/>
      <c r="DG170" s="199"/>
      <c r="DH170" s="199"/>
      <c r="DI170" s="200"/>
      <c r="DJ170" s="198"/>
      <c r="DK170" s="199"/>
      <c r="DL170" s="199"/>
      <c r="DM170" s="199"/>
      <c r="DN170" s="200"/>
      <c r="DO170" s="198"/>
      <c r="DP170" s="199"/>
      <c r="DQ170" s="199"/>
      <c r="DR170" s="199"/>
      <c r="DS170" s="200"/>
      <c r="DT170" s="198"/>
      <c r="DU170" s="199"/>
      <c r="DV170" s="199"/>
      <c r="DW170" s="199"/>
      <c r="DX170" s="200"/>
      <c r="DY170" s="198"/>
      <c r="DZ170" s="199"/>
      <c r="EA170" s="199"/>
      <c r="EB170" s="199"/>
      <c r="EC170" s="200"/>
      <c r="EF170"/>
      <c r="EG170"/>
      <c r="EH170"/>
      <c r="EI170"/>
      <c r="EJ170"/>
      <c r="EK170"/>
      <c r="EL170"/>
      <c r="EM170"/>
      <c r="EN170"/>
      <c r="EO170"/>
      <c r="EP170"/>
      <c r="EQ170"/>
      <c r="ER170"/>
      <c r="ES170"/>
      <c r="ET170"/>
      <c r="EU170"/>
      <c r="EV170"/>
      <c r="EW170"/>
      <c r="EX170"/>
      <c r="EY170"/>
      <c r="EZ170"/>
      <c r="FA170"/>
    </row>
    <row r="171" spans="1:157" s="536" customFormat="1" hidden="1" outlineLevel="1" x14ac:dyDescent="0.2">
      <c r="A171" s="535" t="s">
        <v>338</v>
      </c>
      <c r="V171" s="531"/>
      <c r="AG171" s="538"/>
      <c r="AH171" s="538"/>
      <c r="AI171" s="538"/>
      <c r="AJ171" s="538"/>
      <c r="AK171" s="538"/>
      <c r="AL171" s="540"/>
      <c r="AM171" s="538"/>
      <c r="AN171" s="538"/>
      <c r="AO171" s="538"/>
      <c r="AP171" s="538"/>
      <c r="AQ171" s="540"/>
      <c r="AR171" s="538"/>
      <c r="AS171" s="538"/>
      <c r="AT171" s="538"/>
      <c r="AU171" s="538"/>
      <c r="AV171" s="541"/>
      <c r="AW171" s="541"/>
      <c r="AX171" s="538"/>
      <c r="AY171" s="538"/>
      <c r="AZ171" s="542"/>
      <c r="BA171" s="540"/>
      <c r="BB171" s="541"/>
      <c r="BC171" s="538"/>
      <c r="BD171" s="538"/>
      <c r="BE171" s="538"/>
      <c r="BF171" s="540">
        <v>8.8800000000000004E-2</v>
      </c>
      <c r="BG171" s="541"/>
      <c r="BH171" s="538"/>
      <c r="BI171" s="538"/>
      <c r="BJ171" s="538"/>
      <c r="BK171" s="540">
        <v>8.8800000000000004E-2</v>
      </c>
      <c r="BL171" s="541"/>
      <c r="BM171" s="539"/>
      <c r="BN171" s="539"/>
      <c r="BO171" s="539"/>
      <c r="BP171" s="540">
        <v>8.8800000000000004E-2</v>
      </c>
      <c r="BQ171" s="539"/>
      <c r="BR171" s="539"/>
      <c r="BS171" s="539"/>
      <c r="BT171" s="539"/>
      <c r="BU171" s="540">
        <v>8.8800000000000004E-2</v>
      </c>
      <c r="BV171" s="541"/>
      <c r="BW171" s="538"/>
      <c r="BX171" s="538"/>
      <c r="BY171" s="538"/>
      <c r="BZ171" s="540"/>
      <c r="CA171" s="541"/>
      <c r="CB171" s="538"/>
      <c r="CC171" s="539"/>
      <c r="CD171" s="538"/>
      <c r="CE171" s="540"/>
      <c r="CF171" s="545"/>
      <c r="CG171" s="539"/>
      <c r="CH171" s="539"/>
      <c r="CI171" s="539"/>
      <c r="CJ171" s="544"/>
      <c r="CK171" s="545"/>
      <c r="CL171" s="539"/>
      <c r="CM171" s="538"/>
      <c r="CN171" s="538"/>
      <c r="CO171" s="540"/>
      <c r="CP171" s="906"/>
      <c r="CQ171" s="538"/>
      <c r="CR171" s="538"/>
      <c r="CS171" s="538"/>
      <c r="CT171" s="540"/>
      <c r="CU171" s="541"/>
      <c r="CV171" s="538"/>
      <c r="CW171" s="538"/>
      <c r="CX171" s="538"/>
      <c r="CY171" s="540"/>
      <c r="CZ171" s="541"/>
      <c r="DA171" s="539"/>
      <c r="DB171" s="539"/>
      <c r="DC171" s="538"/>
      <c r="DD171" s="540"/>
      <c r="DE171" s="545"/>
      <c r="DF171" s="539"/>
      <c r="DG171" s="539"/>
      <c r="DH171" s="539"/>
      <c r="DI171" s="544"/>
      <c r="DJ171" s="545"/>
      <c r="DK171" s="539"/>
      <c r="DL171" s="539"/>
      <c r="DM171" s="539"/>
      <c r="DN171" s="544"/>
      <c r="DO171" s="545"/>
      <c r="DP171" s="539"/>
      <c r="DQ171" s="539"/>
      <c r="DR171" s="539"/>
      <c r="DS171" s="544"/>
      <c r="DT171" s="545"/>
      <c r="DU171" s="539"/>
      <c r="DV171" s="539"/>
      <c r="DW171" s="539"/>
      <c r="DX171" s="544"/>
      <c r="DY171" s="545"/>
      <c r="DZ171" s="539"/>
      <c r="EA171" s="539"/>
      <c r="EB171" s="539"/>
      <c r="EC171" s="544"/>
      <c r="ED171" s="537"/>
      <c r="EF171"/>
      <c r="EG171"/>
      <c r="EH171"/>
      <c r="EI171"/>
      <c r="EJ171"/>
      <c r="EK171"/>
      <c r="EL171"/>
      <c r="EM171"/>
      <c r="EN171"/>
      <c r="EO171"/>
      <c r="EP171"/>
      <c r="EQ171"/>
      <c r="ER171"/>
      <c r="ES171"/>
      <c r="ET171"/>
      <c r="EU171"/>
      <c r="EV171"/>
      <c r="EW171"/>
      <c r="EX171"/>
      <c r="EY171"/>
      <c r="EZ171"/>
      <c r="FA171"/>
    </row>
    <row r="172" spans="1:157" s="536" customFormat="1" hidden="1" outlineLevel="1" x14ac:dyDescent="0.2">
      <c r="A172" s="535" t="s">
        <v>339</v>
      </c>
      <c r="V172" s="531"/>
      <c r="AG172" s="538"/>
      <c r="AH172" s="538"/>
      <c r="AI172" s="538"/>
      <c r="AJ172" s="538"/>
      <c r="AK172" s="538"/>
      <c r="AL172" s="540"/>
      <c r="AM172" s="538"/>
      <c r="AN172" s="538"/>
      <c r="AO172" s="538"/>
      <c r="AP172" s="538"/>
      <c r="AQ172" s="540"/>
      <c r="AR172" s="538"/>
      <c r="AS172" s="538"/>
      <c r="AT172" s="538"/>
      <c r="AU172" s="538"/>
      <c r="AV172" s="541"/>
      <c r="AW172" s="541"/>
      <c r="AX172" s="538"/>
      <c r="AY172" s="538"/>
      <c r="AZ172" s="542"/>
      <c r="BA172" s="540"/>
      <c r="BB172" s="541"/>
      <c r="BC172" s="538"/>
      <c r="BD172" s="538"/>
      <c r="BE172" s="538"/>
      <c r="BF172" s="540">
        <v>9.1999999999999998E-2</v>
      </c>
      <c r="BG172" s="541"/>
      <c r="BH172" s="538"/>
      <c r="BI172" s="538"/>
      <c r="BJ172" s="538"/>
      <c r="BK172" s="540">
        <v>9.1999999999999998E-2</v>
      </c>
      <c r="BL172" s="541"/>
      <c r="BM172" s="539"/>
      <c r="BN172" s="539"/>
      <c r="BO172" s="539"/>
      <c r="BP172" s="540">
        <v>9.1999999999999998E-2</v>
      </c>
      <c r="BQ172" s="539"/>
      <c r="BR172" s="539"/>
      <c r="BS172" s="539"/>
      <c r="BT172" s="539"/>
      <c r="BU172" s="540">
        <v>9.1999999999999998E-2</v>
      </c>
      <c r="BV172" s="541"/>
      <c r="BW172" s="538"/>
      <c r="BX172" s="538"/>
      <c r="BY172" s="538"/>
      <c r="BZ172" s="540"/>
      <c r="CA172" s="541"/>
      <c r="CB172" s="538"/>
      <c r="CC172" s="539"/>
      <c r="CD172" s="538"/>
      <c r="CE172" s="540"/>
      <c r="CF172" s="545"/>
      <c r="CG172" s="539"/>
      <c r="CH172" s="539"/>
      <c r="CI172" s="539"/>
      <c r="CJ172" s="544"/>
      <c r="CK172" s="545"/>
      <c r="CL172" s="539"/>
      <c r="CM172" s="538"/>
      <c r="CN172" s="538"/>
      <c r="CO172" s="540"/>
      <c r="CP172" s="906"/>
      <c r="CQ172" s="538"/>
      <c r="CR172" s="538"/>
      <c r="CS172" s="538"/>
      <c r="CT172" s="540"/>
      <c r="CU172" s="541"/>
      <c r="CV172" s="538"/>
      <c r="CW172" s="538"/>
      <c r="CX172" s="538"/>
      <c r="CY172" s="540"/>
      <c r="CZ172" s="541"/>
      <c r="DA172" s="539"/>
      <c r="DB172" s="539"/>
      <c r="DC172" s="538"/>
      <c r="DD172" s="540"/>
      <c r="DE172" s="545"/>
      <c r="DF172" s="539"/>
      <c r="DG172" s="539"/>
      <c r="DH172" s="539"/>
      <c r="DI172" s="544"/>
      <c r="DJ172" s="545"/>
      <c r="DK172" s="539"/>
      <c r="DL172" s="539"/>
      <c r="DM172" s="539"/>
      <c r="DN172" s="544"/>
      <c r="DO172" s="545"/>
      <c r="DP172" s="539"/>
      <c r="DQ172" s="539"/>
      <c r="DR172" s="539"/>
      <c r="DS172" s="544"/>
      <c r="DT172" s="545"/>
      <c r="DU172" s="539"/>
      <c r="DV172" s="539"/>
      <c r="DW172" s="539"/>
      <c r="DX172" s="544"/>
      <c r="DY172" s="545"/>
      <c r="DZ172" s="539"/>
      <c r="EA172" s="539"/>
      <c r="EB172" s="539"/>
      <c r="EC172" s="544"/>
      <c r="ED172" s="537"/>
      <c r="EF172"/>
      <c r="EG172"/>
      <c r="EH172"/>
      <c r="EI172"/>
      <c r="EJ172"/>
      <c r="EK172"/>
      <c r="EL172"/>
      <c r="EM172"/>
      <c r="EN172"/>
      <c r="EO172"/>
      <c r="EP172"/>
      <c r="EQ172"/>
      <c r="ER172"/>
      <c r="ES172"/>
      <c r="ET172"/>
      <c r="EU172"/>
      <c r="EV172"/>
      <c r="EW172"/>
      <c r="EX172"/>
      <c r="EY172"/>
      <c r="EZ172"/>
      <c r="FA172"/>
    </row>
    <row r="173" spans="1:157" s="172" customFormat="1" hidden="1" outlineLevel="1" x14ac:dyDescent="0.2">
      <c r="A173" s="534">
        <v>41091</v>
      </c>
      <c r="V173" s="173"/>
      <c r="AL173" s="194"/>
      <c r="AM173" s="196"/>
      <c r="AN173" s="196"/>
      <c r="AO173" s="196"/>
      <c r="AP173" s="196"/>
      <c r="AQ173" s="194"/>
      <c r="AR173" s="196"/>
      <c r="AS173" s="196"/>
      <c r="AT173" s="196"/>
      <c r="AU173" s="196"/>
      <c r="AV173" s="195"/>
      <c r="AW173" s="195"/>
      <c r="AX173" s="196"/>
      <c r="AY173" s="196"/>
      <c r="AZ173" s="197"/>
      <c r="BA173" s="194"/>
      <c r="BB173" s="195"/>
      <c r="BC173" s="196"/>
      <c r="BD173" s="196"/>
      <c r="BE173" s="196"/>
      <c r="BF173" s="194">
        <v>400</v>
      </c>
      <c r="BG173" s="195"/>
      <c r="BH173" s="196"/>
      <c r="BI173" s="196"/>
      <c r="BJ173" s="196"/>
      <c r="BK173" s="194">
        <v>400</v>
      </c>
      <c r="BL173" s="195"/>
      <c r="BM173" s="199"/>
      <c r="BN173" s="199"/>
      <c r="BO173" s="199"/>
      <c r="BP173" s="194">
        <v>400</v>
      </c>
      <c r="BQ173" s="199"/>
      <c r="BR173" s="199"/>
      <c r="BS173" s="199"/>
      <c r="BT173" s="199"/>
      <c r="BU173" s="194">
        <v>400</v>
      </c>
      <c r="BV173" s="195"/>
      <c r="BW173" s="196"/>
      <c r="BX173" s="196"/>
      <c r="BY173" s="196"/>
      <c r="BZ173" s="194">
        <v>400</v>
      </c>
      <c r="CA173" s="195"/>
      <c r="CB173" s="196"/>
      <c r="CC173" s="199"/>
      <c r="CD173" s="196"/>
      <c r="CE173" s="194"/>
      <c r="CF173" s="198"/>
      <c r="CG173" s="199"/>
      <c r="CH173" s="199"/>
      <c r="CI173" s="199"/>
      <c r="CJ173" s="200"/>
      <c r="CK173" s="198"/>
      <c r="CL173" s="199"/>
      <c r="CM173" s="196"/>
      <c r="CN173" s="196"/>
      <c r="CO173" s="194"/>
      <c r="CP173" s="905"/>
      <c r="CQ173" s="196"/>
      <c r="CR173" s="196"/>
      <c r="CS173" s="196"/>
      <c r="CT173" s="194"/>
      <c r="CU173" s="195"/>
      <c r="CV173" s="196"/>
      <c r="CW173" s="196"/>
      <c r="CX173" s="196"/>
      <c r="CY173" s="194"/>
      <c r="CZ173" s="195"/>
      <c r="DA173" s="199"/>
      <c r="DB173" s="199"/>
      <c r="DC173" s="196"/>
      <c r="DD173" s="194"/>
      <c r="DE173" s="198"/>
      <c r="DF173" s="199"/>
      <c r="DG173" s="199"/>
      <c r="DH173" s="199"/>
      <c r="DI173" s="200"/>
      <c r="DJ173" s="198"/>
      <c r="DK173" s="199"/>
      <c r="DL173" s="199"/>
      <c r="DM173" s="199"/>
      <c r="DN173" s="200"/>
      <c r="DO173" s="198"/>
      <c r="DP173" s="199"/>
      <c r="DQ173" s="199"/>
      <c r="DR173" s="199"/>
      <c r="DS173" s="200"/>
      <c r="DT173" s="198"/>
      <c r="DU173" s="199"/>
      <c r="DV173" s="199"/>
      <c r="DW173" s="199"/>
      <c r="DX173" s="200"/>
      <c r="DY173" s="198"/>
      <c r="DZ173" s="199"/>
      <c r="EA173" s="199"/>
      <c r="EB173" s="199"/>
      <c r="EC173" s="200"/>
      <c r="EF173"/>
      <c r="EG173"/>
      <c r="EH173"/>
      <c r="EI173"/>
      <c r="EJ173"/>
      <c r="EK173"/>
      <c r="EL173"/>
      <c r="EM173"/>
      <c r="EN173"/>
      <c r="EO173"/>
      <c r="EP173"/>
      <c r="EQ173"/>
      <c r="ER173"/>
      <c r="ES173"/>
      <c r="ET173"/>
      <c r="EU173"/>
      <c r="EV173"/>
      <c r="EW173"/>
      <c r="EX173"/>
      <c r="EY173"/>
      <c r="EZ173"/>
      <c r="FA173"/>
    </row>
    <row r="174" spans="1:157" s="536" customFormat="1" hidden="1" outlineLevel="1" x14ac:dyDescent="0.2">
      <c r="A174" s="535" t="s">
        <v>338</v>
      </c>
      <c r="V174" s="531"/>
      <c r="AG174" s="538"/>
      <c r="AH174" s="538"/>
      <c r="AI174" s="538"/>
      <c r="AJ174" s="538"/>
      <c r="AK174" s="538"/>
      <c r="AL174" s="540"/>
      <c r="AM174" s="538"/>
      <c r="AN174" s="538"/>
      <c r="AO174" s="538"/>
      <c r="AP174" s="538"/>
      <c r="AQ174" s="540"/>
      <c r="AR174" s="538"/>
      <c r="AS174" s="538"/>
      <c r="AT174" s="538"/>
      <c r="AU174" s="538"/>
      <c r="AV174" s="541"/>
      <c r="AW174" s="541"/>
      <c r="AX174" s="538"/>
      <c r="AY174" s="538"/>
      <c r="AZ174" s="542"/>
      <c r="BA174" s="540"/>
      <c r="BB174" s="541"/>
      <c r="BC174" s="538"/>
      <c r="BD174" s="538"/>
      <c r="BE174" s="538"/>
      <c r="BF174" s="540">
        <v>7.6999999999999999E-2</v>
      </c>
      <c r="BG174" s="541"/>
      <c r="BH174" s="538"/>
      <c r="BI174" s="538"/>
      <c r="BJ174" s="538"/>
      <c r="BK174" s="540">
        <v>7.6999999999999999E-2</v>
      </c>
      <c r="BL174" s="541"/>
      <c r="BM174" s="539"/>
      <c r="BN174" s="539"/>
      <c r="BO174" s="539"/>
      <c r="BP174" s="540">
        <v>7.6999999999999999E-2</v>
      </c>
      <c r="BQ174" s="539"/>
      <c r="BR174" s="539"/>
      <c r="BS174" s="539"/>
      <c r="BT174" s="539"/>
      <c r="BU174" s="540">
        <v>7.6999999999999999E-2</v>
      </c>
      <c r="BV174" s="541"/>
      <c r="BW174" s="538"/>
      <c r="BX174" s="538"/>
      <c r="BY174" s="538"/>
      <c r="BZ174" s="540">
        <v>7.6999999999999999E-2</v>
      </c>
      <c r="CA174" s="541"/>
      <c r="CB174" s="538"/>
      <c r="CC174" s="539"/>
      <c r="CD174" s="538"/>
      <c r="CE174" s="540"/>
      <c r="CF174" s="545"/>
      <c r="CG174" s="539"/>
      <c r="CH174" s="539"/>
      <c r="CI174" s="539"/>
      <c r="CJ174" s="544"/>
      <c r="CK174" s="545"/>
      <c r="CL174" s="539"/>
      <c r="CM174" s="538"/>
      <c r="CN174" s="538"/>
      <c r="CO174" s="540"/>
      <c r="CP174" s="906"/>
      <c r="CQ174" s="538"/>
      <c r="CR174" s="538"/>
      <c r="CS174" s="538"/>
      <c r="CT174" s="540"/>
      <c r="CU174" s="541"/>
      <c r="CV174" s="538"/>
      <c r="CW174" s="538"/>
      <c r="CX174" s="538"/>
      <c r="CY174" s="540"/>
      <c r="CZ174" s="541"/>
      <c r="DA174" s="539"/>
      <c r="DB174" s="539"/>
      <c r="DC174" s="538"/>
      <c r="DD174" s="540"/>
      <c r="DE174" s="545"/>
      <c r="DF174" s="539"/>
      <c r="DG174" s="539"/>
      <c r="DH174" s="539"/>
      <c r="DI174" s="544"/>
      <c r="DJ174" s="545"/>
      <c r="DK174" s="539"/>
      <c r="DL174" s="539"/>
      <c r="DM174" s="539"/>
      <c r="DN174" s="544"/>
      <c r="DO174" s="545"/>
      <c r="DP174" s="539"/>
      <c r="DQ174" s="539"/>
      <c r="DR174" s="539"/>
      <c r="DS174" s="544"/>
      <c r="DT174" s="545"/>
      <c r="DU174" s="539"/>
      <c r="DV174" s="539"/>
      <c r="DW174" s="539"/>
      <c r="DX174" s="544"/>
      <c r="DY174" s="545"/>
      <c r="DZ174" s="539"/>
      <c r="EA174" s="539"/>
      <c r="EB174" s="539"/>
      <c r="EC174" s="544"/>
      <c r="ED174" s="537"/>
      <c r="EF174"/>
      <c r="EG174"/>
      <c r="EH174"/>
      <c r="EI174"/>
      <c r="EJ174"/>
      <c r="EK174"/>
      <c r="EL174"/>
      <c r="EM174"/>
      <c r="EN174"/>
      <c r="EO174"/>
      <c r="EP174"/>
      <c r="EQ174"/>
      <c r="ER174"/>
      <c r="ES174"/>
      <c r="ET174"/>
      <c r="EU174"/>
      <c r="EV174"/>
      <c r="EW174"/>
      <c r="EX174"/>
      <c r="EY174"/>
      <c r="EZ174"/>
      <c r="FA174"/>
    </row>
    <row r="175" spans="1:157" s="536" customFormat="1" hidden="1" outlineLevel="1" x14ac:dyDescent="0.2">
      <c r="A175" s="535" t="s">
        <v>339</v>
      </c>
      <c r="V175" s="531"/>
      <c r="AG175" s="538"/>
      <c r="AH175" s="538"/>
      <c r="AI175" s="538"/>
      <c r="AJ175" s="538"/>
      <c r="AK175" s="538"/>
      <c r="AL175" s="540"/>
      <c r="AM175" s="538"/>
      <c r="AN175" s="538"/>
      <c r="AO175" s="538"/>
      <c r="AP175" s="538"/>
      <c r="AQ175" s="540"/>
      <c r="AR175" s="538"/>
      <c r="AS175" s="538"/>
      <c r="AT175" s="538"/>
      <c r="AU175" s="538"/>
      <c r="AV175" s="541"/>
      <c r="AW175" s="541"/>
      <c r="AX175" s="538"/>
      <c r="AY175" s="538"/>
      <c r="AZ175" s="542"/>
      <c r="BA175" s="540"/>
      <c r="BB175" s="541"/>
      <c r="BC175" s="538"/>
      <c r="BD175" s="538"/>
      <c r="BE175" s="538"/>
      <c r="BF175" s="540">
        <v>8.0399999999999999E-2</v>
      </c>
      <c r="BG175" s="541"/>
      <c r="BH175" s="538"/>
      <c r="BI175" s="538"/>
      <c r="BJ175" s="538"/>
      <c r="BK175" s="540">
        <v>8.0399999999999999E-2</v>
      </c>
      <c r="BL175" s="541"/>
      <c r="BM175" s="539"/>
      <c r="BN175" s="539"/>
      <c r="BO175" s="539"/>
      <c r="BP175" s="540">
        <v>8.0399999999999999E-2</v>
      </c>
      <c r="BQ175" s="539"/>
      <c r="BR175" s="539"/>
      <c r="BS175" s="539"/>
      <c r="BT175" s="539"/>
      <c r="BU175" s="540">
        <v>8.0399999999999999E-2</v>
      </c>
      <c r="BV175" s="541"/>
      <c r="BW175" s="538"/>
      <c r="BX175" s="538"/>
      <c r="BY175" s="538"/>
      <c r="BZ175" s="540">
        <v>8.0399999999999999E-2</v>
      </c>
      <c r="CA175" s="541"/>
      <c r="CB175" s="538"/>
      <c r="CC175" s="539"/>
      <c r="CD175" s="538"/>
      <c r="CE175" s="540"/>
      <c r="CF175" s="545"/>
      <c r="CG175" s="539"/>
      <c r="CH175" s="539"/>
      <c r="CI175" s="539"/>
      <c r="CJ175" s="544"/>
      <c r="CK175" s="545"/>
      <c r="CL175" s="539"/>
      <c r="CM175" s="538"/>
      <c r="CN175" s="538"/>
      <c r="CO175" s="540"/>
      <c r="CP175" s="906"/>
      <c r="CQ175" s="538"/>
      <c r="CR175" s="538"/>
      <c r="CS175" s="538"/>
      <c r="CT175" s="540"/>
      <c r="CU175" s="541"/>
      <c r="CV175" s="538"/>
      <c r="CW175" s="538"/>
      <c r="CX175" s="538"/>
      <c r="CY175" s="540"/>
      <c r="CZ175" s="541"/>
      <c r="DA175" s="539"/>
      <c r="DB175" s="539"/>
      <c r="DC175" s="538"/>
      <c r="DD175" s="540"/>
      <c r="DE175" s="545"/>
      <c r="DF175" s="539"/>
      <c r="DG175" s="539"/>
      <c r="DH175" s="539"/>
      <c r="DI175" s="544"/>
      <c r="DJ175" s="545"/>
      <c r="DK175" s="539"/>
      <c r="DL175" s="539"/>
      <c r="DM175" s="539"/>
      <c r="DN175" s="544"/>
      <c r="DO175" s="545"/>
      <c r="DP175" s="539"/>
      <c r="DQ175" s="539"/>
      <c r="DR175" s="539"/>
      <c r="DS175" s="544"/>
      <c r="DT175" s="545"/>
      <c r="DU175" s="539"/>
      <c r="DV175" s="539"/>
      <c r="DW175" s="539"/>
      <c r="DX175" s="544"/>
      <c r="DY175" s="545"/>
      <c r="DZ175" s="539"/>
      <c r="EA175" s="539"/>
      <c r="EB175" s="539"/>
      <c r="EC175" s="544"/>
      <c r="ED175" s="537"/>
      <c r="EF175"/>
      <c r="EG175"/>
      <c r="EH175"/>
      <c r="EI175"/>
      <c r="EJ175"/>
      <c r="EK175"/>
      <c r="EL175"/>
      <c r="EM175"/>
      <c r="EN175"/>
      <c r="EO175"/>
      <c r="EP175"/>
      <c r="EQ175"/>
      <c r="ER175"/>
      <c r="ES175"/>
      <c r="ET175"/>
      <c r="EU175"/>
      <c r="EV175"/>
      <c r="EW175"/>
      <c r="EX175"/>
      <c r="EY175"/>
      <c r="EZ175"/>
      <c r="FA175"/>
    </row>
    <row r="176" spans="1:157" s="172" customFormat="1" hidden="1" outlineLevel="1" x14ac:dyDescent="0.2">
      <c r="A176" s="534">
        <v>42461</v>
      </c>
      <c r="V176" s="173"/>
      <c r="AL176" s="194"/>
      <c r="AM176" s="196"/>
      <c r="AN176" s="196"/>
      <c r="AO176" s="196"/>
      <c r="AP176" s="196"/>
      <c r="AQ176" s="194"/>
      <c r="AR176" s="196"/>
      <c r="AS176" s="196"/>
      <c r="AT176" s="196"/>
      <c r="AU176" s="196"/>
      <c r="AV176" s="195"/>
      <c r="AW176" s="195"/>
      <c r="AX176" s="196"/>
      <c r="AY176" s="196"/>
      <c r="AZ176" s="197"/>
      <c r="BA176" s="194"/>
      <c r="BB176" s="195"/>
      <c r="BC176" s="196"/>
      <c r="BD176" s="196"/>
      <c r="BE176" s="196"/>
      <c r="BF176" s="194">
        <v>300</v>
      </c>
      <c r="BG176" s="195"/>
      <c r="BH176" s="196"/>
      <c r="BI176" s="196"/>
      <c r="BJ176" s="196"/>
      <c r="BK176" s="194">
        <v>300</v>
      </c>
      <c r="BL176" s="195"/>
      <c r="BM176" s="199"/>
      <c r="BN176" s="199"/>
      <c r="BO176" s="199"/>
      <c r="BP176" s="194">
        <v>300</v>
      </c>
      <c r="BQ176" s="199"/>
      <c r="BR176" s="199"/>
      <c r="BS176" s="199"/>
      <c r="BT176" s="199"/>
      <c r="BU176" s="194">
        <v>300</v>
      </c>
      <c r="BV176" s="195"/>
      <c r="BW176" s="196"/>
      <c r="BX176" s="196"/>
      <c r="BY176" s="196"/>
      <c r="BZ176" s="194">
        <v>300</v>
      </c>
      <c r="CA176" s="195"/>
      <c r="CB176" s="196"/>
      <c r="CC176" s="199"/>
      <c r="CD176" s="196"/>
      <c r="CE176" s="194">
        <v>300</v>
      </c>
      <c r="CF176" s="198"/>
      <c r="CG176" s="199"/>
      <c r="CH176" s="199"/>
      <c r="CI176" s="199"/>
      <c r="CJ176" s="194">
        <v>300</v>
      </c>
      <c r="CK176" s="198"/>
      <c r="CL176" s="199"/>
      <c r="CM176" s="196"/>
      <c r="CN176" s="196"/>
      <c r="CO176" s="194">
        <f>CJ176</f>
        <v>300</v>
      </c>
      <c r="CP176" s="905"/>
      <c r="CQ176" s="196"/>
      <c r="CR176" s="196"/>
      <c r="CS176" s="196"/>
      <c r="CT176" s="194">
        <f>CO176</f>
        <v>300</v>
      </c>
      <c r="CU176" s="195"/>
      <c r="CV176" s="196"/>
      <c r="CW176" s="196"/>
      <c r="CX176" s="196"/>
      <c r="CY176" s="194"/>
      <c r="CZ176" s="195"/>
      <c r="DA176" s="199"/>
      <c r="DB176" s="199"/>
      <c r="DC176" s="196"/>
      <c r="DD176" s="194"/>
      <c r="DE176" s="198"/>
      <c r="DF176" s="199"/>
      <c r="DG176" s="199"/>
      <c r="DH176" s="199"/>
      <c r="DI176" s="194"/>
      <c r="DJ176" s="198"/>
      <c r="DK176" s="199"/>
      <c r="DL176" s="199"/>
      <c r="DM176" s="199"/>
      <c r="DN176" s="194"/>
      <c r="DO176" s="198"/>
      <c r="DP176" s="199"/>
      <c r="DQ176" s="199"/>
      <c r="DR176" s="199"/>
      <c r="DS176" s="194"/>
      <c r="DT176" s="198"/>
      <c r="DU176" s="199"/>
      <c r="DV176" s="199"/>
      <c r="DW176" s="199"/>
      <c r="DX176" s="194"/>
      <c r="DY176" s="198"/>
      <c r="DZ176" s="199"/>
      <c r="EA176" s="199"/>
      <c r="EB176" s="199"/>
      <c r="EC176" s="194"/>
      <c r="EF176"/>
      <c r="EG176"/>
      <c r="EH176"/>
      <c r="EI176"/>
      <c r="EJ176"/>
      <c r="EK176"/>
      <c r="EL176"/>
      <c r="EM176"/>
      <c r="EN176"/>
      <c r="EO176"/>
      <c r="EP176"/>
      <c r="EQ176"/>
      <c r="ER176"/>
      <c r="ES176"/>
      <c r="ET176"/>
      <c r="EU176"/>
      <c r="EV176"/>
      <c r="EW176"/>
      <c r="EX176"/>
      <c r="EY176"/>
      <c r="EZ176"/>
      <c r="FA176"/>
    </row>
    <row r="177" spans="1:157" s="536" customFormat="1" hidden="1" outlineLevel="1" x14ac:dyDescent="0.2">
      <c r="A177" s="535" t="s">
        <v>338</v>
      </c>
      <c r="V177" s="531"/>
      <c r="AG177" s="538"/>
      <c r="AH177" s="538"/>
      <c r="AI177" s="538"/>
      <c r="AJ177" s="538"/>
      <c r="AK177" s="538"/>
      <c r="AL177" s="540"/>
      <c r="AM177" s="538"/>
      <c r="AN177" s="538"/>
      <c r="AO177" s="538"/>
      <c r="AP177" s="538"/>
      <c r="AQ177" s="540"/>
      <c r="AR177" s="538"/>
      <c r="AS177" s="538"/>
      <c r="AT177" s="538"/>
      <c r="AU177" s="538"/>
      <c r="AV177" s="541"/>
      <c r="AW177" s="541"/>
      <c r="AX177" s="538"/>
      <c r="AY177" s="538"/>
      <c r="AZ177" s="542"/>
      <c r="BA177" s="540"/>
      <c r="BB177" s="541"/>
      <c r="BC177" s="538"/>
      <c r="BD177" s="538"/>
      <c r="BE177" s="538"/>
      <c r="BF177" s="540">
        <v>6.25E-2</v>
      </c>
      <c r="BG177" s="541"/>
      <c r="BH177" s="538"/>
      <c r="BI177" s="538"/>
      <c r="BJ177" s="538"/>
      <c r="BK177" s="540">
        <v>6.25E-2</v>
      </c>
      <c r="BL177" s="541"/>
      <c r="BM177" s="539"/>
      <c r="BN177" s="539"/>
      <c r="BO177" s="539"/>
      <c r="BP177" s="540">
        <v>6.25E-2</v>
      </c>
      <c r="BQ177" s="539"/>
      <c r="BR177" s="539"/>
      <c r="BS177" s="539"/>
      <c r="BT177" s="539"/>
      <c r="BU177" s="540">
        <v>6.25E-2</v>
      </c>
      <c r="BV177" s="541"/>
      <c r="BW177" s="538"/>
      <c r="BX177" s="538"/>
      <c r="BY177" s="538"/>
      <c r="BZ177" s="540">
        <v>6.25E-2</v>
      </c>
      <c r="CA177" s="541"/>
      <c r="CB177" s="538"/>
      <c r="CC177" s="539"/>
      <c r="CD177" s="538"/>
      <c r="CE177" s="540">
        <v>6.25E-2</v>
      </c>
      <c r="CF177" s="545"/>
      <c r="CG177" s="539"/>
      <c r="CH177" s="539"/>
      <c r="CI177" s="539"/>
      <c r="CJ177" s="540">
        <v>6.25E-2</v>
      </c>
      <c r="CK177" s="545"/>
      <c r="CL177" s="539"/>
      <c r="CM177" s="538"/>
      <c r="CN177" s="538"/>
      <c r="CO177" s="540">
        <f t="shared" ref="CO177:CO205" si="617">CJ177</f>
        <v>6.25E-2</v>
      </c>
      <c r="CP177" s="906"/>
      <c r="CQ177" s="538"/>
      <c r="CR177" s="538"/>
      <c r="CS177" s="538"/>
      <c r="CT177" s="540">
        <f t="shared" ref="CT177:CT205" si="618">CO177</f>
        <v>6.25E-2</v>
      </c>
      <c r="CU177" s="541"/>
      <c r="CV177" s="538"/>
      <c r="CW177" s="538"/>
      <c r="CX177" s="538"/>
      <c r="CY177" s="540"/>
      <c r="CZ177" s="541"/>
      <c r="DA177" s="539"/>
      <c r="DB177" s="539"/>
      <c r="DC177" s="538"/>
      <c r="DD177" s="540"/>
      <c r="DE177" s="545"/>
      <c r="DF177" s="539"/>
      <c r="DG177" s="539"/>
      <c r="DH177" s="539"/>
      <c r="DI177" s="540"/>
      <c r="DJ177" s="545"/>
      <c r="DK177" s="539"/>
      <c r="DL177" s="539"/>
      <c r="DM177" s="539"/>
      <c r="DN177" s="540"/>
      <c r="DO177" s="545"/>
      <c r="DP177" s="539"/>
      <c r="DQ177" s="539"/>
      <c r="DR177" s="539"/>
      <c r="DS177" s="540"/>
      <c r="DT177" s="545"/>
      <c r="DU177" s="539"/>
      <c r="DV177" s="539"/>
      <c r="DW177" s="539"/>
      <c r="DX177" s="540"/>
      <c r="DY177" s="545"/>
      <c r="DZ177" s="539"/>
      <c r="EA177" s="539"/>
      <c r="EB177" s="539"/>
      <c r="EC177" s="540"/>
      <c r="ED177" s="537"/>
      <c r="EF177"/>
      <c r="EG177"/>
      <c r="EH177"/>
      <c r="EI177"/>
      <c r="EJ177"/>
      <c r="EK177"/>
      <c r="EL177"/>
      <c r="EM177"/>
      <c r="EN177"/>
      <c r="EO177"/>
      <c r="EP177"/>
      <c r="EQ177"/>
      <c r="ER177"/>
      <c r="ES177"/>
      <c r="ET177"/>
      <c r="EU177"/>
      <c r="EV177"/>
      <c r="EW177"/>
      <c r="EX177"/>
      <c r="EY177"/>
      <c r="EZ177"/>
      <c r="FA177"/>
    </row>
    <row r="178" spans="1:157" s="536" customFormat="1" hidden="1" outlineLevel="1" x14ac:dyDescent="0.2">
      <c r="A178" s="535" t="s">
        <v>339</v>
      </c>
      <c r="V178" s="531"/>
      <c r="AG178" s="538"/>
      <c r="AH178" s="538"/>
      <c r="AI178" s="538"/>
      <c r="AJ178" s="538"/>
      <c r="AK178" s="538"/>
      <c r="AL178" s="540"/>
      <c r="AM178" s="538"/>
      <c r="AN178" s="538"/>
      <c r="AO178" s="538"/>
      <c r="AP178" s="538"/>
      <c r="AQ178" s="540"/>
      <c r="AR178" s="538"/>
      <c r="AS178" s="538"/>
      <c r="AT178" s="538"/>
      <c r="AU178" s="538"/>
      <c r="AV178" s="541"/>
      <c r="AW178" s="541"/>
      <c r="AX178" s="538"/>
      <c r="AY178" s="538"/>
      <c r="AZ178" s="542"/>
      <c r="BA178" s="540"/>
      <c r="BB178" s="541"/>
      <c r="BC178" s="538"/>
      <c r="BD178" s="538"/>
      <c r="BE178" s="538"/>
      <c r="BF178" s="540">
        <v>6.0299999999999999E-2</v>
      </c>
      <c r="BG178" s="541"/>
      <c r="BH178" s="538"/>
      <c r="BI178" s="538"/>
      <c r="BJ178" s="538"/>
      <c r="BK178" s="540">
        <v>6.0299999999999999E-2</v>
      </c>
      <c r="BL178" s="541"/>
      <c r="BM178" s="539"/>
      <c r="BN178" s="539"/>
      <c r="BO178" s="539"/>
      <c r="BP178" s="540">
        <v>6.0299999999999999E-2</v>
      </c>
      <c r="BQ178" s="539"/>
      <c r="BR178" s="539"/>
      <c r="BS178" s="539"/>
      <c r="BT178" s="539"/>
      <c r="BU178" s="540">
        <v>6.0299999999999999E-2</v>
      </c>
      <c r="BV178" s="541"/>
      <c r="BW178" s="538"/>
      <c r="BX178" s="538"/>
      <c r="BY178" s="538"/>
      <c r="BZ178" s="540">
        <v>6.0299999999999999E-2</v>
      </c>
      <c r="CA178" s="541"/>
      <c r="CB178" s="538"/>
      <c r="CC178" s="539"/>
      <c r="CD178" s="538"/>
      <c r="CE178" s="540">
        <v>6.0299999999999999E-2</v>
      </c>
      <c r="CF178" s="545"/>
      <c r="CG178" s="539"/>
      <c r="CH178" s="539"/>
      <c r="CI178" s="539"/>
      <c r="CJ178" s="540">
        <v>6.0299999999999999E-2</v>
      </c>
      <c r="CK178" s="545"/>
      <c r="CL178" s="539"/>
      <c r="CM178" s="538"/>
      <c r="CN178" s="538"/>
      <c r="CO178" s="540">
        <f t="shared" si="617"/>
        <v>6.0299999999999999E-2</v>
      </c>
      <c r="CP178" s="906"/>
      <c r="CQ178" s="538"/>
      <c r="CR178" s="538"/>
      <c r="CS178" s="538"/>
      <c r="CT178" s="540">
        <f t="shared" si="618"/>
        <v>6.0299999999999999E-2</v>
      </c>
      <c r="CU178" s="541"/>
      <c r="CV178" s="538"/>
      <c r="CW178" s="538"/>
      <c r="CX178" s="538"/>
      <c r="CY178" s="540"/>
      <c r="CZ178" s="541"/>
      <c r="DA178" s="539"/>
      <c r="DB178" s="539"/>
      <c r="DC178" s="538"/>
      <c r="DD178" s="540"/>
      <c r="DE178" s="545"/>
      <c r="DF178" s="539"/>
      <c r="DG178" s="539"/>
      <c r="DH178" s="539"/>
      <c r="DI178" s="540"/>
      <c r="DJ178" s="545"/>
      <c r="DK178" s="539"/>
      <c r="DL178" s="539"/>
      <c r="DM178" s="539"/>
      <c r="DN178" s="540"/>
      <c r="DO178" s="545"/>
      <c r="DP178" s="539"/>
      <c r="DQ178" s="539"/>
      <c r="DR178" s="539"/>
      <c r="DS178" s="540"/>
      <c r="DT178" s="545"/>
      <c r="DU178" s="539"/>
      <c r="DV178" s="539"/>
      <c r="DW178" s="539"/>
      <c r="DX178" s="540"/>
      <c r="DY178" s="545"/>
      <c r="DZ178" s="539"/>
      <c r="EA178" s="539"/>
      <c r="EB178" s="539"/>
      <c r="EC178" s="540"/>
      <c r="ED178" s="537"/>
      <c r="EF178"/>
      <c r="EG178"/>
      <c r="EH178"/>
      <c r="EI178"/>
      <c r="EJ178"/>
      <c r="EK178"/>
      <c r="EL178"/>
      <c r="EM178"/>
      <c r="EN178"/>
      <c r="EO178"/>
      <c r="EP178"/>
      <c r="EQ178"/>
      <c r="ER178"/>
      <c r="ES178"/>
      <c r="ET178"/>
      <c r="EU178"/>
      <c r="EV178"/>
      <c r="EW178"/>
      <c r="EX178"/>
      <c r="EY178"/>
      <c r="EZ178"/>
      <c r="FA178"/>
    </row>
    <row r="179" spans="1:157" s="172" customFormat="1" hidden="1" outlineLevel="1" x14ac:dyDescent="0.2">
      <c r="A179" s="534">
        <v>43160</v>
      </c>
      <c r="V179" s="173"/>
      <c r="AL179" s="194"/>
      <c r="AM179" s="196"/>
      <c r="AN179" s="196"/>
      <c r="AO179" s="196"/>
      <c r="AP179" s="196"/>
      <c r="AQ179" s="194"/>
      <c r="AR179" s="196"/>
      <c r="AS179" s="196"/>
      <c r="AT179" s="196"/>
      <c r="AU179" s="196"/>
      <c r="AV179" s="195"/>
      <c r="AW179" s="195"/>
      <c r="AX179" s="196"/>
      <c r="AY179" s="196"/>
      <c r="AZ179" s="197"/>
      <c r="BA179" s="194"/>
      <c r="BB179" s="195"/>
      <c r="BC179" s="196"/>
      <c r="BD179" s="196"/>
      <c r="BE179" s="196"/>
      <c r="BF179" s="194">
        <v>600</v>
      </c>
      <c r="BG179" s="195"/>
      <c r="BH179" s="196"/>
      <c r="BI179" s="196"/>
      <c r="BJ179" s="196"/>
      <c r="BK179" s="194">
        <v>600</v>
      </c>
      <c r="BL179" s="195"/>
      <c r="BM179" s="199"/>
      <c r="BN179" s="199"/>
      <c r="BO179" s="199"/>
      <c r="BP179" s="194">
        <v>600</v>
      </c>
      <c r="BQ179" s="199"/>
      <c r="BR179" s="199"/>
      <c r="BS179" s="199"/>
      <c r="BT179" s="199"/>
      <c r="BU179" s="194">
        <v>600</v>
      </c>
      <c r="BV179" s="195"/>
      <c r="BW179" s="196"/>
      <c r="BX179" s="196"/>
      <c r="BY179" s="196"/>
      <c r="BZ179" s="194">
        <v>600</v>
      </c>
      <c r="CA179" s="195"/>
      <c r="CB179" s="196"/>
      <c r="CC179" s="199"/>
      <c r="CD179" s="196"/>
      <c r="CE179" s="194">
        <v>600</v>
      </c>
      <c r="CF179" s="198"/>
      <c r="CG179" s="199"/>
      <c r="CH179" s="199"/>
      <c r="CI179" s="199"/>
      <c r="CJ179" s="194">
        <v>325</v>
      </c>
      <c r="CK179" s="198"/>
      <c r="CL179" s="199"/>
      <c r="CM179" s="196"/>
      <c r="CN179" s="196"/>
      <c r="CO179" s="194">
        <f t="shared" si="617"/>
        <v>325</v>
      </c>
      <c r="CP179" s="905"/>
      <c r="CQ179" s="196"/>
      <c r="CR179" s="196"/>
      <c r="CS179" s="196"/>
      <c r="CT179" s="194">
        <f t="shared" si="618"/>
        <v>325</v>
      </c>
      <c r="CU179" s="195"/>
      <c r="CV179" s="196"/>
      <c r="CW179" s="196"/>
      <c r="CX179" s="196"/>
      <c r="CY179" s="194">
        <f t="shared" ref="CY179:CY205" si="619">CT179</f>
        <v>325</v>
      </c>
      <c r="CZ179" s="195"/>
      <c r="DA179" s="199"/>
      <c r="DB179" s="199"/>
      <c r="DC179" s="196"/>
      <c r="DD179" s="194">
        <f t="shared" ref="DD179:DD205" si="620">CY179</f>
        <v>325</v>
      </c>
      <c r="DE179" s="198"/>
      <c r="DF179" s="199"/>
      <c r="DG179" s="199"/>
      <c r="DH179" s="199"/>
      <c r="DI179" s="194">
        <f t="shared" ref="DI179:DI184" si="621">DD179</f>
        <v>325</v>
      </c>
      <c r="DJ179" s="198"/>
      <c r="DK179" s="199"/>
      <c r="DL179" s="199"/>
      <c r="DM179" s="199"/>
      <c r="DN179" s="194"/>
      <c r="DO179" s="198"/>
      <c r="DP179" s="199"/>
      <c r="DQ179" s="199"/>
      <c r="DR179" s="199"/>
      <c r="DS179" s="194"/>
      <c r="DT179" s="198"/>
      <c r="DU179" s="199"/>
      <c r="DV179" s="199"/>
      <c r="DW179" s="199"/>
      <c r="DX179" s="194"/>
      <c r="DY179" s="198"/>
      <c r="DZ179" s="199"/>
      <c r="EA179" s="199"/>
      <c r="EB179" s="199"/>
      <c r="EC179" s="194"/>
      <c r="EF179"/>
      <c r="EG179"/>
      <c r="EH179"/>
      <c r="EI179"/>
      <c r="EJ179"/>
      <c r="EK179"/>
      <c r="EL179"/>
      <c r="EM179"/>
      <c r="EN179"/>
      <c r="EO179"/>
      <c r="EP179"/>
      <c r="EQ179"/>
      <c r="ER179"/>
      <c r="ES179"/>
      <c r="ET179"/>
      <c r="EU179"/>
      <c r="EV179"/>
      <c r="EW179"/>
      <c r="EX179"/>
      <c r="EY179"/>
      <c r="EZ179"/>
      <c r="FA179"/>
    </row>
    <row r="180" spans="1:157" s="536" customFormat="1" hidden="1" outlineLevel="1" x14ac:dyDescent="0.2">
      <c r="A180" s="535" t="s">
        <v>338</v>
      </c>
      <c r="V180" s="531"/>
      <c r="AG180" s="538"/>
      <c r="AH180" s="538"/>
      <c r="AI180" s="538"/>
      <c r="AJ180" s="538"/>
      <c r="AK180" s="538"/>
      <c r="AL180" s="540"/>
      <c r="AM180" s="538"/>
      <c r="AN180" s="538"/>
      <c r="AO180" s="538"/>
      <c r="AP180" s="538"/>
      <c r="AQ180" s="540"/>
      <c r="AR180" s="538"/>
      <c r="AS180" s="538"/>
      <c r="AT180" s="538"/>
      <c r="AU180" s="538"/>
      <c r="AV180" s="541"/>
      <c r="AW180" s="541"/>
      <c r="AX180" s="538"/>
      <c r="AY180" s="538"/>
      <c r="AZ180" s="542"/>
      <c r="BA180" s="540"/>
      <c r="BB180" s="541"/>
      <c r="BC180" s="538"/>
      <c r="BD180" s="538"/>
      <c r="BE180" s="538"/>
      <c r="BF180" s="540">
        <v>6.25E-2</v>
      </c>
      <c r="BG180" s="541"/>
      <c r="BH180" s="538"/>
      <c r="BI180" s="538"/>
      <c r="BJ180" s="538"/>
      <c r="BK180" s="540">
        <v>6.25E-2</v>
      </c>
      <c r="BL180" s="541"/>
      <c r="BM180" s="539"/>
      <c r="BN180" s="539"/>
      <c r="BO180" s="539"/>
      <c r="BP180" s="540">
        <v>6.25E-2</v>
      </c>
      <c r="BQ180" s="539"/>
      <c r="BR180" s="539"/>
      <c r="BS180" s="539"/>
      <c r="BT180" s="539"/>
      <c r="BU180" s="540">
        <v>6.25E-2</v>
      </c>
      <c r="BV180" s="541"/>
      <c r="BW180" s="538"/>
      <c r="BX180" s="538"/>
      <c r="BY180" s="538"/>
      <c r="BZ180" s="540">
        <v>6.25E-2</v>
      </c>
      <c r="CA180" s="541"/>
      <c r="CB180" s="538"/>
      <c r="CC180" s="539"/>
      <c r="CD180" s="538"/>
      <c r="CE180" s="540">
        <v>6.25E-2</v>
      </c>
      <c r="CF180" s="545"/>
      <c r="CG180" s="539"/>
      <c r="CH180" s="539"/>
      <c r="CI180" s="539"/>
      <c r="CJ180" s="540">
        <v>6.25E-2</v>
      </c>
      <c r="CK180" s="545"/>
      <c r="CL180" s="539"/>
      <c r="CM180" s="538"/>
      <c r="CN180" s="538"/>
      <c r="CO180" s="540">
        <f t="shared" si="617"/>
        <v>6.25E-2</v>
      </c>
      <c r="CP180" s="906"/>
      <c r="CQ180" s="538"/>
      <c r="CR180" s="538"/>
      <c r="CS180" s="538"/>
      <c r="CT180" s="540">
        <f t="shared" si="618"/>
        <v>6.25E-2</v>
      </c>
      <c r="CU180" s="541"/>
      <c r="CV180" s="538"/>
      <c r="CW180" s="538"/>
      <c r="CX180" s="538"/>
      <c r="CY180" s="540">
        <f t="shared" si="619"/>
        <v>6.25E-2</v>
      </c>
      <c r="CZ180" s="541"/>
      <c r="DA180" s="539"/>
      <c r="DB180" s="539"/>
      <c r="DC180" s="538"/>
      <c r="DD180" s="540">
        <f t="shared" si="620"/>
        <v>6.25E-2</v>
      </c>
      <c r="DE180" s="545"/>
      <c r="DF180" s="539"/>
      <c r="DG180" s="539"/>
      <c r="DH180" s="539"/>
      <c r="DI180" s="540">
        <f t="shared" si="621"/>
        <v>6.25E-2</v>
      </c>
      <c r="DJ180" s="545"/>
      <c r="DK180" s="539"/>
      <c r="DL180" s="539"/>
      <c r="DM180" s="539"/>
      <c r="DN180" s="540"/>
      <c r="DO180" s="545"/>
      <c r="DP180" s="539"/>
      <c r="DQ180" s="539"/>
      <c r="DR180" s="539"/>
      <c r="DS180" s="540"/>
      <c r="DT180" s="545"/>
      <c r="DU180" s="539"/>
      <c r="DV180" s="539"/>
      <c r="DW180" s="539"/>
      <c r="DX180" s="540"/>
      <c r="DY180" s="545"/>
      <c r="DZ180" s="539"/>
      <c r="EA180" s="539"/>
      <c r="EB180" s="539"/>
      <c r="EC180" s="540"/>
      <c r="ED180" s="537"/>
      <c r="EF180"/>
      <c r="EG180"/>
      <c r="EH180"/>
      <c r="EI180"/>
      <c r="EJ180"/>
      <c r="EK180"/>
      <c r="EL180"/>
      <c r="EM180"/>
      <c r="EN180"/>
      <c r="EO180"/>
      <c r="EP180"/>
      <c r="EQ180"/>
      <c r="ER180"/>
      <c r="ES180"/>
      <c r="ET180"/>
      <c r="EU180"/>
      <c r="EV180"/>
      <c r="EW180"/>
      <c r="EX180"/>
      <c r="EY180"/>
      <c r="EZ180"/>
      <c r="FA180"/>
    </row>
    <row r="181" spans="1:157" s="536" customFormat="1" hidden="1" outlineLevel="1" x14ac:dyDescent="0.2">
      <c r="A181" s="535" t="s">
        <v>339</v>
      </c>
      <c r="V181" s="531"/>
      <c r="AG181" s="538"/>
      <c r="AH181" s="538"/>
      <c r="AI181" s="538"/>
      <c r="AJ181" s="538"/>
      <c r="AK181" s="538"/>
      <c r="AL181" s="540"/>
      <c r="AM181" s="538"/>
      <c r="AN181" s="538"/>
      <c r="AO181" s="538"/>
      <c r="AP181" s="538"/>
      <c r="AQ181" s="540"/>
      <c r="AR181" s="538"/>
      <c r="AS181" s="538"/>
      <c r="AT181" s="538"/>
      <c r="AU181" s="538"/>
      <c r="AV181" s="541"/>
      <c r="AW181" s="541"/>
      <c r="AX181" s="538"/>
      <c r="AY181" s="538"/>
      <c r="AZ181" s="542"/>
      <c r="BA181" s="540"/>
      <c r="BB181" s="541"/>
      <c r="BC181" s="538"/>
      <c r="BD181" s="538"/>
      <c r="BE181" s="538"/>
      <c r="BF181" s="540">
        <v>6.3799999999999996E-2</v>
      </c>
      <c r="BG181" s="541"/>
      <c r="BH181" s="538"/>
      <c r="BI181" s="538"/>
      <c r="BJ181" s="538"/>
      <c r="BK181" s="540">
        <v>6.3799999999999996E-2</v>
      </c>
      <c r="BL181" s="541"/>
      <c r="BM181" s="539"/>
      <c r="BN181" s="539"/>
      <c r="BO181" s="539"/>
      <c r="BP181" s="540">
        <v>6.3799999999999996E-2</v>
      </c>
      <c r="BQ181" s="539"/>
      <c r="BR181" s="539"/>
      <c r="BS181" s="539"/>
      <c r="BT181" s="539"/>
      <c r="BU181" s="540">
        <v>6.3799999999999996E-2</v>
      </c>
      <c r="BV181" s="545"/>
      <c r="BW181" s="539"/>
      <c r="BX181" s="539"/>
      <c r="BY181" s="539"/>
      <c r="BZ181" s="540">
        <v>6.3799999999999996E-2</v>
      </c>
      <c r="CA181" s="545"/>
      <c r="CB181" s="538"/>
      <c r="CC181" s="539"/>
      <c r="CD181" s="538"/>
      <c r="CE181" s="540">
        <v>6.3799999999999996E-2</v>
      </c>
      <c r="CF181" s="545"/>
      <c r="CG181" s="539"/>
      <c r="CH181" s="539"/>
      <c r="CI181" s="539"/>
      <c r="CJ181" s="540">
        <v>6.3600000000000004E-2</v>
      </c>
      <c r="CK181" s="545"/>
      <c r="CL181" s="539"/>
      <c r="CM181" s="538"/>
      <c r="CN181" s="538"/>
      <c r="CO181" s="540">
        <f t="shared" si="617"/>
        <v>6.3600000000000004E-2</v>
      </c>
      <c r="CP181" s="906"/>
      <c r="CQ181" s="538"/>
      <c r="CR181" s="538"/>
      <c r="CS181" s="538"/>
      <c r="CT181" s="540">
        <f t="shared" si="618"/>
        <v>6.3600000000000004E-2</v>
      </c>
      <c r="CU181" s="541"/>
      <c r="CV181" s="538"/>
      <c r="CW181" s="538"/>
      <c r="CX181" s="538"/>
      <c r="CY181" s="540">
        <f t="shared" si="619"/>
        <v>6.3600000000000004E-2</v>
      </c>
      <c r="CZ181" s="541"/>
      <c r="DA181" s="539"/>
      <c r="DB181" s="539"/>
      <c r="DC181" s="538"/>
      <c r="DD181" s="540">
        <f t="shared" si="620"/>
        <v>6.3600000000000004E-2</v>
      </c>
      <c r="DE181" s="545"/>
      <c r="DF181" s="539"/>
      <c r="DG181" s="539"/>
      <c r="DH181" s="539"/>
      <c r="DI181" s="540">
        <f t="shared" si="621"/>
        <v>6.3600000000000004E-2</v>
      </c>
      <c r="DJ181" s="545"/>
      <c r="DK181" s="539"/>
      <c r="DL181" s="539"/>
      <c r="DM181" s="539"/>
      <c r="DN181" s="540"/>
      <c r="DO181" s="545"/>
      <c r="DP181" s="539"/>
      <c r="DQ181" s="539"/>
      <c r="DR181" s="539"/>
      <c r="DS181" s="540"/>
      <c r="DT181" s="545"/>
      <c r="DU181" s="539"/>
      <c r="DV181" s="539"/>
      <c r="DW181" s="539"/>
      <c r="DX181" s="540"/>
      <c r="DY181" s="545"/>
      <c r="DZ181" s="539"/>
      <c r="EA181" s="539"/>
      <c r="EB181" s="539"/>
      <c r="EC181" s="540"/>
      <c r="ED181" s="537"/>
      <c r="EF181"/>
      <c r="EG181"/>
      <c r="EH181"/>
      <c r="EI181"/>
      <c r="EJ181"/>
      <c r="EK181"/>
      <c r="EL181"/>
      <c r="EM181"/>
      <c r="EN181"/>
      <c r="EO181"/>
      <c r="EP181"/>
      <c r="EQ181"/>
      <c r="ER181"/>
      <c r="ES181"/>
      <c r="ET181"/>
      <c r="EU181"/>
      <c r="EV181"/>
      <c r="EW181"/>
      <c r="EX181"/>
      <c r="EY181"/>
      <c r="EZ181"/>
      <c r="FA181"/>
    </row>
    <row r="182" spans="1:157" s="172" customFormat="1" hidden="1" outlineLevel="1" x14ac:dyDescent="0.2">
      <c r="A182" s="534">
        <v>50345</v>
      </c>
      <c r="V182" s="173"/>
      <c r="AL182" s="194"/>
      <c r="AM182" s="196"/>
      <c r="AN182" s="196"/>
      <c r="AO182" s="196"/>
      <c r="AP182" s="196"/>
      <c r="AQ182" s="194"/>
      <c r="AR182" s="196"/>
      <c r="AS182" s="196"/>
      <c r="AT182" s="196"/>
      <c r="AU182" s="196"/>
      <c r="AV182" s="195"/>
      <c r="AW182" s="195"/>
      <c r="AX182" s="196"/>
      <c r="AY182" s="196"/>
      <c r="AZ182" s="197"/>
      <c r="BA182" s="194"/>
      <c r="BB182" s="195"/>
      <c r="BC182" s="196"/>
      <c r="BD182" s="196"/>
      <c r="BE182" s="196"/>
      <c r="BF182" s="194">
        <v>600</v>
      </c>
      <c r="BG182" s="195"/>
      <c r="BH182" s="196"/>
      <c r="BI182" s="196"/>
      <c r="BJ182" s="196"/>
      <c r="BK182" s="194">
        <v>600</v>
      </c>
      <c r="BL182" s="195"/>
      <c r="BM182" s="199"/>
      <c r="BN182" s="199"/>
      <c r="BO182" s="199"/>
      <c r="BP182" s="194">
        <v>600</v>
      </c>
      <c r="BQ182" s="199"/>
      <c r="BR182" s="199"/>
      <c r="BS182" s="199"/>
      <c r="BT182" s="199"/>
      <c r="BU182" s="194">
        <v>600</v>
      </c>
      <c r="BV182" s="198"/>
      <c r="BW182" s="199"/>
      <c r="BX182" s="199"/>
      <c r="BY182" s="199"/>
      <c r="BZ182" s="194">
        <v>600</v>
      </c>
      <c r="CA182" s="198"/>
      <c r="CB182" s="196"/>
      <c r="CC182" s="199"/>
      <c r="CD182" s="196"/>
      <c r="CE182" s="194">
        <v>600</v>
      </c>
      <c r="CF182" s="198"/>
      <c r="CG182" s="199"/>
      <c r="CH182" s="199"/>
      <c r="CI182" s="199"/>
      <c r="CJ182" s="194">
        <v>325</v>
      </c>
      <c r="CK182" s="198"/>
      <c r="CL182" s="199"/>
      <c r="CM182" s="196"/>
      <c r="CN182" s="196"/>
      <c r="CO182" s="194">
        <f t="shared" si="617"/>
        <v>325</v>
      </c>
      <c r="CP182" s="905"/>
      <c r="CQ182" s="196"/>
      <c r="CR182" s="196"/>
      <c r="CS182" s="196"/>
      <c r="CT182" s="194">
        <f t="shared" si="618"/>
        <v>325</v>
      </c>
      <c r="CU182" s="195"/>
      <c r="CV182" s="196"/>
      <c r="CW182" s="196"/>
      <c r="CX182" s="196"/>
      <c r="CY182" s="194">
        <f t="shared" si="619"/>
        <v>325</v>
      </c>
      <c r="CZ182" s="195"/>
      <c r="DA182" s="199"/>
      <c r="DB182" s="199"/>
      <c r="DC182" s="196"/>
      <c r="DD182" s="194">
        <f t="shared" si="620"/>
        <v>325</v>
      </c>
      <c r="DE182" s="198"/>
      <c r="DF182" s="199"/>
      <c r="DG182" s="199"/>
      <c r="DH182" s="199"/>
      <c r="DI182" s="194">
        <f t="shared" si="621"/>
        <v>325</v>
      </c>
      <c r="DJ182" s="198"/>
      <c r="DK182" s="199"/>
      <c r="DL182" s="199"/>
      <c r="DM182" s="199"/>
      <c r="DN182" s="194">
        <f t="shared" ref="DN182:DN205" si="622">DI182</f>
        <v>325</v>
      </c>
      <c r="DO182" s="198"/>
      <c r="DP182" s="199"/>
      <c r="DQ182" s="199"/>
      <c r="DR182" s="199"/>
      <c r="DS182" s="194">
        <f t="shared" ref="DS182:DS205" si="623">DN182</f>
        <v>325</v>
      </c>
      <c r="DT182" s="198"/>
      <c r="DU182" s="199"/>
      <c r="DV182" s="199"/>
      <c r="DW182" s="199"/>
      <c r="DX182" s="194">
        <f t="shared" ref="DX182:DX184" si="624">DS182</f>
        <v>325</v>
      </c>
      <c r="DY182" s="198"/>
      <c r="DZ182" s="199"/>
      <c r="EA182" s="199"/>
      <c r="EB182" s="199"/>
      <c r="EC182" s="194">
        <f t="shared" ref="EC182:EC184" si="625">DX182</f>
        <v>325</v>
      </c>
      <c r="EF182"/>
      <c r="EG182"/>
      <c r="EH182"/>
      <c r="EI182"/>
      <c r="EJ182"/>
      <c r="EK182"/>
      <c r="EL182"/>
      <c r="EM182"/>
      <c r="EN182"/>
      <c r="EO182"/>
      <c r="EP182"/>
      <c r="EQ182"/>
      <c r="ER182"/>
      <c r="ES182"/>
      <c r="ET182"/>
      <c r="EU182"/>
      <c r="EV182"/>
      <c r="EW182"/>
      <c r="EX182"/>
      <c r="EY182"/>
      <c r="EZ182"/>
      <c r="FA182"/>
    </row>
    <row r="183" spans="1:157" s="536" customFormat="1" hidden="1" outlineLevel="1" x14ac:dyDescent="0.2">
      <c r="A183" s="535" t="s">
        <v>338</v>
      </c>
      <c r="V183" s="531"/>
      <c r="AG183" s="538"/>
      <c r="AH183" s="538"/>
      <c r="AI183" s="538"/>
      <c r="AJ183" s="538"/>
      <c r="AK183" s="538"/>
      <c r="AL183" s="540"/>
      <c r="AM183" s="538"/>
      <c r="AN183" s="538"/>
      <c r="AO183" s="538"/>
      <c r="AP183" s="538"/>
      <c r="AQ183" s="540"/>
      <c r="AR183" s="538"/>
      <c r="AS183" s="538"/>
      <c r="AT183" s="538"/>
      <c r="AU183" s="538"/>
      <c r="AV183" s="541"/>
      <c r="AW183" s="541"/>
      <c r="AX183" s="538"/>
      <c r="AY183" s="538"/>
      <c r="AZ183" s="542"/>
      <c r="BA183" s="540"/>
      <c r="BB183" s="541"/>
      <c r="BC183" s="538"/>
      <c r="BD183" s="538"/>
      <c r="BE183" s="538"/>
      <c r="BF183" s="540">
        <v>6.88E-2</v>
      </c>
      <c r="BG183" s="541"/>
      <c r="BH183" s="538"/>
      <c r="BI183" s="538"/>
      <c r="BJ183" s="538"/>
      <c r="BK183" s="540">
        <v>6.88E-2</v>
      </c>
      <c r="BL183" s="541"/>
      <c r="BM183" s="539"/>
      <c r="BN183" s="539"/>
      <c r="BO183" s="539"/>
      <c r="BP183" s="540">
        <v>6.88E-2</v>
      </c>
      <c r="BQ183" s="539"/>
      <c r="BR183" s="539"/>
      <c r="BS183" s="539"/>
      <c r="BT183" s="539"/>
      <c r="BU183" s="540">
        <v>6.88E-2</v>
      </c>
      <c r="BV183" s="545"/>
      <c r="BW183" s="539"/>
      <c r="BX183" s="539"/>
      <c r="BY183" s="539"/>
      <c r="BZ183" s="540">
        <v>6.88E-2</v>
      </c>
      <c r="CA183" s="545"/>
      <c r="CB183" s="538"/>
      <c r="CC183" s="539"/>
      <c r="CD183" s="538"/>
      <c r="CE183" s="540">
        <v>6.88E-2</v>
      </c>
      <c r="CF183" s="545"/>
      <c r="CG183" s="539"/>
      <c r="CH183" s="539"/>
      <c r="CI183" s="539"/>
      <c r="CJ183" s="540">
        <v>6.88E-2</v>
      </c>
      <c r="CK183" s="545"/>
      <c r="CL183" s="539"/>
      <c r="CM183" s="538"/>
      <c r="CN183" s="538"/>
      <c r="CO183" s="540">
        <f t="shared" si="617"/>
        <v>6.88E-2</v>
      </c>
      <c r="CP183" s="906"/>
      <c r="CQ183" s="538"/>
      <c r="CR183" s="538"/>
      <c r="CS183" s="538"/>
      <c r="CT183" s="540">
        <f t="shared" si="618"/>
        <v>6.88E-2</v>
      </c>
      <c r="CU183" s="541"/>
      <c r="CV183" s="538"/>
      <c r="CW183" s="538"/>
      <c r="CX183" s="538"/>
      <c r="CY183" s="540">
        <f t="shared" si="619"/>
        <v>6.88E-2</v>
      </c>
      <c r="CZ183" s="541"/>
      <c r="DA183" s="539"/>
      <c r="DB183" s="539"/>
      <c r="DC183" s="538"/>
      <c r="DD183" s="540">
        <f t="shared" si="620"/>
        <v>6.88E-2</v>
      </c>
      <c r="DE183" s="545"/>
      <c r="DF183" s="539"/>
      <c r="DG183" s="539"/>
      <c r="DH183" s="539"/>
      <c r="DI183" s="540">
        <f t="shared" si="621"/>
        <v>6.88E-2</v>
      </c>
      <c r="DJ183" s="545"/>
      <c r="DK183" s="539"/>
      <c r="DL183" s="539"/>
      <c r="DM183" s="539"/>
      <c r="DN183" s="540">
        <f t="shared" si="622"/>
        <v>6.88E-2</v>
      </c>
      <c r="DO183" s="545"/>
      <c r="DP183" s="539"/>
      <c r="DQ183" s="539"/>
      <c r="DR183" s="539"/>
      <c r="DS183" s="540">
        <f t="shared" si="623"/>
        <v>6.88E-2</v>
      </c>
      <c r="DT183" s="545"/>
      <c r="DU183" s="539"/>
      <c r="DV183" s="539"/>
      <c r="DW183" s="539"/>
      <c r="DX183" s="540">
        <f t="shared" si="624"/>
        <v>6.88E-2</v>
      </c>
      <c r="DY183" s="545"/>
      <c r="DZ183" s="539"/>
      <c r="EA183" s="539"/>
      <c r="EB183" s="539"/>
      <c r="EC183" s="540">
        <f t="shared" si="625"/>
        <v>6.88E-2</v>
      </c>
      <c r="ED183" s="537"/>
      <c r="EF183"/>
      <c r="EG183"/>
      <c r="EH183"/>
      <c r="EI183"/>
      <c r="EJ183"/>
      <c r="EK183"/>
      <c r="EL183"/>
      <c r="EM183"/>
      <c r="EN183"/>
      <c r="EO183"/>
      <c r="EP183"/>
      <c r="EQ183"/>
      <c r="ER183"/>
      <c r="ES183"/>
      <c r="ET183"/>
      <c r="EU183"/>
      <c r="EV183"/>
      <c r="EW183"/>
      <c r="EX183"/>
      <c r="EY183"/>
      <c r="EZ183"/>
      <c r="FA183"/>
    </row>
    <row r="184" spans="1:157" s="536" customFormat="1" hidden="1" outlineLevel="1" x14ac:dyDescent="0.2">
      <c r="A184" s="535" t="s">
        <v>339</v>
      </c>
      <c r="V184" s="531"/>
      <c r="AG184" s="538"/>
      <c r="AH184" s="538"/>
      <c r="AI184" s="538"/>
      <c r="AJ184" s="538"/>
      <c r="AK184" s="538"/>
      <c r="AL184" s="540"/>
      <c r="AM184" s="538"/>
      <c r="AN184" s="538"/>
      <c r="AO184" s="538"/>
      <c r="AP184" s="538"/>
      <c r="AQ184" s="540"/>
      <c r="AR184" s="538"/>
      <c r="AS184" s="538"/>
      <c r="AT184" s="538"/>
      <c r="AU184" s="538"/>
      <c r="AV184" s="541"/>
      <c r="AW184" s="541"/>
      <c r="AX184" s="538"/>
      <c r="AY184" s="538"/>
      <c r="AZ184" s="542"/>
      <c r="BA184" s="540"/>
      <c r="BB184" s="541"/>
      <c r="BC184" s="538"/>
      <c r="BD184" s="538"/>
      <c r="BE184" s="538"/>
      <c r="BF184" s="540">
        <v>7.2900000000000006E-2</v>
      </c>
      <c r="BG184" s="541"/>
      <c r="BH184" s="538"/>
      <c r="BI184" s="538"/>
      <c r="BJ184" s="538"/>
      <c r="BK184" s="540">
        <v>7.2900000000000006E-2</v>
      </c>
      <c r="BL184" s="541"/>
      <c r="BM184" s="539"/>
      <c r="BN184" s="539"/>
      <c r="BO184" s="539"/>
      <c r="BP184" s="540">
        <v>7.2900000000000006E-2</v>
      </c>
      <c r="BQ184" s="539"/>
      <c r="BR184" s="539"/>
      <c r="BS184" s="539"/>
      <c r="BT184" s="539"/>
      <c r="BU184" s="540">
        <v>7.2900000000000006E-2</v>
      </c>
      <c r="BV184" s="545"/>
      <c r="BW184" s="539"/>
      <c r="BX184" s="539"/>
      <c r="BY184" s="539"/>
      <c r="BZ184" s="540">
        <v>7.2900000000000006E-2</v>
      </c>
      <c r="CA184" s="545"/>
      <c r="CB184" s="538"/>
      <c r="CC184" s="539"/>
      <c r="CD184" s="538"/>
      <c r="CE184" s="540">
        <v>7.2900000000000006E-2</v>
      </c>
      <c r="CF184" s="545"/>
      <c r="CG184" s="539"/>
      <c r="CH184" s="539"/>
      <c r="CI184" s="539"/>
      <c r="CJ184" s="540">
        <v>7.4499999999999997E-2</v>
      </c>
      <c r="CK184" s="545"/>
      <c r="CL184" s="539"/>
      <c r="CM184" s="538"/>
      <c r="CN184" s="538"/>
      <c r="CO184" s="540">
        <f t="shared" si="617"/>
        <v>7.4499999999999997E-2</v>
      </c>
      <c r="CP184" s="906"/>
      <c r="CQ184" s="538"/>
      <c r="CR184" s="538"/>
      <c r="CS184" s="538"/>
      <c r="CT184" s="540">
        <f t="shared" si="618"/>
        <v>7.4499999999999997E-2</v>
      </c>
      <c r="CU184" s="541"/>
      <c r="CV184" s="538"/>
      <c r="CW184" s="538"/>
      <c r="CX184" s="538"/>
      <c r="CY184" s="540">
        <f t="shared" si="619"/>
        <v>7.4499999999999997E-2</v>
      </c>
      <c r="CZ184" s="541"/>
      <c r="DA184" s="539"/>
      <c r="DB184" s="539"/>
      <c r="DC184" s="538"/>
      <c r="DD184" s="540">
        <f t="shared" si="620"/>
        <v>7.4499999999999997E-2</v>
      </c>
      <c r="DE184" s="545"/>
      <c r="DF184" s="539"/>
      <c r="DG184" s="539"/>
      <c r="DH184" s="539"/>
      <c r="DI184" s="540">
        <f t="shared" si="621"/>
        <v>7.4499999999999997E-2</v>
      </c>
      <c r="DJ184" s="545"/>
      <c r="DK184" s="539"/>
      <c r="DL184" s="539"/>
      <c r="DM184" s="539"/>
      <c r="DN184" s="540">
        <f t="shared" si="622"/>
        <v>7.4499999999999997E-2</v>
      </c>
      <c r="DO184" s="545"/>
      <c r="DP184" s="539"/>
      <c r="DQ184" s="539"/>
      <c r="DR184" s="539"/>
      <c r="DS184" s="540">
        <f t="shared" si="623"/>
        <v>7.4499999999999997E-2</v>
      </c>
      <c r="DT184" s="545"/>
      <c r="DU184" s="539"/>
      <c r="DV184" s="539"/>
      <c r="DW184" s="539"/>
      <c r="DX184" s="540">
        <f t="shared" si="624"/>
        <v>7.4499999999999997E-2</v>
      </c>
      <c r="DY184" s="545"/>
      <c r="DZ184" s="539"/>
      <c r="EA184" s="539"/>
      <c r="EB184" s="539"/>
      <c r="EC184" s="540">
        <f t="shared" si="625"/>
        <v>7.4499999999999997E-2</v>
      </c>
      <c r="ED184" s="537"/>
      <c r="EF184"/>
      <c r="EG184"/>
      <c r="EH184"/>
      <c r="EI184"/>
      <c r="EJ184"/>
      <c r="EK184"/>
      <c r="EL184"/>
      <c r="EM184"/>
      <c r="EN184"/>
      <c r="EO184"/>
      <c r="EP184"/>
      <c r="EQ184"/>
      <c r="ER184"/>
      <c r="ES184"/>
      <c r="ET184"/>
      <c r="EU184"/>
      <c r="EV184"/>
      <c r="EW184"/>
      <c r="EX184"/>
      <c r="EY184"/>
      <c r="EZ184"/>
      <c r="FA184"/>
    </row>
    <row r="185" spans="1:157" s="536" customFormat="1" hidden="1" outlineLevel="1" x14ac:dyDescent="0.2">
      <c r="A185" s="534">
        <v>42248</v>
      </c>
      <c r="V185" s="531"/>
      <c r="AG185" s="538"/>
      <c r="AH185" s="538"/>
      <c r="AI185" s="538"/>
      <c r="AJ185" s="538"/>
      <c r="AK185" s="538"/>
      <c r="AL185" s="540"/>
      <c r="AM185" s="538"/>
      <c r="AN185" s="538"/>
      <c r="AO185" s="538"/>
      <c r="AP185" s="538"/>
      <c r="AQ185" s="540"/>
      <c r="AR185" s="538"/>
      <c r="AS185" s="538"/>
      <c r="AT185" s="538"/>
      <c r="AU185" s="538"/>
      <c r="AV185" s="541"/>
      <c r="AW185" s="541"/>
      <c r="AX185" s="538"/>
      <c r="AY185" s="538"/>
      <c r="AZ185" s="542"/>
      <c r="BA185" s="540"/>
      <c r="BB185" s="541"/>
      <c r="BC185" s="538"/>
      <c r="BD185" s="538"/>
      <c r="BE185" s="538"/>
      <c r="BF185" s="540"/>
      <c r="BG185" s="541"/>
      <c r="BH185" s="538"/>
      <c r="BI185" s="538"/>
      <c r="BJ185" s="538"/>
      <c r="BK185" s="540"/>
      <c r="BL185" s="541"/>
      <c r="BM185" s="539"/>
      <c r="BN185" s="539"/>
      <c r="BO185" s="539"/>
      <c r="BP185" s="540"/>
      <c r="BQ185" s="539"/>
      <c r="BR185" s="539"/>
      <c r="BS185" s="539"/>
      <c r="BT185" s="539"/>
      <c r="BU185" s="540"/>
      <c r="BV185" s="545"/>
      <c r="BW185" s="539"/>
      <c r="BX185" s="539"/>
      <c r="BY185" s="539"/>
      <c r="BZ185" s="540"/>
      <c r="CA185" s="545"/>
      <c r="CB185" s="538"/>
      <c r="CC185" s="539"/>
      <c r="CD185" s="538"/>
      <c r="CE185" s="540"/>
      <c r="CF185" s="545"/>
      <c r="CG185" s="539"/>
      <c r="CH185" s="539"/>
      <c r="CI185" s="539"/>
      <c r="CJ185" s="194">
        <v>250</v>
      </c>
      <c r="CK185" s="545"/>
      <c r="CL185" s="539"/>
      <c r="CM185" s="538"/>
      <c r="CN185" s="538"/>
      <c r="CO185" s="194">
        <f t="shared" si="617"/>
        <v>250</v>
      </c>
      <c r="CP185" s="906"/>
      <c r="CQ185" s="538"/>
      <c r="CR185" s="538"/>
      <c r="CS185" s="538"/>
      <c r="CT185" s="194"/>
      <c r="CU185" s="541"/>
      <c r="CV185" s="538"/>
      <c r="CW185" s="538"/>
      <c r="CX185" s="538"/>
      <c r="CY185" s="194"/>
      <c r="CZ185" s="541"/>
      <c r="DA185" s="539"/>
      <c r="DB185" s="539"/>
      <c r="DC185" s="538"/>
      <c r="DD185" s="194"/>
      <c r="DE185" s="545"/>
      <c r="DF185" s="539"/>
      <c r="DG185" s="539"/>
      <c r="DH185" s="539"/>
      <c r="DI185" s="194"/>
      <c r="DJ185" s="545"/>
      <c r="DK185" s="539"/>
      <c r="DL185" s="539"/>
      <c r="DM185" s="539"/>
      <c r="DN185" s="194"/>
      <c r="DO185" s="545"/>
      <c r="DP185" s="539"/>
      <c r="DQ185" s="539"/>
      <c r="DR185" s="539"/>
      <c r="DS185" s="194"/>
      <c r="DT185" s="545"/>
      <c r="DU185" s="539"/>
      <c r="DV185" s="539"/>
      <c r="DW185" s="539"/>
      <c r="DX185" s="194"/>
      <c r="DY185" s="545"/>
      <c r="DZ185" s="539"/>
      <c r="EA185" s="539"/>
      <c r="EB185" s="539"/>
      <c r="EC185" s="194"/>
      <c r="ED185" s="537"/>
      <c r="EF185"/>
      <c r="EG185"/>
      <c r="EH185"/>
      <c r="EI185"/>
      <c r="EJ185"/>
      <c r="EK185"/>
      <c r="EL185"/>
      <c r="EM185"/>
      <c r="EN185"/>
      <c r="EO185"/>
      <c r="EP185"/>
      <c r="EQ185"/>
      <c r="ER185"/>
      <c r="ES185"/>
      <c r="ET185"/>
      <c r="EU185"/>
      <c r="EV185"/>
      <c r="EW185"/>
      <c r="EX185"/>
      <c r="EY185"/>
      <c r="EZ185"/>
      <c r="FA185"/>
    </row>
    <row r="186" spans="1:157" s="536" customFormat="1" hidden="1" outlineLevel="1" x14ac:dyDescent="0.2">
      <c r="A186" s="535" t="s">
        <v>338</v>
      </c>
      <c r="V186" s="531"/>
      <c r="AG186" s="538"/>
      <c r="AH186" s="538"/>
      <c r="AI186" s="538"/>
      <c r="AJ186" s="538"/>
      <c r="AK186" s="538"/>
      <c r="AL186" s="540"/>
      <c r="AM186" s="538"/>
      <c r="AN186" s="538"/>
      <c r="AO186" s="538"/>
      <c r="AP186" s="538"/>
      <c r="AQ186" s="540"/>
      <c r="AR186" s="538"/>
      <c r="AS186" s="538"/>
      <c r="AT186" s="538"/>
      <c r="AU186" s="538"/>
      <c r="AV186" s="541"/>
      <c r="AW186" s="541"/>
      <c r="AX186" s="538"/>
      <c r="AY186" s="538"/>
      <c r="AZ186" s="542"/>
      <c r="BA186" s="540"/>
      <c r="BB186" s="541"/>
      <c r="BC186" s="538"/>
      <c r="BD186" s="538"/>
      <c r="BE186" s="538"/>
      <c r="BF186" s="540"/>
      <c r="BG186" s="541"/>
      <c r="BH186" s="538"/>
      <c r="BI186" s="538"/>
      <c r="BJ186" s="538"/>
      <c r="BK186" s="540"/>
      <c r="BL186" s="541"/>
      <c r="BM186" s="539"/>
      <c r="BN186" s="539"/>
      <c r="BO186" s="539"/>
      <c r="BP186" s="540"/>
      <c r="BQ186" s="539"/>
      <c r="BR186" s="539"/>
      <c r="BS186" s="539"/>
      <c r="BT186" s="539"/>
      <c r="BU186" s="540"/>
      <c r="BV186" s="545"/>
      <c r="BW186" s="539"/>
      <c r="BX186" s="539"/>
      <c r="BY186" s="539"/>
      <c r="BZ186" s="540"/>
      <c r="CA186" s="545"/>
      <c r="CB186" s="538"/>
      <c r="CC186" s="539"/>
      <c r="CD186" s="538"/>
      <c r="CE186" s="540"/>
      <c r="CF186" s="545"/>
      <c r="CG186" s="539"/>
      <c r="CH186" s="539"/>
      <c r="CI186" s="539"/>
      <c r="CJ186" s="540">
        <v>4.2500000000000003E-2</v>
      </c>
      <c r="CK186" s="545"/>
      <c r="CL186" s="539"/>
      <c r="CM186" s="538"/>
      <c r="CN186" s="538"/>
      <c r="CO186" s="540">
        <f t="shared" si="617"/>
        <v>4.2500000000000003E-2</v>
      </c>
      <c r="CP186" s="906"/>
      <c r="CQ186" s="538"/>
      <c r="CR186" s="538"/>
      <c r="CS186" s="538"/>
      <c r="CT186" s="540"/>
      <c r="CU186" s="541"/>
      <c r="CV186" s="538"/>
      <c r="CW186" s="538"/>
      <c r="CX186" s="538"/>
      <c r="CY186" s="540"/>
      <c r="CZ186" s="541"/>
      <c r="DA186" s="539"/>
      <c r="DB186" s="539"/>
      <c r="DC186" s="538"/>
      <c r="DD186" s="540"/>
      <c r="DE186" s="545"/>
      <c r="DF186" s="539"/>
      <c r="DG186" s="539"/>
      <c r="DH186" s="539"/>
      <c r="DI186" s="540"/>
      <c r="DJ186" s="545"/>
      <c r="DK186" s="539"/>
      <c r="DL186" s="539"/>
      <c r="DM186" s="539"/>
      <c r="DN186" s="540"/>
      <c r="DO186" s="545"/>
      <c r="DP186" s="539"/>
      <c r="DQ186" s="539"/>
      <c r="DR186" s="539"/>
      <c r="DS186" s="540"/>
      <c r="DT186" s="545"/>
      <c r="DU186" s="539"/>
      <c r="DV186" s="539"/>
      <c r="DW186" s="539"/>
      <c r="DX186" s="540"/>
      <c r="DY186" s="545"/>
      <c r="DZ186" s="539"/>
      <c r="EA186" s="539"/>
      <c r="EB186" s="539"/>
      <c r="EC186" s="540"/>
      <c r="ED186" s="537"/>
      <c r="EF186"/>
      <c r="EG186"/>
      <c r="EH186"/>
      <c r="EI186"/>
      <c r="EJ186"/>
      <c r="EK186"/>
      <c r="EL186"/>
      <c r="EM186"/>
      <c r="EN186"/>
      <c r="EO186"/>
      <c r="EP186"/>
      <c r="EQ186"/>
      <c r="ER186"/>
      <c r="ES186"/>
      <c r="ET186"/>
      <c r="EU186"/>
      <c r="EV186"/>
      <c r="EW186"/>
      <c r="EX186"/>
      <c r="EY186"/>
      <c r="EZ186"/>
      <c r="FA186"/>
    </row>
    <row r="187" spans="1:157" s="172" customFormat="1" hidden="1" outlineLevel="1" x14ac:dyDescent="0.2">
      <c r="A187" s="535" t="s">
        <v>339</v>
      </c>
      <c r="V187" s="173"/>
      <c r="AL187" s="194"/>
      <c r="AM187" s="196"/>
      <c r="AN187" s="196"/>
      <c r="AO187" s="196"/>
      <c r="AP187" s="196"/>
      <c r="AQ187" s="194"/>
      <c r="AR187" s="196"/>
      <c r="AS187" s="196"/>
      <c r="AT187" s="196"/>
      <c r="AU187" s="196"/>
      <c r="AV187" s="195"/>
      <c r="AW187" s="195"/>
      <c r="AX187" s="196"/>
      <c r="AY187" s="196"/>
      <c r="AZ187" s="197"/>
      <c r="BA187" s="194"/>
      <c r="BB187" s="195"/>
      <c r="BC187" s="196"/>
      <c r="BD187" s="196"/>
      <c r="BE187" s="196"/>
      <c r="BF187" s="194">
        <f>BF167+BF170+BF173+BF176+BF179+BF182</f>
        <v>2800</v>
      </c>
      <c r="BG187" s="195"/>
      <c r="BH187" s="196"/>
      <c r="BI187" s="196"/>
      <c r="BJ187" s="196"/>
      <c r="BK187" s="194">
        <f>BK167+BK170+BK173+BK176+BK179+BK182</f>
        <v>2550</v>
      </c>
      <c r="BL187" s="195"/>
      <c r="BM187" s="199"/>
      <c r="BN187" s="199"/>
      <c r="BO187" s="199"/>
      <c r="BP187" s="194">
        <f>BP167+BP170+BP173+BP176+BP179+BP182</f>
        <v>2550</v>
      </c>
      <c r="BQ187" s="199"/>
      <c r="BR187" s="199"/>
      <c r="BS187" s="199"/>
      <c r="BT187" s="199"/>
      <c r="BU187" s="194">
        <f>BU167+BU170+BU173+BU176+BU179+BU182</f>
        <v>2550</v>
      </c>
      <c r="BV187" s="198"/>
      <c r="BW187" s="199"/>
      <c r="BX187" s="199"/>
      <c r="BY187" s="199"/>
      <c r="BZ187" s="194">
        <f>BZ167+BZ170+BZ173+BZ176+BZ179+BZ182</f>
        <v>1900</v>
      </c>
      <c r="CA187" s="198"/>
      <c r="CB187" s="196"/>
      <c r="CC187" s="199"/>
      <c r="CD187" s="196"/>
      <c r="CE187" s="194">
        <f>CE167+CE170+CE173+CE176+CE179+CE182</f>
        <v>1500</v>
      </c>
      <c r="CF187" s="198"/>
      <c r="CG187" s="199"/>
      <c r="CH187" s="199"/>
      <c r="CI187" s="199"/>
      <c r="CJ187" s="540">
        <v>4.4400000000000002E-2</v>
      </c>
      <c r="CK187" s="198"/>
      <c r="CL187" s="199"/>
      <c r="CM187" s="196"/>
      <c r="CN187" s="196"/>
      <c r="CO187" s="540">
        <f t="shared" si="617"/>
        <v>4.4400000000000002E-2</v>
      </c>
      <c r="CP187" s="905"/>
      <c r="CQ187" s="196"/>
      <c r="CR187" s="196"/>
      <c r="CS187" s="196"/>
      <c r="CT187" s="540"/>
      <c r="CU187" s="195"/>
      <c r="CV187" s="196"/>
      <c r="CW187" s="196"/>
      <c r="CX187" s="196"/>
      <c r="CY187" s="540"/>
      <c r="CZ187" s="195"/>
      <c r="DA187" s="199"/>
      <c r="DB187" s="199"/>
      <c r="DC187" s="196"/>
      <c r="DD187" s="540"/>
      <c r="DE187" s="198"/>
      <c r="DF187" s="199"/>
      <c r="DG187" s="199"/>
      <c r="DH187" s="199"/>
      <c r="DI187" s="540"/>
      <c r="DJ187" s="198"/>
      <c r="DK187" s="199"/>
      <c r="DL187" s="199"/>
      <c r="DM187" s="199"/>
      <c r="DN187" s="540"/>
      <c r="DO187" s="198"/>
      <c r="DP187" s="199"/>
      <c r="DQ187" s="199"/>
      <c r="DR187" s="199"/>
      <c r="DS187" s="540"/>
      <c r="DT187" s="198"/>
      <c r="DU187" s="199"/>
      <c r="DV187" s="199"/>
      <c r="DW187" s="199"/>
      <c r="DX187" s="540"/>
      <c r="DY187" s="198"/>
      <c r="DZ187" s="199"/>
      <c r="EA187" s="199"/>
      <c r="EB187" s="199"/>
      <c r="EC187" s="540"/>
      <c r="EF187"/>
      <c r="EG187"/>
      <c r="EH187"/>
      <c r="EI187"/>
      <c r="EJ187"/>
      <c r="EK187"/>
      <c r="EL187"/>
      <c r="EM187"/>
      <c r="EN187"/>
      <c r="EO187"/>
      <c r="EP187"/>
      <c r="EQ187"/>
      <c r="ER187"/>
      <c r="ES187"/>
      <c r="ET187"/>
      <c r="EU187"/>
      <c r="EV187"/>
      <c r="EW187"/>
      <c r="EX187"/>
      <c r="EY187"/>
      <c r="EZ187"/>
      <c r="FA187"/>
    </row>
    <row r="188" spans="1:157" s="536" customFormat="1" hidden="1" outlineLevel="1" x14ac:dyDescent="0.2">
      <c r="A188" s="534">
        <v>43709</v>
      </c>
      <c r="V188" s="531"/>
      <c r="AG188" s="538"/>
      <c r="AH188" s="538"/>
      <c r="AI188" s="538"/>
      <c r="AJ188" s="538"/>
      <c r="AK188" s="538"/>
      <c r="AL188" s="540"/>
      <c r="AM188" s="538"/>
      <c r="AN188" s="538"/>
      <c r="AO188" s="538"/>
      <c r="AP188" s="538"/>
      <c r="AQ188" s="540"/>
      <c r="AR188" s="538"/>
      <c r="AS188" s="538"/>
      <c r="AT188" s="538"/>
      <c r="AU188" s="538"/>
      <c r="AV188" s="541"/>
      <c r="AW188" s="541"/>
      <c r="AX188" s="538"/>
      <c r="AY188" s="538"/>
      <c r="AZ188" s="542"/>
      <c r="BA188" s="540"/>
      <c r="BB188" s="541"/>
      <c r="BC188" s="538"/>
      <c r="BD188" s="538"/>
      <c r="BE188" s="538"/>
      <c r="BF188" s="540"/>
      <c r="BG188" s="541"/>
      <c r="BH188" s="538"/>
      <c r="BI188" s="538"/>
      <c r="BJ188" s="538"/>
      <c r="BK188" s="540"/>
      <c r="BL188" s="541"/>
      <c r="BM188" s="539"/>
      <c r="BN188" s="539"/>
      <c r="BO188" s="539"/>
      <c r="BP188" s="540"/>
      <c r="BQ188" s="539"/>
      <c r="BR188" s="539"/>
      <c r="BS188" s="539"/>
      <c r="BT188" s="539"/>
      <c r="BU188" s="540"/>
      <c r="BV188" s="545"/>
      <c r="BW188" s="539"/>
      <c r="BX188" s="539"/>
      <c r="BY188" s="539"/>
      <c r="BZ188" s="540"/>
      <c r="CA188" s="545"/>
      <c r="CB188" s="538"/>
      <c r="CC188" s="539"/>
      <c r="CD188" s="538"/>
      <c r="CE188" s="540"/>
      <c r="CF188" s="545"/>
      <c r="CG188" s="539"/>
      <c r="CH188" s="539"/>
      <c r="CI188" s="539"/>
      <c r="CJ188" s="194">
        <v>250</v>
      </c>
      <c r="CK188" s="545"/>
      <c r="CL188" s="539"/>
      <c r="CM188" s="538"/>
      <c r="CN188" s="538"/>
      <c r="CO188" s="194">
        <f t="shared" si="617"/>
        <v>250</v>
      </c>
      <c r="CP188" s="906"/>
      <c r="CQ188" s="538"/>
      <c r="CR188" s="538"/>
      <c r="CS188" s="538"/>
      <c r="CT188" s="194">
        <f t="shared" si="618"/>
        <v>250</v>
      </c>
      <c r="CU188" s="541"/>
      <c r="CV188" s="538"/>
      <c r="CW188" s="538"/>
      <c r="CX188" s="538"/>
      <c r="CY188" s="194">
        <f t="shared" si="619"/>
        <v>250</v>
      </c>
      <c r="CZ188" s="541"/>
      <c r="DA188" s="539"/>
      <c r="DB188" s="539"/>
      <c r="DC188" s="538"/>
      <c r="DD188" s="194">
        <f t="shared" si="620"/>
        <v>250</v>
      </c>
      <c r="DE188" s="545"/>
      <c r="DF188" s="539"/>
      <c r="DG188" s="539"/>
      <c r="DH188" s="539"/>
      <c r="DI188" s="194">
        <f t="shared" ref="DI188:DI196" si="626">DD188</f>
        <v>250</v>
      </c>
      <c r="DJ188" s="545"/>
      <c r="DK188" s="539"/>
      <c r="DL188" s="539"/>
      <c r="DM188" s="539"/>
      <c r="DN188" s="194">
        <f t="shared" si="622"/>
        <v>250</v>
      </c>
      <c r="DO188" s="545"/>
      <c r="DP188" s="539"/>
      <c r="DQ188" s="539"/>
      <c r="DR188" s="539"/>
      <c r="DS188" s="194">
        <f t="shared" si="623"/>
        <v>250</v>
      </c>
      <c r="DT188" s="545"/>
      <c r="DU188" s="539"/>
      <c r="DV188" s="539"/>
      <c r="DW188" s="539"/>
      <c r="DX188" s="194">
        <f t="shared" ref="DX188:DX190" si="627">DS188</f>
        <v>250</v>
      </c>
      <c r="DY188" s="545"/>
      <c r="DZ188" s="539"/>
      <c r="EA188" s="539"/>
      <c r="EB188" s="539"/>
      <c r="EC188" s="194">
        <f t="shared" ref="EC188:EC190" si="628">DX188</f>
        <v>250</v>
      </c>
      <c r="ED188" s="537"/>
      <c r="EF188"/>
      <c r="EG188"/>
      <c r="EH188"/>
      <c r="EI188"/>
      <c r="EJ188"/>
      <c r="EK188"/>
      <c r="EL188"/>
      <c r="EM188"/>
      <c r="EN188"/>
      <c r="EO188"/>
      <c r="EP188"/>
      <c r="EQ188"/>
      <c r="ER188"/>
      <c r="ES188"/>
      <c r="ET188"/>
      <c r="EU188"/>
      <c r="EV188"/>
      <c r="EW188"/>
      <c r="EX188"/>
      <c r="EY188"/>
      <c r="EZ188"/>
      <c r="FA188"/>
    </row>
    <row r="189" spans="1:157" s="536" customFormat="1" hidden="1" outlineLevel="1" x14ac:dyDescent="0.2">
      <c r="A189" s="535" t="s">
        <v>338</v>
      </c>
      <c r="V189" s="531"/>
      <c r="AG189" s="538"/>
      <c r="AH189" s="538"/>
      <c r="AI189" s="538"/>
      <c r="AJ189" s="538"/>
      <c r="AK189" s="538"/>
      <c r="AL189" s="540"/>
      <c r="AM189" s="538"/>
      <c r="AN189" s="538"/>
      <c r="AO189" s="538"/>
      <c r="AP189" s="538"/>
      <c r="AQ189" s="540"/>
      <c r="AR189" s="538"/>
      <c r="AS189" s="538"/>
      <c r="AT189" s="538"/>
      <c r="AU189" s="538"/>
      <c r="AV189" s="541"/>
      <c r="AW189" s="541"/>
      <c r="AX189" s="538"/>
      <c r="AY189" s="538"/>
      <c r="AZ189" s="542"/>
      <c r="BA189" s="540"/>
      <c r="BB189" s="541"/>
      <c r="BC189" s="538"/>
      <c r="BD189" s="538"/>
      <c r="BE189" s="538"/>
      <c r="BF189" s="540"/>
      <c r="BG189" s="541"/>
      <c r="BH189" s="538"/>
      <c r="BI189" s="538"/>
      <c r="BJ189" s="538"/>
      <c r="BK189" s="540"/>
      <c r="BL189" s="541"/>
      <c r="BM189" s="539"/>
      <c r="BN189" s="539"/>
      <c r="BO189" s="539"/>
      <c r="BP189" s="540"/>
      <c r="BQ189" s="539"/>
      <c r="BR189" s="539"/>
      <c r="BS189" s="539"/>
      <c r="BT189" s="539"/>
      <c r="BU189" s="540"/>
      <c r="BV189" s="545"/>
      <c r="BW189" s="539"/>
      <c r="BX189" s="539"/>
      <c r="BY189" s="539"/>
      <c r="BZ189" s="540"/>
      <c r="CA189" s="545"/>
      <c r="CB189" s="538"/>
      <c r="CC189" s="539"/>
      <c r="CD189" s="538"/>
      <c r="CE189" s="540"/>
      <c r="CF189" s="545"/>
      <c r="CG189" s="539"/>
      <c r="CH189" s="539"/>
      <c r="CI189" s="539"/>
      <c r="CJ189" s="540">
        <v>5.2999999999999999E-2</v>
      </c>
      <c r="CK189" s="545"/>
      <c r="CL189" s="539"/>
      <c r="CM189" s="538"/>
      <c r="CN189" s="538"/>
      <c r="CO189" s="540">
        <f t="shared" si="617"/>
        <v>5.2999999999999999E-2</v>
      </c>
      <c r="CP189" s="906"/>
      <c r="CQ189" s="538"/>
      <c r="CR189" s="538"/>
      <c r="CS189" s="538"/>
      <c r="CT189" s="540">
        <f t="shared" si="618"/>
        <v>5.2999999999999999E-2</v>
      </c>
      <c r="CU189" s="541"/>
      <c r="CV189" s="538"/>
      <c r="CW189" s="538"/>
      <c r="CX189" s="538"/>
      <c r="CY189" s="540">
        <f t="shared" si="619"/>
        <v>5.2999999999999999E-2</v>
      </c>
      <c r="CZ189" s="541"/>
      <c r="DA189" s="539"/>
      <c r="DB189" s="539"/>
      <c r="DC189" s="538"/>
      <c r="DD189" s="540">
        <f t="shared" si="620"/>
        <v>5.2999999999999999E-2</v>
      </c>
      <c r="DE189" s="545"/>
      <c r="DF189" s="539"/>
      <c r="DG189" s="539"/>
      <c r="DH189" s="539"/>
      <c r="DI189" s="540">
        <f t="shared" si="626"/>
        <v>5.2999999999999999E-2</v>
      </c>
      <c r="DJ189" s="545"/>
      <c r="DK189" s="539"/>
      <c r="DL189" s="539"/>
      <c r="DM189" s="539"/>
      <c r="DN189" s="540">
        <f t="shared" si="622"/>
        <v>5.2999999999999999E-2</v>
      </c>
      <c r="DO189" s="545"/>
      <c r="DP189" s="539"/>
      <c r="DQ189" s="539"/>
      <c r="DR189" s="539"/>
      <c r="DS189" s="540">
        <f t="shared" si="623"/>
        <v>5.2999999999999999E-2</v>
      </c>
      <c r="DT189" s="545"/>
      <c r="DU189" s="539"/>
      <c r="DV189" s="539"/>
      <c r="DW189" s="539"/>
      <c r="DX189" s="540">
        <f t="shared" si="627"/>
        <v>5.2999999999999999E-2</v>
      </c>
      <c r="DY189" s="545"/>
      <c r="DZ189" s="539"/>
      <c r="EA189" s="539"/>
      <c r="EB189" s="539"/>
      <c r="EC189" s="540">
        <f t="shared" si="628"/>
        <v>5.2999999999999999E-2</v>
      </c>
      <c r="ED189" s="537"/>
      <c r="EF189"/>
      <c r="EG189"/>
      <c r="EH189"/>
      <c r="EI189"/>
      <c r="EJ189"/>
      <c r="EK189"/>
      <c r="EL189"/>
      <c r="EM189"/>
      <c r="EN189"/>
      <c r="EO189"/>
      <c r="EP189"/>
      <c r="EQ189"/>
      <c r="ER189"/>
      <c r="ES189"/>
      <c r="ET189"/>
      <c r="EU189"/>
      <c r="EV189"/>
      <c r="EW189"/>
      <c r="EX189"/>
      <c r="EY189"/>
      <c r="EZ189"/>
      <c r="FA189"/>
    </row>
    <row r="190" spans="1:157" s="172" customFormat="1" hidden="1" outlineLevel="1" x14ac:dyDescent="0.2">
      <c r="A190" s="535" t="s">
        <v>339</v>
      </c>
      <c r="V190" s="173"/>
      <c r="AL190" s="194"/>
      <c r="AM190" s="196"/>
      <c r="AN190" s="196"/>
      <c r="AO190" s="196"/>
      <c r="AP190" s="196"/>
      <c r="AQ190" s="194"/>
      <c r="AR190" s="196"/>
      <c r="AS190" s="196"/>
      <c r="AT190" s="196"/>
      <c r="AU190" s="196"/>
      <c r="AV190" s="195"/>
      <c r="AW190" s="195"/>
      <c r="AX190" s="196"/>
      <c r="AY190" s="196"/>
      <c r="AZ190" s="197"/>
      <c r="BA190" s="194"/>
      <c r="BB190" s="195"/>
      <c r="BC190" s="196"/>
      <c r="BD190" s="196"/>
      <c r="BE190" s="196"/>
      <c r="BF190" s="194">
        <f>BF170+BF173+BF176+BF179+BF182+BF185</f>
        <v>2550</v>
      </c>
      <c r="BG190" s="195"/>
      <c r="BH190" s="196"/>
      <c r="BI190" s="196"/>
      <c r="BJ190" s="196"/>
      <c r="BK190" s="194">
        <f>BK170+BK173+BK176+BK179+BK182+BK185</f>
        <v>2550</v>
      </c>
      <c r="BL190" s="195"/>
      <c r="BM190" s="199"/>
      <c r="BN190" s="199"/>
      <c r="BO190" s="199"/>
      <c r="BP190" s="194">
        <f>BP170+BP173+BP176+BP179+BP182+BP185</f>
        <v>2550</v>
      </c>
      <c r="BQ190" s="199"/>
      <c r="BR190" s="199"/>
      <c r="BS190" s="199"/>
      <c r="BT190" s="199"/>
      <c r="BU190" s="194">
        <f>BU170+BU173+BU176+BU179+BU182+BU185</f>
        <v>2550</v>
      </c>
      <c r="BV190" s="198"/>
      <c r="BW190" s="199"/>
      <c r="BX190" s="199"/>
      <c r="BY190" s="199"/>
      <c r="BZ190" s="194">
        <f>BZ170+BZ173+BZ176+BZ179+BZ182+BZ185</f>
        <v>1900</v>
      </c>
      <c r="CA190" s="198"/>
      <c r="CB190" s="196"/>
      <c r="CC190" s="199"/>
      <c r="CD190" s="196"/>
      <c r="CE190" s="194">
        <f>CE170+CE173+CE176+CE179+CE182+CE185</f>
        <v>1500</v>
      </c>
      <c r="CF190" s="198"/>
      <c r="CG190" s="199"/>
      <c r="CH190" s="199"/>
      <c r="CI190" s="199"/>
      <c r="CJ190" s="540">
        <v>5.5899999999999998E-2</v>
      </c>
      <c r="CK190" s="198"/>
      <c r="CL190" s="199"/>
      <c r="CM190" s="196"/>
      <c r="CN190" s="196"/>
      <c r="CO190" s="540">
        <f t="shared" si="617"/>
        <v>5.5899999999999998E-2</v>
      </c>
      <c r="CP190" s="905"/>
      <c r="CQ190" s="196"/>
      <c r="CR190" s="196"/>
      <c r="CS190" s="196"/>
      <c r="CT190" s="540">
        <f t="shared" si="618"/>
        <v>5.5899999999999998E-2</v>
      </c>
      <c r="CU190" s="195"/>
      <c r="CV190" s="196"/>
      <c r="CW190" s="196"/>
      <c r="CX190" s="196"/>
      <c r="CY190" s="540">
        <f t="shared" si="619"/>
        <v>5.5899999999999998E-2</v>
      </c>
      <c r="CZ190" s="195"/>
      <c r="DA190" s="199"/>
      <c r="DB190" s="199"/>
      <c r="DC190" s="196"/>
      <c r="DD190" s="540">
        <f t="shared" si="620"/>
        <v>5.5899999999999998E-2</v>
      </c>
      <c r="DE190" s="198"/>
      <c r="DF190" s="199"/>
      <c r="DG190" s="199"/>
      <c r="DH190" s="199"/>
      <c r="DI190" s="540">
        <f t="shared" si="626"/>
        <v>5.5899999999999998E-2</v>
      </c>
      <c r="DJ190" s="198"/>
      <c r="DK190" s="199"/>
      <c r="DL190" s="199"/>
      <c r="DM190" s="199"/>
      <c r="DN190" s="540">
        <f t="shared" si="622"/>
        <v>5.5899999999999998E-2</v>
      </c>
      <c r="DO190" s="198"/>
      <c r="DP190" s="199"/>
      <c r="DQ190" s="199"/>
      <c r="DR190" s="199"/>
      <c r="DS190" s="540">
        <f t="shared" si="623"/>
        <v>5.5899999999999998E-2</v>
      </c>
      <c r="DT190" s="198"/>
      <c r="DU190" s="199"/>
      <c r="DV190" s="199"/>
      <c r="DW190" s="199"/>
      <c r="DX190" s="540">
        <f t="shared" si="627"/>
        <v>5.5899999999999998E-2</v>
      </c>
      <c r="DY190" s="198"/>
      <c r="DZ190" s="199"/>
      <c r="EA190" s="199"/>
      <c r="EB190" s="199"/>
      <c r="EC190" s="540">
        <f t="shared" si="628"/>
        <v>5.5899999999999998E-2</v>
      </c>
      <c r="EF190"/>
      <c r="EG190"/>
      <c r="EH190"/>
      <c r="EI190"/>
      <c r="EJ190"/>
      <c r="EK190"/>
      <c r="EL190"/>
      <c r="EM190"/>
      <c r="EN190"/>
      <c r="EO190"/>
      <c r="EP190"/>
      <c r="EQ190"/>
      <c r="ER190"/>
      <c r="ES190"/>
      <c r="ET190"/>
      <c r="EU190"/>
      <c r="EV190"/>
      <c r="EW190"/>
      <c r="EX190"/>
      <c r="EY190"/>
      <c r="EZ190"/>
      <c r="FA190"/>
    </row>
    <row r="191" spans="1:157" s="172" customFormat="1" hidden="1" outlineLevel="1" x14ac:dyDescent="0.2">
      <c r="A191" s="534">
        <v>44155</v>
      </c>
      <c r="V191" s="173"/>
      <c r="AL191" s="194"/>
      <c r="AM191" s="196"/>
      <c r="AN191" s="196"/>
      <c r="AO191" s="196"/>
      <c r="AP191" s="196"/>
      <c r="AQ191" s="194"/>
      <c r="AR191" s="196"/>
      <c r="AS191" s="196"/>
      <c r="AT191" s="196"/>
      <c r="AU191" s="196"/>
      <c r="AV191" s="195"/>
      <c r="AW191" s="195"/>
      <c r="AX191" s="196"/>
      <c r="AY191" s="196"/>
      <c r="AZ191" s="197"/>
      <c r="BA191" s="194"/>
      <c r="BB191" s="195"/>
      <c r="BC191" s="196"/>
      <c r="BD191" s="196"/>
      <c r="BE191" s="196"/>
      <c r="BF191" s="194"/>
      <c r="BG191" s="195"/>
      <c r="BH191" s="196"/>
      <c r="BI191" s="196"/>
      <c r="BJ191" s="196"/>
      <c r="BK191" s="194"/>
      <c r="BL191" s="195"/>
      <c r="BM191" s="199"/>
      <c r="BN191" s="199"/>
      <c r="BO191" s="199"/>
      <c r="BP191" s="194"/>
      <c r="BQ191" s="199"/>
      <c r="BR191" s="199"/>
      <c r="BS191" s="199"/>
      <c r="BT191" s="199"/>
      <c r="BU191" s="194"/>
      <c r="BV191" s="198"/>
      <c r="BW191" s="199"/>
      <c r="BX191" s="199"/>
      <c r="BY191" s="199"/>
      <c r="BZ191" s="194"/>
      <c r="CA191" s="198"/>
      <c r="CB191" s="196"/>
      <c r="CC191" s="199"/>
      <c r="CD191" s="196"/>
      <c r="CE191" s="194"/>
      <c r="CF191" s="198"/>
      <c r="CG191" s="199"/>
      <c r="CH191" s="199"/>
      <c r="CI191" s="199"/>
      <c r="CJ191" s="194">
        <v>350</v>
      </c>
      <c r="CK191" s="198"/>
      <c r="CL191" s="199"/>
      <c r="CM191" s="196"/>
      <c r="CN191" s="196"/>
      <c r="CO191" s="194">
        <f t="shared" si="617"/>
        <v>350</v>
      </c>
      <c r="CP191" s="905"/>
      <c r="CQ191" s="196"/>
      <c r="CR191" s="196"/>
      <c r="CS191" s="196"/>
      <c r="CT191" s="194">
        <f t="shared" si="618"/>
        <v>350</v>
      </c>
      <c r="CU191" s="195"/>
      <c r="CV191" s="196"/>
      <c r="CW191" s="196"/>
      <c r="CX191" s="196"/>
      <c r="CY191" s="194">
        <f t="shared" si="619"/>
        <v>350</v>
      </c>
      <c r="CZ191" s="195"/>
      <c r="DA191" s="199"/>
      <c r="DB191" s="199"/>
      <c r="DC191" s="196"/>
      <c r="DD191" s="194">
        <f t="shared" si="620"/>
        <v>350</v>
      </c>
      <c r="DE191" s="198"/>
      <c r="DF191" s="199"/>
      <c r="DG191" s="199"/>
      <c r="DH191" s="199"/>
      <c r="DI191" s="194">
        <f t="shared" si="626"/>
        <v>350</v>
      </c>
      <c r="DJ191" s="198"/>
      <c r="DK191" s="199"/>
      <c r="DL191" s="199"/>
      <c r="DM191" s="199"/>
      <c r="DN191" s="194">
        <f t="shared" si="622"/>
        <v>350</v>
      </c>
      <c r="DO191" s="198"/>
      <c r="DP191" s="199"/>
      <c r="DQ191" s="199"/>
      <c r="DR191" s="199"/>
      <c r="DS191" s="194"/>
      <c r="DT191" s="198"/>
      <c r="DU191" s="199"/>
      <c r="DV191" s="199"/>
      <c r="DW191" s="199"/>
      <c r="DX191" s="194"/>
      <c r="DY191" s="198"/>
      <c r="DZ191" s="199"/>
      <c r="EA191" s="199"/>
      <c r="EB191" s="199"/>
      <c r="EC191" s="194"/>
      <c r="EF191"/>
      <c r="EG191"/>
      <c r="EH191"/>
      <c r="EI191"/>
      <c r="EJ191"/>
      <c r="EK191"/>
      <c r="EL191"/>
      <c r="EM191"/>
      <c r="EN191"/>
      <c r="EO191"/>
      <c r="EP191"/>
      <c r="EQ191"/>
      <c r="ER191"/>
      <c r="ES191"/>
      <c r="ET191"/>
      <c r="EU191"/>
      <c r="EV191"/>
      <c r="EW191"/>
      <c r="EX191"/>
      <c r="EY191"/>
      <c r="EZ191"/>
      <c r="FA191"/>
    </row>
    <row r="192" spans="1:157" s="172" customFormat="1" hidden="1" outlineLevel="1" x14ac:dyDescent="0.2">
      <c r="A192" s="535" t="s">
        <v>338</v>
      </c>
      <c r="V192" s="173"/>
      <c r="AL192" s="194"/>
      <c r="AM192" s="196"/>
      <c r="AN192" s="196"/>
      <c r="AO192" s="196"/>
      <c r="AP192" s="196"/>
      <c r="AQ192" s="194"/>
      <c r="AR192" s="196"/>
      <c r="AS192" s="196"/>
      <c r="AT192" s="196"/>
      <c r="AU192" s="196"/>
      <c r="AV192" s="195"/>
      <c r="AW192" s="195"/>
      <c r="AX192" s="196"/>
      <c r="AY192" s="196"/>
      <c r="AZ192" s="197"/>
      <c r="BA192" s="194"/>
      <c r="BB192" s="195"/>
      <c r="BC192" s="196"/>
      <c r="BD192" s="196"/>
      <c r="BE192" s="196"/>
      <c r="BF192" s="194"/>
      <c r="BG192" s="195"/>
      <c r="BH192" s="196"/>
      <c r="BI192" s="196"/>
      <c r="BJ192" s="196"/>
      <c r="BK192" s="194"/>
      <c r="BL192" s="195"/>
      <c r="BM192" s="199"/>
      <c r="BN192" s="199"/>
      <c r="BO192" s="199"/>
      <c r="BP192" s="194"/>
      <c r="BQ192" s="199"/>
      <c r="BR192" s="199"/>
      <c r="BS192" s="199"/>
      <c r="BT192" s="199"/>
      <c r="BU192" s="194"/>
      <c r="BV192" s="198"/>
      <c r="BW192" s="199"/>
      <c r="BX192" s="199"/>
      <c r="BY192" s="199"/>
      <c r="BZ192" s="194"/>
      <c r="CA192" s="198"/>
      <c r="CB192" s="196"/>
      <c r="CC192" s="199"/>
      <c r="CD192" s="196"/>
      <c r="CE192" s="194"/>
      <c r="CF192" s="198"/>
      <c r="CG192" s="199"/>
      <c r="CH192" s="199"/>
      <c r="CI192" s="199"/>
      <c r="CJ192" s="540">
        <v>3.8800000000000001E-2</v>
      </c>
      <c r="CK192" s="198"/>
      <c r="CL192" s="199"/>
      <c r="CM192" s="196"/>
      <c r="CN192" s="196"/>
      <c r="CO192" s="540">
        <f t="shared" si="617"/>
        <v>3.8800000000000001E-2</v>
      </c>
      <c r="CP192" s="905"/>
      <c r="CQ192" s="196"/>
      <c r="CR192" s="196"/>
      <c r="CS192" s="196"/>
      <c r="CT192" s="540">
        <f t="shared" si="618"/>
        <v>3.8800000000000001E-2</v>
      </c>
      <c r="CU192" s="195"/>
      <c r="CV192" s="196"/>
      <c r="CW192" s="196"/>
      <c r="CX192" s="196"/>
      <c r="CY192" s="540">
        <f t="shared" si="619"/>
        <v>3.8800000000000001E-2</v>
      </c>
      <c r="CZ192" s="195"/>
      <c r="DA192" s="199"/>
      <c r="DB192" s="199"/>
      <c r="DC192" s="196"/>
      <c r="DD192" s="540">
        <f t="shared" si="620"/>
        <v>3.8800000000000001E-2</v>
      </c>
      <c r="DE192" s="198"/>
      <c r="DF192" s="199"/>
      <c r="DG192" s="199"/>
      <c r="DH192" s="199"/>
      <c r="DI192" s="540">
        <f t="shared" si="626"/>
        <v>3.8800000000000001E-2</v>
      </c>
      <c r="DJ192" s="198"/>
      <c r="DK192" s="199"/>
      <c r="DL192" s="199"/>
      <c r="DM192" s="199"/>
      <c r="DN192" s="540">
        <f t="shared" si="622"/>
        <v>3.8800000000000001E-2</v>
      </c>
      <c r="DO192" s="198"/>
      <c r="DP192" s="199"/>
      <c r="DQ192" s="199"/>
      <c r="DR192" s="199"/>
      <c r="DS192" s="540"/>
      <c r="DT192" s="198"/>
      <c r="DU192" s="199"/>
      <c r="DV192" s="199"/>
      <c r="DW192" s="199"/>
      <c r="DX192" s="540"/>
      <c r="DY192" s="198"/>
      <c r="DZ192" s="199"/>
      <c r="EA192" s="199"/>
      <c r="EB192" s="199"/>
      <c r="EC192" s="540"/>
      <c r="EF192"/>
      <c r="EG192"/>
      <c r="EH192"/>
      <c r="EI192"/>
      <c r="EJ192"/>
      <c r="EK192"/>
      <c r="EL192"/>
      <c r="EM192"/>
      <c r="EN192"/>
      <c r="EO192"/>
      <c r="EP192"/>
      <c r="EQ192"/>
      <c r="ER192"/>
      <c r="ES192"/>
      <c r="ET192"/>
      <c r="EU192"/>
      <c r="EV192"/>
      <c r="EW192"/>
      <c r="EX192"/>
      <c r="EY192"/>
      <c r="EZ192"/>
      <c r="FA192"/>
    </row>
    <row r="193" spans="1:157" s="172" customFormat="1" hidden="1" outlineLevel="1" x14ac:dyDescent="0.2">
      <c r="A193" s="535" t="s">
        <v>339</v>
      </c>
      <c r="V193" s="173"/>
      <c r="AL193" s="194"/>
      <c r="AM193" s="196"/>
      <c r="AN193" s="196"/>
      <c r="AO193" s="196"/>
      <c r="AP193" s="196"/>
      <c r="AQ193" s="194"/>
      <c r="AR193" s="196"/>
      <c r="AS193" s="196"/>
      <c r="AT193" s="196"/>
      <c r="AU193" s="196"/>
      <c r="AV193" s="195"/>
      <c r="AW193" s="195"/>
      <c r="AX193" s="196"/>
      <c r="AY193" s="196"/>
      <c r="AZ193" s="197"/>
      <c r="BA193" s="194"/>
      <c r="BB193" s="195"/>
      <c r="BC193" s="196"/>
      <c r="BD193" s="196"/>
      <c r="BE193" s="196"/>
      <c r="BF193" s="194"/>
      <c r="BG193" s="195"/>
      <c r="BH193" s="196"/>
      <c r="BI193" s="196"/>
      <c r="BJ193" s="196"/>
      <c r="BK193" s="194"/>
      <c r="BL193" s="195"/>
      <c r="BM193" s="199"/>
      <c r="BN193" s="199"/>
      <c r="BO193" s="199"/>
      <c r="BP193" s="194"/>
      <c r="BQ193" s="199"/>
      <c r="BR193" s="199"/>
      <c r="BS193" s="199"/>
      <c r="BT193" s="199"/>
      <c r="BU193" s="194"/>
      <c r="BV193" s="198"/>
      <c r="BW193" s="199"/>
      <c r="BX193" s="199"/>
      <c r="BY193" s="199"/>
      <c r="BZ193" s="194"/>
      <c r="CA193" s="198"/>
      <c r="CB193" s="196"/>
      <c r="CC193" s="199"/>
      <c r="CD193" s="196"/>
      <c r="CE193" s="194"/>
      <c r="CF193" s="198"/>
      <c r="CG193" s="199"/>
      <c r="CH193" s="199"/>
      <c r="CI193" s="199"/>
      <c r="CJ193" s="540">
        <v>4.0099999999999997E-2</v>
      </c>
      <c r="CK193" s="198"/>
      <c r="CL193" s="199"/>
      <c r="CM193" s="196"/>
      <c r="CN193" s="196"/>
      <c r="CO193" s="540">
        <f t="shared" si="617"/>
        <v>4.0099999999999997E-2</v>
      </c>
      <c r="CP193" s="905"/>
      <c r="CQ193" s="196"/>
      <c r="CR193" s="196"/>
      <c r="CS193" s="196"/>
      <c r="CT193" s="540">
        <f t="shared" si="618"/>
        <v>4.0099999999999997E-2</v>
      </c>
      <c r="CU193" s="195"/>
      <c r="CV193" s="196"/>
      <c r="CW193" s="196"/>
      <c r="CX193" s="196"/>
      <c r="CY193" s="540">
        <f t="shared" si="619"/>
        <v>4.0099999999999997E-2</v>
      </c>
      <c r="CZ193" s="195"/>
      <c r="DA193" s="199"/>
      <c r="DB193" s="199"/>
      <c r="DC193" s="196"/>
      <c r="DD193" s="540">
        <f t="shared" si="620"/>
        <v>4.0099999999999997E-2</v>
      </c>
      <c r="DE193" s="198"/>
      <c r="DF193" s="199"/>
      <c r="DG193" s="199"/>
      <c r="DH193" s="199"/>
      <c r="DI193" s="540">
        <f t="shared" si="626"/>
        <v>4.0099999999999997E-2</v>
      </c>
      <c r="DJ193" s="198"/>
      <c r="DK193" s="199"/>
      <c r="DL193" s="199"/>
      <c r="DM193" s="199"/>
      <c r="DN193" s="540">
        <f t="shared" si="622"/>
        <v>4.0099999999999997E-2</v>
      </c>
      <c r="DO193" s="198"/>
      <c r="DP193" s="199"/>
      <c r="DQ193" s="199"/>
      <c r="DR193" s="199"/>
      <c r="DS193" s="540"/>
      <c r="DT193" s="198"/>
      <c r="DU193" s="199"/>
      <c r="DV193" s="199"/>
      <c r="DW193" s="199"/>
      <c r="DX193" s="540"/>
      <c r="DY193" s="198"/>
      <c r="DZ193" s="199"/>
      <c r="EA193" s="199"/>
      <c r="EB193" s="199"/>
      <c r="EC193" s="540"/>
      <c r="EF193"/>
      <c r="EG193"/>
      <c r="EH193"/>
      <c r="EI193"/>
      <c r="EJ193"/>
      <c r="EK193"/>
      <c r="EL193"/>
      <c r="EM193"/>
      <c r="EN193"/>
      <c r="EO193"/>
      <c r="EP193"/>
      <c r="EQ193"/>
      <c r="ER193"/>
      <c r="ES193"/>
      <c r="ET193"/>
      <c r="EU193"/>
      <c r="EV193"/>
      <c r="EW193"/>
      <c r="EX193"/>
      <c r="EY193"/>
      <c r="EZ193"/>
      <c r="FA193"/>
    </row>
    <row r="194" spans="1:157" s="172" customFormat="1" hidden="1" outlineLevel="1" x14ac:dyDescent="0.2">
      <c r="A194" s="534">
        <v>44520</v>
      </c>
      <c r="V194" s="173"/>
      <c r="AL194" s="194"/>
      <c r="AM194" s="196"/>
      <c r="AN194" s="196"/>
      <c r="AO194" s="196"/>
      <c r="AP194" s="196"/>
      <c r="AQ194" s="194"/>
      <c r="AR194" s="196"/>
      <c r="AS194" s="196"/>
      <c r="AT194" s="196"/>
      <c r="AU194" s="196"/>
      <c r="AV194" s="195"/>
      <c r="AW194" s="195"/>
      <c r="AX194" s="196"/>
      <c r="AY194" s="196"/>
      <c r="AZ194" s="197"/>
      <c r="BA194" s="194"/>
      <c r="BB194" s="195"/>
      <c r="BC194" s="196"/>
      <c r="BD194" s="196"/>
      <c r="BE194" s="196"/>
      <c r="BF194" s="194"/>
      <c r="BG194" s="195"/>
      <c r="BH194" s="196"/>
      <c r="BI194" s="196"/>
      <c r="BJ194" s="196"/>
      <c r="BK194" s="194"/>
      <c r="BL194" s="195"/>
      <c r="BM194" s="199"/>
      <c r="BN194" s="199"/>
      <c r="BO194" s="199"/>
      <c r="BP194" s="194"/>
      <c r="BQ194" s="199"/>
      <c r="BR194" s="199"/>
      <c r="BS194" s="199"/>
      <c r="BT194" s="199"/>
      <c r="BU194" s="194"/>
      <c r="BV194" s="198"/>
      <c r="BW194" s="199"/>
      <c r="BX194" s="199"/>
      <c r="BY194" s="199"/>
      <c r="BZ194" s="194"/>
      <c r="CA194" s="198"/>
      <c r="CB194" s="196"/>
      <c r="CC194" s="199"/>
      <c r="CD194" s="196"/>
      <c r="CE194" s="194"/>
      <c r="CF194" s="198"/>
      <c r="CG194" s="199"/>
      <c r="CH194" s="199"/>
      <c r="CI194" s="199"/>
      <c r="CJ194" s="194">
        <v>350</v>
      </c>
      <c r="CK194" s="198"/>
      <c r="CL194" s="199"/>
      <c r="CM194" s="196"/>
      <c r="CN194" s="196"/>
      <c r="CO194" s="194">
        <f t="shared" si="617"/>
        <v>350</v>
      </c>
      <c r="CP194" s="905"/>
      <c r="CQ194" s="196"/>
      <c r="CR194" s="196"/>
      <c r="CS194" s="196"/>
      <c r="CT194" s="194">
        <f t="shared" si="618"/>
        <v>350</v>
      </c>
      <c r="CU194" s="195"/>
      <c r="CV194" s="196"/>
      <c r="CW194" s="196"/>
      <c r="CX194" s="196"/>
      <c r="CY194" s="194">
        <f t="shared" si="619"/>
        <v>350</v>
      </c>
      <c r="CZ194" s="195"/>
      <c r="DA194" s="199"/>
      <c r="DB194" s="199"/>
      <c r="DC194" s="196"/>
      <c r="DD194" s="194">
        <f t="shared" si="620"/>
        <v>350</v>
      </c>
      <c r="DE194" s="198"/>
      <c r="DF194" s="199"/>
      <c r="DG194" s="199"/>
      <c r="DH194" s="199"/>
      <c r="DI194" s="194">
        <f t="shared" si="626"/>
        <v>350</v>
      </c>
      <c r="DJ194" s="198"/>
      <c r="DK194" s="199"/>
      <c r="DL194" s="199"/>
      <c r="DM194" s="199"/>
      <c r="DN194" s="194">
        <f t="shared" si="622"/>
        <v>350</v>
      </c>
      <c r="DO194" s="198"/>
      <c r="DP194" s="199"/>
      <c r="DQ194" s="199"/>
      <c r="DR194" s="199"/>
      <c r="DS194" s="194">
        <f t="shared" si="623"/>
        <v>350</v>
      </c>
      <c r="DT194" s="198"/>
      <c r="DU194" s="199"/>
      <c r="DV194" s="199"/>
      <c r="DW194" s="199"/>
      <c r="DX194" s="194">
        <f t="shared" ref="DX194:DX196" si="629">DS194</f>
        <v>350</v>
      </c>
      <c r="DY194" s="198"/>
      <c r="DZ194" s="199"/>
      <c r="EA194" s="199"/>
      <c r="EB194" s="199"/>
      <c r="EC194" s="194">
        <f t="shared" ref="EC194:EC196" si="630">DX194</f>
        <v>350</v>
      </c>
      <c r="EF194"/>
      <c r="EG194"/>
      <c r="EH194"/>
      <c r="EI194"/>
      <c r="EJ194"/>
      <c r="EK194"/>
      <c r="EL194"/>
      <c r="EM194"/>
      <c r="EN194"/>
      <c r="EO194"/>
      <c r="EP194"/>
      <c r="EQ194"/>
      <c r="ER194"/>
      <c r="ES194"/>
      <c r="ET194"/>
      <c r="EU194"/>
      <c r="EV194"/>
      <c r="EW194"/>
      <c r="EX194"/>
      <c r="EY194"/>
      <c r="EZ194"/>
      <c r="FA194"/>
    </row>
    <row r="195" spans="1:157" s="172" customFormat="1" hidden="1" outlineLevel="1" x14ac:dyDescent="0.2">
      <c r="A195" s="535" t="s">
        <v>338</v>
      </c>
      <c r="V195" s="173"/>
      <c r="AL195" s="194"/>
      <c r="AM195" s="196"/>
      <c r="AN195" s="196"/>
      <c r="AO195" s="196"/>
      <c r="AP195" s="196"/>
      <c r="AQ195" s="194"/>
      <c r="AR195" s="196"/>
      <c r="AS195" s="196"/>
      <c r="AT195" s="196"/>
      <c r="AU195" s="196"/>
      <c r="AV195" s="195"/>
      <c r="AW195" s="195"/>
      <c r="AX195" s="196"/>
      <c r="AY195" s="196"/>
      <c r="AZ195" s="197"/>
      <c r="BA195" s="194"/>
      <c r="BB195" s="195"/>
      <c r="BC195" s="196"/>
      <c r="BD195" s="196"/>
      <c r="BE195" s="196"/>
      <c r="BF195" s="194"/>
      <c r="BG195" s="195"/>
      <c r="BH195" s="196"/>
      <c r="BI195" s="196"/>
      <c r="BJ195" s="196"/>
      <c r="BK195" s="194"/>
      <c r="BL195" s="195"/>
      <c r="BM195" s="199"/>
      <c r="BN195" s="199"/>
      <c r="BO195" s="199"/>
      <c r="BP195" s="194"/>
      <c r="BQ195" s="199"/>
      <c r="BR195" s="199"/>
      <c r="BS195" s="199"/>
      <c r="BT195" s="199"/>
      <c r="BU195" s="194"/>
      <c r="BV195" s="198"/>
      <c r="BW195" s="199"/>
      <c r="BX195" s="199"/>
      <c r="BY195" s="199"/>
      <c r="BZ195" s="194"/>
      <c r="CA195" s="198"/>
      <c r="CB195" s="196"/>
      <c r="CC195" s="199"/>
      <c r="CD195" s="196"/>
      <c r="CE195" s="194"/>
      <c r="CF195" s="198"/>
      <c r="CG195" s="199"/>
      <c r="CH195" s="199"/>
      <c r="CI195" s="199"/>
      <c r="CJ195" s="540">
        <v>3.7499999999999999E-2</v>
      </c>
      <c r="CK195" s="198"/>
      <c r="CL195" s="199"/>
      <c r="CM195" s="196"/>
      <c r="CN195" s="196"/>
      <c r="CO195" s="540">
        <f t="shared" si="617"/>
        <v>3.7499999999999999E-2</v>
      </c>
      <c r="CP195" s="905"/>
      <c r="CQ195" s="196"/>
      <c r="CR195" s="196"/>
      <c r="CS195" s="196"/>
      <c r="CT195" s="540">
        <f t="shared" si="618"/>
        <v>3.7499999999999999E-2</v>
      </c>
      <c r="CU195" s="195"/>
      <c r="CV195" s="196"/>
      <c r="CW195" s="196"/>
      <c r="CX195" s="196"/>
      <c r="CY195" s="540">
        <f t="shared" si="619"/>
        <v>3.7499999999999999E-2</v>
      </c>
      <c r="CZ195" s="195"/>
      <c r="DA195" s="199"/>
      <c r="DB195" s="199"/>
      <c r="DC195" s="196"/>
      <c r="DD195" s="540">
        <f t="shared" si="620"/>
        <v>3.7499999999999999E-2</v>
      </c>
      <c r="DE195" s="198"/>
      <c r="DF195" s="199"/>
      <c r="DG195" s="199"/>
      <c r="DH195" s="199"/>
      <c r="DI195" s="540">
        <f t="shared" si="626"/>
        <v>3.7499999999999999E-2</v>
      </c>
      <c r="DJ195" s="198"/>
      <c r="DK195" s="199"/>
      <c r="DL195" s="199"/>
      <c r="DM195" s="199"/>
      <c r="DN195" s="540">
        <f t="shared" si="622"/>
        <v>3.7499999999999999E-2</v>
      </c>
      <c r="DO195" s="198"/>
      <c r="DP195" s="199"/>
      <c r="DQ195" s="199"/>
      <c r="DR195" s="199"/>
      <c r="DS195" s="540">
        <f t="shared" si="623"/>
        <v>3.7499999999999999E-2</v>
      </c>
      <c r="DT195" s="198"/>
      <c r="DU195" s="199"/>
      <c r="DV195" s="199"/>
      <c r="DW195" s="199"/>
      <c r="DX195" s="540">
        <f t="shared" si="629"/>
        <v>3.7499999999999999E-2</v>
      </c>
      <c r="DY195" s="198"/>
      <c r="DZ195" s="199"/>
      <c r="EA195" s="199"/>
      <c r="EB195" s="199"/>
      <c r="EC195" s="540">
        <f t="shared" si="630"/>
        <v>3.7499999999999999E-2</v>
      </c>
      <c r="EF195"/>
      <c r="EG195"/>
      <c r="EH195"/>
      <c r="EI195"/>
      <c r="EJ195"/>
      <c r="EK195"/>
      <c r="EL195"/>
      <c r="EM195"/>
      <c r="EN195"/>
      <c r="EO195"/>
      <c r="EP195"/>
      <c r="EQ195"/>
      <c r="ER195"/>
      <c r="ES195"/>
      <c r="ET195"/>
      <c r="EU195"/>
      <c r="EV195"/>
      <c r="EW195"/>
      <c r="EX195"/>
      <c r="EY195"/>
      <c r="EZ195"/>
      <c r="FA195"/>
    </row>
    <row r="196" spans="1:157" s="172" customFormat="1" hidden="1" outlineLevel="1" x14ac:dyDescent="0.2">
      <c r="A196" s="535" t="s">
        <v>339</v>
      </c>
      <c r="V196" s="173"/>
      <c r="AL196" s="194"/>
      <c r="AM196" s="196"/>
      <c r="AN196" s="196"/>
      <c r="AO196" s="196"/>
      <c r="AP196" s="196"/>
      <c r="AQ196" s="194"/>
      <c r="AR196" s="196"/>
      <c r="AS196" s="196"/>
      <c r="AT196" s="196"/>
      <c r="AU196" s="196"/>
      <c r="AV196" s="195"/>
      <c r="AW196" s="195"/>
      <c r="AX196" s="196"/>
      <c r="AY196" s="196"/>
      <c r="AZ196" s="197"/>
      <c r="BA196" s="194"/>
      <c r="BB196" s="195"/>
      <c r="BC196" s="196"/>
      <c r="BD196" s="196"/>
      <c r="BE196" s="196"/>
      <c r="BF196" s="194"/>
      <c r="BG196" s="195"/>
      <c r="BH196" s="196"/>
      <c r="BI196" s="196"/>
      <c r="BJ196" s="196"/>
      <c r="BK196" s="194"/>
      <c r="BL196" s="195"/>
      <c r="BM196" s="199"/>
      <c r="BN196" s="199"/>
      <c r="BO196" s="199"/>
      <c r="BP196" s="194"/>
      <c r="BQ196" s="199"/>
      <c r="BR196" s="199"/>
      <c r="BS196" s="199"/>
      <c r="BT196" s="199"/>
      <c r="BU196" s="194"/>
      <c r="BV196" s="198"/>
      <c r="BW196" s="199"/>
      <c r="BX196" s="199"/>
      <c r="BY196" s="199"/>
      <c r="BZ196" s="194"/>
      <c r="CA196" s="198"/>
      <c r="CB196" s="196"/>
      <c r="CC196" s="199"/>
      <c r="CD196" s="196"/>
      <c r="CE196" s="194"/>
      <c r="CF196" s="198"/>
      <c r="CG196" s="199"/>
      <c r="CH196" s="199"/>
      <c r="CI196" s="199"/>
      <c r="CJ196" s="540">
        <v>3.8800000000000001E-2</v>
      </c>
      <c r="CK196" s="198"/>
      <c r="CL196" s="199"/>
      <c r="CM196" s="196"/>
      <c r="CN196" s="196"/>
      <c r="CO196" s="540">
        <f t="shared" si="617"/>
        <v>3.8800000000000001E-2</v>
      </c>
      <c r="CP196" s="905"/>
      <c r="CQ196" s="196"/>
      <c r="CR196" s="196"/>
      <c r="CS196" s="196"/>
      <c r="CT196" s="540">
        <f t="shared" si="618"/>
        <v>3.8800000000000001E-2</v>
      </c>
      <c r="CU196" s="195"/>
      <c r="CV196" s="196"/>
      <c r="CW196" s="196"/>
      <c r="CX196" s="196"/>
      <c r="CY196" s="540">
        <f t="shared" si="619"/>
        <v>3.8800000000000001E-2</v>
      </c>
      <c r="CZ196" s="195"/>
      <c r="DA196" s="199"/>
      <c r="DB196" s="199"/>
      <c r="DC196" s="196"/>
      <c r="DD196" s="540">
        <f t="shared" si="620"/>
        <v>3.8800000000000001E-2</v>
      </c>
      <c r="DE196" s="198"/>
      <c r="DF196" s="199"/>
      <c r="DG196" s="199"/>
      <c r="DH196" s="199"/>
      <c r="DI196" s="540">
        <f t="shared" si="626"/>
        <v>3.8800000000000001E-2</v>
      </c>
      <c r="DJ196" s="198"/>
      <c r="DK196" s="199"/>
      <c r="DL196" s="199"/>
      <c r="DM196" s="199"/>
      <c r="DN196" s="540">
        <f t="shared" si="622"/>
        <v>3.8800000000000001E-2</v>
      </c>
      <c r="DO196" s="198"/>
      <c r="DP196" s="199"/>
      <c r="DQ196" s="199"/>
      <c r="DR196" s="199"/>
      <c r="DS196" s="540">
        <f t="shared" si="623"/>
        <v>3.8800000000000001E-2</v>
      </c>
      <c r="DT196" s="198"/>
      <c r="DU196" s="199"/>
      <c r="DV196" s="199"/>
      <c r="DW196" s="199"/>
      <c r="DX196" s="540">
        <f t="shared" si="629"/>
        <v>3.8800000000000001E-2</v>
      </c>
      <c r="DY196" s="198"/>
      <c r="DZ196" s="199"/>
      <c r="EA196" s="199"/>
      <c r="EB196" s="199"/>
      <c r="EC196" s="540">
        <f t="shared" si="630"/>
        <v>3.8800000000000001E-2</v>
      </c>
      <c r="EF196"/>
      <c r="EG196"/>
      <c r="EH196"/>
      <c r="EI196"/>
      <c r="EJ196"/>
      <c r="EK196"/>
      <c r="EL196"/>
      <c r="EM196"/>
      <c r="EN196"/>
      <c r="EO196"/>
      <c r="EP196"/>
      <c r="EQ196"/>
      <c r="ER196"/>
      <c r="ES196"/>
      <c r="ET196"/>
      <c r="EU196"/>
      <c r="EV196"/>
      <c r="EW196"/>
      <c r="EX196"/>
      <c r="EY196"/>
      <c r="EZ196"/>
      <c r="FA196"/>
    </row>
    <row r="197" spans="1:157" s="172" customFormat="1" hidden="1" outlineLevel="1" x14ac:dyDescent="0.2">
      <c r="A197" s="534">
        <v>41902</v>
      </c>
      <c r="V197" s="173"/>
      <c r="AL197" s="194"/>
      <c r="AM197" s="196"/>
      <c r="AN197" s="196"/>
      <c r="AO197" s="196"/>
      <c r="AP197" s="196"/>
      <c r="AQ197" s="194"/>
      <c r="AR197" s="196"/>
      <c r="AS197" s="196"/>
      <c r="AT197" s="196"/>
      <c r="AU197" s="196"/>
      <c r="AV197" s="195"/>
      <c r="AW197" s="195"/>
      <c r="AX197" s="196"/>
      <c r="AY197" s="196"/>
      <c r="AZ197" s="197"/>
      <c r="BA197" s="194"/>
      <c r="BB197" s="195"/>
      <c r="BC197" s="196"/>
      <c r="BD197" s="196"/>
      <c r="BE197" s="196"/>
      <c r="BF197" s="194"/>
      <c r="BG197" s="195"/>
      <c r="BH197" s="196"/>
      <c r="BI197" s="196"/>
      <c r="BJ197" s="196"/>
      <c r="BK197" s="194"/>
      <c r="BL197" s="195"/>
      <c r="BM197" s="199"/>
      <c r="BN197" s="199"/>
      <c r="BO197" s="199"/>
      <c r="BP197" s="194"/>
      <c r="BQ197" s="199"/>
      <c r="BR197" s="199"/>
      <c r="BS197" s="199"/>
      <c r="BT197" s="199"/>
      <c r="BU197" s="194"/>
      <c r="BV197" s="198"/>
      <c r="BW197" s="199"/>
      <c r="BX197" s="199"/>
      <c r="BY197" s="199"/>
      <c r="BZ197" s="194"/>
      <c r="CA197" s="198"/>
      <c r="CB197" s="196"/>
      <c r="CC197" s="199"/>
      <c r="CD197" s="196"/>
      <c r="CE197" s="194"/>
      <c r="CF197" s="198"/>
      <c r="CG197" s="199"/>
      <c r="CH197" s="199"/>
      <c r="CI197" s="199"/>
      <c r="CJ197" s="194">
        <v>58</v>
      </c>
      <c r="CK197" s="198"/>
      <c r="CL197" s="199"/>
      <c r="CM197" s="196"/>
      <c r="CN197" s="196"/>
      <c r="CO197" s="194"/>
      <c r="CP197" s="905"/>
      <c r="CQ197" s="196"/>
      <c r="CR197" s="196"/>
      <c r="CS197" s="196"/>
      <c r="CT197" s="194"/>
      <c r="CU197" s="195"/>
      <c r="CV197" s="196"/>
      <c r="CW197" s="196"/>
      <c r="CX197" s="196"/>
      <c r="CY197" s="194"/>
      <c r="CZ197" s="195"/>
      <c r="DA197" s="199"/>
      <c r="DB197" s="199"/>
      <c r="DC197" s="196"/>
      <c r="DD197" s="194"/>
      <c r="DE197" s="198"/>
      <c r="DF197" s="199"/>
      <c r="DG197" s="199"/>
      <c r="DH197" s="199"/>
      <c r="DI197" s="194"/>
      <c r="DJ197" s="198"/>
      <c r="DK197" s="199"/>
      <c r="DL197" s="199"/>
      <c r="DM197" s="199"/>
      <c r="DN197" s="194"/>
      <c r="DO197" s="198"/>
      <c r="DP197" s="199"/>
      <c r="DQ197" s="199"/>
      <c r="DR197" s="199"/>
      <c r="DS197" s="194"/>
      <c r="DT197" s="198"/>
      <c r="DU197" s="199"/>
      <c r="DV197" s="199"/>
      <c r="DW197" s="199"/>
      <c r="DX197" s="194"/>
      <c r="DY197" s="198"/>
      <c r="DZ197" s="199"/>
      <c r="EA197" s="199"/>
      <c r="EB197" s="199"/>
      <c r="EC197" s="194"/>
      <c r="EF197"/>
      <c r="EG197"/>
      <c r="EH197"/>
      <c r="EI197"/>
      <c r="EJ197"/>
      <c r="EK197"/>
      <c r="EL197"/>
      <c r="EM197"/>
      <c r="EN197"/>
      <c r="EO197"/>
      <c r="EP197"/>
      <c r="EQ197"/>
      <c r="ER197"/>
      <c r="ES197"/>
      <c r="ET197"/>
      <c r="EU197"/>
      <c r="EV197"/>
      <c r="EW197"/>
      <c r="EX197"/>
      <c r="EY197"/>
      <c r="EZ197"/>
      <c r="FA197"/>
    </row>
    <row r="198" spans="1:157" s="172" customFormat="1" hidden="1" outlineLevel="1" x14ac:dyDescent="0.2">
      <c r="A198" s="535" t="s">
        <v>338</v>
      </c>
      <c r="V198" s="173"/>
      <c r="AL198" s="194"/>
      <c r="AM198" s="196"/>
      <c r="AN198" s="196"/>
      <c r="AO198" s="196"/>
      <c r="AP198" s="196"/>
      <c r="AQ198" s="194"/>
      <c r="AR198" s="196"/>
      <c r="AS198" s="196"/>
      <c r="AT198" s="196"/>
      <c r="AU198" s="196"/>
      <c r="AV198" s="195"/>
      <c r="AW198" s="195"/>
      <c r="AX198" s="196"/>
      <c r="AY198" s="196"/>
      <c r="AZ198" s="197"/>
      <c r="BA198" s="194"/>
      <c r="BB198" s="195"/>
      <c r="BC198" s="196"/>
      <c r="BD198" s="196"/>
      <c r="BE198" s="196"/>
      <c r="BF198" s="194"/>
      <c r="BG198" s="195"/>
      <c r="BH198" s="196"/>
      <c r="BI198" s="196"/>
      <c r="BJ198" s="196"/>
      <c r="BK198" s="194"/>
      <c r="BL198" s="195"/>
      <c r="BM198" s="199"/>
      <c r="BN198" s="199"/>
      <c r="BO198" s="199"/>
      <c r="BP198" s="194"/>
      <c r="BQ198" s="199"/>
      <c r="BR198" s="199"/>
      <c r="BS198" s="199"/>
      <c r="BT198" s="199"/>
      <c r="BU198" s="194"/>
      <c r="BV198" s="198"/>
      <c r="BW198" s="199"/>
      <c r="BX198" s="199"/>
      <c r="BY198" s="199"/>
      <c r="BZ198" s="194"/>
      <c r="CA198" s="198"/>
      <c r="CB198" s="196"/>
      <c r="CC198" s="199"/>
      <c r="CD198" s="196"/>
      <c r="CE198" s="194"/>
      <c r="CF198" s="198"/>
      <c r="CG198" s="199"/>
      <c r="CH198" s="199"/>
      <c r="CI198" s="199"/>
      <c r="CJ198" s="540">
        <v>2.3800000000000002E-2</v>
      </c>
      <c r="CK198" s="198"/>
      <c r="CL198" s="199"/>
      <c r="CM198" s="196"/>
      <c r="CN198" s="196"/>
      <c r="CO198" s="540"/>
      <c r="CP198" s="905"/>
      <c r="CQ198" s="196"/>
      <c r="CR198" s="196"/>
      <c r="CS198" s="196"/>
      <c r="CT198" s="540"/>
      <c r="CU198" s="195"/>
      <c r="CV198" s="196"/>
      <c r="CW198" s="196"/>
      <c r="CX198" s="196"/>
      <c r="CY198" s="540"/>
      <c r="CZ198" s="195"/>
      <c r="DA198" s="199"/>
      <c r="DB198" s="199"/>
      <c r="DC198" s="196"/>
      <c r="DD198" s="540"/>
      <c r="DE198" s="198"/>
      <c r="DF198" s="199"/>
      <c r="DG198" s="199"/>
      <c r="DH198" s="199"/>
      <c r="DI198" s="540"/>
      <c r="DJ198" s="198"/>
      <c r="DK198" s="199"/>
      <c r="DL198" s="199"/>
      <c r="DM198" s="199"/>
      <c r="DN198" s="540"/>
      <c r="DO198" s="198"/>
      <c r="DP198" s="199"/>
      <c r="DQ198" s="199"/>
      <c r="DR198" s="199"/>
      <c r="DS198" s="540"/>
      <c r="DT198" s="198"/>
      <c r="DU198" s="199"/>
      <c r="DV198" s="199"/>
      <c r="DW198" s="199"/>
      <c r="DX198" s="540"/>
      <c r="DY198" s="198"/>
      <c r="DZ198" s="199"/>
      <c r="EA198" s="199"/>
      <c r="EB198" s="199"/>
      <c r="EC198" s="540"/>
      <c r="EF198"/>
      <c r="EG198"/>
      <c r="EH198"/>
      <c r="EI198"/>
      <c r="EJ198"/>
      <c r="EK198"/>
      <c r="EL198"/>
      <c r="EM198"/>
      <c r="EN198"/>
      <c r="EO198"/>
      <c r="EP198"/>
      <c r="EQ198"/>
      <c r="ER198"/>
      <c r="ES198"/>
      <c r="ET198"/>
      <c r="EU198"/>
      <c r="EV198"/>
      <c r="EW198"/>
      <c r="EX198"/>
      <c r="EY198"/>
      <c r="EZ198"/>
      <c r="FA198"/>
    </row>
    <row r="199" spans="1:157" s="172" customFormat="1" hidden="1" outlineLevel="1" x14ac:dyDescent="0.2">
      <c r="A199" s="535" t="s">
        <v>339</v>
      </c>
      <c r="V199" s="173"/>
      <c r="AL199" s="194"/>
      <c r="AM199" s="196"/>
      <c r="AN199" s="196"/>
      <c r="AO199" s="196"/>
      <c r="AP199" s="196"/>
      <c r="AQ199" s="194"/>
      <c r="AR199" s="196"/>
      <c r="AS199" s="196"/>
      <c r="AT199" s="196"/>
      <c r="AU199" s="196"/>
      <c r="AV199" s="195"/>
      <c r="AW199" s="195"/>
      <c r="AX199" s="196"/>
      <c r="AY199" s="196"/>
      <c r="AZ199" s="197"/>
      <c r="BA199" s="194"/>
      <c r="BB199" s="195"/>
      <c r="BC199" s="196"/>
      <c r="BD199" s="196"/>
      <c r="BE199" s="196"/>
      <c r="BF199" s="194"/>
      <c r="BG199" s="195"/>
      <c r="BH199" s="196"/>
      <c r="BI199" s="196"/>
      <c r="BJ199" s="196"/>
      <c r="BK199" s="194"/>
      <c r="BL199" s="195"/>
      <c r="BM199" s="199"/>
      <c r="BN199" s="199"/>
      <c r="BO199" s="199"/>
      <c r="BP199" s="194"/>
      <c r="BQ199" s="199"/>
      <c r="BR199" s="199"/>
      <c r="BS199" s="199"/>
      <c r="BT199" s="199"/>
      <c r="BU199" s="194"/>
      <c r="BV199" s="198"/>
      <c r="BW199" s="199"/>
      <c r="BX199" s="199"/>
      <c r="BY199" s="199"/>
      <c r="BZ199" s="194"/>
      <c r="CA199" s="198"/>
      <c r="CB199" s="196"/>
      <c r="CC199" s="199"/>
      <c r="CD199" s="196"/>
      <c r="CE199" s="194"/>
      <c r="CF199" s="198"/>
      <c r="CG199" s="199"/>
      <c r="CH199" s="199"/>
      <c r="CI199" s="199"/>
      <c r="CJ199" s="540">
        <v>2.8899999999999999E-2</v>
      </c>
      <c r="CK199" s="198"/>
      <c r="CL199" s="199"/>
      <c r="CM199" s="196"/>
      <c r="CN199" s="196"/>
      <c r="CO199" s="540"/>
      <c r="CP199" s="905"/>
      <c r="CQ199" s="196"/>
      <c r="CR199" s="196"/>
      <c r="CS199" s="196"/>
      <c r="CT199" s="540"/>
      <c r="CU199" s="195"/>
      <c r="CV199" s="196"/>
      <c r="CW199" s="196"/>
      <c r="CX199" s="196"/>
      <c r="CY199" s="540"/>
      <c r="CZ199" s="195"/>
      <c r="DA199" s="199"/>
      <c r="DB199" s="199"/>
      <c r="DC199" s="196"/>
      <c r="DD199" s="540"/>
      <c r="DE199" s="198"/>
      <c r="DF199" s="199"/>
      <c r="DG199" s="199"/>
      <c r="DH199" s="199"/>
      <c r="DI199" s="540"/>
      <c r="DJ199" s="198"/>
      <c r="DK199" s="199"/>
      <c r="DL199" s="199"/>
      <c r="DM199" s="199"/>
      <c r="DN199" s="540"/>
      <c r="DO199" s="198"/>
      <c r="DP199" s="199"/>
      <c r="DQ199" s="199"/>
      <c r="DR199" s="199"/>
      <c r="DS199" s="540"/>
      <c r="DT199" s="198"/>
      <c r="DU199" s="199"/>
      <c r="DV199" s="199"/>
      <c r="DW199" s="199"/>
      <c r="DX199" s="540"/>
      <c r="DY199" s="198"/>
      <c r="DZ199" s="199"/>
      <c r="EA199" s="199"/>
      <c r="EB199" s="199"/>
      <c r="EC199" s="540"/>
      <c r="EF199"/>
      <c r="EG199"/>
      <c r="EH199"/>
      <c r="EI199"/>
      <c r="EJ199"/>
      <c r="EK199"/>
      <c r="EL199"/>
      <c r="EM199"/>
      <c r="EN199"/>
      <c r="EO199"/>
      <c r="EP199"/>
      <c r="EQ199"/>
      <c r="ER199"/>
      <c r="ES199"/>
      <c r="ET199"/>
      <c r="EU199"/>
      <c r="EV199"/>
      <c r="EW199"/>
      <c r="EX199"/>
      <c r="EY199"/>
      <c r="EZ199"/>
      <c r="FA199"/>
    </row>
    <row r="200" spans="1:157" s="172" customFormat="1" hidden="1" outlineLevel="1" x14ac:dyDescent="0.2">
      <c r="A200" s="534">
        <v>45231</v>
      </c>
      <c r="V200" s="173"/>
      <c r="AL200" s="194"/>
      <c r="AM200" s="196"/>
      <c r="AN200" s="196"/>
      <c r="AO200" s="196"/>
      <c r="AP200" s="196"/>
      <c r="AQ200" s="194"/>
      <c r="AR200" s="196"/>
      <c r="AS200" s="196"/>
      <c r="AT200" s="196"/>
      <c r="AU200" s="196"/>
      <c r="AV200" s="195"/>
      <c r="AW200" s="195"/>
      <c r="AX200" s="196"/>
      <c r="AY200" s="196"/>
      <c r="AZ200" s="197"/>
      <c r="BA200" s="194"/>
      <c r="BB200" s="195"/>
      <c r="BC200" s="196"/>
      <c r="BD200" s="196"/>
      <c r="BE200" s="196"/>
      <c r="BF200" s="194"/>
      <c r="BG200" s="195"/>
      <c r="BH200" s="196"/>
      <c r="BI200" s="196"/>
      <c r="BJ200" s="196"/>
      <c r="BK200" s="194"/>
      <c r="BL200" s="195"/>
      <c r="BM200" s="199"/>
      <c r="BN200" s="199"/>
      <c r="BO200" s="199"/>
      <c r="BP200" s="194"/>
      <c r="BQ200" s="199"/>
      <c r="BR200" s="199"/>
      <c r="BS200" s="199"/>
      <c r="BT200" s="199"/>
      <c r="BU200" s="194"/>
      <c r="BV200" s="198"/>
      <c r="BW200" s="199"/>
      <c r="BX200" s="199"/>
      <c r="BY200" s="199"/>
      <c r="BZ200" s="194"/>
      <c r="CA200" s="198"/>
      <c r="CB200" s="196"/>
      <c r="CC200" s="199"/>
      <c r="CD200" s="196"/>
      <c r="CE200" s="194"/>
      <c r="CF200" s="198"/>
      <c r="CG200" s="199"/>
      <c r="CH200" s="199"/>
      <c r="CI200" s="199"/>
      <c r="CJ200" s="194">
        <v>325</v>
      </c>
      <c r="CK200" s="198"/>
      <c r="CL200" s="199"/>
      <c r="CM200" s="196"/>
      <c r="CN200" s="196"/>
      <c r="CO200" s="194">
        <f t="shared" si="617"/>
        <v>325</v>
      </c>
      <c r="CP200" s="905"/>
      <c r="CQ200" s="196"/>
      <c r="CR200" s="196"/>
      <c r="CS200" s="196"/>
      <c r="CT200" s="194">
        <f t="shared" si="618"/>
        <v>325</v>
      </c>
      <c r="CU200" s="195"/>
      <c r="CV200" s="196"/>
      <c r="CW200" s="196"/>
      <c r="CX200" s="196"/>
      <c r="CY200" s="194">
        <f t="shared" si="619"/>
        <v>325</v>
      </c>
      <c r="CZ200" s="195"/>
      <c r="DA200" s="199"/>
      <c r="DB200" s="199"/>
      <c r="DC200" s="196"/>
      <c r="DD200" s="194">
        <f t="shared" si="620"/>
        <v>325</v>
      </c>
      <c r="DE200" s="198"/>
      <c r="DF200" s="199"/>
      <c r="DG200" s="199"/>
      <c r="DH200" s="199"/>
      <c r="DI200" s="194">
        <f t="shared" ref="DI200:DI205" si="631">DD200</f>
        <v>325</v>
      </c>
      <c r="DJ200" s="198"/>
      <c r="DK200" s="199"/>
      <c r="DL200" s="199"/>
      <c r="DM200" s="199"/>
      <c r="DN200" s="194">
        <f t="shared" si="622"/>
        <v>325</v>
      </c>
      <c r="DO200" s="198"/>
      <c r="DP200" s="199"/>
      <c r="DQ200" s="199"/>
      <c r="DR200" s="199"/>
      <c r="DS200" s="194">
        <f t="shared" si="623"/>
        <v>325</v>
      </c>
      <c r="DT200" s="198"/>
      <c r="DU200" s="199"/>
      <c r="DV200" s="199"/>
      <c r="DW200" s="199"/>
      <c r="DX200" s="194">
        <f t="shared" ref="DX200:DX205" si="632">DS200</f>
        <v>325</v>
      </c>
      <c r="DY200" s="198"/>
      <c r="DZ200" s="199"/>
      <c r="EA200" s="199"/>
      <c r="EB200" s="199"/>
      <c r="EC200" s="194">
        <f t="shared" ref="EC200:EC205" si="633">DX200</f>
        <v>325</v>
      </c>
      <c r="EF200"/>
      <c r="EG200"/>
      <c r="EH200"/>
      <c r="EI200"/>
      <c r="EJ200"/>
      <c r="EK200"/>
      <c r="EL200"/>
      <c r="EM200"/>
      <c r="EN200"/>
      <c r="EO200"/>
      <c r="EP200"/>
      <c r="EQ200"/>
      <c r="ER200"/>
      <c r="ES200"/>
      <c r="ET200"/>
      <c r="EU200"/>
      <c r="EV200"/>
      <c r="EW200"/>
      <c r="EX200"/>
      <c r="EY200"/>
      <c r="EZ200"/>
      <c r="FA200"/>
    </row>
    <row r="201" spans="1:157" s="172" customFormat="1" hidden="1" outlineLevel="1" x14ac:dyDescent="0.2">
      <c r="A201" s="535" t="s">
        <v>338</v>
      </c>
      <c r="V201" s="173"/>
      <c r="AL201" s="194"/>
      <c r="AM201" s="196"/>
      <c r="AN201" s="196"/>
      <c r="AO201" s="196"/>
      <c r="AP201" s="196"/>
      <c r="AQ201" s="194"/>
      <c r="AR201" s="196"/>
      <c r="AS201" s="196"/>
      <c r="AT201" s="196"/>
      <c r="AU201" s="196"/>
      <c r="AV201" s="195"/>
      <c r="AW201" s="195"/>
      <c r="AX201" s="196"/>
      <c r="AY201" s="196"/>
      <c r="AZ201" s="197"/>
      <c r="BA201" s="194"/>
      <c r="BB201" s="195"/>
      <c r="BC201" s="196"/>
      <c r="BD201" s="196"/>
      <c r="BE201" s="196"/>
      <c r="BF201" s="194"/>
      <c r="BG201" s="195"/>
      <c r="BH201" s="196"/>
      <c r="BI201" s="196"/>
      <c r="BJ201" s="196"/>
      <c r="BK201" s="194"/>
      <c r="BL201" s="195"/>
      <c r="BM201" s="199"/>
      <c r="BN201" s="199"/>
      <c r="BO201" s="199"/>
      <c r="BP201" s="194"/>
      <c r="BQ201" s="199"/>
      <c r="BR201" s="199"/>
      <c r="BS201" s="199"/>
      <c r="BT201" s="199"/>
      <c r="BU201" s="194"/>
      <c r="BV201" s="198"/>
      <c r="BW201" s="199"/>
      <c r="BX201" s="199"/>
      <c r="BY201" s="199"/>
      <c r="BZ201" s="194"/>
      <c r="CA201" s="198"/>
      <c r="CB201" s="196"/>
      <c r="CC201" s="199"/>
      <c r="CD201" s="196"/>
      <c r="CE201" s="194"/>
      <c r="CF201" s="198"/>
      <c r="CG201" s="199"/>
      <c r="CH201" s="199"/>
      <c r="CI201" s="199"/>
      <c r="CJ201" s="540">
        <v>3.8800000000000001E-2</v>
      </c>
      <c r="CK201" s="198"/>
      <c r="CL201" s="199"/>
      <c r="CM201" s="196"/>
      <c r="CN201" s="196"/>
      <c r="CO201" s="540">
        <f t="shared" si="617"/>
        <v>3.8800000000000001E-2</v>
      </c>
      <c r="CP201" s="905"/>
      <c r="CQ201" s="196"/>
      <c r="CR201" s="196"/>
      <c r="CS201" s="196"/>
      <c r="CT201" s="540">
        <f t="shared" si="618"/>
        <v>3.8800000000000001E-2</v>
      </c>
      <c r="CU201" s="195"/>
      <c r="CV201" s="196"/>
      <c r="CW201" s="196"/>
      <c r="CX201" s="196"/>
      <c r="CY201" s="540">
        <f t="shared" si="619"/>
        <v>3.8800000000000001E-2</v>
      </c>
      <c r="CZ201" s="195"/>
      <c r="DA201" s="199"/>
      <c r="DB201" s="199"/>
      <c r="DC201" s="196"/>
      <c r="DD201" s="540">
        <f t="shared" si="620"/>
        <v>3.8800000000000001E-2</v>
      </c>
      <c r="DE201" s="198"/>
      <c r="DF201" s="199"/>
      <c r="DG201" s="199"/>
      <c r="DH201" s="199"/>
      <c r="DI201" s="540">
        <f t="shared" si="631"/>
        <v>3.8800000000000001E-2</v>
      </c>
      <c r="DJ201" s="198"/>
      <c r="DK201" s="199"/>
      <c r="DL201" s="199"/>
      <c r="DM201" s="199"/>
      <c r="DN201" s="540">
        <f t="shared" si="622"/>
        <v>3.8800000000000001E-2</v>
      </c>
      <c r="DO201" s="198"/>
      <c r="DP201" s="199"/>
      <c r="DQ201" s="199"/>
      <c r="DR201" s="199"/>
      <c r="DS201" s="540">
        <f t="shared" si="623"/>
        <v>3.8800000000000001E-2</v>
      </c>
      <c r="DT201" s="198"/>
      <c r="DU201" s="199"/>
      <c r="DV201" s="199"/>
      <c r="DW201" s="199"/>
      <c r="DX201" s="540">
        <f t="shared" si="632"/>
        <v>3.8800000000000001E-2</v>
      </c>
      <c r="DY201" s="198"/>
      <c r="DZ201" s="199"/>
      <c r="EA201" s="199"/>
      <c r="EB201" s="199"/>
      <c r="EC201" s="540">
        <f t="shared" si="633"/>
        <v>3.8800000000000001E-2</v>
      </c>
      <c r="EF201"/>
      <c r="EG201"/>
      <c r="EH201"/>
      <c r="EI201"/>
      <c r="EJ201"/>
      <c r="EK201"/>
      <c r="EL201"/>
      <c r="EM201"/>
      <c r="EN201"/>
      <c r="EO201"/>
      <c r="EP201"/>
      <c r="EQ201"/>
      <c r="ER201"/>
      <c r="ES201"/>
      <c r="ET201"/>
      <c r="EU201"/>
      <c r="EV201"/>
      <c r="EW201"/>
      <c r="EX201"/>
      <c r="EY201"/>
      <c r="EZ201"/>
      <c r="FA201"/>
    </row>
    <row r="202" spans="1:157" s="172" customFormat="1" hidden="1" outlineLevel="1" x14ac:dyDescent="0.2">
      <c r="A202" s="535" t="s">
        <v>339</v>
      </c>
      <c r="V202" s="173"/>
      <c r="AL202" s="194"/>
      <c r="AM202" s="196"/>
      <c r="AN202" s="196"/>
      <c r="AO202" s="196"/>
      <c r="AP202" s="196"/>
      <c r="AQ202" s="194"/>
      <c r="AR202" s="196"/>
      <c r="AS202" s="196"/>
      <c r="AT202" s="196"/>
      <c r="AU202" s="196"/>
      <c r="AV202" s="195"/>
      <c r="AW202" s="195"/>
      <c r="AX202" s="196"/>
      <c r="AY202" s="196"/>
      <c r="AZ202" s="197"/>
      <c r="BA202" s="194"/>
      <c r="BB202" s="195"/>
      <c r="BC202" s="196"/>
      <c r="BD202" s="196"/>
      <c r="BE202" s="196"/>
      <c r="BF202" s="194"/>
      <c r="BG202" s="195"/>
      <c r="BH202" s="196"/>
      <c r="BI202" s="196"/>
      <c r="BJ202" s="196"/>
      <c r="BK202" s="194"/>
      <c r="BL202" s="195"/>
      <c r="BM202" s="199"/>
      <c r="BN202" s="199"/>
      <c r="BO202" s="199"/>
      <c r="BP202" s="194"/>
      <c r="BQ202" s="199"/>
      <c r="BR202" s="199"/>
      <c r="BS202" s="199"/>
      <c r="BT202" s="199"/>
      <c r="BU202" s="194"/>
      <c r="BV202" s="198"/>
      <c r="BW202" s="199"/>
      <c r="BX202" s="199"/>
      <c r="BY202" s="199"/>
      <c r="BZ202" s="194"/>
      <c r="CA202" s="198"/>
      <c r="CB202" s="196"/>
      <c r="CC202" s="199"/>
      <c r="CD202" s="196"/>
      <c r="CE202" s="194"/>
      <c r="CF202" s="198"/>
      <c r="CG202" s="199"/>
      <c r="CH202" s="199"/>
      <c r="CI202" s="199"/>
      <c r="CJ202" s="540">
        <v>4.0099999999999997E-2</v>
      </c>
      <c r="CK202" s="198"/>
      <c r="CL202" s="199"/>
      <c r="CM202" s="196"/>
      <c r="CN202" s="196"/>
      <c r="CO202" s="540">
        <f t="shared" si="617"/>
        <v>4.0099999999999997E-2</v>
      </c>
      <c r="CP202" s="905"/>
      <c r="CQ202" s="196"/>
      <c r="CR202" s="196"/>
      <c r="CS202" s="196"/>
      <c r="CT202" s="540">
        <f t="shared" si="618"/>
        <v>4.0099999999999997E-2</v>
      </c>
      <c r="CU202" s="195"/>
      <c r="CV202" s="196"/>
      <c r="CW202" s="196"/>
      <c r="CX202" s="196"/>
      <c r="CY202" s="540">
        <f t="shared" si="619"/>
        <v>4.0099999999999997E-2</v>
      </c>
      <c r="CZ202" s="195"/>
      <c r="DA202" s="199"/>
      <c r="DB202" s="199"/>
      <c r="DC202" s="196"/>
      <c r="DD202" s="540">
        <f t="shared" si="620"/>
        <v>4.0099999999999997E-2</v>
      </c>
      <c r="DE202" s="198"/>
      <c r="DF202" s="199"/>
      <c r="DG202" s="199"/>
      <c r="DH202" s="199"/>
      <c r="DI202" s="540">
        <f t="shared" si="631"/>
        <v>4.0099999999999997E-2</v>
      </c>
      <c r="DJ202" s="198"/>
      <c r="DK202" s="199"/>
      <c r="DL202" s="199"/>
      <c r="DM202" s="199"/>
      <c r="DN202" s="540">
        <f t="shared" si="622"/>
        <v>4.0099999999999997E-2</v>
      </c>
      <c r="DO202" s="198"/>
      <c r="DP202" s="199"/>
      <c r="DQ202" s="199"/>
      <c r="DR202" s="199"/>
      <c r="DS202" s="540">
        <f t="shared" si="623"/>
        <v>4.0099999999999997E-2</v>
      </c>
      <c r="DT202" s="198"/>
      <c r="DU202" s="199"/>
      <c r="DV202" s="199"/>
      <c r="DW202" s="199"/>
      <c r="DX202" s="540">
        <f t="shared" si="632"/>
        <v>4.0099999999999997E-2</v>
      </c>
      <c r="DY202" s="198"/>
      <c r="DZ202" s="199"/>
      <c r="EA202" s="199"/>
      <c r="EB202" s="199"/>
      <c r="EC202" s="540">
        <f t="shared" si="633"/>
        <v>4.0099999999999997E-2</v>
      </c>
      <c r="EF202"/>
      <c r="EG202"/>
      <c r="EH202"/>
      <c r="EI202"/>
      <c r="EJ202"/>
      <c r="EK202"/>
      <c r="EL202"/>
      <c r="EM202"/>
      <c r="EN202"/>
      <c r="EO202"/>
      <c r="EP202"/>
      <c r="EQ202"/>
      <c r="ER202"/>
      <c r="ES202"/>
      <c r="ET202"/>
      <c r="EU202"/>
      <c r="EV202"/>
      <c r="EW202"/>
      <c r="EX202"/>
      <c r="EY202"/>
      <c r="EZ202"/>
      <c r="FA202"/>
    </row>
    <row r="203" spans="1:157" s="172" customFormat="1" hidden="1" outlineLevel="1" x14ac:dyDescent="0.2">
      <c r="A203" s="534">
        <v>52536</v>
      </c>
      <c r="V203" s="173"/>
      <c r="AL203" s="194"/>
      <c r="AM203" s="196"/>
      <c r="AN203" s="196"/>
      <c r="AO203" s="196"/>
      <c r="AP203" s="196"/>
      <c r="AQ203" s="194"/>
      <c r="AR203" s="196"/>
      <c r="AS203" s="196"/>
      <c r="AT203" s="196"/>
      <c r="AU203" s="196"/>
      <c r="AV203" s="195"/>
      <c r="AW203" s="195"/>
      <c r="AX203" s="196"/>
      <c r="AY203" s="196"/>
      <c r="AZ203" s="197"/>
      <c r="BA203" s="194"/>
      <c r="BB203" s="195"/>
      <c r="BC203" s="196"/>
      <c r="BD203" s="196"/>
      <c r="BE203" s="196"/>
      <c r="BF203" s="194"/>
      <c r="BG203" s="195"/>
      <c r="BH203" s="196"/>
      <c r="BI203" s="196"/>
      <c r="BJ203" s="196"/>
      <c r="BK203" s="194"/>
      <c r="BL203" s="195"/>
      <c r="BM203" s="199"/>
      <c r="BN203" s="199"/>
      <c r="BO203" s="199"/>
      <c r="BP203" s="194"/>
      <c r="BQ203" s="199"/>
      <c r="BR203" s="199"/>
      <c r="BS203" s="199"/>
      <c r="BT203" s="199"/>
      <c r="BU203" s="194"/>
      <c r="BV203" s="198"/>
      <c r="BW203" s="199"/>
      <c r="BX203" s="199"/>
      <c r="BY203" s="199"/>
      <c r="BZ203" s="194"/>
      <c r="CA203" s="198"/>
      <c r="CB203" s="196"/>
      <c r="CC203" s="199"/>
      <c r="CD203" s="196"/>
      <c r="CE203" s="194"/>
      <c r="CF203" s="198"/>
      <c r="CG203" s="199"/>
      <c r="CH203" s="199"/>
      <c r="CI203" s="199"/>
      <c r="CJ203" s="194">
        <v>275</v>
      </c>
      <c r="CK203" s="198"/>
      <c r="CL203" s="199"/>
      <c r="CM203" s="196"/>
      <c r="CN203" s="196"/>
      <c r="CO203" s="194">
        <f t="shared" si="617"/>
        <v>275</v>
      </c>
      <c r="CP203" s="905"/>
      <c r="CQ203" s="196"/>
      <c r="CR203" s="196"/>
      <c r="CS203" s="196"/>
      <c r="CT203" s="194">
        <f t="shared" si="618"/>
        <v>275</v>
      </c>
      <c r="CU203" s="195"/>
      <c r="CV203" s="196"/>
      <c r="CW203" s="196"/>
      <c r="CX203" s="196"/>
      <c r="CY203" s="194">
        <f t="shared" si="619"/>
        <v>275</v>
      </c>
      <c r="CZ203" s="195"/>
      <c r="DA203" s="199"/>
      <c r="DB203" s="199"/>
      <c r="DC203" s="196"/>
      <c r="DD203" s="194">
        <f t="shared" si="620"/>
        <v>275</v>
      </c>
      <c r="DE203" s="198"/>
      <c r="DF203" s="199"/>
      <c r="DG203" s="199"/>
      <c r="DH203" s="199"/>
      <c r="DI203" s="194">
        <f t="shared" si="631"/>
        <v>275</v>
      </c>
      <c r="DJ203" s="198"/>
      <c r="DK203" s="199"/>
      <c r="DL203" s="199"/>
      <c r="DM203" s="199"/>
      <c r="DN203" s="194">
        <f t="shared" si="622"/>
        <v>275</v>
      </c>
      <c r="DO203" s="198"/>
      <c r="DP203" s="199"/>
      <c r="DQ203" s="199"/>
      <c r="DR203" s="199"/>
      <c r="DS203" s="194">
        <f t="shared" si="623"/>
        <v>275</v>
      </c>
      <c r="DT203" s="198"/>
      <c r="DU203" s="199"/>
      <c r="DV203" s="199"/>
      <c r="DW203" s="199"/>
      <c r="DX203" s="194">
        <f t="shared" si="632"/>
        <v>275</v>
      </c>
      <c r="DY203" s="198"/>
      <c r="DZ203" s="199"/>
      <c r="EA203" s="199"/>
      <c r="EB203" s="199"/>
      <c r="EC203" s="194">
        <f t="shared" si="633"/>
        <v>275</v>
      </c>
      <c r="EF203"/>
      <c r="EG203"/>
      <c r="EH203"/>
      <c r="EI203"/>
      <c r="EJ203"/>
      <c r="EK203"/>
      <c r="EL203"/>
      <c r="EM203"/>
      <c r="EN203"/>
      <c r="EO203"/>
      <c r="EP203"/>
      <c r="EQ203"/>
      <c r="ER203"/>
      <c r="ES203"/>
      <c r="ET203"/>
      <c r="EU203"/>
      <c r="EV203"/>
      <c r="EW203"/>
      <c r="EX203"/>
      <c r="EY203"/>
      <c r="EZ203"/>
      <c r="FA203"/>
    </row>
    <row r="204" spans="1:157" s="172" customFormat="1" hidden="1" outlineLevel="1" x14ac:dyDescent="0.2">
      <c r="A204" s="535" t="s">
        <v>338</v>
      </c>
      <c r="V204" s="173"/>
      <c r="AL204" s="194"/>
      <c r="AM204" s="196"/>
      <c r="AN204" s="196"/>
      <c r="AO204" s="196"/>
      <c r="AP204" s="196"/>
      <c r="AQ204" s="194"/>
      <c r="AR204" s="196"/>
      <c r="AS204" s="196"/>
      <c r="AT204" s="196"/>
      <c r="AU204" s="196"/>
      <c r="AV204" s="195"/>
      <c r="AW204" s="195"/>
      <c r="AX204" s="196"/>
      <c r="AY204" s="196"/>
      <c r="AZ204" s="197"/>
      <c r="BA204" s="194"/>
      <c r="BB204" s="195"/>
      <c r="BC204" s="196"/>
      <c r="BD204" s="196"/>
      <c r="BE204" s="196"/>
      <c r="BF204" s="194"/>
      <c r="BG204" s="195"/>
      <c r="BH204" s="196"/>
      <c r="BI204" s="196"/>
      <c r="BJ204" s="196"/>
      <c r="BK204" s="194"/>
      <c r="BL204" s="195"/>
      <c r="BM204" s="199"/>
      <c r="BN204" s="199"/>
      <c r="BO204" s="199"/>
      <c r="BP204" s="194"/>
      <c r="BQ204" s="199"/>
      <c r="BR204" s="199"/>
      <c r="BS204" s="199"/>
      <c r="BT204" s="199"/>
      <c r="BU204" s="194"/>
      <c r="BV204" s="198"/>
      <c r="BW204" s="199"/>
      <c r="BX204" s="199"/>
      <c r="BY204" s="199"/>
      <c r="BZ204" s="194"/>
      <c r="CA204" s="198"/>
      <c r="CB204" s="196"/>
      <c r="CC204" s="199"/>
      <c r="CD204" s="196"/>
      <c r="CE204" s="194"/>
      <c r="CF204" s="198"/>
      <c r="CG204" s="199"/>
      <c r="CH204" s="199"/>
      <c r="CI204" s="199"/>
      <c r="CJ204" s="540">
        <v>5.3499999999999999E-2</v>
      </c>
      <c r="CK204" s="198"/>
      <c r="CL204" s="199"/>
      <c r="CM204" s="196"/>
      <c r="CN204" s="196"/>
      <c r="CO204" s="540">
        <f t="shared" si="617"/>
        <v>5.3499999999999999E-2</v>
      </c>
      <c r="CP204" s="905"/>
      <c r="CQ204" s="196"/>
      <c r="CR204" s="196"/>
      <c r="CS204" s="196"/>
      <c r="CT204" s="540">
        <f t="shared" si="618"/>
        <v>5.3499999999999999E-2</v>
      </c>
      <c r="CU204" s="195"/>
      <c r="CV204" s="196"/>
      <c r="CW204" s="196"/>
      <c r="CX204" s="196"/>
      <c r="CY204" s="540">
        <f t="shared" si="619"/>
        <v>5.3499999999999999E-2</v>
      </c>
      <c r="CZ204" s="195"/>
      <c r="DA204" s="199"/>
      <c r="DB204" s="199"/>
      <c r="DC204" s="196"/>
      <c r="DD204" s="540">
        <f t="shared" si="620"/>
        <v>5.3499999999999999E-2</v>
      </c>
      <c r="DE204" s="198"/>
      <c r="DF204" s="199"/>
      <c r="DG204" s="199"/>
      <c r="DH204" s="199"/>
      <c r="DI204" s="540">
        <f t="shared" si="631"/>
        <v>5.3499999999999999E-2</v>
      </c>
      <c r="DJ204" s="198"/>
      <c r="DK204" s="199"/>
      <c r="DL204" s="199"/>
      <c r="DM204" s="199"/>
      <c r="DN204" s="540">
        <f t="shared" si="622"/>
        <v>5.3499999999999999E-2</v>
      </c>
      <c r="DO204" s="198"/>
      <c r="DP204" s="199"/>
      <c r="DQ204" s="199"/>
      <c r="DR204" s="199"/>
      <c r="DS204" s="540">
        <f t="shared" si="623"/>
        <v>5.3499999999999999E-2</v>
      </c>
      <c r="DT204" s="198"/>
      <c r="DU204" s="199"/>
      <c r="DV204" s="199"/>
      <c r="DW204" s="199"/>
      <c r="DX204" s="540">
        <f t="shared" si="632"/>
        <v>5.3499999999999999E-2</v>
      </c>
      <c r="DY204" s="198"/>
      <c r="DZ204" s="199"/>
      <c r="EA204" s="199"/>
      <c r="EB204" s="199"/>
      <c r="EC204" s="540">
        <f t="shared" si="633"/>
        <v>5.3499999999999999E-2</v>
      </c>
      <c r="EF204"/>
      <c r="EG204"/>
      <c r="EH204"/>
      <c r="EI204"/>
      <c r="EJ204"/>
      <c r="EK204"/>
      <c r="EL204"/>
      <c r="EM204"/>
      <c r="EN204"/>
      <c r="EO204"/>
      <c r="EP204"/>
      <c r="EQ204"/>
      <c r="ER204"/>
      <c r="ES204"/>
      <c r="ET204"/>
      <c r="EU204"/>
      <c r="EV204"/>
      <c r="EW204"/>
      <c r="EX204"/>
      <c r="EY204"/>
      <c r="EZ204"/>
      <c r="FA204"/>
    </row>
    <row r="205" spans="1:157" s="172" customFormat="1" hidden="1" outlineLevel="1" x14ac:dyDescent="0.2">
      <c r="A205" s="535" t="s">
        <v>339</v>
      </c>
      <c r="V205" s="173"/>
      <c r="AL205" s="194"/>
      <c r="AM205" s="196"/>
      <c r="AN205" s="196"/>
      <c r="AO205" s="196"/>
      <c r="AP205" s="196"/>
      <c r="AQ205" s="194"/>
      <c r="AR205" s="196"/>
      <c r="AS205" s="196"/>
      <c r="AT205" s="196"/>
      <c r="AU205" s="196"/>
      <c r="AV205" s="195"/>
      <c r="AW205" s="195"/>
      <c r="AX205" s="196"/>
      <c r="AY205" s="196"/>
      <c r="AZ205" s="197"/>
      <c r="BA205" s="194"/>
      <c r="BB205" s="195"/>
      <c r="BC205" s="196"/>
      <c r="BD205" s="196"/>
      <c r="BE205" s="196"/>
      <c r="BF205" s="194"/>
      <c r="BG205" s="195"/>
      <c r="BH205" s="196"/>
      <c r="BI205" s="196"/>
      <c r="BJ205" s="196"/>
      <c r="BK205" s="194"/>
      <c r="BL205" s="195"/>
      <c r="BM205" s="199"/>
      <c r="BN205" s="199"/>
      <c r="BO205" s="199"/>
      <c r="BP205" s="194"/>
      <c r="BQ205" s="199"/>
      <c r="BR205" s="199"/>
      <c r="BS205" s="199"/>
      <c r="BT205" s="199"/>
      <c r="BU205" s="194"/>
      <c r="BV205" s="198"/>
      <c r="BW205" s="199"/>
      <c r="BX205" s="199"/>
      <c r="BY205" s="199"/>
      <c r="BZ205" s="194"/>
      <c r="CA205" s="198"/>
      <c r="CB205" s="196"/>
      <c r="CC205" s="199"/>
      <c r="CD205" s="196"/>
      <c r="CE205" s="194"/>
      <c r="CF205" s="198"/>
      <c r="CG205" s="199"/>
      <c r="CH205" s="199"/>
      <c r="CI205" s="199"/>
      <c r="CJ205" s="540">
        <v>5.4199999999999998E-2</v>
      </c>
      <c r="CK205" s="198"/>
      <c r="CL205" s="199"/>
      <c r="CM205" s="196"/>
      <c r="CN205" s="196"/>
      <c r="CO205" s="540">
        <f t="shared" si="617"/>
        <v>5.4199999999999998E-2</v>
      </c>
      <c r="CP205" s="905"/>
      <c r="CQ205" s="196"/>
      <c r="CR205" s="196"/>
      <c r="CS205" s="196"/>
      <c r="CT205" s="540">
        <f t="shared" si="618"/>
        <v>5.4199999999999998E-2</v>
      </c>
      <c r="CU205" s="195"/>
      <c r="CV205" s="196"/>
      <c r="CW205" s="196"/>
      <c r="CX205" s="196"/>
      <c r="CY205" s="540">
        <f t="shared" si="619"/>
        <v>5.4199999999999998E-2</v>
      </c>
      <c r="CZ205" s="195"/>
      <c r="DA205" s="199"/>
      <c r="DB205" s="199"/>
      <c r="DC205" s="196"/>
      <c r="DD205" s="540">
        <f t="shared" si="620"/>
        <v>5.4199999999999998E-2</v>
      </c>
      <c r="DE205" s="198"/>
      <c r="DF205" s="199"/>
      <c r="DG205" s="199"/>
      <c r="DH205" s="199"/>
      <c r="DI205" s="540">
        <f t="shared" si="631"/>
        <v>5.4199999999999998E-2</v>
      </c>
      <c r="DJ205" s="198"/>
      <c r="DK205" s="199"/>
      <c r="DL205" s="199"/>
      <c r="DM205" s="199"/>
      <c r="DN205" s="540">
        <f t="shared" si="622"/>
        <v>5.4199999999999998E-2</v>
      </c>
      <c r="DO205" s="198"/>
      <c r="DP205" s="199"/>
      <c r="DQ205" s="199"/>
      <c r="DR205" s="199"/>
      <c r="DS205" s="540">
        <f t="shared" si="623"/>
        <v>5.4199999999999998E-2</v>
      </c>
      <c r="DT205" s="198"/>
      <c r="DU205" s="199"/>
      <c r="DV205" s="199"/>
      <c r="DW205" s="199"/>
      <c r="DX205" s="540">
        <f t="shared" si="632"/>
        <v>5.4199999999999998E-2</v>
      </c>
      <c r="DY205" s="198"/>
      <c r="DZ205" s="199"/>
      <c r="EA205" s="199"/>
      <c r="EB205" s="199"/>
      <c r="EC205" s="540">
        <f t="shared" si="633"/>
        <v>5.4199999999999998E-2</v>
      </c>
      <c r="EF205"/>
      <c r="EG205"/>
      <c r="EH205"/>
      <c r="EI205"/>
      <c r="EJ205"/>
      <c r="EK205"/>
      <c r="EL205"/>
      <c r="EM205"/>
      <c r="EN205"/>
      <c r="EO205"/>
      <c r="EP205"/>
      <c r="EQ205"/>
      <c r="ER205"/>
      <c r="ES205"/>
      <c r="ET205"/>
      <c r="EU205"/>
      <c r="EV205"/>
      <c r="EW205"/>
      <c r="EX205"/>
      <c r="EY205"/>
      <c r="EZ205"/>
      <c r="FA205"/>
    </row>
    <row r="206" spans="1:157" s="172" customFormat="1" hidden="1" outlineLevel="1" x14ac:dyDescent="0.2">
      <c r="A206" s="535"/>
      <c r="V206" s="173"/>
      <c r="AL206" s="194"/>
      <c r="AM206" s="196"/>
      <c r="AN206" s="196"/>
      <c r="AO206" s="196"/>
      <c r="AP206" s="196"/>
      <c r="AQ206" s="194"/>
      <c r="AR206" s="196"/>
      <c r="AS206" s="196"/>
      <c r="AT206" s="196"/>
      <c r="AU206" s="196"/>
      <c r="AV206" s="195"/>
      <c r="AW206" s="195"/>
      <c r="AX206" s="196"/>
      <c r="AY206" s="196"/>
      <c r="AZ206" s="197"/>
      <c r="BA206" s="194"/>
      <c r="BB206" s="195"/>
      <c r="BC206" s="196"/>
      <c r="BD206" s="196"/>
      <c r="BE206" s="196"/>
      <c r="BF206" s="194"/>
      <c r="BG206" s="195"/>
      <c r="BH206" s="196"/>
      <c r="BI206" s="196"/>
      <c r="BJ206" s="196"/>
      <c r="BK206" s="194"/>
      <c r="BL206" s="195"/>
      <c r="BM206" s="199"/>
      <c r="BN206" s="199"/>
      <c r="BO206" s="199"/>
      <c r="BP206" s="194"/>
      <c r="BQ206" s="199"/>
      <c r="BR206" s="199"/>
      <c r="BS206" s="199"/>
      <c r="BT206" s="199"/>
      <c r="BU206" s="194"/>
      <c r="BV206" s="198"/>
      <c r="BW206" s="199"/>
      <c r="BX206" s="199"/>
      <c r="BY206" s="199"/>
      <c r="BZ206" s="194"/>
      <c r="CA206" s="198"/>
      <c r="CB206" s="196"/>
      <c r="CC206" s="199"/>
      <c r="CD206" s="196"/>
      <c r="CE206" s="194"/>
      <c r="CF206" s="198"/>
      <c r="CG206" s="199"/>
      <c r="CH206" s="199"/>
      <c r="CI206" s="199"/>
      <c r="CJ206" s="194"/>
      <c r="CK206" s="198"/>
      <c r="CL206" s="199"/>
      <c r="CM206" s="196"/>
      <c r="CN206" s="196"/>
      <c r="CO206" s="194"/>
      <c r="CP206" s="905"/>
      <c r="CQ206" s="196"/>
      <c r="CR206" s="196"/>
      <c r="CS206" s="196"/>
      <c r="CT206" s="194"/>
      <c r="CU206" s="195"/>
      <c r="CV206" s="196"/>
      <c r="CW206" s="196"/>
      <c r="CX206" s="196"/>
      <c r="CY206" s="194"/>
      <c r="CZ206" s="195"/>
      <c r="DA206" s="199"/>
      <c r="DB206" s="199"/>
      <c r="DC206" s="196"/>
      <c r="DD206" s="194"/>
      <c r="DE206" s="198"/>
      <c r="DF206" s="199"/>
      <c r="DG206" s="199"/>
      <c r="DH206" s="199"/>
      <c r="DI206" s="194"/>
      <c r="DJ206" s="198"/>
      <c r="DK206" s="199"/>
      <c r="DL206" s="199"/>
      <c r="DM206" s="199"/>
      <c r="DN206" s="194"/>
      <c r="DO206" s="198"/>
      <c r="DP206" s="199"/>
      <c r="DQ206" s="199"/>
      <c r="DR206" s="199"/>
      <c r="DS206" s="194"/>
      <c r="DT206" s="198"/>
      <c r="DU206" s="199"/>
      <c r="DV206" s="199"/>
      <c r="DW206" s="199"/>
      <c r="DX206" s="194"/>
      <c r="DY206" s="198"/>
      <c r="DZ206" s="199"/>
      <c r="EA206" s="199"/>
      <c r="EB206" s="199"/>
      <c r="EC206" s="194"/>
      <c r="EF206"/>
      <c r="EG206"/>
      <c r="EH206"/>
      <c r="EI206"/>
      <c r="EJ206"/>
      <c r="EK206"/>
      <c r="EL206"/>
      <c r="EM206"/>
      <c r="EN206"/>
      <c r="EO206"/>
      <c r="EP206"/>
      <c r="EQ206"/>
      <c r="ER206"/>
      <c r="ES206"/>
      <c r="ET206"/>
      <c r="EU206"/>
      <c r="EV206"/>
      <c r="EW206"/>
      <c r="EX206"/>
      <c r="EY206"/>
      <c r="EZ206"/>
      <c r="FA206"/>
    </row>
    <row r="207" spans="1:157" s="172" customFormat="1" ht="22.5" hidden="1" outlineLevel="1" x14ac:dyDescent="0.2">
      <c r="A207" s="534" t="s">
        <v>226</v>
      </c>
      <c r="V207" s="173"/>
      <c r="AL207" s="194"/>
      <c r="AM207" s="196"/>
      <c r="AN207" s="196"/>
      <c r="AO207" s="196"/>
      <c r="AP207" s="196"/>
      <c r="AQ207" s="194"/>
      <c r="AR207" s="196"/>
      <c r="AS207" s="196"/>
      <c r="AT207" s="196"/>
      <c r="AU207" s="196"/>
      <c r="AV207" s="195"/>
      <c r="AW207" s="195"/>
      <c r="AX207" s="196"/>
      <c r="AY207" s="196"/>
      <c r="AZ207" s="197"/>
      <c r="BA207" s="194"/>
      <c r="BB207" s="195"/>
      <c r="BC207" s="196"/>
      <c r="BD207" s="196"/>
      <c r="BE207" s="196"/>
      <c r="BF207" s="194">
        <f>(BF167*BF169)+(BF170*BF172)+(BF173*BF175)+(BF176*BF178)+(BF179*BF181)+(BF182*BF184)</f>
        <v>211.595</v>
      </c>
      <c r="BG207" s="195"/>
      <c r="BH207" s="196"/>
      <c r="BI207" s="196"/>
      <c r="BJ207" s="196"/>
      <c r="BK207" s="194">
        <f>(BK170*BK172)+(BK173*BK175)+(BK176*BK178)+(BK179*BK181)+(BK182*BK184)</f>
        <v>192.07</v>
      </c>
      <c r="BL207" s="195"/>
      <c r="BM207" s="199"/>
      <c r="BN207" s="199"/>
      <c r="BO207" s="199"/>
      <c r="BP207" s="194">
        <f>(BP170*BP172)+(BP173*BP175)+(BP176*BP178)+(BP179*BP181)+(BP182*BP184)</f>
        <v>192.07</v>
      </c>
      <c r="BQ207" s="199"/>
      <c r="BR207" s="199"/>
      <c r="BS207" s="199"/>
      <c r="BT207" s="199"/>
      <c r="BU207" s="194">
        <f>(BU170*BU172)+(BU173*BU175)+(BU176*BU178)+(BU179*BU181)+(BU182*BU184)</f>
        <v>192.07</v>
      </c>
      <c r="BV207" s="198"/>
      <c r="BW207" s="199"/>
      <c r="BX207" s="199"/>
      <c r="BY207" s="199"/>
      <c r="BZ207" s="194">
        <f>(BZ170*BZ172)+(BZ173*BZ175)+(BZ176*BZ178)+(BZ179*BZ181)+(BZ182*BZ184)</f>
        <v>132.27000000000001</v>
      </c>
      <c r="CA207" s="198"/>
      <c r="CB207" s="196"/>
      <c r="CC207" s="199"/>
      <c r="CD207" s="196"/>
      <c r="CE207" s="194">
        <f>(CE170*CE172)+(CE173*CE175)+(CE176*CE178)+(CE179*CE181)+(CE182*CE184)</f>
        <v>100.10999999999999</v>
      </c>
      <c r="CF207" s="198"/>
      <c r="CG207" s="199"/>
      <c r="CH207" s="199"/>
      <c r="CI207" s="199"/>
      <c r="CJ207" s="194">
        <f>(CJ170*CJ172)+(CJ173*CJ175)+(CJ176*CJ178)+(CJ179*CJ181)+(CJ182*CJ184)</f>
        <v>62.972500000000004</v>
      </c>
      <c r="CK207" s="198"/>
      <c r="CL207" s="199"/>
      <c r="CM207" s="196"/>
      <c r="CN207" s="196"/>
      <c r="CO207" s="194">
        <f>(CO170*CO172)+(CO173*CO175)+(CO176*CO178)+(CO179*CO181)+(CO182*CO184)</f>
        <v>62.972500000000004</v>
      </c>
      <c r="CP207" s="905"/>
      <c r="CQ207" s="196"/>
      <c r="CR207" s="196"/>
      <c r="CS207" s="196"/>
      <c r="CT207" s="194">
        <f>(CT170*CT172)+(CT173*CT175)+(CT176*CT178)+(CT179*CT181)+(CT182*CT184)</f>
        <v>62.972500000000004</v>
      </c>
      <c r="CU207" s="195"/>
      <c r="CV207" s="196"/>
      <c r="CW207" s="196"/>
      <c r="CX207" s="196"/>
      <c r="CY207" s="194">
        <f>(CY170*CY172)+(CY173*CY175)+(CY176*CY178)+(CY179*CY181)+(CY182*CY184)</f>
        <v>44.8825</v>
      </c>
      <c r="CZ207" s="195"/>
      <c r="DA207" s="199"/>
      <c r="DB207" s="199"/>
      <c r="DC207" s="196"/>
      <c r="DD207" s="194">
        <f>(DD170*DD172)+(DD173*DD175)+(DD176*DD178)+(DD179*DD181)+(DD182*DD184)</f>
        <v>44.8825</v>
      </c>
      <c r="DE207" s="198"/>
      <c r="DF207" s="199"/>
      <c r="DG207" s="199"/>
      <c r="DH207" s="199"/>
      <c r="DI207" s="194">
        <f>(DI170*DI172)+(DI173*DI175)+(DI176*DI178)+(DI179*DI181)+(DI182*DI184)</f>
        <v>44.8825</v>
      </c>
      <c r="DJ207" s="198"/>
      <c r="DK207" s="199"/>
      <c r="DL207" s="199"/>
      <c r="DM207" s="199"/>
      <c r="DN207" s="194">
        <f>(DN170*DN172)+(DN173*DN175)+(DN176*DN178)+(DN179*DN181)+(DN182*DN184)</f>
        <v>24.212499999999999</v>
      </c>
      <c r="DO207" s="198"/>
      <c r="DP207" s="199"/>
      <c r="DQ207" s="199"/>
      <c r="DR207" s="199"/>
      <c r="DS207" s="194">
        <f>(DS170*DS172)+(DS173*DS175)+(DS176*DS178)+(DS179*DS181)+(DS182*DS184)</f>
        <v>24.212499999999999</v>
      </c>
      <c r="DT207" s="198"/>
      <c r="DU207" s="199"/>
      <c r="DV207" s="199"/>
      <c r="DW207" s="199"/>
      <c r="DX207" s="194">
        <f>(DX170*DX172)+(DX173*DX175)+(DX176*DX178)+(DX179*DX181)+(DX182*DX184)</f>
        <v>24.212499999999999</v>
      </c>
      <c r="DY207" s="198"/>
      <c r="DZ207" s="199"/>
      <c r="EA207" s="199"/>
      <c r="EB207" s="199"/>
      <c r="EC207" s="194">
        <f>(EC170*EC172)+(EC173*EC175)+(EC176*EC178)+(EC179*EC181)+(EC182*EC184)</f>
        <v>24.212499999999999</v>
      </c>
      <c r="EF207"/>
      <c r="EG207"/>
      <c r="EH207"/>
      <c r="EI207"/>
      <c r="EJ207"/>
      <c r="EK207"/>
      <c r="EL207"/>
      <c r="EM207"/>
      <c r="EN207"/>
      <c r="EO207"/>
      <c r="EP207"/>
      <c r="EQ207"/>
      <c r="ER207"/>
      <c r="ES207"/>
      <c r="ET207"/>
      <c r="EU207"/>
      <c r="EV207"/>
      <c r="EW207"/>
      <c r="EX207"/>
      <c r="EY207"/>
      <c r="EZ207"/>
      <c r="FA207"/>
    </row>
    <row r="208" spans="1:157" s="172" customFormat="1" hidden="1" outlineLevel="1" x14ac:dyDescent="0.2">
      <c r="A208" s="534"/>
      <c r="V208" s="173"/>
      <c r="AL208" s="194"/>
      <c r="AM208" s="196"/>
      <c r="AN208" s="196"/>
      <c r="AO208" s="196"/>
      <c r="AP208" s="196"/>
      <c r="AQ208" s="194"/>
      <c r="AR208" s="196"/>
      <c r="AS208" s="196"/>
      <c r="AT208" s="196"/>
      <c r="AU208" s="196"/>
      <c r="AV208" s="195"/>
      <c r="AW208" s="195"/>
      <c r="AX208" s="196"/>
      <c r="AY208" s="196"/>
      <c r="AZ208" s="197"/>
      <c r="BA208" s="194"/>
      <c r="BB208" s="195"/>
      <c r="BC208" s="196"/>
      <c r="BD208" s="196"/>
      <c r="BE208" s="196"/>
      <c r="BF208" s="194"/>
      <c r="BG208" s="195"/>
      <c r="BH208" s="196"/>
      <c r="BI208" s="196"/>
      <c r="BJ208" s="196"/>
      <c r="BK208" s="194"/>
      <c r="BL208" s="195"/>
      <c r="BM208" s="199"/>
      <c r="BN208" s="199"/>
      <c r="BO208" s="199"/>
      <c r="BP208" s="453"/>
      <c r="BQ208" s="199"/>
      <c r="BR208" s="199"/>
      <c r="BS208" s="199"/>
      <c r="BT208" s="199"/>
      <c r="BU208" s="453"/>
      <c r="BV208" s="198"/>
      <c r="BW208" s="199"/>
      <c r="BX208" s="199"/>
      <c r="BY208" s="199"/>
      <c r="BZ208" s="453"/>
      <c r="CA208" s="198"/>
      <c r="CB208" s="196"/>
      <c r="CC208" s="199"/>
      <c r="CD208" s="196"/>
      <c r="CE208" s="566"/>
      <c r="CF208" s="198"/>
      <c r="CG208" s="199"/>
      <c r="CH208" s="199"/>
      <c r="CI208" s="199"/>
      <c r="CJ208" s="200"/>
      <c r="CK208" s="198"/>
      <c r="CL208" s="199"/>
      <c r="CM208" s="196"/>
      <c r="CN208" s="196"/>
      <c r="CO208" s="194"/>
      <c r="CP208" s="905"/>
      <c r="CQ208" s="196"/>
      <c r="CR208" s="196"/>
      <c r="CS208" s="196"/>
      <c r="CT208" s="194"/>
      <c r="CU208" s="195"/>
      <c r="CV208" s="196"/>
      <c r="CW208" s="196"/>
      <c r="CX208" s="196"/>
      <c r="CY208" s="194"/>
      <c r="CZ208" s="195"/>
      <c r="DA208" s="199"/>
      <c r="DB208" s="199"/>
      <c r="DC208" s="196"/>
      <c r="DD208" s="194"/>
      <c r="DE208" s="198"/>
      <c r="DF208" s="199"/>
      <c r="DG208" s="199"/>
      <c r="DH208" s="199"/>
      <c r="DI208" s="200"/>
      <c r="DJ208" s="198"/>
      <c r="DK208" s="199"/>
      <c r="DL208" s="199"/>
      <c r="DM208" s="199"/>
      <c r="DN208" s="200"/>
      <c r="DO208" s="198"/>
      <c r="DP208" s="199"/>
      <c r="DQ208" s="199"/>
      <c r="DR208" s="199"/>
      <c r="DS208" s="200"/>
      <c r="DT208" s="198"/>
      <c r="DU208" s="199"/>
      <c r="DV208" s="199"/>
      <c r="DW208" s="199"/>
      <c r="DX208" s="200"/>
      <c r="DY208" s="198"/>
      <c r="DZ208" s="199"/>
      <c r="EA208" s="199"/>
      <c r="EB208" s="199"/>
      <c r="EC208" s="200"/>
      <c r="EF208"/>
      <c r="EG208"/>
      <c r="EH208"/>
      <c r="EI208"/>
      <c r="EJ208"/>
      <c r="EK208"/>
      <c r="EL208"/>
      <c r="EM208"/>
      <c r="EN208"/>
      <c r="EO208"/>
      <c r="EP208"/>
      <c r="EQ208"/>
      <c r="ER208"/>
      <c r="ES208"/>
      <c r="ET208"/>
      <c r="EU208"/>
      <c r="EV208"/>
      <c r="EW208"/>
      <c r="EX208"/>
      <c r="EY208"/>
      <c r="EZ208"/>
      <c r="FA208"/>
    </row>
    <row r="209" spans="1:157" s="172" customFormat="1" hidden="1" outlineLevel="1" x14ac:dyDescent="0.2">
      <c r="A209" s="534" t="s">
        <v>228</v>
      </c>
      <c r="V209" s="173"/>
      <c r="AL209" s="194"/>
      <c r="AM209" s="196"/>
      <c r="AN209" s="196"/>
      <c r="AO209" s="196"/>
      <c r="AP209" s="196"/>
      <c r="AQ209" s="194"/>
      <c r="AR209" s="196"/>
      <c r="AS209" s="196"/>
      <c r="AT209" s="196"/>
      <c r="AU209" s="196"/>
      <c r="AV209" s="195"/>
      <c r="AW209" s="195"/>
      <c r="AX209" s="196"/>
      <c r="AY209" s="196"/>
      <c r="AZ209" s="197"/>
      <c r="BA209" s="194"/>
      <c r="BB209" s="195"/>
      <c r="BC209" s="196"/>
      <c r="BD209" s="196"/>
      <c r="BE209" s="196"/>
      <c r="BF209" s="544">
        <v>0.05</v>
      </c>
      <c r="BG209" s="195"/>
      <c r="BH209" s="196"/>
      <c r="BI209" s="196"/>
      <c r="BJ209" s="196"/>
      <c r="BK209" s="544">
        <v>0.05</v>
      </c>
      <c r="BL209" s="195"/>
      <c r="BM209" s="199"/>
      <c r="BN209" s="199"/>
      <c r="BO209" s="199"/>
      <c r="BP209" s="544">
        <v>0.05</v>
      </c>
      <c r="BQ209" s="199"/>
      <c r="BR209" s="199"/>
      <c r="BS209" s="199"/>
      <c r="BT209" s="199"/>
      <c r="BU209" s="544">
        <v>0.05</v>
      </c>
      <c r="BV209" s="198"/>
      <c r="BW209" s="199"/>
      <c r="BX209" s="199"/>
      <c r="BY209" s="199"/>
      <c r="BZ209" s="544">
        <v>0.05</v>
      </c>
      <c r="CA209" s="198"/>
      <c r="CB209" s="196"/>
      <c r="CC209" s="199"/>
      <c r="CD209" s="196"/>
      <c r="CE209" s="540">
        <v>0.05</v>
      </c>
      <c r="CF209" s="198"/>
      <c r="CG209" s="199"/>
      <c r="CH209" s="199"/>
      <c r="CI209" s="199"/>
      <c r="CJ209" s="544">
        <v>0.05</v>
      </c>
      <c r="CK209" s="198"/>
      <c r="CL209" s="199"/>
      <c r="CM209" s="196"/>
      <c r="CN209" s="196"/>
      <c r="CO209" s="540">
        <v>0.05</v>
      </c>
      <c r="CP209" s="905"/>
      <c r="CQ209" s="196"/>
      <c r="CR209" s="196"/>
      <c r="CS209" s="196"/>
      <c r="CT209" s="540">
        <v>0.05</v>
      </c>
      <c r="CU209" s="195"/>
      <c r="CV209" s="196"/>
      <c r="CW209" s="196"/>
      <c r="CX209" s="196"/>
      <c r="CY209" s="540">
        <v>0.05</v>
      </c>
      <c r="CZ209" s="195"/>
      <c r="DA209" s="199"/>
      <c r="DB209" s="199"/>
      <c r="DC209" s="196"/>
      <c r="DD209" s="540">
        <v>0.05</v>
      </c>
      <c r="DE209" s="198"/>
      <c r="DF209" s="199"/>
      <c r="DG209" s="199"/>
      <c r="DH209" s="199"/>
      <c r="DI209" s="544">
        <v>0.05</v>
      </c>
      <c r="DJ209" s="198"/>
      <c r="DK209" s="199"/>
      <c r="DL209" s="199"/>
      <c r="DM209" s="199"/>
      <c r="DN209" s="544">
        <v>0.05</v>
      </c>
      <c r="DO209" s="198"/>
      <c r="DP209" s="199"/>
      <c r="DQ209" s="199"/>
      <c r="DR209" s="199"/>
      <c r="DS209" s="544">
        <v>0.05</v>
      </c>
      <c r="DT209" s="198"/>
      <c r="DU209" s="199"/>
      <c r="DV209" s="199"/>
      <c r="DW209" s="199"/>
      <c r="DX209" s="544">
        <v>0.05</v>
      </c>
      <c r="DY209" s="198"/>
      <c r="DZ209" s="199"/>
      <c r="EA209" s="199"/>
      <c r="EB209" s="199"/>
      <c r="EC209" s="544">
        <v>0.05</v>
      </c>
      <c r="EF209"/>
      <c r="EG209"/>
      <c r="EH209"/>
      <c r="EI209"/>
      <c r="EJ209"/>
      <c r="EK209"/>
      <c r="EL209"/>
      <c r="EM209"/>
      <c r="EN209"/>
      <c r="EO209"/>
      <c r="EP209"/>
      <c r="EQ209"/>
      <c r="ER209"/>
      <c r="ES209"/>
      <c r="ET209"/>
      <c r="EU209"/>
      <c r="EV209"/>
      <c r="EW209"/>
      <c r="EX209"/>
      <c r="EY209"/>
      <c r="EZ209"/>
      <c r="FA209"/>
    </row>
    <row r="210" spans="1:157" s="172" customFormat="1" hidden="1" outlineLevel="1" x14ac:dyDescent="0.2">
      <c r="A210" s="534" t="s">
        <v>227</v>
      </c>
      <c r="V210" s="173"/>
      <c r="AL210" s="194"/>
      <c r="AM210" s="196"/>
      <c r="AN210" s="196"/>
      <c r="AO210" s="196"/>
      <c r="AP210" s="196"/>
      <c r="AQ210" s="194"/>
      <c r="AR210" s="196"/>
      <c r="AS210" s="196"/>
      <c r="AT210" s="196"/>
      <c r="AU210" s="196"/>
      <c r="AV210" s="195"/>
      <c r="AW210" s="195"/>
      <c r="AX210" s="196"/>
      <c r="AY210" s="196"/>
      <c r="AZ210" s="197"/>
      <c r="BA210" s="194"/>
      <c r="BB210" s="195"/>
      <c r="BC210" s="196"/>
      <c r="BD210" s="196"/>
      <c r="BE210" s="196"/>
      <c r="BF210" s="200">
        <f>BF209*BF156</f>
        <v>14.100000000000001</v>
      </c>
      <c r="BG210" s="195"/>
      <c r="BH210" s="196"/>
      <c r="BI210" s="196"/>
      <c r="BJ210" s="196"/>
      <c r="BK210" s="200">
        <f>BK209*BK156</f>
        <v>11.700000000000001</v>
      </c>
      <c r="BL210" s="195"/>
      <c r="BM210" s="199"/>
      <c r="BN210" s="199"/>
      <c r="BO210" s="199"/>
      <c r="BP210" s="200">
        <f>BP209*BP156</f>
        <v>0</v>
      </c>
      <c r="BQ210" s="199"/>
      <c r="BR210" s="199"/>
      <c r="BS210" s="199"/>
      <c r="BT210" s="199"/>
      <c r="BU210" s="200">
        <f>BU209*BU156</f>
        <v>0</v>
      </c>
      <c r="BV210" s="198"/>
      <c r="BW210" s="199"/>
      <c r="BX210" s="199"/>
      <c r="BY210" s="199"/>
      <c r="BZ210" s="200">
        <f>BZ209*BZ156</f>
        <v>21.85</v>
      </c>
      <c r="CA210" s="198"/>
      <c r="CB210" s="196"/>
      <c r="CC210" s="199"/>
      <c r="CD210" s="196"/>
      <c r="CE210" s="194">
        <f>CE209*CE156</f>
        <v>0</v>
      </c>
      <c r="CF210" s="198"/>
      <c r="CG210" s="199"/>
      <c r="CH210" s="199"/>
      <c r="CI210" s="199"/>
      <c r="CJ210" s="200">
        <f>CJ209*CJ156</f>
        <v>0</v>
      </c>
      <c r="CK210" s="198"/>
      <c r="CL210" s="199"/>
      <c r="CM210" s="196"/>
      <c r="CN210" s="196"/>
      <c r="CO210" s="194">
        <f>CO209*CO156</f>
        <v>0</v>
      </c>
      <c r="CP210" s="905"/>
      <c r="CQ210" s="196"/>
      <c r="CR210" s="196"/>
      <c r="CS210" s="196"/>
      <c r="CT210" s="194">
        <f>CT209*CT156</f>
        <v>0</v>
      </c>
      <c r="CU210" s="195"/>
      <c r="CV210" s="196"/>
      <c r="CW210" s="196"/>
      <c r="CX210" s="196"/>
      <c r="CY210" s="194">
        <f>CY209*CY156</f>
        <v>0</v>
      </c>
      <c r="CZ210" s="195"/>
      <c r="DA210" s="199"/>
      <c r="DB210" s="199"/>
      <c r="DC210" s="196"/>
      <c r="DD210" s="194">
        <f>DD209*DD156</f>
        <v>0</v>
      </c>
      <c r="DE210" s="198"/>
      <c r="DF210" s="199"/>
      <c r="DG210" s="199"/>
      <c r="DH210" s="199"/>
      <c r="DI210" s="200">
        <f>DI209*DI156</f>
        <v>0</v>
      </c>
      <c r="DJ210" s="198"/>
      <c r="DK210" s="199"/>
      <c r="DL210" s="199"/>
      <c r="DM210" s="199"/>
      <c r="DN210" s="200">
        <f>DN209*DN156</f>
        <v>0</v>
      </c>
      <c r="DO210" s="198"/>
      <c r="DP210" s="199"/>
      <c r="DQ210" s="199"/>
      <c r="DR210" s="199"/>
      <c r="DS210" s="200">
        <f>DS209*DS156</f>
        <v>0</v>
      </c>
      <c r="DT210" s="198"/>
      <c r="DU210" s="199"/>
      <c r="DV210" s="199"/>
      <c r="DW210" s="199"/>
      <c r="DX210" s="200">
        <f>DX209*DX156</f>
        <v>0</v>
      </c>
      <c r="DY210" s="198"/>
      <c r="DZ210" s="199"/>
      <c r="EA210" s="199"/>
      <c r="EB210" s="199"/>
      <c r="EC210" s="200">
        <f>EC209*EC156</f>
        <v>0</v>
      </c>
      <c r="EF210"/>
      <c r="EG210"/>
      <c r="EH210"/>
      <c r="EI210"/>
      <c r="EJ210"/>
      <c r="EK210"/>
      <c r="EL210"/>
      <c r="EM210"/>
      <c r="EN210"/>
      <c r="EO210"/>
      <c r="EP210"/>
      <c r="EQ210"/>
      <c r="ER210"/>
      <c r="ES210"/>
      <c r="ET210"/>
      <c r="EU210"/>
      <c r="EV210"/>
      <c r="EW210"/>
      <c r="EX210"/>
      <c r="EY210"/>
      <c r="EZ210"/>
      <c r="FA210"/>
    </row>
    <row r="211" spans="1:157" s="172" customFormat="1" hidden="1" outlineLevel="1" x14ac:dyDescent="0.2">
      <c r="A211" s="534" t="s">
        <v>229</v>
      </c>
      <c r="V211" s="173"/>
      <c r="AL211" s="194"/>
      <c r="AM211" s="196"/>
      <c r="AN211" s="196"/>
      <c r="AO211" s="196"/>
      <c r="AP211" s="196"/>
      <c r="AQ211" s="194"/>
      <c r="AR211" s="196"/>
      <c r="AS211" s="196"/>
      <c r="AT211" s="196"/>
      <c r="AU211" s="196"/>
      <c r="AV211" s="195"/>
      <c r="AW211" s="195"/>
      <c r="AX211" s="196"/>
      <c r="AY211" s="196"/>
      <c r="AZ211" s="197"/>
      <c r="BA211" s="194"/>
      <c r="BB211" s="195"/>
      <c r="BC211" s="196"/>
      <c r="BD211" s="196"/>
      <c r="BE211" s="196"/>
      <c r="BF211" s="194"/>
      <c r="BG211" s="195"/>
      <c r="BH211" s="196"/>
      <c r="BI211" s="196"/>
      <c r="BJ211" s="196"/>
      <c r="BK211" s="194">
        <f>BF210+BF207</f>
        <v>225.69499999999999</v>
      </c>
      <c r="BL211" s="195"/>
      <c r="BM211" s="199"/>
      <c r="BN211" s="199"/>
      <c r="BO211" s="199"/>
      <c r="BP211" s="194">
        <f>BK210+BK207</f>
        <v>203.76999999999998</v>
      </c>
      <c r="BQ211" s="199"/>
      <c r="BR211" s="199"/>
      <c r="BS211" s="199"/>
      <c r="BT211" s="199"/>
      <c r="BU211" s="194">
        <f>BP210+BP207</f>
        <v>192.07</v>
      </c>
      <c r="BV211" s="198"/>
      <c r="BW211" s="199"/>
      <c r="BX211" s="199"/>
      <c r="BY211" s="199"/>
      <c r="BZ211" s="194">
        <f>BU210+BU207</f>
        <v>192.07</v>
      </c>
      <c r="CA211" s="198"/>
      <c r="CB211" s="196"/>
      <c r="CC211" s="199"/>
      <c r="CD211" s="196"/>
      <c r="CE211" s="194">
        <f>BZ210+BZ207</f>
        <v>154.12</v>
      </c>
      <c r="CF211" s="198"/>
      <c r="CG211" s="199"/>
      <c r="CH211" s="199"/>
      <c r="CI211" s="199"/>
      <c r="CJ211" s="200"/>
      <c r="CK211" s="198"/>
      <c r="CL211" s="199"/>
      <c r="CM211" s="196"/>
      <c r="CN211" s="196"/>
      <c r="CO211" s="194"/>
      <c r="CP211" s="905"/>
      <c r="CQ211" s="196"/>
      <c r="CR211" s="196"/>
      <c r="CS211" s="196"/>
      <c r="CT211" s="194"/>
      <c r="CU211" s="195"/>
      <c r="CV211" s="196"/>
      <c r="CW211" s="196"/>
      <c r="CX211" s="196"/>
      <c r="CY211" s="194"/>
      <c r="CZ211" s="195"/>
      <c r="DA211" s="199"/>
      <c r="DB211" s="199"/>
      <c r="DC211" s="196"/>
      <c r="DD211" s="194"/>
      <c r="DE211" s="198"/>
      <c r="DF211" s="199"/>
      <c r="DG211" s="199"/>
      <c r="DH211" s="199"/>
      <c r="DI211" s="200"/>
      <c r="DJ211" s="198"/>
      <c r="DK211" s="199"/>
      <c r="DL211" s="199"/>
      <c r="DM211" s="199"/>
      <c r="DN211" s="200"/>
      <c r="DO211" s="198"/>
      <c r="DP211" s="199"/>
      <c r="DQ211" s="199"/>
      <c r="DR211" s="199"/>
      <c r="DS211" s="200"/>
      <c r="DT211" s="198"/>
      <c r="DU211" s="199"/>
      <c r="DV211" s="199"/>
      <c r="DW211" s="199"/>
      <c r="DX211" s="200"/>
      <c r="DY211" s="198"/>
      <c r="DZ211" s="199"/>
      <c r="EA211" s="199"/>
      <c r="EB211" s="199"/>
      <c r="EC211" s="200"/>
      <c r="EF211"/>
      <c r="EG211"/>
      <c r="EH211"/>
      <c r="EI211"/>
      <c r="EJ211"/>
      <c r="EK211"/>
      <c r="EL211"/>
      <c r="EM211"/>
      <c r="EN211"/>
      <c r="EO211"/>
      <c r="EP211"/>
      <c r="EQ211"/>
      <c r="ER211"/>
      <c r="ES211"/>
      <c r="ET211"/>
      <c r="EU211"/>
      <c r="EV211"/>
      <c r="EW211"/>
      <c r="EX211"/>
      <c r="EY211"/>
      <c r="EZ211"/>
      <c r="FA211"/>
    </row>
    <row r="212" spans="1:157" s="172" customFormat="1" hidden="1" outlineLevel="1" x14ac:dyDescent="0.2">
      <c r="A212" s="546" t="s">
        <v>253</v>
      </c>
      <c r="B212" s="536"/>
      <c r="C212" s="536"/>
      <c r="D212" s="536"/>
      <c r="E212" s="536"/>
      <c r="F212" s="536"/>
      <c r="G212" s="536"/>
      <c r="H212" s="536"/>
      <c r="I212" s="536"/>
      <c r="J212" s="536"/>
      <c r="K212" s="536"/>
      <c r="L212" s="536"/>
      <c r="M212" s="536"/>
      <c r="N212" s="536"/>
      <c r="O212" s="536"/>
      <c r="P212" s="536"/>
      <c r="Q212" s="536"/>
      <c r="R212" s="536"/>
      <c r="S212" s="536"/>
      <c r="T212" s="536"/>
      <c r="U212" s="536"/>
      <c r="V212" s="531"/>
      <c r="W212" s="536"/>
      <c r="X212" s="536"/>
      <c r="Y212" s="536"/>
      <c r="Z212" s="536"/>
      <c r="AA212" s="536"/>
      <c r="AB212" s="536"/>
      <c r="AC212" s="536"/>
      <c r="AD212" s="536"/>
      <c r="AE212" s="536"/>
      <c r="AF212" s="536"/>
      <c r="AG212" s="536"/>
      <c r="AH212" s="536"/>
      <c r="AI212" s="536"/>
      <c r="AJ212" s="536"/>
      <c r="AK212" s="536"/>
      <c r="AL212" s="547">
        <f>'IS '!AJ43</f>
        <v>173</v>
      </c>
      <c r="AM212" s="548"/>
      <c r="AN212" s="548"/>
      <c r="AO212" s="548"/>
      <c r="AP212" s="548"/>
      <c r="AQ212" s="547">
        <f>'IS '!AO43</f>
        <v>129</v>
      </c>
      <c r="AR212" s="548"/>
      <c r="AS212" s="548"/>
      <c r="AT212" s="548"/>
      <c r="AU212" s="548"/>
      <c r="AV212" s="547">
        <f>'IS '!AT43</f>
        <v>127</v>
      </c>
      <c r="AW212" s="549"/>
      <c r="AX212" s="548"/>
      <c r="AY212" s="548"/>
      <c r="AZ212" s="550"/>
      <c r="BA212" s="547">
        <f>'IS '!AY43</f>
        <v>154</v>
      </c>
      <c r="BB212" s="549"/>
      <c r="BC212" s="548"/>
      <c r="BD212" s="548"/>
      <c r="BE212" s="548"/>
      <c r="BF212" s="547">
        <f>'IS '!BD43</f>
        <v>166.4</v>
      </c>
      <c r="BG212" s="549"/>
      <c r="BH212" s="548"/>
      <c r="BI212" s="548"/>
      <c r="BJ212" s="548"/>
      <c r="BK212" s="547">
        <f>'IS '!BI43</f>
        <v>226</v>
      </c>
      <c r="BL212" s="549"/>
      <c r="BM212" s="551"/>
      <c r="BN212" s="551"/>
      <c r="BO212" s="551"/>
      <c r="BP212" s="547">
        <f>'IS '!BN43</f>
        <v>194</v>
      </c>
      <c r="BQ212" s="551"/>
      <c r="BR212" s="551"/>
      <c r="BS212" s="551"/>
      <c r="BT212" s="551"/>
      <c r="BU212" s="547">
        <f>'IS '!BS43</f>
        <v>175</v>
      </c>
      <c r="BV212" s="553"/>
      <c r="BW212" s="551"/>
      <c r="BX212" s="551"/>
      <c r="BY212" s="551"/>
      <c r="BZ212" s="547">
        <f>'IS '!BX43</f>
        <v>156</v>
      </c>
      <c r="CA212" s="553"/>
      <c r="CB212" s="548"/>
      <c r="CC212" s="551"/>
      <c r="CD212" s="548"/>
      <c r="CE212" s="547">
        <f>'IS '!CC43</f>
        <v>149</v>
      </c>
      <c r="CF212" s="553"/>
      <c r="CG212" s="551"/>
      <c r="CH212" s="551"/>
      <c r="CI212" s="551"/>
      <c r="CJ212" s="552"/>
      <c r="CK212" s="553"/>
      <c r="CL212" s="551"/>
      <c r="CM212" s="548"/>
      <c r="CN212" s="548"/>
      <c r="CO212" s="547"/>
      <c r="CP212" s="907"/>
      <c r="CQ212" s="548"/>
      <c r="CR212" s="548"/>
      <c r="CS212" s="548"/>
      <c r="CT212" s="547"/>
      <c r="CU212" s="549"/>
      <c r="CV212" s="548"/>
      <c r="CW212" s="548"/>
      <c r="CX212" s="548"/>
      <c r="CY212" s="547"/>
      <c r="CZ212" s="549"/>
      <c r="DA212" s="551"/>
      <c r="DB212" s="551"/>
      <c r="DC212" s="548"/>
      <c r="DD212" s="547"/>
      <c r="DE212" s="553"/>
      <c r="DF212" s="551"/>
      <c r="DG212" s="551"/>
      <c r="DH212" s="551"/>
      <c r="DI212" s="552"/>
      <c r="DJ212" s="553"/>
      <c r="DK212" s="551"/>
      <c r="DL212" s="551"/>
      <c r="DM212" s="551"/>
      <c r="DN212" s="552"/>
      <c r="DO212" s="553"/>
      <c r="DP212" s="551"/>
      <c r="DQ212" s="551"/>
      <c r="DR212" s="551"/>
      <c r="DS212" s="552"/>
      <c r="DT212" s="553"/>
      <c r="DU212" s="551"/>
      <c r="DV212" s="551"/>
      <c r="DW212" s="551"/>
      <c r="DX212" s="552"/>
      <c r="DY212" s="553"/>
      <c r="DZ212" s="551"/>
      <c r="EA212" s="551"/>
      <c r="EB212" s="551"/>
      <c r="EC212" s="552"/>
      <c r="EF212"/>
      <c r="EG212"/>
      <c r="EH212"/>
      <c r="EI212"/>
      <c r="EJ212"/>
      <c r="EK212"/>
      <c r="EL212"/>
      <c r="EM212"/>
      <c r="EN212"/>
      <c r="EO212"/>
      <c r="EP212"/>
      <c r="EQ212"/>
      <c r="ER212"/>
      <c r="ES212"/>
      <c r="ET212"/>
      <c r="EU212"/>
      <c r="EV212"/>
      <c r="EW212"/>
      <c r="EX212"/>
      <c r="EY212"/>
      <c r="EZ212"/>
      <c r="FA212"/>
    </row>
    <row r="213" spans="1:157" s="172" customFormat="1" hidden="1" outlineLevel="1" x14ac:dyDescent="0.2">
      <c r="A213" s="534"/>
      <c r="V213" s="173"/>
      <c r="AG213" s="536"/>
      <c r="AH213" s="536"/>
      <c r="AI213" s="536"/>
      <c r="AJ213" s="536"/>
      <c r="AK213" s="536"/>
      <c r="AL213" s="547">
        <f>AL212-AL211</f>
        <v>173</v>
      </c>
      <c r="AM213" s="548"/>
      <c r="AN213" s="548"/>
      <c r="AO213" s="548"/>
      <c r="AP213" s="548"/>
      <c r="AQ213" s="547">
        <f>AQ212-AQ211</f>
        <v>129</v>
      </c>
      <c r="AR213" s="548"/>
      <c r="AS213" s="548"/>
      <c r="AT213" s="548"/>
      <c r="AU213" s="548"/>
      <c r="AV213" s="547">
        <f>AV212-AV211</f>
        <v>127</v>
      </c>
      <c r="AW213" s="549"/>
      <c r="AX213" s="548"/>
      <c r="AY213" s="548"/>
      <c r="AZ213" s="550"/>
      <c r="BA213" s="547">
        <f>BA212-BA211</f>
        <v>154</v>
      </c>
      <c r="BB213" s="549"/>
      <c r="BC213" s="548"/>
      <c r="BD213" s="548"/>
      <c r="BE213" s="548"/>
      <c r="BF213" s="547">
        <f>BF212-BF211</f>
        <v>166.4</v>
      </c>
      <c r="BG213" s="549"/>
      <c r="BH213" s="548"/>
      <c r="BI213" s="548"/>
      <c r="BJ213" s="548"/>
      <c r="BK213" s="547">
        <f>BK212-BK211</f>
        <v>0.30500000000000682</v>
      </c>
      <c r="BL213" s="549"/>
      <c r="BM213" s="551"/>
      <c r="BN213" s="551"/>
      <c r="BO213" s="551"/>
      <c r="BP213" s="547">
        <f>BP212-BP211</f>
        <v>-9.7699999999999818</v>
      </c>
      <c r="BQ213" s="551"/>
      <c r="BR213" s="551"/>
      <c r="BS213" s="551"/>
      <c r="BT213" s="551"/>
      <c r="BU213" s="547">
        <f>BU212-BU211</f>
        <v>-17.069999999999993</v>
      </c>
      <c r="BV213" s="553"/>
      <c r="BW213" s="551"/>
      <c r="BX213" s="551"/>
      <c r="BY213" s="551"/>
      <c r="BZ213" s="547">
        <f>BZ212-BZ211</f>
        <v>-36.069999999999993</v>
      </c>
      <c r="CA213" s="553"/>
      <c r="CB213" s="548"/>
      <c r="CC213" s="551"/>
      <c r="CD213" s="548"/>
      <c r="CE213" s="547">
        <f>CE212-CE211</f>
        <v>-5.1200000000000045</v>
      </c>
      <c r="CF213" s="553"/>
      <c r="CG213" s="551"/>
      <c r="CH213" s="551"/>
      <c r="CI213" s="551"/>
      <c r="CJ213" s="552"/>
      <c r="CK213" s="553"/>
      <c r="CL213" s="551"/>
      <c r="CM213" s="548"/>
      <c r="CN213" s="548"/>
      <c r="CO213" s="547"/>
      <c r="CP213" s="907"/>
      <c r="CQ213" s="548"/>
      <c r="CR213" s="548"/>
      <c r="CS213" s="548"/>
      <c r="CT213" s="547"/>
      <c r="CU213" s="549"/>
      <c r="CV213" s="548"/>
      <c r="CW213" s="548"/>
      <c r="CX213" s="548"/>
      <c r="CY213" s="547"/>
      <c r="CZ213" s="549"/>
      <c r="DA213" s="551"/>
      <c r="DB213" s="551"/>
      <c r="DC213" s="548"/>
      <c r="DD213" s="547"/>
      <c r="DE213" s="553"/>
      <c r="DF213" s="551"/>
      <c r="DG213" s="551"/>
      <c r="DH213" s="551"/>
      <c r="DI213" s="552"/>
      <c r="DJ213" s="553"/>
      <c r="DK213" s="551"/>
      <c r="DL213" s="551"/>
      <c r="DM213" s="551"/>
      <c r="DN213" s="552"/>
      <c r="DO213" s="553"/>
      <c r="DP213" s="551"/>
      <c r="DQ213" s="551"/>
      <c r="DR213" s="551"/>
      <c r="DS213" s="552"/>
      <c r="DT213" s="553"/>
      <c r="DU213" s="551"/>
      <c r="DV213" s="551"/>
      <c r="DW213" s="551"/>
      <c r="DX213" s="552"/>
      <c r="DY213" s="553"/>
      <c r="DZ213" s="551"/>
      <c r="EA213" s="551"/>
      <c r="EB213" s="551"/>
      <c r="EC213" s="552"/>
      <c r="EF213"/>
      <c r="EG213"/>
      <c r="EH213"/>
      <c r="EI213"/>
      <c r="EJ213"/>
      <c r="EK213"/>
      <c r="EL213"/>
      <c r="EM213"/>
      <c r="EN213"/>
      <c r="EO213"/>
      <c r="EP213"/>
      <c r="EQ213"/>
      <c r="ER213"/>
      <c r="ES213"/>
      <c r="ET213"/>
      <c r="EU213"/>
      <c r="EV213"/>
      <c r="EW213"/>
      <c r="EX213"/>
      <c r="EY213"/>
      <c r="EZ213"/>
      <c r="FA213"/>
    </row>
    <row r="214" spans="1:157" s="172" customFormat="1" hidden="1" outlineLevel="1" x14ac:dyDescent="0.2">
      <c r="A214" s="534"/>
      <c r="V214" s="173"/>
      <c r="AL214" s="196"/>
      <c r="AM214" s="196"/>
      <c r="AN214" s="196"/>
      <c r="AO214" s="196"/>
      <c r="AP214" s="196"/>
      <c r="AQ214" s="196"/>
      <c r="AR214" s="196"/>
      <c r="AS214" s="196"/>
      <c r="AT214" s="196"/>
      <c r="AU214" s="196"/>
      <c r="AV214" s="196"/>
      <c r="AW214" s="196"/>
      <c r="AX214" s="196"/>
      <c r="AY214" s="196"/>
      <c r="AZ214" s="196"/>
      <c r="BA214" s="196"/>
      <c r="BB214" s="196"/>
      <c r="BC214" s="196"/>
      <c r="BD214" s="196"/>
      <c r="BE214" s="196"/>
      <c r="BF214" s="196"/>
      <c r="BG214" s="196"/>
      <c r="BH214" s="196"/>
      <c r="BI214" s="196"/>
      <c r="BJ214" s="196"/>
      <c r="BK214" s="196"/>
      <c r="BL214" s="196"/>
      <c r="BM214" s="199"/>
      <c r="BN214" s="199"/>
      <c r="BO214" s="199"/>
      <c r="BP214" s="199"/>
      <c r="BQ214" s="199"/>
      <c r="BR214" s="199"/>
      <c r="BS214" s="199"/>
      <c r="BT214" s="199"/>
      <c r="BU214" s="199"/>
      <c r="BV214" s="199"/>
      <c r="BW214" s="199"/>
      <c r="BX214" s="199"/>
      <c r="BY214" s="199"/>
      <c r="BZ214" s="199"/>
      <c r="CA214" s="199"/>
      <c r="CB214" s="196"/>
      <c r="CC214" s="199"/>
      <c r="CD214" s="196"/>
      <c r="CE214" s="196"/>
      <c r="CF214" s="199"/>
      <c r="CG214" s="199"/>
      <c r="CH214" s="199"/>
      <c r="CI214" s="199"/>
      <c r="CJ214" s="199"/>
      <c r="CK214" s="199"/>
      <c r="CL214" s="199"/>
      <c r="CM214" s="196"/>
      <c r="CN214" s="196"/>
      <c r="CO214" s="196"/>
      <c r="CP214" s="873"/>
      <c r="CQ214" s="196"/>
      <c r="CR214" s="196"/>
      <c r="CS214" s="196"/>
      <c r="CT214" s="196"/>
      <c r="CU214" s="196"/>
      <c r="CV214" s="196"/>
      <c r="CW214" s="196"/>
      <c r="CX214" s="196"/>
      <c r="CY214" s="196"/>
      <c r="CZ214" s="196"/>
      <c r="DA214" s="199"/>
      <c r="DB214" s="199"/>
      <c r="DC214" s="196"/>
      <c r="DD214" s="196"/>
      <c r="DE214" s="199"/>
      <c r="DF214" s="199"/>
      <c r="DG214" s="199"/>
      <c r="DH214" s="199"/>
      <c r="DI214" s="199"/>
      <c r="DJ214" s="199"/>
      <c r="DK214" s="199"/>
      <c r="DL214" s="199"/>
      <c r="DM214" s="199"/>
      <c r="DN214" s="199"/>
      <c r="DO214" s="199"/>
      <c r="DP214" s="199"/>
      <c r="DQ214" s="199"/>
      <c r="DR214" s="199"/>
      <c r="DS214" s="199"/>
      <c r="DT214" s="199"/>
      <c r="DU214" s="199"/>
      <c r="DV214" s="199"/>
      <c r="DW214" s="199"/>
      <c r="DX214" s="199"/>
      <c r="DY214" s="199"/>
      <c r="DZ214" s="199"/>
      <c r="EA214" s="199"/>
      <c r="EB214" s="199"/>
      <c r="EC214" s="199"/>
      <c r="EF214"/>
      <c r="EG214"/>
      <c r="EH214"/>
      <c r="EI214"/>
      <c r="EJ214"/>
      <c r="EK214"/>
      <c r="EL214"/>
      <c r="EM214"/>
      <c r="EN214"/>
      <c r="EO214"/>
      <c r="EP214"/>
      <c r="EQ214"/>
      <c r="ER214"/>
      <c r="ES214"/>
      <c r="ET214"/>
      <c r="EU214"/>
      <c r="EV214"/>
      <c r="EW214"/>
      <c r="EX214"/>
      <c r="EY214"/>
      <c r="EZ214"/>
      <c r="FA214"/>
    </row>
    <row r="215" spans="1:157" s="172" customFormat="1" hidden="1" outlineLevel="1" x14ac:dyDescent="0.2">
      <c r="A215" s="534"/>
      <c r="V215" s="173"/>
      <c r="AL215" s="196"/>
      <c r="AM215" s="196"/>
      <c r="AN215" s="196"/>
      <c r="AO215" s="196"/>
      <c r="AP215" s="196"/>
      <c r="AQ215" s="196"/>
      <c r="AR215" s="196"/>
      <c r="AS215" s="196"/>
      <c r="AT215" s="196"/>
      <c r="AU215" s="196"/>
      <c r="AV215" s="196"/>
      <c r="AW215" s="196"/>
      <c r="AX215" s="196"/>
      <c r="AY215" s="196"/>
      <c r="AZ215" s="196"/>
      <c r="BA215" s="196"/>
      <c r="BB215" s="196"/>
      <c r="BC215" s="196"/>
      <c r="BD215" s="196"/>
      <c r="BE215" s="196"/>
      <c r="BF215" s="196"/>
      <c r="BG215" s="196"/>
      <c r="BH215" s="196"/>
      <c r="BI215" s="196"/>
      <c r="BJ215" s="196"/>
      <c r="BK215" s="196"/>
      <c r="BL215" s="196"/>
      <c r="BM215" s="199"/>
      <c r="BN215" s="199"/>
      <c r="BO215" s="199"/>
      <c r="BP215" s="199"/>
      <c r="BQ215" s="199"/>
      <c r="BR215" s="199"/>
      <c r="BS215" s="199"/>
      <c r="BT215" s="199"/>
      <c r="BU215" s="199"/>
      <c r="BV215" s="199"/>
      <c r="BW215" s="199"/>
      <c r="BX215" s="199"/>
      <c r="BY215" s="199"/>
      <c r="BZ215" s="199"/>
      <c r="CA215" s="199"/>
      <c r="CB215" s="196"/>
      <c r="CC215" s="199"/>
      <c r="CD215" s="196"/>
      <c r="CE215" s="196"/>
      <c r="CF215" s="199"/>
      <c r="CG215" s="199"/>
      <c r="CH215" s="199"/>
      <c r="CI215" s="199"/>
      <c r="CJ215" s="199"/>
      <c r="CK215" s="199"/>
      <c r="CL215" s="199"/>
      <c r="CM215" s="196"/>
      <c r="CN215" s="196"/>
      <c r="CO215" s="196"/>
      <c r="CP215" s="873"/>
      <c r="CQ215" s="196"/>
      <c r="CR215" s="196"/>
      <c r="CS215" s="196"/>
      <c r="CT215" s="196"/>
      <c r="CU215" s="196"/>
      <c r="CV215" s="196"/>
      <c r="CW215" s="196"/>
      <c r="CX215" s="196"/>
      <c r="CY215" s="196"/>
      <c r="CZ215" s="196"/>
      <c r="DA215" s="199"/>
      <c r="DB215" s="199"/>
      <c r="DC215" s="196"/>
      <c r="DD215" s="196"/>
      <c r="DE215" s="199"/>
      <c r="DF215" s="199"/>
      <c r="DG215" s="199"/>
      <c r="DH215" s="199"/>
      <c r="DI215" s="199"/>
      <c r="DJ215" s="199"/>
      <c r="DK215" s="199"/>
      <c r="DL215" s="199"/>
      <c r="DM215" s="199"/>
      <c r="DN215" s="199"/>
      <c r="DO215" s="199"/>
      <c r="DP215" s="199"/>
      <c r="DQ215" s="199"/>
      <c r="DR215" s="199"/>
      <c r="DS215" s="199"/>
      <c r="DT215" s="199"/>
      <c r="DU215" s="199"/>
      <c r="DV215" s="199"/>
      <c r="DW215" s="199"/>
      <c r="DX215" s="199"/>
      <c r="DY215" s="199"/>
      <c r="DZ215" s="199"/>
      <c r="EA215" s="199"/>
      <c r="EB215" s="199"/>
      <c r="EC215" s="199"/>
      <c r="EF215"/>
      <c r="EG215"/>
      <c r="EH215"/>
      <c r="EI215"/>
      <c r="EJ215"/>
      <c r="EK215"/>
      <c r="EL215"/>
      <c r="EM215"/>
      <c r="EN215"/>
      <c r="EO215"/>
      <c r="EP215"/>
      <c r="EQ215"/>
      <c r="ER215"/>
      <c r="ES215"/>
      <c r="ET215"/>
      <c r="EU215"/>
      <c r="EV215"/>
      <c r="EW215"/>
      <c r="EX215"/>
      <c r="EY215"/>
      <c r="EZ215"/>
      <c r="FA215"/>
    </row>
    <row r="216" spans="1:157" s="172" customFormat="1" hidden="1" outlineLevel="1" x14ac:dyDescent="0.2">
      <c r="A216" s="534"/>
      <c r="V216" s="173"/>
      <c r="AL216" s="196"/>
      <c r="AM216" s="196"/>
      <c r="AN216" s="196"/>
      <c r="AO216" s="196"/>
      <c r="AP216" s="196"/>
      <c r="AQ216" s="196"/>
      <c r="AR216" s="196"/>
      <c r="AS216" s="196"/>
      <c r="AT216" s="196"/>
      <c r="AU216" s="196"/>
      <c r="AV216" s="196"/>
      <c r="AW216" s="196"/>
      <c r="AX216" s="196"/>
      <c r="AY216" s="196"/>
      <c r="AZ216" s="196"/>
      <c r="BA216" s="196"/>
      <c r="BB216" s="196"/>
      <c r="BC216" s="196"/>
      <c r="BD216" s="196"/>
      <c r="BE216" s="196"/>
      <c r="BF216" s="196"/>
      <c r="BG216" s="196"/>
      <c r="BH216" s="196"/>
      <c r="BI216" s="196"/>
      <c r="BJ216" s="196"/>
      <c r="BK216" s="196"/>
      <c r="BL216" s="196"/>
      <c r="BM216" s="199"/>
      <c r="BN216" s="199"/>
      <c r="BO216" s="199"/>
      <c r="BP216" s="199"/>
      <c r="BQ216" s="199"/>
      <c r="BR216" s="199"/>
      <c r="BS216" s="199"/>
      <c r="BT216" s="199"/>
      <c r="BU216" s="199"/>
      <c r="BV216" s="199"/>
      <c r="BW216" s="199"/>
      <c r="BX216" s="199"/>
      <c r="BY216" s="199"/>
      <c r="BZ216" s="199"/>
      <c r="CA216" s="199"/>
      <c r="CB216" s="196"/>
      <c r="CC216" s="199"/>
      <c r="CD216" s="196"/>
      <c r="CE216" s="196"/>
      <c r="CF216" s="199"/>
      <c r="CG216" s="199"/>
      <c r="CH216" s="199"/>
      <c r="CI216" s="199"/>
      <c r="CJ216" s="199"/>
      <c r="CK216" s="199"/>
      <c r="CL216" s="199"/>
      <c r="CM216" s="196"/>
      <c r="CN216" s="196"/>
      <c r="CO216" s="196"/>
      <c r="CP216" s="873"/>
      <c r="CQ216" s="196"/>
      <c r="CR216" s="196"/>
      <c r="CS216" s="196"/>
      <c r="CT216" s="196"/>
      <c r="CU216" s="196"/>
      <c r="CV216" s="196"/>
      <c r="CW216" s="196"/>
      <c r="CX216" s="196"/>
      <c r="CY216" s="196"/>
      <c r="CZ216" s="196"/>
      <c r="DA216" s="199"/>
      <c r="DB216" s="199"/>
      <c r="DC216" s="196"/>
      <c r="DD216" s="196"/>
      <c r="DE216" s="199"/>
      <c r="DF216" s="199"/>
      <c r="DG216" s="199"/>
      <c r="DH216" s="199"/>
      <c r="DI216" s="199"/>
      <c r="DJ216" s="199"/>
      <c r="DK216" s="199"/>
      <c r="DL216" s="199"/>
      <c r="DM216" s="199"/>
      <c r="DN216" s="199"/>
      <c r="DO216" s="199"/>
      <c r="DP216" s="199"/>
      <c r="DQ216" s="199"/>
      <c r="DR216" s="199"/>
      <c r="DS216" s="199"/>
      <c r="DT216" s="199"/>
      <c r="DU216" s="199"/>
      <c r="DV216" s="199"/>
      <c r="DW216" s="199"/>
      <c r="DX216" s="199"/>
      <c r="DY216" s="199"/>
      <c r="DZ216" s="199"/>
      <c r="EA216" s="199"/>
      <c r="EB216" s="199"/>
      <c r="EC216" s="199"/>
      <c r="EF216"/>
      <c r="EG216"/>
      <c r="EH216"/>
      <c r="EI216"/>
      <c r="EJ216"/>
      <c r="EK216"/>
      <c r="EL216"/>
      <c r="EM216"/>
      <c r="EN216"/>
      <c r="EO216"/>
      <c r="EP216"/>
      <c r="EQ216"/>
      <c r="ER216"/>
      <c r="ES216"/>
      <c r="ET216"/>
      <c r="EU216"/>
      <c r="EV216"/>
      <c r="EW216"/>
      <c r="EX216"/>
      <c r="EY216"/>
      <c r="EZ216"/>
      <c r="FA216"/>
    </row>
    <row r="217" spans="1:157" s="172" customFormat="1" hidden="1" outlineLevel="1" x14ac:dyDescent="0.2">
      <c r="A217" s="534"/>
      <c r="V217" s="173"/>
      <c r="AL217" s="196"/>
      <c r="AM217" s="196"/>
      <c r="AN217" s="196"/>
      <c r="AO217" s="196"/>
      <c r="AP217" s="196"/>
      <c r="AQ217" s="196"/>
      <c r="AR217" s="196"/>
      <c r="AS217" s="196"/>
      <c r="AT217" s="196"/>
      <c r="AU217" s="196"/>
      <c r="AV217" s="196"/>
      <c r="AW217" s="196"/>
      <c r="AX217" s="196"/>
      <c r="AY217" s="196"/>
      <c r="AZ217" s="196"/>
      <c r="BA217" s="196"/>
      <c r="BB217" s="196"/>
      <c r="BC217" s="196"/>
      <c r="BD217" s="196"/>
      <c r="BE217" s="196"/>
      <c r="BF217" s="196"/>
      <c r="BG217" s="196"/>
      <c r="BH217" s="196"/>
      <c r="BI217" s="196"/>
      <c r="BJ217" s="196"/>
      <c r="BK217" s="196"/>
      <c r="BL217" s="196"/>
      <c r="BM217" s="199"/>
      <c r="BN217" s="199"/>
      <c r="BO217" s="199"/>
      <c r="BP217" s="199"/>
      <c r="BQ217" s="199"/>
      <c r="BR217" s="199"/>
      <c r="BS217" s="199"/>
      <c r="BT217" s="199"/>
      <c r="BU217" s="199"/>
      <c r="BV217" s="199"/>
      <c r="BW217" s="199"/>
      <c r="BX217" s="199"/>
      <c r="BY217" s="199"/>
      <c r="BZ217" s="199"/>
      <c r="CA217" s="199"/>
      <c r="CB217" s="196"/>
      <c r="CC217" s="199"/>
      <c r="CD217" s="196"/>
      <c r="CE217" s="196"/>
      <c r="CF217" s="199"/>
      <c r="CG217" s="199"/>
      <c r="CH217" s="199"/>
      <c r="CI217" s="199"/>
      <c r="CJ217" s="199"/>
      <c r="CK217" s="199"/>
      <c r="CL217" s="199"/>
      <c r="CM217" s="196"/>
      <c r="CN217" s="196"/>
      <c r="CO217" s="196"/>
      <c r="CP217" s="873"/>
      <c r="CQ217" s="196"/>
      <c r="CR217" s="196"/>
      <c r="CS217" s="196"/>
      <c r="CT217" s="196"/>
      <c r="CU217" s="196"/>
      <c r="CV217" s="196"/>
      <c r="CW217" s="196"/>
      <c r="CX217" s="196"/>
      <c r="CY217" s="196"/>
      <c r="CZ217" s="196"/>
      <c r="DA217" s="199"/>
      <c r="DB217" s="199"/>
      <c r="DC217" s="196"/>
      <c r="DD217" s="196"/>
      <c r="DE217" s="199"/>
      <c r="DF217" s="199"/>
      <c r="DG217" s="199"/>
      <c r="DH217" s="199"/>
      <c r="DI217" s="199"/>
      <c r="DJ217" s="199"/>
      <c r="DK217" s="199"/>
      <c r="DL217" s="199"/>
      <c r="DM217" s="199"/>
      <c r="DN217" s="199"/>
      <c r="DO217" s="199"/>
      <c r="DP217" s="199"/>
      <c r="DQ217" s="199"/>
      <c r="DR217" s="199"/>
      <c r="DS217" s="199"/>
      <c r="DT217" s="199"/>
      <c r="DU217" s="199"/>
      <c r="DV217" s="199"/>
      <c r="DW217" s="199"/>
      <c r="DX217" s="199"/>
      <c r="DY217" s="199"/>
      <c r="DZ217" s="199"/>
      <c r="EA217" s="199"/>
      <c r="EB217" s="199"/>
      <c r="EC217" s="199"/>
      <c r="EF217"/>
      <c r="EG217"/>
      <c r="EH217"/>
      <c r="EI217"/>
      <c r="EJ217"/>
      <c r="EK217"/>
      <c r="EL217"/>
      <c r="EM217"/>
      <c r="EN217"/>
      <c r="EO217"/>
      <c r="EP217"/>
      <c r="EQ217"/>
      <c r="ER217"/>
      <c r="ES217"/>
      <c r="ET217"/>
      <c r="EU217"/>
      <c r="EV217"/>
      <c r="EW217"/>
      <c r="EX217"/>
      <c r="EY217"/>
      <c r="EZ217"/>
      <c r="FA217"/>
    </row>
    <row r="218" spans="1:157" s="172" customFormat="1" ht="22.5" hidden="1" outlineLevel="1" x14ac:dyDescent="0.2">
      <c r="A218" s="533" t="s">
        <v>333</v>
      </c>
      <c r="V218" s="173"/>
      <c r="AR218" s="175"/>
      <c r="AS218" s="175"/>
      <c r="AT218" s="175"/>
      <c r="AU218" s="175"/>
      <c r="CP218" s="871"/>
      <c r="ED218" s="172" t="s">
        <v>335</v>
      </c>
      <c r="EF218"/>
      <c r="EG218"/>
      <c r="EH218"/>
      <c r="EI218"/>
      <c r="EJ218"/>
      <c r="EK218"/>
      <c r="EL218"/>
      <c r="EM218"/>
      <c r="EN218"/>
      <c r="EO218"/>
      <c r="EP218"/>
      <c r="EQ218"/>
      <c r="ER218"/>
      <c r="ES218"/>
      <c r="ET218"/>
      <c r="EU218"/>
      <c r="EV218"/>
      <c r="EW218"/>
      <c r="EX218"/>
      <c r="EY218"/>
      <c r="EZ218"/>
      <c r="FA218"/>
    </row>
    <row r="219" spans="1:157" s="172" customFormat="1" hidden="1" outlineLevel="1" x14ac:dyDescent="0.2">
      <c r="A219" s="174" t="s">
        <v>336</v>
      </c>
      <c r="V219" s="173"/>
      <c r="AG219" s="409"/>
      <c r="AH219" s="409"/>
      <c r="AI219" s="409"/>
      <c r="AJ219" s="409"/>
      <c r="AK219" s="409"/>
      <c r="AL219" s="409"/>
      <c r="AM219" s="409"/>
      <c r="AN219" s="409"/>
      <c r="AO219" s="409"/>
      <c r="AP219" s="409"/>
      <c r="AQ219" s="409"/>
      <c r="AR219" s="409"/>
      <c r="AS219" s="409"/>
      <c r="AT219" s="409"/>
      <c r="AU219" s="409"/>
      <c r="AV219" s="409"/>
      <c r="AW219" s="409"/>
      <c r="AX219" s="409"/>
      <c r="AY219" s="409"/>
      <c r="AZ219" s="409"/>
      <c r="BA219" s="409"/>
      <c r="BB219" s="409"/>
      <c r="BC219" s="409"/>
      <c r="BD219" s="409"/>
      <c r="BE219" s="409"/>
      <c r="BF219" s="409"/>
      <c r="BG219" s="409"/>
      <c r="BH219" s="409"/>
      <c r="BI219" s="409"/>
      <c r="BJ219" s="409"/>
      <c r="BK219" s="409"/>
      <c r="BL219" s="409"/>
      <c r="BM219" s="409"/>
      <c r="BN219" s="409"/>
      <c r="BO219" s="409"/>
      <c r="BP219" s="409">
        <v>12</v>
      </c>
      <c r="BQ219" s="409"/>
      <c r="BR219" s="409"/>
      <c r="BS219" s="409"/>
      <c r="BT219" s="409"/>
      <c r="BU219" s="409">
        <v>3</v>
      </c>
      <c r="BV219" s="409"/>
      <c r="BW219" s="409"/>
      <c r="BX219" s="409"/>
      <c r="BY219" s="409"/>
      <c r="BZ219" s="409">
        <v>1029</v>
      </c>
      <c r="CA219" s="409"/>
      <c r="CB219" s="409"/>
      <c r="CC219" s="409"/>
      <c r="CD219" s="409"/>
      <c r="CE219" s="409">
        <v>704</v>
      </c>
      <c r="CF219" s="409"/>
      <c r="CG219" s="409"/>
      <c r="CH219" s="409"/>
      <c r="CI219" s="409"/>
      <c r="CJ219" s="409">
        <v>5</v>
      </c>
      <c r="CK219" s="409"/>
      <c r="CL219" s="409"/>
      <c r="CM219" s="409"/>
      <c r="CN219" s="409"/>
      <c r="CO219" s="409">
        <v>5</v>
      </c>
      <c r="CP219" s="908"/>
      <c r="CQ219" s="409"/>
      <c r="CR219" s="409"/>
      <c r="CS219" s="409"/>
      <c r="CT219" s="409">
        <v>5</v>
      </c>
      <c r="CU219" s="409"/>
      <c r="CV219" s="409"/>
      <c r="CW219" s="409"/>
      <c r="CX219" s="409"/>
      <c r="CY219" s="409">
        <v>5</v>
      </c>
      <c r="CZ219" s="409"/>
      <c r="DA219" s="409"/>
      <c r="DB219" s="409"/>
      <c r="DC219" s="409"/>
      <c r="DD219" s="409">
        <v>5</v>
      </c>
      <c r="DE219" s="409"/>
      <c r="DF219" s="409"/>
      <c r="DG219" s="409"/>
      <c r="DH219" s="409"/>
      <c r="DI219" s="409">
        <v>5</v>
      </c>
      <c r="DJ219" s="409"/>
      <c r="DK219" s="409"/>
      <c r="DL219" s="409"/>
      <c r="DM219" s="409"/>
      <c r="DN219" s="409">
        <v>5</v>
      </c>
      <c r="DO219" s="409"/>
      <c r="DP219" s="409"/>
      <c r="DQ219" s="409"/>
      <c r="DR219" s="409"/>
      <c r="DS219" s="409">
        <v>5</v>
      </c>
      <c r="DT219" s="409"/>
      <c r="DU219" s="409"/>
      <c r="DV219" s="409"/>
      <c r="DW219" s="409"/>
      <c r="DX219" s="409">
        <v>5</v>
      </c>
      <c r="DY219" s="409"/>
      <c r="DZ219" s="409"/>
      <c r="EA219" s="409"/>
      <c r="EB219" s="409"/>
      <c r="EC219" s="409">
        <v>5</v>
      </c>
      <c r="ED219" s="409">
        <v>1551</v>
      </c>
      <c r="EF219"/>
      <c r="EG219"/>
      <c r="EH219"/>
      <c r="EI219"/>
      <c r="EJ219"/>
      <c r="EK219"/>
      <c r="EL219"/>
      <c r="EM219"/>
      <c r="EN219"/>
      <c r="EO219"/>
      <c r="EP219"/>
      <c r="EQ219"/>
      <c r="ER219"/>
      <c r="ES219"/>
      <c r="ET219"/>
      <c r="EU219"/>
      <c r="EV219"/>
      <c r="EW219"/>
      <c r="EX219"/>
      <c r="EY219"/>
      <c r="EZ219"/>
      <c r="FA219"/>
    </row>
    <row r="220" spans="1:157" s="172" customFormat="1" hidden="1" outlineLevel="1" x14ac:dyDescent="0.2">
      <c r="A220" s="174" t="s">
        <v>334</v>
      </c>
      <c r="V220" s="173"/>
      <c r="AG220" s="409"/>
      <c r="AH220" s="409"/>
      <c r="AI220" s="409"/>
      <c r="AJ220" s="409"/>
      <c r="AK220" s="409"/>
      <c r="AL220" s="409"/>
      <c r="AM220" s="409"/>
      <c r="AN220" s="409"/>
      <c r="AO220" s="409"/>
      <c r="AP220" s="409"/>
      <c r="AQ220" s="409"/>
      <c r="AR220" s="532"/>
      <c r="AS220" s="532"/>
      <c r="AT220" s="532"/>
      <c r="AU220" s="532"/>
      <c r="AV220" s="409"/>
      <c r="AW220" s="409"/>
      <c r="AX220" s="409"/>
      <c r="AY220" s="409"/>
      <c r="AZ220" s="409"/>
      <c r="BA220" s="409"/>
      <c r="BB220" s="409"/>
      <c r="BC220" s="409"/>
      <c r="BD220" s="409"/>
      <c r="BE220" s="409"/>
      <c r="BF220" s="409"/>
      <c r="BG220" s="409"/>
      <c r="BH220" s="409"/>
      <c r="BI220" s="409"/>
      <c r="BJ220" s="409"/>
      <c r="BK220" s="409">
        <v>273</v>
      </c>
      <c r="BL220" s="409"/>
      <c r="BM220" s="409"/>
      <c r="BN220" s="409"/>
      <c r="BO220" s="409"/>
      <c r="BP220" s="409">
        <v>3</v>
      </c>
      <c r="BQ220" s="409"/>
      <c r="BR220" s="409"/>
      <c r="BS220" s="409"/>
      <c r="BT220" s="409"/>
      <c r="BU220" s="409">
        <v>3</v>
      </c>
      <c r="BV220" s="409"/>
      <c r="BW220" s="409"/>
      <c r="BX220" s="409"/>
      <c r="BY220" s="409"/>
      <c r="BZ220" s="409">
        <v>654</v>
      </c>
      <c r="CA220" s="409"/>
      <c r="CB220" s="409"/>
      <c r="CC220" s="409"/>
      <c r="CD220" s="409"/>
      <c r="CE220" s="409">
        <v>433</v>
      </c>
      <c r="CF220" s="409"/>
      <c r="CG220" s="409"/>
      <c r="CH220" s="409"/>
      <c r="CI220" s="409"/>
      <c r="CJ220" s="409"/>
      <c r="CK220" s="409"/>
      <c r="CL220" s="409"/>
      <c r="CM220" s="409"/>
      <c r="CN220" s="409"/>
      <c r="CO220" s="409"/>
      <c r="CP220" s="908"/>
      <c r="CQ220" s="409"/>
      <c r="CR220" s="409"/>
      <c r="CS220" s="409"/>
      <c r="CT220" s="409"/>
      <c r="CU220" s="409"/>
      <c r="CV220" s="409"/>
      <c r="CW220" s="409"/>
      <c r="CX220" s="409"/>
      <c r="CY220" s="409"/>
      <c r="CZ220" s="409"/>
      <c r="DA220" s="409"/>
      <c r="DB220" s="409"/>
      <c r="DC220" s="409"/>
      <c r="DD220" s="409"/>
      <c r="DE220" s="409"/>
      <c r="DF220" s="409"/>
      <c r="DG220" s="409"/>
      <c r="DH220" s="409"/>
      <c r="DI220" s="409"/>
      <c r="DJ220" s="409"/>
      <c r="DK220" s="409"/>
      <c r="DL220" s="409"/>
      <c r="DM220" s="409"/>
      <c r="DN220" s="409"/>
      <c r="DO220" s="409"/>
      <c r="DP220" s="409"/>
      <c r="DQ220" s="409"/>
      <c r="DR220" s="409"/>
      <c r="DS220" s="409"/>
      <c r="DT220" s="409"/>
      <c r="DU220" s="409"/>
      <c r="DV220" s="409"/>
      <c r="DW220" s="409"/>
      <c r="DX220" s="409"/>
      <c r="DY220" s="409"/>
      <c r="DZ220" s="409"/>
      <c r="EA220" s="409"/>
      <c r="EB220" s="409"/>
      <c r="EC220" s="409"/>
      <c r="ED220" s="409">
        <v>1555</v>
      </c>
      <c r="EF220"/>
      <c r="EG220"/>
      <c r="EH220"/>
      <c r="EI220"/>
      <c r="EJ220"/>
      <c r="EK220"/>
      <c r="EL220"/>
      <c r="EM220"/>
      <c r="EN220"/>
      <c r="EO220"/>
      <c r="EP220"/>
      <c r="EQ220"/>
      <c r="ER220"/>
      <c r="ES220"/>
      <c r="ET220"/>
      <c r="EU220"/>
      <c r="EV220"/>
      <c r="EW220"/>
      <c r="EX220"/>
      <c r="EY220"/>
      <c r="EZ220"/>
      <c r="FA220"/>
    </row>
    <row r="221" spans="1:157" hidden="1" outlineLevel="1" x14ac:dyDescent="0.2"/>
    <row r="222" spans="1:157" hidden="1" outlineLevel="1" x14ac:dyDescent="0.2"/>
    <row r="223" spans="1:157" hidden="1" outlineLevel="1" x14ac:dyDescent="0.2"/>
    <row r="224" spans="1:157" collapsed="1" x14ac:dyDescent="0.2"/>
    <row r="225" spans="1:157" s="969" customFormat="1" collapsed="1" x14ac:dyDescent="0.2">
      <c r="CD225" s="931"/>
      <c r="CE225" s="931"/>
      <c r="CM225" s="844"/>
      <c r="CN225" s="844"/>
      <c r="CO225" s="844"/>
      <c r="CP225" s="981"/>
      <c r="CQ225" s="844"/>
      <c r="CR225" s="844"/>
      <c r="CS225" s="844"/>
      <c r="CT225" s="844"/>
      <c r="CU225" s="844"/>
      <c r="CV225" s="844"/>
      <c r="CW225" s="844"/>
      <c r="CX225" s="844"/>
      <c r="CY225" s="844"/>
      <c r="CZ225" s="844"/>
      <c r="DC225" s="844"/>
      <c r="DD225" s="844"/>
      <c r="DT225" s="2152"/>
      <c r="DU225" s="2152"/>
      <c r="DV225" s="2152"/>
      <c r="DW225" s="2152"/>
      <c r="DX225" s="2152"/>
      <c r="DY225" s="2152"/>
      <c r="DZ225" s="2152"/>
      <c r="EA225" s="2152"/>
      <c r="EB225" s="2152"/>
      <c r="EC225" s="2152"/>
      <c r="EF225"/>
      <c r="EG225"/>
      <c r="EH225"/>
      <c r="EI225"/>
      <c r="EJ225"/>
      <c r="EK225"/>
      <c r="EL225"/>
      <c r="EM225"/>
      <c r="EN225"/>
      <c r="EO225"/>
      <c r="EP225"/>
      <c r="EQ225"/>
      <c r="ER225"/>
      <c r="ES225"/>
      <c r="ET225"/>
      <c r="EU225"/>
      <c r="EV225"/>
      <c r="EW225"/>
      <c r="EX225"/>
      <c r="EY225"/>
      <c r="EZ225"/>
      <c r="FA225"/>
    </row>
    <row r="226" spans="1:157" s="854" customFormat="1" x14ac:dyDescent="0.2">
      <c r="A226" s="854" t="s">
        <v>621</v>
      </c>
      <c r="CD226" s="979"/>
      <c r="CE226" s="979"/>
      <c r="CP226" s="1025"/>
      <c r="EF226"/>
      <c r="EG226"/>
      <c r="EH226"/>
      <c r="EI226"/>
      <c r="EJ226"/>
      <c r="EK226"/>
      <c r="EL226"/>
      <c r="EM226"/>
      <c r="EN226"/>
      <c r="EO226"/>
      <c r="EP226"/>
      <c r="EQ226"/>
      <c r="ER226"/>
      <c r="ES226"/>
      <c r="ET226"/>
      <c r="EU226"/>
      <c r="EV226"/>
      <c r="EW226"/>
      <c r="EX226"/>
      <c r="EY226"/>
      <c r="EZ226"/>
      <c r="FA226"/>
    </row>
    <row r="227" spans="1:157" s="984" customFormat="1" x14ac:dyDescent="0.2">
      <c r="A227" s="831" t="s">
        <v>622</v>
      </c>
      <c r="B227" s="987"/>
      <c r="C227" s="987"/>
      <c r="D227" s="987"/>
      <c r="E227" s="987"/>
      <c r="F227" s="987"/>
      <c r="G227" s="987"/>
      <c r="H227" s="987"/>
      <c r="I227" s="987"/>
      <c r="J227" s="987"/>
      <c r="K227" s="987"/>
      <c r="L227" s="987"/>
      <c r="M227" s="987"/>
      <c r="N227" s="987"/>
      <c r="O227" s="987"/>
      <c r="P227" s="987"/>
      <c r="Q227" s="987"/>
      <c r="R227" s="987"/>
      <c r="S227" s="987"/>
      <c r="T227" s="987"/>
      <c r="U227" s="987"/>
      <c r="V227" s="988"/>
      <c r="W227" s="987"/>
      <c r="X227" s="987"/>
      <c r="Y227" s="987"/>
      <c r="Z227" s="987"/>
      <c r="AA227" s="987"/>
      <c r="AB227" s="987"/>
      <c r="AC227" s="987"/>
      <c r="AD227" s="987"/>
      <c r="AE227" s="987"/>
      <c r="AF227" s="987"/>
      <c r="AG227" s="987"/>
      <c r="AH227" s="987"/>
      <c r="AI227" s="987"/>
      <c r="AJ227" s="987"/>
      <c r="AK227" s="987"/>
      <c r="AL227" s="987"/>
      <c r="AM227" s="989"/>
      <c r="AN227" s="989"/>
      <c r="AO227" s="989"/>
      <c r="AP227" s="989"/>
      <c r="AQ227" s="989"/>
      <c r="AR227" s="989"/>
      <c r="AS227" s="989"/>
      <c r="AT227" s="989"/>
      <c r="AU227" s="989"/>
      <c r="AV227" s="989"/>
      <c r="AW227" s="989"/>
      <c r="AX227" s="989"/>
      <c r="AY227" s="989"/>
      <c r="AZ227" s="989"/>
      <c r="BA227" s="987"/>
      <c r="BB227" s="989"/>
      <c r="BC227" s="989"/>
      <c r="BD227" s="989"/>
      <c r="BE227" s="989"/>
      <c r="BF227" s="987"/>
      <c r="BG227" s="989"/>
      <c r="BH227" s="989"/>
      <c r="BI227" s="989"/>
      <c r="BJ227" s="989"/>
      <c r="BK227" s="987"/>
      <c r="BL227" s="989"/>
      <c r="BM227" s="989"/>
      <c r="BN227" s="989"/>
      <c r="BO227" s="989"/>
      <c r="BP227" s="987"/>
      <c r="BQ227" s="989"/>
      <c r="BR227" s="989"/>
      <c r="BS227" s="989"/>
      <c r="BT227" s="989"/>
      <c r="BU227" s="987"/>
      <c r="BV227" s="989"/>
      <c r="BW227" s="989"/>
      <c r="BX227" s="989"/>
      <c r="BY227" s="989"/>
      <c r="BZ227" s="986"/>
      <c r="CA227" s="989"/>
      <c r="CB227" s="989"/>
      <c r="CC227" s="989"/>
      <c r="CD227" s="989"/>
      <c r="CE227" s="986"/>
      <c r="CF227" s="989"/>
      <c r="CG227" s="989"/>
      <c r="CH227" s="989"/>
      <c r="CI227" s="989"/>
      <c r="CJ227" s="986"/>
      <c r="CK227" s="989"/>
      <c r="CL227" s="989"/>
      <c r="CM227" s="989"/>
      <c r="CN227" s="989"/>
      <c r="CO227" s="986"/>
      <c r="CP227" s="990"/>
      <c r="CQ227" s="989"/>
      <c r="CR227" s="989"/>
      <c r="CS227" s="989"/>
      <c r="CT227" s="986"/>
      <c r="CU227" s="989"/>
      <c r="CV227" s="989"/>
      <c r="CW227" s="989"/>
      <c r="CX227" s="989"/>
      <c r="CY227" s="986"/>
      <c r="CZ227" s="989"/>
      <c r="DA227" s="991"/>
      <c r="DB227" s="991"/>
      <c r="DC227" s="989"/>
      <c r="DD227" s="986"/>
      <c r="DE227" s="991"/>
      <c r="DF227" s="991"/>
      <c r="DG227" s="991"/>
      <c r="DH227" s="991"/>
      <c r="DI227" s="2181"/>
      <c r="DJ227" s="991"/>
      <c r="DK227" s="991"/>
      <c r="DL227" s="991"/>
      <c r="DM227" s="991"/>
      <c r="DN227" s="986"/>
      <c r="DO227" s="991"/>
      <c r="DP227" s="991"/>
      <c r="DQ227" s="991"/>
      <c r="DR227" s="991"/>
      <c r="DS227" s="986"/>
      <c r="DT227" s="991"/>
      <c r="DU227" s="991"/>
      <c r="DV227" s="991"/>
      <c r="DW227" s="991"/>
      <c r="DX227" s="986"/>
      <c r="DY227" s="991"/>
      <c r="DZ227" s="991"/>
      <c r="EA227" s="991"/>
      <c r="EB227" s="991"/>
      <c r="EC227" s="986"/>
      <c r="EF227"/>
      <c r="EG227"/>
      <c r="EH227"/>
      <c r="EI227"/>
      <c r="EJ227"/>
      <c r="EK227"/>
      <c r="EL227"/>
      <c r="EM227"/>
      <c r="EN227"/>
      <c r="EO227"/>
      <c r="EP227"/>
      <c r="EQ227"/>
      <c r="ER227"/>
      <c r="ES227"/>
      <c r="ET227"/>
      <c r="EU227"/>
      <c r="EV227"/>
      <c r="EW227"/>
      <c r="EX227"/>
      <c r="EY227"/>
      <c r="EZ227"/>
      <c r="FA227"/>
    </row>
    <row r="228" spans="1:157" s="984" customFormat="1" x14ac:dyDescent="0.2">
      <c r="A228" s="267" t="s">
        <v>623</v>
      </c>
      <c r="V228" s="985"/>
      <c r="AM228" s="992"/>
      <c r="AN228" s="992"/>
      <c r="AO228" s="992"/>
      <c r="AP228" s="992"/>
      <c r="AQ228" s="992"/>
      <c r="AR228" s="992"/>
      <c r="AS228" s="992"/>
      <c r="AT228" s="992"/>
      <c r="AU228" s="992"/>
      <c r="AV228" s="992"/>
      <c r="AW228" s="992"/>
      <c r="AX228" s="992"/>
      <c r="AY228" s="992"/>
      <c r="AZ228" s="992"/>
      <c r="BB228" s="992"/>
      <c r="BC228" s="992"/>
      <c r="BD228" s="992"/>
      <c r="BE228" s="992"/>
      <c r="BG228" s="992"/>
      <c r="BH228" s="992"/>
      <c r="BI228" s="992"/>
      <c r="BJ228" s="992"/>
      <c r="BL228" s="992"/>
      <c r="BM228" s="992"/>
      <c r="BN228" s="992"/>
      <c r="BO228" s="992"/>
      <c r="BQ228" s="992"/>
      <c r="BR228" s="992"/>
      <c r="BS228" s="992"/>
      <c r="BT228" s="992"/>
      <c r="BV228" s="992"/>
      <c r="BW228" s="992"/>
      <c r="BX228" s="992"/>
      <c r="BY228" s="992"/>
      <c r="BZ228" s="983"/>
      <c r="CA228" s="992"/>
      <c r="CB228" s="992"/>
      <c r="CC228" s="992"/>
      <c r="CD228" s="992"/>
      <c r="CE228" s="983"/>
      <c r="CF228" s="992"/>
      <c r="CG228" s="992"/>
      <c r="CH228" s="992"/>
      <c r="CI228" s="992"/>
      <c r="CJ228" s="983"/>
      <c r="CK228" s="992"/>
      <c r="CL228" s="992"/>
      <c r="CM228" s="992"/>
      <c r="CN228" s="992"/>
      <c r="CO228" s="983"/>
      <c r="CP228" s="993"/>
      <c r="CQ228" s="992"/>
      <c r="CR228" s="992"/>
      <c r="CS228" s="992"/>
      <c r="CT228" s="983"/>
      <c r="CU228" s="1164"/>
      <c r="CV228" s="1164"/>
      <c r="CW228" s="1164">
        <v>325</v>
      </c>
      <c r="CX228" s="1164">
        <f t="shared" ref="CX228:DD228" si="634">CW228</f>
        <v>325</v>
      </c>
      <c r="CY228" s="1027">
        <f t="shared" si="634"/>
        <v>325</v>
      </c>
      <c r="CZ228" s="1164">
        <f t="shared" si="634"/>
        <v>325</v>
      </c>
      <c r="DA228" s="1164">
        <f t="shared" si="634"/>
        <v>325</v>
      </c>
      <c r="DB228" s="1026">
        <f t="shared" si="634"/>
        <v>325</v>
      </c>
      <c r="DC228" s="1164">
        <f t="shared" si="634"/>
        <v>325</v>
      </c>
      <c r="DD228" s="1027">
        <f t="shared" si="634"/>
        <v>325</v>
      </c>
      <c r="DE228" s="1026">
        <f>DD228</f>
        <v>325</v>
      </c>
      <c r="DF228" s="1026"/>
      <c r="DG228" s="1026"/>
      <c r="DH228" s="1026"/>
      <c r="DI228" s="1027"/>
      <c r="DJ228" s="1026"/>
      <c r="DK228" s="1026"/>
      <c r="DL228" s="1026"/>
      <c r="DM228" s="1026"/>
      <c r="DN228" s="1027"/>
      <c r="DO228" s="1026"/>
      <c r="DP228" s="1026"/>
      <c r="DQ228" s="1026"/>
      <c r="DR228" s="1026"/>
      <c r="DS228" s="1027"/>
      <c r="DT228" s="1026"/>
      <c r="DU228" s="1026"/>
      <c r="DV228" s="1026"/>
      <c r="DW228" s="1026"/>
      <c r="DX228" s="1027"/>
      <c r="DY228" s="1026"/>
      <c r="DZ228" s="1026"/>
      <c r="EA228" s="1026"/>
      <c r="EB228" s="1026"/>
      <c r="EC228" s="1027"/>
      <c r="EF228"/>
      <c r="EG228"/>
      <c r="EH228"/>
      <c r="EI228"/>
      <c r="EJ228"/>
      <c r="EK228"/>
      <c r="EL228"/>
      <c r="EM228"/>
      <c r="EN228"/>
      <c r="EO228"/>
      <c r="EP228"/>
      <c r="EQ228"/>
      <c r="ER228"/>
      <c r="ES228"/>
      <c r="ET228"/>
      <c r="EU228"/>
      <c r="EV228"/>
      <c r="EW228"/>
      <c r="EX228"/>
      <c r="EY228"/>
      <c r="EZ228"/>
      <c r="FA228"/>
    </row>
    <row r="229" spans="1:157" s="984" customFormat="1" x14ac:dyDescent="0.2">
      <c r="A229" s="267" t="s">
        <v>624</v>
      </c>
      <c r="V229" s="985"/>
      <c r="AM229" s="992"/>
      <c r="AN229" s="992"/>
      <c r="AO229" s="992"/>
      <c r="AP229" s="992"/>
      <c r="AQ229" s="992"/>
      <c r="AR229" s="992"/>
      <c r="AS229" s="992"/>
      <c r="AT229" s="992"/>
      <c r="AU229" s="992"/>
      <c r="AV229" s="992"/>
      <c r="AW229" s="992"/>
      <c r="AX229" s="992"/>
      <c r="AY229" s="992"/>
      <c r="AZ229" s="992"/>
      <c r="BB229" s="992"/>
      <c r="BC229" s="992"/>
      <c r="BD229" s="992"/>
      <c r="BE229" s="992"/>
      <c r="BG229" s="992"/>
      <c r="BH229" s="992"/>
      <c r="BI229" s="992"/>
      <c r="BJ229" s="992"/>
      <c r="BL229" s="992"/>
      <c r="BM229" s="992"/>
      <c r="BN229" s="992"/>
      <c r="BO229" s="992"/>
      <c r="BQ229" s="992"/>
      <c r="BR229" s="992"/>
      <c r="BS229" s="992"/>
      <c r="BT229" s="992"/>
      <c r="BV229" s="992"/>
      <c r="BW229" s="992"/>
      <c r="BX229" s="992"/>
      <c r="BY229" s="992"/>
      <c r="BZ229" s="983"/>
      <c r="CA229" s="992"/>
      <c r="CB229" s="992"/>
      <c r="CC229" s="992"/>
      <c r="CD229" s="992"/>
      <c r="CE229" s="983"/>
      <c r="CF229" s="992"/>
      <c r="CG229" s="992"/>
      <c r="CH229" s="992"/>
      <c r="CI229" s="992"/>
      <c r="CJ229" s="983"/>
      <c r="CK229" s="992"/>
      <c r="CL229" s="992"/>
      <c r="CM229" s="992"/>
      <c r="CN229" s="992"/>
      <c r="CO229" s="983"/>
      <c r="CP229" s="993"/>
      <c r="CQ229" s="992"/>
      <c r="CR229" s="992"/>
      <c r="CS229" s="992"/>
      <c r="CT229" s="983"/>
      <c r="CU229" s="1164"/>
      <c r="CV229" s="1164"/>
      <c r="CW229" s="1164">
        <v>325</v>
      </c>
      <c r="CX229" s="1164">
        <v>325</v>
      </c>
      <c r="CY229" s="1027">
        <v>325</v>
      </c>
      <c r="CZ229" s="1164">
        <v>325</v>
      </c>
      <c r="DA229" s="1164">
        <v>325</v>
      </c>
      <c r="DB229" s="1026">
        <v>325</v>
      </c>
      <c r="DC229" s="1164">
        <v>325</v>
      </c>
      <c r="DD229" s="1027">
        <v>325</v>
      </c>
      <c r="DE229" s="1026">
        <v>325</v>
      </c>
      <c r="DF229" s="1026">
        <v>325</v>
      </c>
      <c r="DG229" s="1026">
        <v>325</v>
      </c>
      <c r="DH229" s="1026">
        <v>325</v>
      </c>
      <c r="DI229" s="1027">
        <v>325</v>
      </c>
      <c r="DJ229" s="1026">
        <v>325</v>
      </c>
      <c r="DK229" s="1026">
        <v>325</v>
      </c>
      <c r="DL229" s="1026">
        <v>325</v>
      </c>
      <c r="DM229" s="1026">
        <v>325</v>
      </c>
      <c r="DN229" s="1027">
        <v>325</v>
      </c>
      <c r="DO229" s="1026">
        <v>325</v>
      </c>
      <c r="DP229" s="1026">
        <v>325</v>
      </c>
      <c r="DQ229" s="1026">
        <v>325</v>
      </c>
      <c r="DR229" s="1026">
        <v>325</v>
      </c>
      <c r="DS229" s="1027">
        <v>325</v>
      </c>
      <c r="DT229" s="1026">
        <v>325</v>
      </c>
      <c r="DU229" s="1026">
        <v>325</v>
      </c>
      <c r="DV229" s="1026">
        <v>325</v>
      </c>
      <c r="DW229" s="1026">
        <v>325</v>
      </c>
      <c r="DX229" s="1027">
        <v>325</v>
      </c>
      <c r="DY229" s="1026">
        <v>325</v>
      </c>
      <c r="DZ229" s="1026">
        <v>325</v>
      </c>
      <c r="EA229" s="1026">
        <v>325</v>
      </c>
      <c r="EB229" s="1026">
        <v>325</v>
      </c>
      <c r="EC229" s="1027">
        <v>325</v>
      </c>
      <c r="EF229"/>
      <c r="EG229"/>
      <c r="EH229"/>
      <c r="EI229"/>
      <c r="EJ229"/>
      <c r="EK229"/>
      <c r="EL229"/>
      <c r="EM229"/>
      <c r="EN229"/>
      <c r="EO229"/>
      <c r="EP229"/>
      <c r="EQ229"/>
      <c r="ER229"/>
      <c r="ES229"/>
      <c r="ET229"/>
      <c r="EU229"/>
      <c r="EV229"/>
      <c r="EW229"/>
      <c r="EX229"/>
      <c r="EY229"/>
      <c r="EZ229"/>
      <c r="FA229"/>
    </row>
    <row r="230" spans="1:157" s="984" customFormat="1" x14ac:dyDescent="0.2">
      <c r="A230" s="267" t="s">
        <v>625</v>
      </c>
      <c r="V230" s="985"/>
      <c r="AM230" s="992"/>
      <c r="AN230" s="992"/>
      <c r="AO230" s="992"/>
      <c r="AP230" s="992"/>
      <c r="AQ230" s="992"/>
      <c r="AR230" s="992"/>
      <c r="AS230" s="992"/>
      <c r="AT230" s="992"/>
      <c r="AU230" s="992"/>
      <c r="AV230" s="992"/>
      <c r="AW230" s="992"/>
      <c r="AX230" s="992"/>
      <c r="AY230" s="992"/>
      <c r="AZ230" s="992"/>
      <c r="BB230" s="992"/>
      <c r="BC230" s="992"/>
      <c r="BD230" s="992"/>
      <c r="BE230" s="992"/>
      <c r="BG230" s="992"/>
      <c r="BH230" s="992"/>
      <c r="BI230" s="992"/>
      <c r="BJ230" s="992"/>
      <c r="BL230" s="992"/>
      <c r="BM230" s="992"/>
      <c r="BN230" s="992"/>
      <c r="BO230" s="992"/>
      <c r="BQ230" s="992"/>
      <c r="BR230" s="992"/>
      <c r="BS230" s="992"/>
      <c r="BT230" s="992"/>
      <c r="BV230" s="992"/>
      <c r="BW230" s="992"/>
      <c r="BX230" s="992"/>
      <c r="BY230" s="992"/>
      <c r="BZ230" s="983"/>
      <c r="CA230" s="992"/>
      <c r="CB230" s="992"/>
      <c r="CC230" s="992"/>
      <c r="CD230" s="992"/>
      <c r="CE230" s="983"/>
      <c r="CF230" s="992"/>
      <c r="CG230" s="992"/>
      <c r="CH230" s="992"/>
      <c r="CI230" s="992"/>
      <c r="CJ230" s="983"/>
      <c r="CK230" s="992"/>
      <c r="CL230" s="992"/>
      <c r="CM230" s="992"/>
      <c r="CN230" s="992"/>
      <c r="CO230" s="983"/>
      <c r="CP230" s="993"/>
      <c r="CQ230" s="992"/>
      <c r="CR230" s="992"/>
      <c r="CS230" s="992"/>
      <c r="CT230" s="983"/>
      <c r="CU230" s="1164"/>
      <c r="CV230" s="1164"/>
      <c r="CW230" s="1164">
        <v>250</v>
      </c>
      <c r="CX230" s="1164">
        <v>250</v>
      </c>
      <c r="CY230" s="1027">
        <v>250</v>
      </c>
      <c r="CZ230" s="1164">
        <v>250</v>
      </c>
      <c r="DA230" s="1164">
        <v>250</v>
      </c>
      <c r="DB230" s="1026">
        <v>250</v>
      </c>
      <c r="DC230" s="1164">
        <v>250</v>
      </c>
      <c r="DD230" s="1027">
        <v>250</v>
      </c>
      <c r="DE230" s="1026">
        <v>250</v>
      </c>
      <c r="DF230" s="1026">
        <v>250</v>
      </c>
      <c r="DG230" s="1026">
        <v>250</v>
      </c>
      <c r="DH230" s="1026">
        <v>250</v>
      </c>
      <c r="DI230" s="1027">
        <v>250</v>
      </c>
      <c r="DJ230" s="1026">
        <v>250</v>
      </c>
      <c r="DK230" s="1026">
        <v>250</v>
      </c>
      <c r="DL230" s="1026">
        <v>250</v>
      </c>
      <c r="DM230" s="1026"/>
      <c r="DN230" s="1027"/>
      <c r="DO230" s="1026"/>
      <c r="DP230" s="1026"/>
      <c r="DQ230" s="1026"/>
      <c r="DR230" s="1026"/>
      <c r="DS230" s="1027"/>
      <c r="DT230" s="1026"/>
      <c r="DU230" s="1026"/>
      <c r="DV230" s="1026"/>
      <c r="DW230" s="1026"/>
      <c r="DX230" s="1027"/>
      <c r="DY230" s="1026"/>
      <c r="DZ230" s="1026"/>
      <c r="EA230" s="1026"/>
      <c r="EB230" s="1026"/>
      <c r="EC230" s="1027"/>
      <c r="EF230"/>
      <c r="EG230"/>
      <c r="EH230"/>
      <c r="EI230"/>
      <c r="EJ230"/>
      <c r="EK230"/>
      <c r="EL230"/>
      <c r="EM230"/>
      <c r="EN230"/>
      <c r="EO230"/>
      <c r="EP230"/>
      <c r="EQ230"/>
      <c r="ER230"/>
      <c r="ES230"/>
      <c r="ET230"/>
      <c r="EU230"/>
      <c r="EV230"/>
      <c r="EW230"/>
      <c r="EX230"/>
      <c r="EY230"/>
      <c r="EZ230"/>
      <c r="FA230"/>
    </row>
    <row r="231" spans="1:157" s="984" customFormat="1" x14ac:dyDescent="0.2">
      <c r="A231" s="270" t="s">
        <v>626</v>
      </c>
      <c r="V231" s="985"/>
      <c r="AM231" s="992"/>
      <c r="AN231" s="992"/>
      <c r="AO231" s="992"/>
      <c r="AP231" s="992"/>
      <c r="AQ231" s="992"/>
      <c r="AR231" s="992"/>
      <c r="AS231" s="992"/>
      <c r="AT231" s="992"/>
      <c r="AU231" s="992"/>
      <c r="AV231" s="992"/>
      <c r="AW231" s="992"/>
      <c r="AX231" s="992"/>
      <c r="AY231" s="992"/>
      <c r="AZ231" s="992"/>
      <c r="BB231" s="992"/>
      <c r="BC231" s="992"/>
      <c r="BD231" s="992"/>
      <c r="BE231" s="992"/>
      <c r="BG231" s="992"/>
      <c r="BH231" s="992"/>
      <c r="BI231" s="992"/>
      <c r="BJ231" s="992"/>
      <c r="BL231" s="992"/>
      <c r="BM231" s="992"/>
      <c r="BN231" s="992"/>
      <c r="BO231" s="992"/>
      <c r="BQ231" s="992"/>
      <c r="BR231" s="992"/>
      <c r="BS231" s="992"/>
      <c r="BT231" s="992"/>
      <c r="BV231" s="992"/>
      <c r="BW231" s="992"/>
      <c r="BX231" s="992"/>
      <c r="BY231" s="992"/>
      <c r="BZ231" s="983"/>
      <c r="CA231" s="992"/>
      <c r="CB231" s="992"/>
      <c r="CC231" s="992"/>
      <c r="CD231" s="992"/>
      <c r="CE231" s="983"/>
      <c r="CF231" s="992"/>
      <c r="CG231" s="992"/>
      <c r="CH231" s="994"/>
      <c r="CI231" s="992"/>
      <c r="CJ231" s="983"/>
      <c r="CK231" s="994"/>
      <c r="CL231" s="992"/>
      <c r="CM231" s="992"/>
      <c r="CN231" s="992"/>
      <c r="CO231" s="983"/>
      <c r="CP231" s="993"/>
      <c r="CQ231" s="992"/>
      <c r="CR231" s="992"/>
      <c r="CS231" s="992"/>
      <c r="CT231" s="983"/>
      <c r="CU231" s="1164"/>
      <c r="CV231" s="1164"/>
      <c r="CW231" s="1164">
        <v>350</v>
      </c>
      <c r="CX231" s="1164">
        <v>350</v>
      </c>
      <c r="CY231" s="1027">
        <v>350</v>
      </c>
      <c r="CZ231" s="1164">
        <v>350</v>
      </c>
      <c r="DA231" s="1164">
        <v>350</v>
      </c>
      <c r="DB231" s="1026">
        <v>350</v>
      </c>
      <c r="DC231" s="1164">
        <v>350</v>
      </c>
      <c r="DD231" s="1027">
        <v>350</v>
      </c>
      <c r="DE231" s="1026">
        <v>350</v>
      </c>
      <c r="DF231" s="1026">
        <v>350</v>
      </c>
      <c r="DG231" s="1026">
        <v>350</v>
      </c>
      <c r="DH231" s="1026">
        <v>350</v>
      </c>
      <c r="DI231" s="1027">
        <v>350</v>
      </c>
      <c r="DJ231" s="1026">
        <v>350</v>
      </c>
      <c r="DK231" s="1026">
        <v>350</v>
      </c>
      <c r="DL231" s="1026">
        <v>350</v>
      </c>
      <c r="DM231" s="1026">
        <v>350</v>
      </c>
      <c r="DN231" s="1027">
        <v>350</v>
      </c>
      <c r="DO231" s="1026">
        <v>350</v>
      </c>
      <c r="DP231" s="1026">
        <v>350</v>
      </c>
      <c r="DQ231" s="1026">
        <v>350</v>
      </c>
      <c r="DR231" s="1026">
        <v>350</v>
      </c>
      <c r="DS231" s="1027">
        <v>350</v>
      </c>
      <c r="DT231" s="1026">
        <v>350</v>
      </c>
      <c r="DU231" s="1026">
        <v>350</v>
      </c>
      <c r="DV231" s="1026">
        <v>350</v>
      </c>
      <c r="DW231" s="1026">
        <v>350</v>
      </c>
      <c r="DX231" s="1027">
        <v>350</v>
      </c>
      <c r="DY231" s="1026">
        <v>350</v>
      </c>
      <c r="DZ231" s="1026">
        <v>350</v>
      </c>
      <c r="EA231" s="1026">
        <v>350</v>
      </c>
      <c r="EB231" s="1026">
        <v>350</v>
      </c>
      <c r="EC231" s="1027">
        <v>350</v>
      </c>
      <c r="EF231"/>
      <c r="EG231"/>
      <c r="EH231"/>
      <c r="EI231"/>
      <c r="EJ231"/>
      <c r="EK231"/>
      <c r="EL231"/>
      <c r="EM231"/>
      <c r="EN231"/>
      <c r="EO231"/>
      <c r="EP231"/>
      <c r="EQ231"/>
      <c r="ER231"/>
      <c r="ES231"/>
      <c r="ET231"/>
      <c r="EU231"/>
      <c r="EV231"/>
      <c r="EW231"/>
      <c r="EX231"/>
      <c r="EY231"/>
      <c r="EZ231"/>
      <c r="FA231"/>
    </row>
    <row r="232" spans="1:157" s="984" customFormat="1" x14ac:dyDescent="0.2">
      <c r="A232" s="271" t="s">
        <v>627</v>
      </c>
      <c r="V232" s="985"/>
      <c r="AM232" s="992"/>
      <c r="AN232" s="992"/>
      <c r="AO232" s="992"/>
      <c r="AP232" s="992"/>
      <c r="AQ232" s="992"/>
      <c r="AR232" s="992"/>
      <c r="AS232" s="992"/>
      <c r="AT232" s="992"/>
      <c r="AU232" s="992"/>
      <c r="AV232" s="992"/>
      <c r="AW232" s="992"/>
      <c r="AX232" s="992"/>
      <c r="AY232" s="992"/>
      <c r="AZ232" s="992"/>
      <c r="BB232" s="992"/>
      <c r="BC232" s="992"/>
      <c r="BD232" s="992"/>
      <c r="BE232" s="992"/>
      <c r="BG232" s="992"/>
      <c r="BH232" s="992"/>
      <c r="BI232" s="992"/>
      <c r="BJ232" s="992"/>
      <c r="BL232" s="992"/>
      <c r="BM232" s="992"/>
      <c r="BN232" s="992"/>
      <c r="BO232" s="992"/>
      <c r="BQ232" s="992"/>
      <c r="BR232" s="992"/>
      <c r="BS232" s="992"/>
      <c r="BT232" s="992"/>
      <c r="BV232" s="992"/>
      <c r="BW232" s="992"/>
      <c r="BX232" s="992"/>
      <c r="BY232" s="992"/>
      <c r="BZ232" s="983"/>
      <c r="CA232" s="992"/>
      <c r="CB232" s="992"/>
      <c r="CC232" s="992"/>
      <c r="CD232" s="992"/>
      <c r="CE232" s="983"/>
      <c r="CF232" s="992"/>
      <c r="CG232" s="992"/>
      <c r="CH232" s="992"/>
      <c r="CI232" s="992"/>
      <c r="CJ232" s="983"/>
      <c r="CK232" s="992"/>
      <c r="CL232" s="992"/>
      <c r="CM232" s="992"/>
      <c r="CN232" s="992"/>
      <c r="CO232" s="983"/>
      <c r="CP232" s="993"/>
      <c r="CQ232" s="992"/>
      <c r="CR232" s="992"/>
      <c r="CS232" s="992"/>
      <c r="CT232" s="983"/>
      <c r="CU232" s="1164"/>
      <c r="CV232" s="1164"/>
      <c r="CW232" s="1164">
        <v>350</v>
      </c>
      <c r="CX232" s="1164">
        <v>350</v>
      </c>
      <c r="CY232" s="1027">
        <v>350</v>
      </c>
      <c r="CZ232" s="1164">
        <v>350</v>
      </c>
      <c r="DA232" s="1164">
        <v>350</v>
      </c>
      <c r="DB232" s="1026">
        <v>350</v>
      </c>
      <c r="DC232" s="1164">
        <v>350</v>
      </c>
      <c r="DD232" s="1027">
        <v>350</v>
      </c>
      <c r="DE232" s="1026">
        <v>350</v>
      </c>
      <c r="DF232" s="1026">
        <v>350</v>
      </c>
      <c r="DG232" s="1026">
        <v>350</v>
      </c>
      <c r="DH232" s="1026">
        <v>350</v>
      </c>
      <c r="DI232" s="1027">
        <v>350</v>
      </c>
      <c r="DJ232" s="1026">
        <v>350</v>
      </c>
      <c r="DK232" s="1026">
        <v>350</v>
      </c>
      <c r="DL232" s="1026">
        <v>350</v>
      </c>
      <c r="DM232" s="1026">
        <v>350</v>
      </c>
      <c r="DN232" s="1027">
        <v>350</v>
      </c>
      <c r="DO232" s="1026">
        <v>350</v>
      </c>
      <c r="DP232" s="1026">
        <v>350</v>
      </c>
      <c r="DQ232" s="1026">
        <v>350</v>
      </c>
      <c r="DR232" s="1026">
        <v>350</v>
      </c>
      <c r="DS232" s="1027">
        <v>350</v>
      </c>
      <c r="DT232" s="1026">
        <v>350</v>
      </c>
      <c r="DU232" s="1026">
        <v>350</v>
      </c>
      <c r="DV232" s="1026">
        <v>350</v>
      </c>
      <c r="DW232" s="1026">
        <v>350</v>
      </c>
      <c r="DX232" s="1027">
        <v>350</v>
      </c>
      <c r="DY232" s="1026">
        <v>350</v>
      </c>
      <c r="DZ232" s="1026">
        <v>350</v>
      </c>
      <c r="EA232" s="1026">
        <v>350</v>
      </c>
      <c r="EB232" s="1026">
        <v>350</v>
      </c>
      <c r="EC232" s="1027">
        <v>350</v>
      </c>
      <c r="EF232"/>
      <c r="EG232"/>
      <c r="EH232"/>
      <c r="EI232"/>
      <c r="EJ232"/>
      <c r="EK232"/>
      <c r="EL232"/>
      <c r="EM232"/>
      <c r="EN232"/>
      <c r="EO232"/>
      <c r="EP232"/>
      <c r="EQ232"/>
      <c r="ER232"/>
      <c r="ES232"/>
      <c r="ET232"/>
      <c r="EU232"/>
      <c r="EV232"/>
      <c r="EW232"/>
      <c r="EX232"/>
      <c r="EY232"/>
      <c r="EZ232"/>
      <c r="FA232"/>
    </row>
    <row r="233" spans="1:157" s="984" customFormat="1" x14ac:dyDescent="0.2">
      <c r="A233" s="271" t="s">
        <v>628</v>
      </c>
      <c r="V233" s="985"/>
      <c r="AM233" s="992"/>
      <c r="AN233" s="992"/>
      <c r="AO233" s="992"/>
      <c r="AP233" s="992"/>
      <c r="AQ233" s="992"/>
      <c r="AR233" s="992"/>
      <c r="AS233" s="992"/>
      <c r="AT233" s="992"/>
      <c r="AU233" s="992"/>
      <c r="AV233" s="992"/>
      <c r="AW233" s="992"/>
      <c r="AX233" s="992"/>
      <c r="AY233" s="992"/>
      <c r="AZ233" s="992"/>
      <c r="BB233" s="992"/>
      <c r="BC233" s="992"/>
      <c r="BD233" s="992"/>
      <c r="BE233" s="992"/>
      <c r="BG233" s="992"/>
      <c r="BH233" s="992"/>
      <c r="BI233" s="992"/>
      <c r="BJ233" s="992"/>
      <c r="BL233" s="992"/>
      <c r="BM233" s="992"/>
      <c r="BN233" s="992"/>
      <c r="BO233" s="992"/>
      <c r="BQ233" s="992"/>
      <c r="BR233" s="992"/>
      <c r="BS233" s="992"/>
      <c r="BT233" s="992"/>
      <c r="BV233" s="992"/>
      <c r="BW233" s="992"/>
      <c r="BX233" s="992"/>
      <c r="BY233" s="992"/>
      <c r="BZ233" s="983"/>
      <c r="CA233" s="992"/>
      <c r="CB233" s="992"/>
      <c r="CC233" s="992"/>
      <c r="CD233" s="992"/>
      <c r="CE233" s="983"/>
      <c r="CF233" s="992"/>
      <c r="CG233" s="992"/>
      <c r="CH233" s="992"/>
      <c r="CI233" s="992"/>
      <c r="CJ233" s="983"/>
      <c r="CK233" s="992"/>
      <c r="CL233" s="992"/>
      <c r="CM233" s="992"/>
      <c r="CN233" s="992"/>
      <c r="CO233" s="983"/>
      <c r="CP233" s="993"/>
      <c r="CQ233" s="992"/>
      <c r="CR233" s="992"/>
      <c r="CS233" s="992"/>
      <c r="CT233" s="983"/>
      <c r="CU233" s="1164"/>
      <c r="CV233" s="1164"/>
      <c r="CW233" s="1164">
        <v>325</v>
      </c>
      <c r="CX233" s="1164">
        <v>325</v>
      </c>
      <c r="CY233" s="1027">
        <v>325</v>
      </c>
      <c r="CZ233" s="1164">
        <v>325</v>
      </c>
      <c r="DA233" s="1164">
        <v>325</v>
      </c>
      <c r="DB233" s="1026">
        <v>325</v>
      </c>
      <c r="DC233" s="1164">
        <v>325</v>
      </c>
      <c r="DD233" s="1027">
        <v>325</v>
      </c>
      <c r="DE233" s="1026">
        <v>325</v>
      </c>
      <c r="DF233" s="1026">
        <v>325</v>
      </c>
      <c r="DG233" s="1026">
        <v>325</v>
      </c>
      <c r="DH233" s="1026">
        <v>325</v>
      </c>
      <c r="DI233" s="1027">
        <v>325</v>
      </c>
      <c r="DJ233" s="1026">
        <v>325</v>
      </c>
      <c r="DK233" s="1026">
        <v>325</v>
      </c>
      <c r="DL233" s="1026">
        <v>325</v>
      </c>
      <c r="DM233" s="1026">
        <v>325</v>
      </c>
      <c r="DN233" s="1027">
        <v>325</v>
      </c>
      <c r="DO233" s="1026">
        <v>325</v>
      </c>
      <c r="DP233" s="1026">
        <v>325</v>
      </c>
      <c r="DQ233" s="1026">
        <v>325</v>
      </c>
      <c r="DR233" s="1026">
        <v>325</v>
      </c>
      <c r="DS233" s="1027">
        <v>325</v>
      </c>
      <c r="DT233" s="1026">
        <v>325</v>
      </c>
      <c r="DU233" s="1026">
        <v>325</v>
      </c>
      <c r="DV233" s="1026">
        <v>325</v>
      </c>
      <c r="DW233" s="1026">
        <v>325</v>
      </c>
      <c r="DX233" s="1027">
        <v>325</v>
      </c>
      <c r="DY233" s="1026">
        <v>325</v>
      </c>
      <c r="DZ233" s="1026">
        <v>325</v>
      </c>
      <c r="EA233" s="1026">
        <v>325</v>
      </c>
      <c r="EB233" s="1026">
        <v>325</v>
      </c>
      <c r="EC233" s="1027">
        <v>325</v>
      </c>
      <c r="EF233"/>
      <c r="EG233"/>
      <c r="EH233"/>
      <c r="EI233"/>
      <c r="EJ233"/>
      <c r="EK233"/>
      <c r="EL233"/>
      <c r="EM233"/>
      <c r="EN233"/>
      <c r="EO233"/>
      <c r="EP233"/>
      <c r="EQ233"/>
      <c r="ER233"/>
      <c r="ES233"/>
      <c r="ET233"/>
      <c r="EU233"/>
      <c r="EV233"/>
      <c r="EW233"/>
      <c r="EX233"/>
      <c r="EY233"/>
      <c r="EZ233"/>
      <c r="FA233"/>
    </row>
    <row r="234" spans="1:157" s="984" customFormat="1" x14ac:dyDescent="0.2">
      <c r="A234" s="271" t="s">
        <v>629</v>
      </c>
      <c r="V234" s="985"/>
      <c r="AM234" s="992"/>
      <c r="AN234" s="992"/>
      <c r="AO234" s="992"/>
      <c r="AP234" s="992"/>
      <c r="AQ234" s="992"/>
      <c r="AR234" s="992"/>
      <c r="AS234" s="992"/>
      <c r="AT234" s="992"/>
      <c r="AU234" s="992"/>
      <c r="AV234" s="992"/>
      <c r="AW234" s="992"/>
      <c r="AX234" s="992"/>
      <c r="AY234" s="992"/>
      <c r="AZ234" s="992"/>
      <c r="BB234" s="992"/>
      <c r="BC234" s="992"/>
      <c r="BD234" s="992"/>
      <c r="BE234" s="992"/>
      <c r="BG234" s="992"/>
      <c r="BH234" s="992"/>
      <c r="BI234" s="992"/>
      <c r="BJ234" s="992"/>
      <c r="BL234" s="992"/>
      <c r="BM234" s="992"/>
      <c r="BN234" s="992"/>
      <c r="BO234" s="992"/>
      <c r="BQ234" s="992"/>
      <c r="BR234" s="992"/>
      <c r="BS234" s="992"/>
      <c r="BT234" s="992"/>
      <c r="BV234" s="992"/>
      <c r="BW234" s="992"/>
      <c r="BX234" s="992"/>
      <c r="BY234" s="992"/>
      <c r="BZ234" s="983"/>
      <c r="CA234" s="992"/>
      <c r="CB234" s="992"/>
      <c r="CC234" s="992"/>
      <c r="CD234" s="992"/>
      <c r="CE234" s="983"/>
      <c r="CF234" s="992"/>
      <c r="CG234" s="992"/>
      <c r="CH234" s="992"/>
      <c r="CI234" s="992"/>
      <c r="CJ234" s="983"/>
      <c r="CK234" s="992"/>
      <c r="CL234" s="992"/>
      <c r="CM234" s="992"/>
      <c r="CN234" s="992"/>
      <c r="CO234" s="983"/>
      <c r="CP234" s="993"/>
      <c r="CQ234" s="992"/>
      <c r="CR234" s="992"/>
      <c r="CS234" s="992"/>
      <c r="CT234" s="983"/>
      <c r="CU234" s="1164"/>
      <c r="CV234" s="1164"/>
      <c r="CW234" s="1164">
        <v>275</v>
      </c>
      <c r="CX234" s="1164">
        <v>275</v>
      </c>
      <c r="CY234" s="1027">
        <v>275</v>
      </c>
      <c r="CZ234" s="1164">
        <v>275</v>
      </c>
      <c r="DA234" s="1164">
        <v>275</v>
      </c>
      <c r="DB234" s="1026">
        <v>275</v>
      </c>
      <c r="DC234" s="1164">
        <v>275</v>
      </c>
      <c r="DD234" s="1027">
        <v>275</v>
      </c>
      <c r="DE234" s="1026">
        <v>275</v>
      </c>
      <c r="DF234" s="1026">
        <v>275</v>
      </c>
      <c r="DG234" s="1026">
        <v>275</v>
      </c>
      <c r="DH234" s="1026">
        <v>275</v>
      </c>
      <c r="DI234" s="1027">
        <v>275</v>
      </c>
      <c r="DJ234" s="1026">
        <v>275</v>
      </c>
      <c r="DK234" s="1026">
        <v>275</v>
      </c>
      <c r="DL234" s="1026">
        <v>275</v>
      </c>
      <c r="DM234" s="1026">
        <v>275</v>
      </c>
      <c r="DN234" s="1027">
        <v>275</v>
      </c>
      <c r="DO234" s="1026">
        <v>275</v>
      </c>
      <c r="DP234" s="1026">
        <v>275</v>
      </c>
      <c r="DQ234" s="1026">
        <v>275</v>
      </c>
      <c r="DR234" s="1026">
        <v>275</v>
      </c>
      <c r="DS234" s="1027">
        <v>275</v>
      </c>
      <c r="DT234" s="1026">
        <v>275</v>
      </c>
      <c r="DU234" s="1026">
        <v>275</v>
      </c>
      <c r="DV234" s="1026">
        <v>275</v>
      </c>
      <c r="DW234" s="1026">
        <v>275</v>
      </c>
      <c r="DX234" s="1027">
        <v>275</v>
      </c>
      <c r="DY234" s="1026">
        <v>275</v>
      </c>
      <c r="DZ234" s="1026">
        <v>275</v>
      </c>
      <c r="EA234" s="1026">
        <v>275</v>
      </c>
      <c r="EB234" s="1026">
        <v>275</v>
      </c>
      <c r="EC234" s="1027">
        <v>275</v>
      </c>
      <c r="EF234"/>
      <c r="EG234"/>
      <c r="EH234"/>
      <c r="EI234"/>
      <c r="EJ234"/>
      <c r="EK234"/>
      <c r="EL234"/>
      <c r="EM234"/>
      <c r="EN234"/>
      <c r="EO234"/>
      <c r="EP234"/>
      <c r="EQ234"/>
      <c r="ER234"/>
      <c r="ES234"/>
      <c r="ET234"/>
      <c r="EU234"/>
      <c r="EV234"/>
      <c r="EW234"/>
      <c r="EX234"/>
      <c r="EY234"/>
      <c r="EZ234"/>
      <c r="FA234"/>
    </row>
    <row r="235" spans="1:157" s="984" customFormat="1" x14ac:dyDescent="0.2">
      <c r="A235" s="267" t="s">
        <v>630</v>
      </c>
      <c r="V235" s="985"/>
      <c r="AM235" s="992"/>
      <c r="AN235" s="992"/>
      <c r="AO235" s="992"/>
      <c r="AP235" s="992"/>
      <c r="AQ235" s="992"/>
      <c r="AR235" s="992"/>
      <c r="AS235" s="992"/>
      <c r="AT235" s="992"/>
      <c r="AU235" s="992"/>
      <c r="AV235" s="992"/>
      <c r="AW235" s="992"/>
      <c r="AX235" s="992"/>
      <c r="AY235" s="992"/>
      <c r="AZ235" s="992"/>
      <c r="BB235" s="992"/>
      <c r="BC235" s="992"/>
      <c r="BD235" s="992"/>
      <c r="BE235" s="992"/>
      <c r="BG235" s="992"/>
      <c r="BH235" s="992"/>
      <c r="BI235" s="992"/>
      <c r="BJ235" s="992"/>
      <c r="BL235" s="992"/>
      <c r="BM235" s="992"/>
      <c r="BN235" s="992"/>
      <c r="BO235" s="992"/>
      <c r="BQ235" s="992"/>
      <c r="BR235" s="992"/>
      <c r="BS235" s="992"/>
      <c r="BT235" s="992"/>
      <c r="BV235" s="992"/>
      <c r="BW235" s="992"/>
      <c r="BX235" s="992"/>
      <c r="BY235" s="992"/>
      <c r="BZ235" s="983"/>
      <c r="CA235" s="992"/>
      <c r="CB235" s="992"/>
      <c r="CC235" s="992"/>
      <c r="CD235" s="992"/>
      <c r="CE235" s="983"/>
      <c r="CF235" s="992"/>
      <c r="CG235" s="992"/>
      <c r="CH235" s="992"/>
      <c r="CI235" s="992"/>
      <c r="CJ235" s="983"/>
      <c r="CK235" s="992"/>
      <c r="CL235" s="992"/>
      <c r="CM235" s="992"/>
      <c r="CN235" s="992"/>
      <c r="CO235" s="983"/>
      <c r="CP235" s="993"/>
      <c r="CQ235" s="992"/>
      <c r="CR235" s="992"/>
      <c r="CS235" s="992"/>
      <c r="CT235" s="983"/>
      <c r="CU235" s="1164"/>
      <c r="CV235" s="1164"/>
      <c r="CW235" s="1164">
        <v>800</v>
      </c>
      <c r="CX235" s="1164">
        <f t="shared" ref="CX235:DP235" si="635">CW235</f>
        <v>800</v>
      </c>
      <c r="CY235" s="1027">
        <f t="shared" si="635"/>
        <v>800</v>
      </c>
      <c r="CZ235" s="1164">
        <f t="shared" si="635"/>
        <v>800</v>
      </c>
      <c r="DA235" s="1164">
        <f t="shared" si="635"/>
        <v>800</v>
      </c>
      <c r="DB235" s="1026">
        <f t="shared" si="635"/>
        <v>800</v>
      </c>
      <c r="DC235" s="1164">
        <f t="shared" si="635"/>
        <v>800</v>
      </c>
      <c r="DD235" s="1027">
        <f t="shared" si="635"/>
        <v>800</v>
      </c>
      <c r="DE235" s="1026">
        <f t="shared" ref="DE235:DE240" si="636">DD235</f>
        <v>800</v>
      </c>
      <c r="DF235" s="1026">
        <f t="shared" si="635"/>
        <v>800</v>
      </c>
      <c r="DG235" s="1026">
        <f t="shared" si="635"/>
        <v>800</v>
      </c>
      <c r="DH235" s="1026">
        <f t="shared" si="635"/>
        <v>800</v>
      </c>
      <c r="DI235" s="1027">
        <f t="shared" si="635"/>
        <v>800</v>
      </c>
      <c r="DJ235" s="1026">
        <f t="shared" si="635"/>
        <v>800</v>
      </c>
      <c r="DK235" s="1026">
        <f t="shared" si="635"/>
        <v>800</v>
      </c>
      <c r="DL235" s="1026">
        <f t="shared" si="635"/>
        <v>800</v>
      </c>
      <c r="DM235" s="1026">
        <f t="shared" si="635"/>
        <v>800</v>
      </c>
      <c r="DN235" s="1027">
        <f t="shared" si="635"/>
        <v>800</v>
      </c>
      <c r="DO235" s="1026">
        <f t="shared" si="635"/>
        <v>800</v>
      </c>
      <c r="DP235" s="1026">
        <f t="shared" si="635"/>
        <v>800</v>
      </c>
      <c r="DQ235" s="1026"/>
      <c r="DR235" s="1026"/>
      <c r="DS235" s="1027"/>
      <c r="DT235" s="1026">
        <f t="shared" ref="DT235:DT239" si="637">DS235</f>
        <v>0</v>
      </c>
      <c r="DU235" s="1026">
        <f t="shared" ref="DU235:DU239" si="638">DT235</f>
        <v>0</v>
      </c>
      <c r="DV235" s="1026"/>
      <c r="DW235" s="1026"/>
      <c r="DX235" s="1027"/>
      <c r="DY235" s="1026">
        <f t="shared" ref="DY235:DY239" si="639">DX235</f>
        <v>0</v>
      </c>
      <c r="DZ235" s="1026">
        <f t="shared" ref="DZ235:DZ239" si="640">DY235</f>
        <v>0</v>
      </c>
      <c r="EA235" s="1026"/>
      <c r="EB235" s="1026"/>
      <c r="EC235" s="1027"/>
      <c r="EF235"/>
      <c r="EG235"/>
      <c r="EH235"/>
      <c r="EI235"/>
      <c r="EJ235"/>
      <c r="EK235"/>
      <c r="EL235"/>
      <c r="EM235"/>
      <c r="EN235"/>
      <c r="EO235"/>
      <c r="EP235"/>
      <c r="EQ235"/>
      <c r="ER235"/>
      <c r="ES235"/>
      <c r="ET235"/>
      <c r="EU235"/>
      <c r="EV235"/>
      <c r="EW235"/>
      <c r="EX235"/>
      <c r="EY235"/>
      <c r="EZ235"/>
      <c r="FA235"/>
    </row>
    <row r="236" spans="1:157" s="984" customFormat="1" x14ac:dyDescent="0.2">
      <c r="A236" s="267" t="s">
        <v>631</v>
      </c>
      <c r="V236" s="985"/>
      <c r="AM236" s="992"/>
      <c r="AN236" s="992"/>
      <c r="AO236" s="992"/>
      <c r="AP236" s="992"/>
      <c r="AQ236" s="992"/>
      <c r="AR236" s="992"/>
      <c r="AS236" s="992"/>
      <c r="AT236" s="992"/>
      <c r="AU236" s="992"/>
      <c r="AV236" s="992"/>
      <c r="AW236" s="992"/>
      <c r="AX236" s="992"/>
      <c r="AY236" s="992"/>
      <c r="AZ236" s="992"/>
      <c r="BB236" s="992"/>
      <c r="BC236" s="992"/>
      <c r="BD236" s="992"/>
      <c r="BE236" s="992"/>
      <c r="BG236" s="992"/>
      <c r="BH236" s="992"/>
      <c r="BI236" s="992"/>
      <c r="BJ236" s="992"/>
      <c r="BL236" s="992"/>
      <c r="BM236" s="992"/>
      <c r="BN236" s="992"/>
      <c r="BO236" s="992"/>
      <c r="BQ236" s="992"/>
      <c r="BR236" s="992"/>
      <c r="BS236" s="992"/>
      <c r="BT236" s="992"/>
      <c r="BV236" s="992"/>
      <c r="BW236" s="992"/>
      <c r="BX236" s="992"/>
      <c r="BY236" s="992"/>
      <c r="BZ236" s="983"/>
      <c r="CA236" s="992"/>
      <c r="CB236" s="992"/>
      <c r="CC236" s="992"/>
      <c r="CD236" s="992"/>
      <c r="CE236" s="983"/>
      <c r="CF236" s="992"/>
      <c r="CG236" s="992"/>
      <c r="CH236" s="992"/>
      <c r="CI236" s="992"/>
      <c r="CJ236" s="983"/>
      <c r="CK236" s="992"/>
      <c r="CL236" s="992"/>
      <c r="CM236" s="992"/>
      <c r="CN236" s="992"/>
      <c r="CO236" s="983"/>
      <c r="CP236" s="993"/>
      <c r="CQ236" s="992"/>
      <c r="CR236" s="992"/>
      <c r="CS236" s="992"/>
      <c r="CT236" s="983"/>
      <c r="CU236" s="1164"/>
      <c r="CV236" s="1164"/>
      <c r="CW236" s="1164">
        <v>500</v>
      </c>
      <c r="CX236" s="1164">
        <f t="shared" ref="CX236:DP236" si="641">CW236</f>
        <v>500</v>
      </c>
      <c r="CY236" s="1027">
        <f t="shared" si="641"/>
        <v>500</v>
      </c>
      <c r="CZ236" s="1164">
        <f t="shared" si="641"/>
        <v>500</v>
      </c>
      <c r="DA236" s="1164">
        <f t="shared" si="641"/>
        <v>500</v>
      </c>
      <c r="DB236" s="1026">
        <f t="shared" si="641"/>
        <v>500</v>
      </c>
      <c r="DC236" s="1164">
        <f t="shared" si="641"/>
        <v>500</v>
      </c>
      <c r="DD236" s="1027">
        <f t="shared" si="641"/>
        <v>500</v>
      </c>
      <c r="DE236" s="1026">
        <f t="shared" si="636"/>
        <v>500</v>
      </c>
      <c r="DF236" s="1026">
        <f t="shared" si="641"/>
        <v>500</v>
      </c>
      <c r="DG236" s="1026">
        <f t="shared" si="641"/>
        <v>500</v>
      </c>
      <c r="DH236" s="1026">
        <f t="shared" si="641"/>
        <v>500</v>
      </c>
      <c r="DI236" s="1027">
        <f t="shared" si="641"/>
        <v>500</v>
      </c>
      <c r="DJ236" s="1026">
        <f t="shared" si="641"/>
        <v>500</v>
      </c>
      <c r="DK236" s="1026">
        <f t="shared" si="641"/>
        <v>500</v>
      </c>
      <c r="DL236" s="1026">
        <f t="shared" si="641"/>
        <v>500</v>
      </c>
      <c r="DM236" s="1026">
        <f t="shared" si="641"/>
        <v>500</v>
      </c>
      <c r="DN236" s="1027">
        <f t="shared" si="641"/>
        <v>500</v>
      </c>
      <c r="DO236" s="1026">
        <f t="shared" si="641"/>
        <v>500</v>
      </c>
      <c r="DP236" s="1026">
        <f t="shared" si="641"/>
        <v>500</v>
      </c>
      <c r="DQ236" s="1026">
        <f t="shared" ref="DQ236:DS239" si="642">DP236</f>
        <v>500</v>
      </c>
      <c r="DR236" s="1026">
        <f t="shared" si="642"/>
        <v>500</v>
      </c>
      <c r="DS236" s="1027">
        <f t="shared" si="642"/>
        <v>500</v>
      </c>
      <c r="DT236" s="1026">
        <f t="shared" si="637"/>
        <v>500</v>
      </c>
      <c r="DU236" s="1026">
        <f t="shared" si="638"/>
        <v>500</v>
      </c>
      <c r="DV236" s="1026">
        <f t="shared" ref="DV236:DV239" si="643">DU236</f>
        <v>500</v>
      </c>
      <c r="DW236" s="1026">
        <f t="shared" ref="DW236:DW239" si="644">DV236</f>
        <v>500</v>
      </c>
      <c r="DX236" s="1027">
        <f t="shared" ref="DX236:DX239" si="645">DW236</f>
        <v>500</v>
      </c>
      <c r="DY236" s="1026">
        <f t="shared" si="639"/>
        <v>500</v>
      </c>
      <c r="DZ236" s="1026">
        <f t="shared" si="640"/>
        <v>500</v>
      </c>
      <c r="EA236" s="1026">
        <f t="shared" ref="EA236:EA239" si="646">DZ236</f>
        <v>500</v>
      </c>
      <c r="EB236" s="1026">
        <f t="shared" ref="EB236:EB239" si="647">EA236</f>
        <v>500</v>
      </c>
      <c r="EC236" s="1027">
        <f t="shared" ref="EC236:EC239" si="648">EB236</f>
        <v>500</v>
      </c>
      <c r="EF236"/>
      <c r="EG236"/>
      <c r="EH236"/>
      <c r="EI236"/>
      <c r="EJ236"/>
      <c r="EK236"/>
      <c r="EL236"/>
      <c r="EM236"/>
      <c r="EN236"/>
      <c r="EO236"/>
      <c r="EP236"/>
      <c r="EQ236"/>
      <c r="ER236"/>
      <c r="ES236"/>
      <c r="ET236"/>
      <c r="EU236"/>
      <c r="EV236"/>
      <c r="EW236"/>
      <c r="EX236"/>
      <c r="EY236"/>
      <c r="EZ236"/>
      <c r="FA236"/>
    </row>
    <row r="237" spans="1:157" s="984" customFormat="1" x14ac:dyDescent="0.2">
      <c r="A237" s="267" t="s">
        <v>632</v>
      </c>
      <c r="V237" s="985"/>
      <c r="AM237" s="992"/>
      <c r="AN237" s="992"/>
      <c r="AO237" s="992"/>
      <c r="AP237" s="992"/>
      <c r="AQ237" s="992"/>
      <c r="AR237" s="992"/>
      <c r="AS237" s="992"/>
      <c r="AT237" s="992"/>
      <c r="AU237" s="992"/>
      <c r="AV237" s="992"/>
      <c r="AW237" s="992"/>
      <c r="AX237" s="992"/>
      <c r="AY237" s="992"/>
      <c r="AZ237" s="992"/>
      <c r="BB237" s="992"/>
      <c r="BC237" s="992"/>
      <c r="BD237" s="992"/>
      <c r="BE237" s="992"/>
      <c r="BG237" s="992"/>
      <c r="BH237" s="992"/>
      <c r="BI237" s="992"/>
      <c r="BJ237" s="992"/>
      <c r="BL237" s="992"/>
      <c r="BM237" s="992"/>
      <c r="BN237" s="992"/>
      <c r="BO237" s="992"/>
      <c r="BQ237" s="992"/>
      <c r="BR237" s="992"/>
      <c r="BS237" s="992"/>
      <c r="BT237" s="992"/>
      <c r="BV237" s="992"/>
      <c r="BW237" s="992"/>
      <c r="BX237" s="992"/>
      <c r="BY237" s="992"/>
      <c r="BZ237" s="983"/>
      <c r="CA237" s="992"/>
      <c r="CB237" s="992"/>
      <c r="CC237" s="992"/>
      <c r="CD237" s="992"/>
      <c r="CE237" s="983"/>
      <c r="CF237" s="992"/>
      <c r="CG237" s="992"/>
      <c r="CH237" s="992"/>
      <c r="CI237" s="992"/>
      <c r="CJ237" s="983"/>
      <c r="CK237" s="992"/>
      <c r="CL237" s="992"/>
      <c r="CM237" s="992"/>
      <c r="CN237" s="992"/>
      <c r="CO237" s="983"/>
      <c r="CP237" s="993"/>
      <c r="CQ237" s="992"/>
      <c r="CR237" s="992"/>
      <c r="CS237" s="992"/>
      <c r="CT237" s="983"/>
      <c r="CU237" s="1164"/>
      <c r="CV237" s="1164"/>
      <c r="CW237" s="1164">
        <v>1000</v>
      </c>
      <c r="CX237" s="1164">
        <f t="shared" ref="CX237:DP237" si="649">CW237</f>
        <v>1000</v>
      </c>
      <c r="CY237" s="1027">
        <f t="shared" si="649"/>
        <v>1000</v>
      </c>
      <c r="CZ237" s="1164">
        <f t="shared" si="649"/>
        <v>1000</v>
      </c>
      <c r="DA237" s="1164">
        <v>982</v>
      </c>
      <c r="DB237" s="1026">
        <f t="shared" si="649"/>
        <v>982</v>
      </c>
      <c r="DC237" s="1164">
        <f t="shared" si="649"/>
        <v>982</v>
      </c>
      <c r="DD237" s="1027">
        <f t="shared" si="649"/>
        <v>982</v>
      </c>
      <c r="DE237" s="1026">
        <f t="shared" si="636"/>
        <v>982</v>
      </c>
      <c r="DF237" s="1026">
        <f t="shared" si="649"/>
        <v>982</v>
      </c>
      <c r="DG237" s="1026">
        <f t="shared" si="649"/>
        <v>982</v>
      </c>
      <c r="DH237" s="1026">
        <f t="shared" si="649"/>
        <v>982</v>
      </c>
      <c r="DI237" s="1027">
        <f t="shared" si="649"/>
        <v>982</v>
      </c>
      <c r="DJ237" s="1026">
        <f t="shared" si="649"/>
        <v>982</v>
      </c>
      <c r="DK237" s="1026">
        <f t="shared" si="649"/>
        <v>982</v>
      </c>
      <c r="DL237" s="1026">
        <f t="shared" si="649"/>
        <v>982</v>
      </c>
      <c r="DM237" s="1026">
        <f t="shared" si="649"/>
        <v>982</v>
      </c>
      <c r="DN237" s="1027">
        <f t="shared" si="649"/>
        <v>982</v>
      </c>
      <c r="DO237" s="1026">
        <f t="shared" si="649"/>
        <v>982</v>
      </c>
      <c r="DP237" s="1026">
        <f t="shared" si="649"/>
        <v>982</v>
      </c>
      <c r="DQ237" s="1026">
        <f t="shared" si="642"/>
        <v>982</v>
      </c>
      <c r="DR237" s="1026">
        <f t="shared" si="642"/>
        <v>982</v>
      </c>
      <c r="DS237" s="1027">
        <f t="shared" si="642"/>
        <v>982</v>
      </c>
      <c r="DT237" s="1026">
        <f t="shared" si="637"/>
        <v>982</v>
      </c>
      <c r="DU237" s="1026">
        <f t="shared" si="638"/>
        <v>982</v>
      </c>
      <c r="DV237" s="1026">
        <f t="shared" si="643"/>
        <v>982</v>
      </c>
      <c r="DW237" s="1026">
        <f t="shared" si="644"/>
        <v>982</v>
      </c>
      <c r="DX237" s="1027">
        <f t="shared" si="645"/>
        <v>982</v>
      </c>
      <c r="DY237" s="1026">
        <f t="shared" si="639"/>
        <v>982</v>
      </c>
      <c r="DZ237" s="1026">
        <f t="shared" si="640"/>
        <v>982</v>
      </c>
      <c r="EA237" s="1026">
        <f t="shared" si="646"/>
        <v>982</v>
      </c>
      <c r="EB237" s="1026">
        <f t="shared" si="647"/>
        <v>982</v>
      </c>
      <c r="EC237" s="1027">
        <f t="shared" si="648"/>
        <v>982</v>
      </c>
      <c r="EF237"/>
      <c r="EG237"/>
      <c r="EH237"/>
      <c r="EI237"/>
      <c r="EJ237"/>
      <c r="EK237"/>
      <c r="EL237"/>
      <c r="EM237"/>
      <c r="EN237"/>
      <c r="EO237"/>
      <c r="EP237"/>
      <c r="EQ237"/>
      <c r="ER237"/>
      <c r="ES237"/>
      <c r="ET237"/>
      <c r="EU237"/>
      <c r="EV237"/>
      <c r="EW237"/>
      <c r="EX237"/>
      <c r="EY237"/>
      <c r="EZ237"/>
      <c r="FA237"/>
    </row>
    <row r="238" spans="1:157" s="984" customFormat="1" x14ac:dyDescent="0.2">
      <c r="A238" s="270" t="s">
        <v>633</v>
      </c>
      <c r="V238" s="985"/>
      <c r="AM238" s="992"/>
      <c r="AN238" s="992"/>
      <c r="AO238" s="992"/>
      <c r="AP238" s="992"/>
      <c r="AQ238" s="992"/>
      <c r="AR238" s="992"/>
      <c r="AS238" s="992"/>
      <c r="AT238" s="992"/>
      <c r="AU238" s="992"/>
      <c r="AV238" s="992"/>
      <c r="AW238" s="992"/>
      <c r="AX238" s="992"/>
      <c r="AY238" s="992"/>
      <c r="AZ238" s="992"/>
      <c r="BB238" s="992"/>
      <c r="BC238" s="992"/>
      <c r="BD238" s="992"/>
      <c r="BE238" s="992"/>
      <c r="BG238" s="992"/>
      <c r="BH238" s="992"/>
      <c r="BI238" s="992"/>
      <c r="BJ238" s="992"/>
      <c r="BL238" s="992"/>
      <c r="BM238" s="992"/>
      <c r="BN238" s="992"/>
      <c r="BO238" s="992"/>
      <c r="BQ238" s="992"/>
      <c r="BR238" s="992"/>
      <c r="BS238" s="992"/>
      <c r="BT238" s="992"/>
      <c r="BV238" s="992"/>
      <c r="BW238" s="992"/>
      <c r="BX238" s="992"/>
      <c r="BY238" s="992"/>
      <c r="BZ238" s="983"/>
      <c r="CA238" s="992"/>
      <c r="CB238" s="992"/>
      <c r="CC238" s="992"/>
      <c r="CD238" s="992"/>
      <c r="CE238" s="983"/>
      <c r="CF238" s="992"/>
      <c r="CG238" s="992"/>
      <c r="CH238" s="994"/>
      <c r="CI238" s="992"/>
      <c r="CJ238" s="983"/>
      <c r="CK238" s="994"/>
      <c r="CL238" s="992"/>
      <c r="CM238" s="992"/>
      <c r="CN238" s="992"/>
      <c r="CO238" s="983"/>
      <c r="CP238" s="993"/>
      <c r="CQ238" s="992"/>
      <c r="CR238" s="992"/>
      <c r="CS238" s="992"/>
      <c r="CT238" s="983"/>
      <c r="CU238" s="1164"/>
      <c r="CV238" s="1164"/>
      <c r="CW238" s="1164">
        <v>1050</v>
      </c>
      <c r="CX238" s="1164">
        <f t="shared" ref="CX238:DP238" si="650">CW238</f>
        <v>1050</v>
      </c>
      <c r="CY238" s="1027">
        <f t="shared" si="650"/>
        <v>1050</v>
      </c>
      <c r="CZ238" s="1164">
        <f t="shared" si="650"/>
        <v>1050</v>
      </c>
      <c r="DA238" s="1164">
        <f t="shared" si="650"/>
        <v>1050</v>
      </c>
      <c r="DB238" s="1026">
        <f t="shared" si="650"/>
        <v>1050</v>
      </c>
      <c r="DC238" s="1164">
        <f t="shared" si="650"/>
        <v>1050</v>
      </c>
      <c r="DD238" s="1027">
        <f t="shared" si="650"/>
        <v>1050</v>
      </c>
      <c r="DE238" s="1026">
        <f t="shared" si="636"/>
        <v>1050</v>
      </c>
      <c r="DF238" s="1026">
        <f t="shared" si="650"/>
        <v>1050</v>
      </c>
      <c r="DG238" s="1026">
        <f t="shared" si="650"/>
        <v>1050</v>
      </c>
      <c r="DH238" s="1026">
        <f t="shared" si="650"/>
        <v>1050</v>
      </c>
      <c r="DI238" s="1027">
        <f t="shared" si="650"/>
        <v>1050</v>
      </c>
      <c r="DJ238" s="1026">
        <f t="shared" si="650"/>
        <v>1050</v>
      </c>
      <c r="DK238" s="1026">
        <f t="shared" si="650"/>
        <v>1050</v>
      </c>
      <c r="DL238" s="1026">
        <f t="shared" si="650"/>
        <v>1050</v>
      </c>
      <c r="DM238" s="1026">
        <f t="shared" si="650"/>
        <v>1050</v>
      </c>
      <c r="DN238" s="1027">
        <f t="shared" si="650"/>
        <v>1050</v>
      </c>
      <c r="DO238" s="1026">
        <f t="shared" si="650"/>
        <v>1050</v>
      </c>
      <c r="DP238" s="1026">
        <f t="shared" si="650"/>
        <v>1050</v>
      </c>
      <c r="DQ238" s="1026">
        <f t="shared" si="642"/>
        <v>1050</v>
      </c>
      <c r="DR238" s="1026">
        <f t="shared" si="642"/>
        <v>1050</v>
      </c>
      <c r="DS238" s="1027">
        <f t="shared" si="642"/>
        <v>1050</v>
      </c>
      <c r="DT238" s="1026">
        <f t="shared" si="637"/>
        <v>1050</v>
      </c>
      <c r="DU238" s="1026">
        <f t="shared" si="638"/>
        <v>1050</v>
      </c>
      <c r="DV238" s="1026">
        <f t="shared" si="643"/>
        <v>1050</v>
      </c>
      <c r="DW238" s="1026">
        <f t="shared" si="644"/>
        <v>1050</v>
      </c>
      <c r="DX238" s="1027">
        <f t="shared" si="645"/>
        <v>1050</v>
      </c>
      <c r="DY238" s="1026">
        <f t="shared" si="639"/>
        <v>1050</v>
      </c>
      <c r="DZ238" s="1026">
        <f t="shared" si="640"/>
        <v>1050</v>
      </c>
      <c r="EA238" s="1026">
        <f t="shared" si="646"/>
        <v>1050</v>
      </c>
      <c r="EB238" s="1026">
        <f t="shared" si="647"/>
        <v>1050</v>
      </c>
      <c r="EC238" s="1027">
        <f t="shared" si="648"/>
        <v>1050</v>
      </c>
      <c r="EF238"/>
      <c r="EG238"/>
      <c r="EH238"/>
      <c r="EI238"/>
      <c r="EJ238"/>
      <c r="EK238"/>
      <c r="EL238"/>
      <c r="EM238"/>
      <c r="EN238"/>
      <c r="EO238"/>
      <c r="EP238"/>
      <c r="EQ238"/>
      <c r="ER238"/>
      <c r="ES238"/>
      <c r="ET238"/>
      <c r="EU238"/>
      <c r="EV238"/>
      <c r="EW238"/>
      <c r="EX238"/>
      <c r="EY238"/>
      <c r="EZ238"/>
      <c r="FA238"/>
    </row>
    <row r="239" spans="1:157" s="984" customFormat="1" x14ac:dyDescent="0.2">
      <c r="A239" s="271" t="s">
        <v>634</v>
      </c>
      <c r="V239" s="985"/>
      <c r="AM239" s="992"/>
      <c r="AN239" s="992"/>
      <c r="AO239" s="992"/>
      <c r="AP239" s="992"/>
      <c r="AQ239" s="992"/>
      <c r="AR239" s="992"/>
      <c r="AS239" s="992"/>
      <c r="AT239" s="992"/>
      <c r="AU239" s="992"/>
      <c r="AV239" s="992"/>
      <c r="AW239" s="992"/>
      <c r="AX239" s="992"/>
      <c r="AY239" s="992"/>
      <c r="AZ239" s="992"/>
      <c r="BB239" s="992"/>
      <c r="BC239" s="992"/>
      <c r="BD239" s="992"/>
      <c r="BE239" s="992"/>
      <c r="BG239" s="992"/>
      <c r="BH239" s="992"/>
      <c r="BI239" s="992"/>
      <c r="BJ239" s="992"/>
      <c r="BL239" s="992"/>
      <c r="BM239" s="992"/>
      <c r="BN239" s="992"/>
      <c r="BO239" s="992"/>
      <c r="BQ239" s="992"/>
      <c r="BR239" s="992"/>
      <c r="BS239" s="992"/>
      <c r="BT239" s="992"/>
      <c r="BV239" s="992"/>
      <c r="BW239" s="992"/>
      <c r="BX239" s="992"/>
      <c r="BY239" s="992"/>
      <c r="BZ239" s="983"/>
      <c r="CA239" s="992"/>
      <c r="CB239" s="992"/>
      <c r="CC239" s="992"/>
      <c r="CD239" s="992"/>
      <c r="CE239" s="983"/>
      <c r="CF239" s="992"/>
      <c r="CG239" s="992"/>
      <c r="CH239" s="992"/>
      <c r="CI239" s="992"/>
      <c r="CJ239" s="983"/>
      <c r="CK239" s="992"/>
      <c r="CL239" s="992"/>
      <c r="CM239" s="992"/>
      <c r="CN239" s="992"/>
      <c r="CO239" s="983"/>
      <c r="CP239" s="993"/>
      <c r="CQ239" s="992"/>
      <c r="CR239" s="992"/>
      <c r="CS239" s="992"/>
      <c r="CT239" s="983"/>
      <c r="CU239" s="1164"/>
      <c r="CV239" s="1164"/>
      <c r="CW239" s="1164">
        <v>1050</v>
      </c>
      <c r="CX239" s="1164">
        <f t="shared" ref="CX239:DP239" si="651">CW239</f>
        <v>1050</v>
      </c>
      <c r="CY239" s="1027">
        <f t="shared" si="651"/>
        <v>1050</v>
      </c>
      <c r="CZ239" s="1164">
        <f t="shared" si="651"/>
        <v>1050</v>
      </c>
      <c r="DA239" s="1164">
        <f t="shared" si="651"/>
        <v>1050</v>
      </c>
      <c r="DB239" s="1026">
        <f t="shared" si="651"/>
        <v>1050</v>
      </c>
      <c r="DC239" s="1164">
        <f t="shared" si="651"/>
        <v>1050</v>
      </c>
      <c r="DD239" s="1027">
        <f t="shared" si="651"/>
        <v>1050</v>
      </c>
      <c r="DE239" s="1026">
        <f t="shared" si="636"/>
        <v>1050</v>
      </c>
      <c r="DF239" s="1026">
        <f t="shared" si="651"/>
        <v>1050</v>
      </c>
      <c r="DG239" s="1026">
        <f t="shared" si="651"/>
        <v>1050</v>
      </c>
      <c r="DH239" s="1026">
        <f t="shared" si="651"/>
        <v>1050</v>
      </c>
      <c r="DI239" s="1027">
        <f t="shared" si="651"/>
        <v>1050</v>
      </c>
      <c r="DJ239" s="1026">
        <f t="shared" si="651"/>
        <v>1050</v>
      </c>
      <c r="DK239" s="1026">
        <f t="shared" si="651"/>
        <v>1050</v>
      </c>
      <c r="DL239" s="1026">
        <f t="shared" si="651"/>
        <v>1050</v>
      </c>
      <c r="DM239" s="1026">
        <f t="shared" si="651"/>
        <v>1050</v>
      </c>
      <c r="DN239" s="1027">
        <f t="shared" si="651"/>
        <v>1050</v>
      </c>
      <c r="DO239" s="1026">
        <f t="shared" si="651"/>
        <v>1050</v>
      </c>
      <c r="DP239" s="1026">
        <f t="shared" si="651"/>
        <v>1050</v>
      </c>
      <c r="DQ239" s="1026">
        <f t="shared" si="642"/>
        <v>1050</v>
      </c>
      <c r="DR239" s="1026">
        <f t="shared" si="642"/>
        <v>1050</v>
      </c>
      <c r="DS239" s="1027">
        <f t="shared" si="642"/>
        <v>1050</v>
      </c>
      <c r="DT239" s="1026">
        <f t="shared" si="637"/>
        <v>1050</v>
      </c>
      <c r="DU239" s="1026">
        <f t="shared" si="638"/>
        <v>1050</v>
      </c>
      <c r="DV239" s="1026">
        <f t="shared" si="643"/>
        <v>1050</v>
      </c>
      <c r="DW239" s="1026">
        <f t="shared" si="644"/>
        <v>1050</v>
      </c>
      <c r="DX239" s="1027">
        <f t="shared" si="645"/>
        <v>1050</v>
      </c>
      <c r="DY239" s="1026">
        <f t="shared" si="639"/>
        <v>1050</v>
      </c>
      <c r="DZ239" s="1026">
        <f t="shared" si="640"/>
        <v>1050</v>
      </c>
      <c r="EA239" s="1026">
        <f t="shared" si="646"/>
        <v>1050</v>
      </c>
      <c r="EB239" s="1026">
        <f t="shared" si="647"/>
        <v>1050</v>
      </c>
      <c r="EC239" s="1027">
        <f t="shared" si="648"/>
        <v>1050</v>
      </c>
      <c r="EF239"/>
      <c r="EG239"/>
      <c r="EH239"/>
      <c r="EI239"/>
      <c r="EJ239"/>
      <c r="EK239"/>
      <c r="EL239"/>
      <c r="EM239"/>
      <c r="EN239"/>
      <c r="EO239"/>
      <c r="EP239"/>
      <c r="EQ239"/>
      <c r="ER239"/>
      <c r="ES239"/>
      <c r="ET239"/>
      <c r="EU239"/>
      <c r="EV239"/>
      <c r="EW239"/>
      <c r="EX239"/>
      <c r="EY239"/>
      <c r="EZ239"/>
      <c r="FA239"/>
    </row>
    <row r="240" spans="1:157" s="984" customFormat="1" x14ac:dyDescent="0.2">
      <c r="A240" s="271" t="s">
        <v>635</v>
      </c>
      <c r="V240" s="985"/>
      <c r="AM240" s="992"/>
      <c r="AN240" s="992"/>
      <c r="AO240" s="992"/>
      <c r="AP240" s="992"/>
      <c r="AQ240" s="992"/>
      <c r="AR240" s="992"/>
      <c r="AS240" s="992"/>
      <c r="AT240" s="992"/>
      <c r="AU240" s="992"/>
      <c r="AV240" s="992"/>
      <c r="AW240" s="992"/>
      <c r="AX240" s="992"/>
      <c r="AY240" s="992"/>
      <c r="AZ240" s="992"/>
      <c r="BB240" s="992"/>
      <c r="BC240" s="992"/>
      <c r="BD240" s="992"/>
      <c r="BE240" s="992"/>
      <c r="BG240" s="992"/>
      <c r="BH240" s="992"/>
      <c r="BI240" s="992"/>
      <c r="BJ240" s="992"/>
      <c r="BL240" s="992"/>
      <c r="BM240" s="992"/>
      <c r="BN240" s="992"/>
      <c r="BO240" s="992"/>
      <c r="BQ240" s="992"/>
      <c r="BR240" s="992"/>
      <c r="BS240" s="992"/>
      <c r="BT240" s="992"/>
      <c r="BV240" s="992"/>
      <c r="BW240" s="992"/>
      <c r="BX240" s="992"/>
      <c r="BY240" s="992"/>
      <c r="BZ240" s="983"/>
      <c r="CA240" s="992"/>
      <c r="CB240" s="992"/>
      <c r="CC240" s="992"/>
      <c r="CD240" s="992"/>
      <c r="CE240" s="983"/>
      <c r="CF240" s="992"/>
      <c r="CG240" s="992"/>
      <c r="CH240" s="992"/>
      <c r="CI240" s="992"/>
      <c r="CJ240" s="983"/>
      <c r="CK240" s="992"/>
      <c r="CL240" s="992"/>
      <c r="CM240" s="992"/>
      <c r="CN240" s="992"/>
      <c r="CO240" s="983"/>
      <c r="CP240" s="993"/>
      <c r="CQ240" s="992"/>
      <c r="CR240" s="992"/>
      <c r="CS240" s="992"/>
      <c r="CT240" s="983"/>
      <c r="CU240" s="1164"/>
      <c r="CV240" s="1164"/>
      <c r="CW240" s="1164">
        <v>500</v>
      </c>
      <c r="CX240" s="1164">
        <f t="shared" ref="CX240:DA241" si="652">CW240</f>
        <v>500</v>
      </c>
      <c r="CY240" s="1027">
        <f t="shared" si="652"/>
        <v>500</v>
      </c>
      <c r="CZ240" s="1164">
        <f t="shared" si="652"/>
        <v>500</v>
      </c>
      <c r="DA240" s="1164">
        <f t="shared" si="652"/>
        <v>500</v>
      </c>
      <c r="DB240" s="1026">
        <f t="shared" ref="DB240:DD242" si="653">DA240</f>
        <v>500</v>
      </c>
      <c r="DC240" s="1164">
        <f t="shared" si="653"/>
        <v>500</v>
      </c>
      <c r="DD240" s="1027">
        <f t="shared" si="653"/>
        <v>500</v>
      </c>
      <c r="DE240" s="1026">
        <f t="shared" si="636"/>
        <v>500</v>
      </c>
      <c r="DF240" s="1026">
        <f t="shared" ref="DF240:EC240" si="654">DE240</f>
        <v>500</v>
      </c>
      <c r="DG240" s="1026">
        <f t="shared" si="654"/>
        <v>500</v>
      </c>
      <c r="DH240" s="1026">
        <f t="shared" si="654"/>
        <v>500</v>
      </c>
      <c r="DI240" s="1027">
        <f t="shared" si="654"/>
        <v>500</v>
      </c>
      <c r="DJ240" s="1026">
        <f t="shared" si="654"/>
        <v>500</v>
      </c>
      <c r="DK240" s="1026">
        <f t="shared" si="654"/>
        <v>500</v>
      </c>
      <c r="DL240" s="1026">
        <f t="shared" si="654"/>
        <v>500</v>
      </c>
      <c r="DM240" s="1026">
        <f t="shared" si="654"/>
        <v>500</v>
      </c>
      <c r="DN240" s="1027">
        <f t="shared" si="654"/>
        <v>500</v>
      </c>
      <c r="DO240" s="1026">
        <f t="shared" si="654"/>
        <v>500</v>
      </c>
      <c r="DP240" s="1026">
        <f t="shared" si="654"/>
        <v>500</v>
      </c>
      <c r="DQ240" s="1026">
        <f t="shared" si="654"/>
        <v>500</v>
      </c>
      <c r="DR240" s="1026">
        <f t="shared" si="654"/>
        <v>500</v>
      </c>
      <c r="DS240" s="1027">
        <f t="shared" si="654"/>
        <v>500</v>
      </c>
      <c r="DT240" s="1026">
        <f t="shared" si="654"/>
        <v>500</v>
      </c>
      <c r="DU240" s="1026">
        <f t="shared" si="654"/>
        <v>500</v>
      </c>
      <c r="DV240" s="1026">
        <f t="shared" si="654"/>
        <v>500</v>
      </c>
      <c r="DW240" s="1026">
        <f t="shared" si="654"/>
        <v>500</v>
      </c>
      <c r="DX240" s="1027">
        <f t="shared" si="654"/>
        <v>500</v>
      </c>
      <c r="DY240" s="1026">
        <f t="shared" si="654"/>
        <v>500</v>
      </c>
      <c r="DZ240" s="1026">
        <f t="shared" si="654"/>
        <v>500</v>
      </c>
      <c r="EA240" s="1026">
        <f t="shared" si="654"/>
        <v>500</v>
      </c>
      <c r="EB240" s="1026">
        <f t="shared" si="654"/>
        <v>500</v>
      </c>
      <c r="EC240" s="1027">
        <f t="shared" si="654"/>
        <v>500</v>
      </c>
      <c r="EF240"/>
      <c r="EG240"/>
      <c r="EH240"/>
      <c r="EI240"/>
      <c r="EJ240"/>
      <c r="EK240"/>
      <c r="EL240"/>
      <c r="EM240"/>
      <c r="EN240"/>
      <c r="EO240"/>
      <c r="EP240"/>
      <c r="EQ240"/>
      <c r="ER240"/>
      <c r="ES240"/>
      <c r="ET240"/>
      <c r="EU240"/>
      <c r="EV240"/>
      <c r="EW240"/>
      <c r="EX240"/>
      <c r="EY240"/>
      <c r="EZ240"/>
      <c r="FA240"/>
    </row>
    <row r="241" spans="1:157" s="984" customFormat="1" x14ac:dyDescent="0.2">
      <c r="A241" s="271" t="s">
        <v>636</v>
      </c>
      <c r="V241" s="985"/>
      <c r="AM241" s="992"/>
      <c r="AN241" s="992"/>
      <c r="AO241" s="992"/>
      <c r="AP241" s="992"/>
      <c r="AQ241" s="992"/>
      <c r="AR241" s="992"/>
      <c r="AS241" s="992"/>
      <c r="AT241" s="992"/>
      <c r="AU241" s="992"/>
      <c r="AV241" s="992"/>
      <c r="AW241" s="992"/>
      <c r="AX241" s="992"/>
      <c r="AY241" s="992"/>
      <c r="AZ241" s="992"/>
      <c r="BB241" s="992"/>
      <c r="BC241" s="992"/>
      <c r="BD241" s="992"/>
      <c r="BE241" s="992"/>
      <c r="BG241" s="992"/>
      <c r="BH241" s="992"/>
      <c r="BI241" s="992"/>
      <c r="BJ241" s="992"/>
      <c r="BL241" s="992"/>
      <c r="BM241" s="992"/>
      <c r="BN241" s="992"/>
      <c r="BO241" s="992"/>
      <c r="BQ241" s="992"/>
      <c r="BR241" s="992"/>
      <c r="BS241" s="992"/>
      <c r="BT241" s="992"/>
      <c r="BV241" s="992"/>
      <c r="BW241" s="992"/>
      <c r="BX241" s="992"/>
      <c r="BY241" s="992"/>
      <c r="BZ241" s="983"/>
      <c r="CA241" s="992"/>
      <c r="CB241" s="992"/>
      <c r="CC241" s="992"/>
      <c r="CD241" s="992"/>
      <c r="CE241" s="983"/>
      <c r="CF241" s="992"/>
      <c r="CG241" s="992"/>
      <c r="CH241" s="992"/>
      <c r="CI241" s="992"/>
      <c r="CJ241" s="983"/>
      <c r="CK241" s="992"/>
      <c r="CL241" s="992"/>
      <c r="CM241" s="992"/>
      <c r="CN241" s="992"/>
      <c r="CO241" s="983"/>
      <c r="CP241" s="993"/>
      <c r="CQ241" s="992"/>
      <c r="CR241" s="992"/>
      <c r="CS241" s="992"/>
      <c r="CT241" s="983"/>
      <c r="CU241" s="1164"/>
      <c r="CV241" s="1164"/>
      <c r="CW241" s="1164">
        <v>2000</v>
      </c>
      <c r="CX241" s="1164">
        <v>1990</v>
      </c>
      <c r="CY241" s="1027">
        <f t="shared" si="652"/>
        <v>1990</v>
      </c>
      <c r="CZ241" s="1164">
        <f t="shared" si="652"/>
        <v>1990</v>
      </c>
      <c r="DA241" s="1164">
        <v>1985</v>
      </c>
      <c r="DB241" s="1026">
        <f t="shared" si="653"/>
        <v>1985</v>
      </c>
      <c r="DC241" s="1164">
        <f t="shared" si="653"/>
        <v>1985</v>
      </c>
      <c r="DD241" s="1027">
        <f t="shared" si="653"/>
        <v>1985</v>
      </c>
      <c r="DE241" s="1026">
        <f t="shared" ref="DE241" si="655">DD241</f>
        <v>1985</v>
      </c>
      <c r="DF241" s="1026">
        <f t="shared" ref="DF241:DI242" si="656">DE241</f>
        <v>1985</v>
      </c>
      <c r="DG241" s="1026">
        <f t="shared" si="656"/>
        <v>1985</v>
      </c>
      <c r="DH241" s="1026">
        <f t="shared" si="656"/>
        <v>1985</v>
      </c>
      <c r="DI241" s="1027">
        <f t="shared" si="656"/>
        <v>1985</v>
      </c>
      <c r="DJ241" s="1026">
        <f t="shared" ref="DJ241" si="657">DI241</f>
        <v>1985</v>
      </c>
      <c r="DK241" s="1026">
        <f t="shared" ref="DK241:DN242" si="658">DJ241</f>
        <v>1985</v>
      </c>
      <c r="DL241" s="1026">
        <f t="shared" si="658"/>
        <v>1985</v>
      </c>
      <c r="DM241" s="1026">
        <f t="shared" si="658"/>
        <v>1985</v>
      </c>
      <c r="DN241" s="1027">
        <f t="shared" si="658"/>
        <v>1985</v>
      </c>
      <c r="DO241" s="1026">
        <f t="shared" ref="DO241" si="659">DN241</f>
        <v>1985</v>
      </c>
      <c r="DP241" s="1026">
        <f t="shared" ref="DP241:DS242" si="660">DO241</f>
        <v>1985</v>
      </c>
      <c r="DQ241" s="1026">
        <f t="shared" si="660"/>
        <v>1985</v>
      </c>
      <c r="DR241" s="1026">
        <f t="shared" si="660"/>
        <v>1985</v>
      </c>
      <c r="DS241" s="1027">
        <f t="shared" si="660"/>
        <v>1985</v>
      </c>
      <c r="DT241" s="1026">
        <f t="shared" ref="DT241" si="661">DS241</f>
        <v>1985</v>
      </c>
      <c r="DU241" s="1026">
        <f t="shared" ref="DU241:DX242" si="662">DT241</f>
        <v>1985</v>
      </c>
      <c r="DV241" s="1026">
        <f t="shared" si="662"/>
        <v>1985</v>
      </c>
      <c r="DW241" s="1026">
        <f t="shared" si="662"/>
        <v>1985</v>
      </c>
      <c r="DX241" s="1027">
        <f t="shared" si="662"/>
        <v>1985</v>
      </c>
      <c r="DY241" s="1026">
        <f t="shared" ref="DY241" si="663">DX241</f>
        <v>1985</v>
      </c>
      <c r="DZ241" s="1026">
        <f t="shared" ref="DZ241:EC242" si="664">DY241</f>
        <v>1985</v>
      </c>
      <c r="EA241" s="1026">
        <f t="shared" si="664"/>
        <v>1985</v>
      </c>
      <c r="EB241" s="1026">
        <f t="shared" si="664"/>
        <v>1985</v>
      </c>
      <c r="EC241" s="1027">
        <f t="shared" si="664"/>
        <v>1985</v>
      </c>
      <c r="EF241"/>
      <c r="EG241"/>
      <c r="EH241"/>
      <c r="EI241"/>
      <c r="EJ241"/>
      <c r="EK241"/>
      <c r="EL241"/>
      <c r="EM241"/>
      <c r="EN241"/>
      <c r="EO241"/>
      <c r="EP241"/>
      <c r="EQ241"/>
      <c r="ER241"/>
      <c r="ES241"/>
      <c r="ET241"/>
      <c r="EU241"/>
      <c r="EV241"/>
      <c r="EW241"/>
      <c r="EX241"/>
      <c r="EY241"/>
      <c r="EZ241"/>
      <c r="FA241"/>
    </row>
    <row r="242" spans="1:157" s="984" customFormat="1" x14ac:dyDescent="0.2">
      <c r="A242" s="271" t="s">
        <v>708</v>
      </c>
      <c r="V242" s="985"/>
      <c r="AM242" s="992"/>
      <c r="AN242" s="992"/>
      <c r="AO242" s="992"/>
      <c r="AP242" s="992"/>
      <c r="AQ242" s="992"/>
      <c r="AR242" s="992"/>
      <c r="AS242" s="992"/>
      <c r="AT242" s="992"/>
      <c r="AU242" s="992"/>
      <c r="AV242" s="992"/>
      <c r="AW242" s="992"/>
      <c r="AX242" s="992"/>
      <c r="AY242" s="992"/>
      <c r="AZ242" s="992"/>
      <c r="BB242" s="992"/>
      <c r="BC242" s="992"/>
      <c r="BD242" s="992"/>
      <c r="BE242" s="992"/>
      <c r="BG242" s="992"/>
      <c r="BH242" s="992"/>
      <c r="BI242" s="992"/>
      <c r="BJ242" s="992"/>
      <c r="BL242" s="992"/>
      <c r="BM242" s="992"/>
      <c r="BN242" s="992"/>
      <c r="BO242" s="992"/>
      <c r="BQ242" s="992"/>
      <c r="BR242" s="992"/>
      <c r="BS242" s="992"/>
      <c r="BT242" s="992"/>
      <c r="BV242" s="992"/>
      <c r="BW242" s="992"/>
      <c r="BX242" s="992"/>
      <c r="BY242" s="992"/>
      <c r="BZ242" s="983"/>
      <c r="CA242" s="992"/>
      <c r="CB242" s="992"/>
      <c r="CC242" s="992"/>
      <c r="CD242" s="992"/>
      <c r="CE242" s="983"/>
      <c r="CF242" s="992"/>
      <c r="CG242" s="992"/>
      <c r="CH242" s="992"/>
      <c r="CI242" s="992"/>
      <c r="CJ242" s="983"/>
      <c r="CK242" s="992"/>
      <c r="CL242" s="992"/>
      <c r="CM242" s="992"/>
      <c r="CN242" s="992"/>
      <c r="CO242" s="983"/>
      <c r="CP242" s="993"/>
      <c r="CQ242" s="992"/>
      <c r="CR242" s="992"/>
      <c r="CS242" s="992"/>
      <c r="CT242" s="983"/>
      <c r="CU242" s="1164"/>
      <c r="CV242" s="1164"/>
      <c r="CW242" s="1164"/>
      <c r="CX242" s="1164"/>
      <c r="CY242" s="1027"/>
      <c r="CZ242" s="1164"/>
      <c r="DA242" s="1164">
        <v>750</v>
      </c>
      <c r="DB242" s="1026">
        <f t="shared" si="653"/>
        <v>750</v>
      </c>
      <c r="DC242" s="1164">
        <f t="shared" si="653"/>
        <v>750</v>
      </c>
      <c r="DD242" s="1027">
        <f t="shared" si="653"/>
        <v>750</v>
      </c>
      <c r="DE242" s="1026">
        <f>DD242</f>
        <v>750</v>
      </c>
      <c r="DF242" s="1026">
        <f t="shared" si="656"/>
        <v>750</v>
      </c>
      <c r="DG242" s="1026">
        <f t="shared" si="656"/>
        <v>750</v>
      </c>
      <c r="DH242" s="1026">
        <f t="shared" si="656"/>
        <v>750</v>
      </c>
      <c r="DI242" s="1027">
        <f t="shared" si="656"/>
        <v>750</v>
      </c>
      <c r="DJ242" s="1026">
        <f>DI242</f>
        <v>750</v>
      </c>
      <c r="DK242" s="1026">
        <f t="shared" si="658"/>
        <v>750</v>
      </c>
      <c r="DL242" s="1026">
        <f t="shared" si="658"/>
        <v>750</v>
      </c>
      <c r="DM242" s="1026">
        <f t="shared" si="658"/>
        <v>750</v>
      </c>
      <c r="DN242" s="1027">
        <f t="shared" si="658"/>
        <v>750</v>
      </c>
      <c r="DO242" s="1026">
        <f>DN242</f>
        <v>750</v>
      </c>
      <c r="DP242" s="1026">
        <f t="shared" si="660"/>
        <v>750</v>
      </c>
      <c r="DQ242" s="1026">
        <f t="shared" si="660"/>
        <v>750</v>
      </c>
      <c r="DR242" s="1026">
        <f t="shared" si="660"/>
        <v>750</v>
      </c>
      <c r="DS242" s="1027">
        <f t="shared" si="660"/>
        <v>750</v>
      </c>
      <c r="DT242" s="1026">
        <f>DS242</f>
        <v>750</v>
      </c>
      <c r="DU242" s="1026">
        <f t="shared" si="662"/>
        <v>750</v>
      </c>
      <c r="DV242" s="1026">
        <f t="shared" si="662"/>
        <v>750</v>
      </c>
      <c r="DW242" s="1026">
        <f t="shared" si="662"/>
        <v>750</v>
      </c>
      <c r="DX242" s="1027">
        <f t="shared" si="662"/>
        <v>750</v>
      </c>
      <c r="DY242" s="1026">
        <f>DX242</f>
        <v>750</v>
      </c>
      <c r="DZ242" s="1026">
        <f t="shared" si="664"/>
        <v>750</v>
      </c>
      <c r="EA242" s="1026">
        <f t="shared" si="664"/>
        <v>750</v>
      </c>
      <c r="EB242" s="1026">
        <f t="shared" si="664"/>
        <v>750</v>
      </c>
      <c r="EC242" s="1027">
        <f t="shared" si="664"/>
        <v>750</v>
      </c>
      <c r="EF242"/>
      <c r="EG242"/>
      <c r="EH242"/>
      <c r="EI242"/>
      <c r="EJ242"/>
      <c r="EK242"/>
      <c r="EL242" s="2161"/>
      <c r="EM242" s="2161"/>
      <c r="EN242" s="2161"/>
      <c r="EO242" s="2161"/>
      <c r="EP242" s="2161"/>
      <c r="EQ242" s="2161"/>
      <c r="ER242" s="2161"/>
      <c r="ES242" s="2161"/>
      <c r="ET242" s="2161"/>
      <c r="EU242" s="2161"/>
      <c r="EV242" s="2161"/>
      <c r="EW242" s="2161"/>
      <c r="EX242" s="2161"/>
      <c r="EY242" s="2161"/>
      <c r="EZ242" s="2161"/>
      <c r="FA242" s="2161"/>
    </row>
    <row r="243" spans="1:157" s="984" customFormat="1" x14ac:dyDescent="0.2">
      <c r="A243" s="267" t="s">
        <v>654</v>
      </c>
      <c r="V243" s="985"/>
      <c r="AM243" s="992"/>
      <c r="AN243" s="992"/>
      <c r="AO243" s="992"/>
      <c r="AP243" s="992"/>
      <c r="AQ243" s="992"/>
      <c r="AR243" s="992"/>
      <c r="AS243" s="992"/>
      <c r="AT243" s="992"/>
      <c r="AU243" s="992"/>
      <c r="AV243" s="992"/>
      <c r="AW243" s="992"/>
      <c r="AX243" s="992"/>
      <c r="AY243" s="992"/>
      <c r="AZ243" s="992"/>
      <c r="BB243" s="992"/>
      <c r="BC243" s="992"/>
      <c r="BD243" s="992"/>
      <c r="BE243" s="992"/>
      <c r="BG243" s="992"/>
      <c r="BH243" s="992"/>
      <c r="BI243" s="992"/>
      <c r="BJ243" s="992"/>
      <c r="BL243" s="992"/>
      <c r="BM243" s="992"/>
      <c r="BN243" s="992"/>
      <c r="BO243" s="992"/>
      <c r="BQ243" s="992"/>
      <c r="BR243" s="992"/>
      <c r="BS243" s="992"/>
      <c r="BT243" s="992"/>
      <c r="BV243" s="992"/>
      <c r="BW243" s="992"/>
      <c r="BX243" s="992"/>
      <c r="BY243" s="992"/>
      <c r="BZ243" s="983"/>
      <c r="CA243" s="992"/>
      <c r="CB243" s="992"/>
      <c r="CC243" s="992"/>
      <c r="CD243" s="992"/>
      <c r="CE243" s="983"/>
      <c r="CF243" s="992"/>
      <c r="CG243" s="992"/>
      <c r="CH243" s="992"/>
      <c r="CI243" s="992"/>
      <c r="CJ243" s="983"/>
      <c r="CK243" s="992"/>
      <c r="CL243" s="992"/>
      <c r="CM243" s="992"/>
      <c r="CN243" s="992"/>
      <c r="CO243" s="983"/>
      <c r="CP243" s="993"/>
      <c r="CQ243" s="992"/>
      <c r="CR243" s="992"/>
      <c r="CS243" s="992"/>
      <c r="CT243" s="983"/>
      <c r="CU243" s="1164"/>
      <c r="CV243" s="1164"/>
      <c r="CW243" s="1164"/>
      <c r="CX243" s="1164"/>
      <c r="CY243" s="1027"/>
      <c r="CZ243" s="1164"/>
      <c r="DA243" s="1026"/>
      <c r="DB243" s="1026"/>
      <c r="DC243" s="1164"/>
      <c r="DD243" s="1027"/>
      <c r="DE243" s="1026"/>
      <c r="DF243" s="1026"/>
      <c r="DG243" s="1026"/>
      <c r="DH243" s="1026"/>
      <c r="DI243" s="1027"/>
      <c r="DJ243" s="1026"/>
      <c r="DK243" s="1026"/>
      <c r="DL243" s="1026"/>
      <c r="DM243" s="1026"/>
      <c r="DN243" s="1027"/>
      <c r="DO243" s="1026"/>
      <c r="DP243" s="1026"/>
      <c r="DQ243" s="1026"/>
      <c r="DR243" s="1026"/>
      <c r="DS243" s="1027"/>
      <c r="DT243" s="1026"/>
      <c r="DU243" s="1026"/>
      <c r="DV243" s="1026"/>
      <c r="DW243" s="1026"/>
      <c r="DX243" s="1027"/>
      <c r="DY243" s="1026"/>
      <c r="DZ243" s="1026"/>
      <c r="EA243" s="1026"/>
      <c r="EB243" s="1026"/>
      <c r="EC243" s="1027"/>
      <c r="EF243"/>
      <c r="EG243"/>
      <c r="EH243"/>
      <c r="EI243"/>
      <c r="EJ243"/>
      <c r="EK243"/>
      <c r="EL243"/>
      <c r="EM243"/>
      <c r="EN243"/>
      <c r="EO243"/>
      <c r="EP243"/>
      <c r="EQ243"/>
      <c r="ER243"/>
      <c r="ES243"/>
      <c r="ET243"/>
      <c r="EU243"/>
      <c r="EV243"/>
      <c r="EW243"/>
      <c r="EX243"/>
      <c r="EY243"/>
      <c r="EZ243"/>
      <c r="FA243"/>
    </row>
    <row r="244" spans="1:157" s="984" customFormat="1" x14ac:dyDescent="0.2">
      <c r="A244" s="2162" t="s">
        <v>713</v>
      </c>
      <c r="V244" s="985"/>
      <c r="AM244" s="992"/>
      <c r="AN244" s="992"/>
      <c r="AO244" s="992"/>
      <c r="AP244" s="992"/>
      <c r="AQ244" s="992"/>
      <c r="AR244" s="992"/>
      <c r="AS244" s="992"/>
      <c r="AT244" s="992"/>
      <c r="AU244" s="992"/>
      <c r="AV244" s="992"/>
      <c r="AW244" s="992"/>
      <c r="AX244" s="992"/>
      <c r="AY244" s="992"/>
      <c r="AZ244" s="992"/>
      <c r="BB244" s="992"/>
      <c r="BC244" s="992"/>
      <c r="BD244" s="992"/>
      <c r="BE244" s="992"/>
      <c r="BG244" s="992"/>
      <c r="BH244" s="992"/>
      <c r="BI244" s="992"/>
      <c r="BJ244" s="992"/>
      <c r="BL244" s="992"/>
      <c r="BM244" s="992"/>
      <c r="BN244" s="992"/>
      <c r="BO244" s="992"/>
      <c r="BQ244" s="992"/>
      <c r="BR244" s="992"/>
      <c r="BS244" s="992"/>
      <c r="BT244" s="992"/>
      <c r="BV244" s="992"/>
      <c r="BW244" s="992"/>
      <c r="BX244" s="992"/>
      <c r="BY244" s="992"/>
      <c r="BZ244" s="983"/>
      <c r="CA244" s="992"/>
      <c r="CB244" s="992"/>
      <c r="CC244" s="992"/>
      <c r="CD244" s="992"/>
      <c r="CE244" s="983"/>
      <c r="CF244" s="992"/>
      <c r="CG244" s="992"/>
      <c r="CH244" s="992"/>
      <c r="CI244" s="992"/>
      <c r="CJ244" s="983"/>
      <c r="CK244" s="992"/>
      <c r="CL244" s="992"/>
      <c r="CM244" s="992"/>
      <c r="CN244" s="992"/>
      <c r="CO244" s="983"/>
      <c r="CP244" s="993"/>
      <c r="CQ244" s="992"/>
      <c r="CR244" s="992"/>
      <c r="CS244" s="992"/>
      <c r="CT244" s="983"/>
      <c r="CU244" s="1164"/>
      <c r="CV244" s="1164"/>
      <c r="CW244" s="1164"/>
      <c r="CX244" s="1164"/>
      <c r="CY244" s="1027"/>
      <c r="CZ244" s="1164"/>
      <c r="DA244" s="1026"/>
      <c r="DB244" s="1026"/>
      <c r="DC244" s="1164"/>
      <c r="DD244" s="1027"/>
      <c r="DE244" s="1026">
        <f>DD244+DD245</f>
        <v>0</v>
      </c>
      <c r="DF244" s="1026">
        <f t="shared" ref="DF244:EC244" si="665">DE244+DE245</f>
        <v>0</v>
      </c>
      <c r="DG244" s="1026">
        <f t="shared" si="665"/>
        <v>325</v>
      </c>
      <c r="DH244" s="1026">
        <f t="shared" si="665"/>
        <v>325</v>
      </c>
      <c r="DI244" s="2182">
        <f t="shared" si="665"/>
        <v>325</v>
      </c>
      <c r="DJ244" s="1026">
        <f t="shared" si="665"/>
        <v>325</v>
      </c>
      <c r="DK244" s="1026">
        <f t="shared" si="665"/>
        <v>325</v>
      </c>
      <c r="DL244" s="1026">
        <f t="shared" si="665"/>
        <v>325</v>
      </c>
      <c r="DM244" s="1026">
        <f t="shared" si="665"/>
        <v>325</v>
      </c>
      <c r="DN244" s="2182">
        <f t="shared" si="665"/>
        <v>575</v>
      </c>
      <c r="DO244" s="1026">
        <f t="shared" si="665"/>
        <v>575</v>
      </c>
      <c r="DP244" s="1026">
        <f t="shared" si="665"/>
        <v>575</v>
      </c>
      <c r="DQ244" s="1026">
        <f t="shared" si="665"/>
        <v>575</v>
      </c>
      <c r="DR244" s="1026">
        <f t="shared" si="665"/>
        <v>1375</v>
      </c>
      <c r="DS244" s="2182">
        <f t="shared" si="665"/>
        <v>1375</v>
      </c>
      <c r="DT244" s="1026">
        <f t="shared" si="665"/>
        <v>1375</v>
      </c>
      <c r="DU244" s="1026">
        <f t="shared" si="665"/>
        <v>1375</v>
      </c>
      <c r="DV244" s="1026">
        <f t="shared" si="665"/>
        <v>1375</v>
      </c>
      <c r="DW244" s="1026">
        <f t="shared" si="665"/>
        <v>1375</v>
      </c>
      <c r="DX244" s="2182">
        <f t="shared" si="665"/>
        <v>1375</v>
      </c>
      <c r="DY244" s="1026">
        <f t="shared" si="665"/>
        <v>1375</v>
      </c>
      <c r="DZ244" s="1026">
        <f t="shared" si="665"/>
        <v>1375</v>
      </c>
      <c r="EA244" s="1026">
        <f t="shared" si="665"/>
        <v>1375</v>
      </c>
      <c r="EB244" s="1026">
        <f t="shared" si="665"/>
        <v>1375</v>
      </c>
      <c r="EC244" s="2182">
        <f t="shared" si="665"/>
        <v>1375</v>
      </c>
      <c r="EF244"/>
      <c r="EG244"/>
      <c r="EH244"/>
      <c r="EI244"/>
      <c r="EJ244"/>
      <c r="EK244"/>
      <c r="EL244" s="2161"/>
      <c r="EM244" s="2161"/>
      <c r="EN244" s="2161"/>
      <c r="EO244" s="2161"/>
      <c r="EP244" s="2161"/>
      <c r="EQ244" s="2161"/>
      <c r="ER244" s="2161"/>
      <c r="ES244" s="2161"/>
      <c r="ET244" s="2161"/>
      <c r="EU244" s="2161"/>
      <c r="EV244" s="2161"/>
      <c r="EW244" s="2161"/>
      <c r="EX244" s="2161"/>
      <c r="EY244" s="2161"/>
      <c r="EZ244" s="2161"/>
      <c r="FA244" s="2161"/>
    </row>
    <row r="245" spans="1:157" s="984" customFormat="1" x14ac:dyDescent="0.2">
      <c r="A245" s="267" t="s">
        <v>638</v>
      </c>
      <c r="V245" s="985"/>
      <c r="AM245" s="992"/>
      <c r="AN245" s="992"/>
      <c r="AO245" s="992"/>
      <c r="AP245" s="992"/>
      <c r="AQ245" s="992"/>
      <c r="AR245" s="992"/>
      <c r="AS245" s="992"/>
      <c r="AT245" s="992"/>
      <c r="AU245" s="992"/>
      <c r="AV245" s="992"/>
      <c r="AW245" s="992"/>
      <c r="AX245" s="992"/>
      <c r="AY245" s="992"/>
      <c r="AZ245" s="992"/>
      <c r="BB245" s="992"/>
      <c r="BC245" s="992"/>
      <c r="BD245" s="992"/>
      <c r="BE245" s="992"/>
      <c r="BG245" s="992"/>
      <c r="BH245" s="992"/>
      <c r="BI245" s="992"/>
      <c r="BJ245" s="992"/>
      <c r="BL245" s="992"/>
      <c r="BM245" s="992"/>
      <c r="BN245" s="992"/>
      <c r="BO245" s="992"/>
      <c r="BQ245" s="992"/>
      <c r="BR245" s="992"/>
      <c r="BS245" s="992"/>
      <c r="BT245" s="992"/>
      <c r="BV245" s="992"/>
      <c r="BW245" s="992"/>
      <c r="BX245" s="992"/>
      <c r="BY245" s="992"/>
      <c r="BZ245" s="983"/>
      <c r="CA245" s="992"/>
      <c r="CB245" s="992"/>
      <c r="CC245" s="992"/>
      <c r="CD245" s="992"/>
      <c r="CE245" s="983"/>
      <c r="CF245" s="992"/>
      <c r="CG245" s="992"/>
      <c r="CH245" s="992"/>
      <c r="CI245" s="992"/>
      <c r="CJ245" s="983"/>
      <c r="CK245" s="992"/>
      <c r="CL245" s="992"/>
      <c r="CM245" s="992"/>
      <c r="CN245" s="992"/>
      <c r="CO245" s="983"/>
      <c r="CP245" s="993"/>
      <c r="CQ245" s="992"/>
      <c r="CR245" s="992"/>
      <c r="CS245" s="992"/>
      <c r="CT245" s="983"/>
      <c r="CU245" s="1164"/>
      <c r="CV245" s="1164"/>
      <c r="CW245" s="1164">
        <f>CF!CU56</f>
        <v>4600</v>
      </c>
      <c r="CX245" s="1164">
        <f>CF!CV56</f>
        <v>0</v>
      </c>
      <c r="CY245" s="1027"/>
      <c r="CZ245" s="1164">
        <f>CF!CX56</f>
        <v>192</v>
      </c>
      <c r="DA245" s="1164">
        <v>0</v>
      </c>
      <c r="DB245" s="1164">
        <f>CF!CZ56</f>
        <v>0</v>
      </c>
      <c r="DC245" s="1164">
        <f>CF!DA56</f>
        <v>0</v>
      </c>
      <c r="DD245" s="1027"/>
      <c r="DE245" s="1164">
        <f>CF!DC56</f>
        <v>0</v>
      </c>
      <c r="DF245" s="1164">
        <f>CF!DD56</f>
        <v>325</v>
      </c>
      <c r="DG245" s="1164">
        <f>CF!DE56</f>
        <v>0</v>
      </c>
      <c r="DH245" s="1164">
        <f>CF!DF56</f>
        <v>0</v>
      </c>
      <c r="DI245" s="1027"/>
      <c r="DJ245" s="1164">
        <f>CF!DH56</f>
        <v>0</v>
      </c>
      <c r="DK245" s="1164">
        <f>CF!DI56</f>
        <v>0</v>
      </c>
      <c r="DL245" s="1164">
        <f>CF!DJ56</f>
        <v>0</v>
      </c>
      <c r="DM245" s="1164">
        <f>CF!DK56</f>
        <v>250</v>
      </c>
      <c r="DN245" s="1027"/>
      <c r="DO245" s="1164">
        <f>CF!DM56</f>
        <v>0</v>
      </c>
      <c r="DP245" s="1164">
        <f>CF!DN56</f>
        <v>0</v>
      </c>
      <c r="DQ245" s="1164">
        <f>CF!DO56</f>
        <v>800</v>
      </c>
      <c r="DR245" s="1164">
        <f>CF!DP56</f>
        <v>0</v>
      </c>
      <c r="DS245" s="1027">
        <f>CF!DQ56</f>
        <v>0</v>
      </c>
      <c r="DT245" s="1164">
        <f>CF!DR56</f>
        <v>0</v>
      </c>
      <c r="DU245" s="1164">
        <f>CF!DS56</f>
        <v>0</v>
      </c>
      <c r="DV245" s="1164">
        <f>CF!DT56</f>
        <v>0</v>
      </c>
      <c r="DW245" s="1164">
        <f>CF!DU56</f>
        <v>0</v>
      </c>
      <c r="DX245" s="1027">
        <f>CF!DV56</f>
        <v>0</v>
      </c>
      <c r="DY245" s="1164">
        <f>CF!DW56</f>
        <v>0</v>
      </c>
      <c r="DZ245" s="1164">
        <f>CF!DX56</f>
        <v>0</v>
      </c>
      <c r="EA245" s="1164">
        <f>CF!DY56</f>
        <v>0</v>
      </c>
      <c r="EB245" s="1164">
        <f>CF!DZ56</f>
        <v>0</v>
      </c>
      <c r="EC245" s="1027">
        <f>CF!EA56</f>
        <v>0</v>
      </c>
      <c r="EF245"/>
      <c r="EG245"/>
      <c r="EH245"/>
      <c r="EI245"/>
      <c r="EJ245"/>
      <c r="EK245"/>
      <c r="EL245"/>
      <c r="EM245"/>
      <c r="EN245"/>
      <c r="EO245"/>
      <c r="EP245"/>
      <c r="EQ245"/>
      <c r="ER245"/>
      <c r="ES245"/>
      <c r="ET245"/>
      <c r="EU245"/>
      <c r="EV245"/>
      <c r="EW245"/>
      <c r="EX245"/>
      <c r="EY245"/>
      <c r="EZ245"/>
      <c r="FA245"/>
    </row>
    <row r="246" spans="1:157" s="984" customFormat="1" x14ac:dyDescent="0.2">
      <c r="A246" s="267" t="s">
        <v>420</v>
      </c>
      <c r="V246" s="985"/>
      <c r="AM246" s="992"/>
      <c r="AN246" s="992"/>
      <c r="AO246" s="992"/>
      <c r="AP246" s="992"/>
      <c r="AQ246" s="992"/>
      <c r="AR246" s="992"/>
      <c r="AS246" s="992"/>
      <c r="AT246" s="992"/>
      <c r="AU246" s="992"/>
      <c r="AV246" s="992"/>
      <c r="AW246" s="992"/>
      <c r="AX246" s="992"/>
      <c r="AY246" s="992"/>
      <c r="AZ246" s="992"/>
      <c r="BB246" s="992"/>
      <c r="BC246" s="992"/>
      <c r="BD246" s="992"/>
      <c r="BE246" s="992"/>
      <c r="BG246" s="992"/>
      <c r="BH246" s="992"/>
      <c r="BI246" s="992"/>
      <c r="BJ246" s="992"/>
      <c r="BL246" s="992"/>
      <c r="BM246" s="992"/>
      <c r="BN246" s="992"/>
      <c r="BO246" s="992"/>
      <c r="BQ246" s="992"/>
      <c r="BR246" s="992"/>
      <c r="BS246" s="992"/>
      <c r="BT246" s="992"/>
      <c r="BV246" s="992"/>
      <c r="BW246" s="992"/>
      <c r="BX246" s="992"/>
      <c r="BY246" s="992"/>
      <c r="BZ246" s="983"/>
      <c r="CA246" s="992"/>
      <c r="CB246" s="992"/>
      <c r="CC246" s="992"/>
      <c r="CD246" s="992"/>
      <c r="CE246" s="983"/>
      <c r="CF246" s="992"/>
      <c r="CG246" s="992"/>
      <c r="CH246" s="992"/>
      <c r="CI246" s="992"/>
      <c r="CJ246" s="983"/>
      <c r="CK246" s="992"/>
      <c r="CL246" s="992"/>
      <c r="CM246" s="992"/>
      <c r="CN246" s="992"/>
      <c r="CO246" s="983"/>
      <c r="CP246" s="993"/>
      <c r="CQ246" s="992"/>
      <c r="CR246" s="992"/>
      <c r="CS246" s="992"/>
      <c r="CT246" s="983"/>
      <c r="CU246" s="1164"/>
      <c r="CV246" s="1164"/>
      <c r="CW246" s="1164">
        <v>162</v>
      </c>
      <c r="CX246" s="1164">
        <v>121</v>
      </c>
      <c r="CY246" s="1027"/>
      <c r="CZ246" s="1164"/>
      <c r="DA246" s="1164">
        <v>128</v>
      </c>
      <c r="DB246" s="1026"/>
      <c r="DC246" s="1164"/>
      <c r="DD246" s="1027"/>
      <c r="DE246" s="1026"/>
      <c r="DF246" s="1026"/>
      <c r="DG246" s="1026"/>
      <c r="DH246" s="1026"/>
      <c r="DI246" s="1027"/>
      <c r="DJ246" s="1026"/>
      <c r="DK246" s="1026"/>
      <c r="DL246" s="1026"/>
      <c r="DM246" s="1026"/>
      <c r="DN246" s="1027"/>
      <c r="DO246" s="1026"/>
      <c r="DP246" s="1026"/>
      <c r="DQ246" s="1026"/>
      <c r="DR246" s="1026"/>
      <c r="DS246" s="1027"/>
      <c r="DT246" s="1026"/>
      <c r="DU246" s="1026"/>
      <c r="DV246" s="1026"/>
      <c r="DW246" s="1026"/>
      <c r="DX246" s="1027"/>
      <c r="DY246" s="1026"/>
      <c r="DZ246" s="1026"/>
      <c r="EA246" s="1026"/>
      <c r="EB246" s="1026"/>
      <c r="EC246" s="1027"/>
      <c r="EF246"/>
      <c r="EG246"/>
      <c r="EH246"/>
      <c r="EI246"/>
      <c r="EJ246"/>
      <c r="EK246"/>
      <c r="EL246"/>
      <c r="EM246"/>
      <c r="EN246"/>
      <c r="EO246"/>
      <c r="EP246"/>
      <c r="EQ246"/>
      <c r="ER246"/>
      <c r="ES246"/>
      <c r="ET246"/>
      <c r="EU246"/>
      <c r="EV246"/>
      <c r="EW246"/>
      <c r="EX246"/>
      <c r="EY246"/>
      <c r="EZ246"/>
      <c r="FA246"/>
    </row>
    <row r="247" spans="1:157" s="984" customFormat="1" x14ac:dyDescent="0.2">
      <c r="A247" s="270" t="s">
        <v>639</v>
      </c>
      <c r="V247" s="985"/>
      <c r="AM247" s="992"/>
      <c r="AN247" s="992"/>
      <c r="AO247" s="992"/>
      <c r="AP247" s="992"/>
      <c r="AQ247" s="992"/>
      <c r="AR247" s="992"/>
      <c r="AS247" s="992"/>
      <c r="AT247" s="992"/>
      <c r="AU247" s="992"/>
      <c r="AV247" s="992"/>
      <c r="AW247" s="992"/>
      <c r="AX247" s="992"/>
      <c r="AY247" s="992"/>
      <c r="AZ247" s="992"/>
      <c r="BB247" s="992"/>
      <c r="BC247" s="992"/>
      <c r="BD247" s="992"/>
      <c r="BE247" s="992"/>
      <c r="BG247" s="992"/>
      <c r="BH247" s="992"/>
      <c r="BI247" s="992"/>
      <c r="BJ247" s="992"/>
      <c r="BL247" s="992"/>
      <c r="BM247" s="992"/>
      <c r="BN247" s="992"/>
      <c r="BO247" s="992"/>
      <c r="BQ247" s="992"/>
      <c r="BR247" s="992"/>
      <c r="BS247" s="992"/>
      <c r="BT247" s="992"/>
      <c r="BV247" s="992"/>
      <c r="BW247" s="992"/>
      <c r="BX247" s="992"/>
      <c r="BY247" s="992"/>
      <c r="BZ247" s="983"/>
      <c r="CA247" s="992"/>
      <c r="CB247" s="992"/>
      <c r="CC247" s="992"/>
      <c r="CD247" s="992"/>
      <c r="CE247" s="983"/>
      <c r="CF247" s="992"/>
      <c r="CG247" s="992"/>
      <c r="CH247" s="994"/>
      <c r="CI247" s="992"/>
      <c r="CJ247" s="983"/>
      <c r="CK247" s="994"/>
      <c r="CL247" s="992"/>
      <c r="CM247" s="992"/>
      <c r="CN247" s="992"/>
      <c r="CO247" s="983"/>
      <c r="CP247" s="993"/>
      <c r="CQ247" s="992"/>
      <c r="CR247" s="992"/>
      <c r="CS247" s="992"/>
      <c r="CT247" s="983"/>
      <c r="CU247" s="1164"/>
      <c r="CV247" s="1164"/>
      <c r="CW247" s="1164">
        <v>-46</v>
      </c>
      <c r="CX247" s="1164">
        <v>-79</v>
      </c>
      <c r="CY247" s="1027"/>
      <c r="CZ247" s="1164"/>
      <c r="DA247" s="1164">
        <v>-95</v>
      </c>
      <c r="DB247" s="1026"/>
      <c r="DC247" s="1164"/>
      <c r="DD247" s="1027"/>
      <c r="DE247" s="1026"/>
      <c r="DF247" s="1026"/>
      <c r="DG247" s="1026"/>
      <c r="DH247" s="1026"/>
      <c r="DI247" s="1027"/>
      <c r="DJ247" s="1026"/>
      <c r="DK247" s="1026"/>
      <c r="DL247" s="1026"/>
      <c r="DM247" s="1026"/>
      <c r="DN247" s="1027"/>
      <c r="DO247" s="1026"/>
      <c r="DP247" s="1026"/>
      <c r="DQ247" s="1026"/>
      <c r="DR247" s="1026"/>
      <c r="DS247" s="1027"/>
      <c r="DT247" s="1026"/>
      <c r="DU247" s="1026"/>
      <c r="DV247" s="1026"/>
      <c r="DW247" s="1026"/>
      <c r="DX247" s="1027"/>
      <c r="DY247" s="1026"/>
      <c r="DZ247" s="1026"/>
      <c r="EA247" s="1026"/>
      <c r="EB247" s="1026"/>
      <c r="EC247" s="1027"/>
      <c r="EF247"/>
      <c r="EG247"/>
      <c r="EH247"/>
      <c r="EI247"/>
      <c r="EJ247"/>
      <c r="EK247"/>
      <c r="EL247"/>
      <c r="EM247"/>
      <c r="EN247"/>
      <c r="EO247"/>
      <c r="EP247"/>
      <c r="EQ247"/>
      <c r="ER247"/>
      <c r="ES247"/>
      <c r="ET247"/>
      <c r="EU247"/>
      <c r="EV247"/>
      <c r="EW247"/>
      <c r="EX247"/>
      <c r="EY247"/>
      <c r="EZ247"/>
      <c r="FA247"/>
    </row>
    <row r="248" spans="1:157" s="984" customFormat="1" x14ac:dyDescent="0.2">
      <c r="A248" s="271" t="s">
        <v>640</v>
      </c>
      <c r="V248" s="985"/>
      <c r="AM248" s="992"/>
      <c r="AN248" s="992"/>
      <c r="AO248" s="992"/>
      <c r="AP248" s="992"/>
      <c r="AQ248" s="992"/>
      <c r="AR248" s="992"/>
      <c r="AS248" s="992"/>
      <c r="AT248" s="992"/>
      <c r="AU248" s="992"/>
      <c r="AV248" s="992"/>
      <c r="AW248" s="992"/>
      <c r="AX248" s="992"/>
      <c r="AY248" s="992"/>
      <c r="AZ248" s="992"/>
      <c r="BB248" s="992"/>
      <c r="BC248" s="992"/>
      <c r="BD248" s="992"/>
      <c r="BE248" s="992"/>
      <c r="BG248" s="992"/>
      <c r="BH248" s="992"/>
      <c r="BI248" s="992"/>
      <c r="BJ248" s="992"/>
      <c r="BL248" s="992"/>
      <c r="BM248" s="992"/>
      <c r="BN248" s="992"/>
      <c r="BO248" s="992"/>
      <c r="BQ248" s="992"/>
      <c r="BR248" s="992"/>
      <c r="BS248" s="992"/>
      <c r="BT248" s="992"/>
      <c r="BV248" s="992"/>
      <c r="BW248" s="992"/>
      <c r="BX248" s="992"/>
      <c r="BY248" s="992"/>
      <c r="BZ248" s="983"/>
      <c r="CA248" s="992"/>
      <c r="CB248" s="992"/>
      <c r="CC248" s="992"/>
      <c r="CD248" s="992"/>
      <c r="CE248" s="983"/>
      <c r="CF248" s="992"/>
      <c r="CG248" s="992"/>
      <c r="CH248" s="992"/>
      <c r="CI248" s="992"/>
      <c r="CJ248" s="983"/>
      <c r="CK248" s="992"/>
      <c r="CL248" s="992"/>
      <c r="CM248" s="992"/>
      <c r="CN248" s="992"/>
      <c r="CO248" s="983"/>
      <c r="CP248" s="993"/>
      <c r="CQ248" s="992"/>
      <c r="CR248" s="992"/>
      <c r="CS248" s="992"/>
      <c r="CT248" s="983"/>
      <c r="CU248" s="1164"/>
      <c r="CV248" s="1164"/>
      <c r="CW248" s="1164">
        <v>-30</v>
      </c>
      <c r="CX248" s="1164">
        <v>-65</v>
      </c>
      <c r="CY248" s="1027"/>
      <c r="CZ248" s="1164"/>
      <c r="DA248" s="1164">
        <v>-376</v>
      </c>
      <c r="DB248" s="1026"/>
      <c r="DC248" s="1164"/>
      <c r="DD248" s="1027"/>
      <c r="DE248" s="1026"/>
      <c r="DF248" s="1026"/>
      <c r="DG248" s="1026"/>
      <c r="DH248" s="1026"/>
      <c r="DI248" s="1027"/>
      <c r="DJ248" s="1026"/>
      <c r="DK248" s="1026"/>
      <c r="DL248" s="1026"/>
      <c r="DM248" s="1026"/>
      <c r="DN248" s="1027"/>
      <c r="DO248" s="1026"/>
      <c r="DP248" s="1026"/>
      <c r="DQ248" s="1026"/>
      <c r="DR248" s="1026"/>
      <c r="DS248" s="1027"/>
      <c r="DT248" s="1026"/>
      <c r="DU248" s="1026"/>
      <c r="DV248" s="1026"/>
      <c r="DW248" s="1026"/>
      <c r="DX248" s="1027"/>
      <c r="DY248" s="1026"/>
      <c r="DZ248" s="1026"/>
      <c r="EA248" s="1026"/>
      <c r="EB248" s="1026"/>
      <c r="EC248" s="1027"/>
      <c r="EF248"/>
      <c r="EG248"/>
      <c r="EH248"/>
      <c r="EI248"/>
      <c r="EJ248"/>
      <c r="EK248"/>
      <c r="EL248"/>
      <c r="EM248"/>
      <c r="EN248"/>
      <c r="EO248"/>
      <c r="EP248"/>
      <c r="EQ248"/>
      <c r="ER248"/>
      <c r="ES248"/>
      <c r="ET248"/>
      <c r="EU248"/>
      <c r="EV248"/>
      <c r="EW248"/>
      <c r="EX248"/>
      <c r="EY248"/>
      <c r="EZ248"/>
      <c r="FA248"/>
    </row>
    <row r="249" spans="1:157" s="1024" customFormat="1" x14ac:dyDescent="0.2">
      <c r="A249" s="1028" t="s">
        <v>641</v>
      </c>
      <c r="B249" s="1029"/>
      <c r="C249" s="1029"/>
      <c r="D249" s="1029"/>
      <c r="E249" s="1029"/>
      <c r="F249" s="1029"/>
      <c r="G249" s="1029"/>
      <c r="H249" s="1029"/>
      <c r="I249" s="1029"/>
      <c r="J249" s="1029"/>
      <c r="K249" s="1029"/>
      <c r="L249" s="1029"/>
      <c r="M249" s="1029"/>
      <c r="N249" s="1029"/>
      <c r="O249" s="1029"/>
      <c r="P249" s="1029"/>
      <c r="Q249" s="1029"/>
      <c r="R249" s="1029"/>
      <c r="S249" s="1029"/>
      <c r="T249" s="1029"/>
      <c r="U249" s="1029"/>
      <c r="V249" s="1030"/>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29"/>
      <c r="BN249" s="1029"/>
      <c r="BO249" s="1029"/>
      <c r="BP249" s="1029"/>
      <c r="BQ249" s="1029"/>
      <c r="BR249" s="1029"/>
      <c r="BS249" s="1029"/>
      <c r="BT249" s="1029"/>
      <c r="BU249" s="1029"/>
      <c r="BV249" s="1029"/>
      <c r="BW249" s="1029"/>
      <c r="BX249" s="1029"/>
      <c r="BY249" s="1029"/>
      <c r="BZ249" s="1031"/>
      <c r="CA249" s="1029"/>
      <c r="CB249" s="1029"/>
      <c r="CC249" s="1029"/>
      <c r="CD249" s="1029"/>
      <c r="CE249" s="1031"/>
      <c r="CF249" s="1029"/>
      <c r="CG249" s="1029"/>
      <c r="CH249" s="1029"/>
      <c r="CI249" s="1029"/>
      <c r="CJ249" s="1031"/>
      <c r="CK249" s="1029"/>
      <c r="CL249" s="1029"/>
      <c r="CM249" s="1029"/>
      <c r="CN249" s="1029"/>
      <c r="CO249" s="1031"/>
      <c r="CP249" s="1032"/>
      <c r="CQ249" s="1029"/>
      <c r="CR249" s="1029"/>
      <c r="CS249" s="1029"/>
      <c r="CT249" s="1031"/>
      <c r="CU249" s="2042"/>
      <c r="CV249" s="2042"/>
      <c r="CW249" s="2042">
        <f t="shared" ref="CW249:EC249" si="666">SUM(CW227:CW248)</f>
        <v>13786</v>
      </c>
      <c r="CX249" s="2042">
        <f t="shared" si="666"/>
        <v>9067</v>
      </c>
      <c r="CY249" s="1034">
        <f t="shared" si="666"/>
        <v>9090</v>
      </c>
      <c r="CZ249" s="2042">
        <f t="shared" si="666"/>
        <v>9282</v>
      </c>
      <c r="DA249" s="2042">
        <f t="shared" si="666"/>
        <v>9474</v>
      </c>
      <c r="DB249" s="1033">
        <f t="shared" si="666"/>
        <v>9817</v>
      </c>
      <c r="DC249" s="2042">
        <f t="shared" si="666"/>
        <v>9817</v>
      </c>
      <c r="DD249" s="1034">
        <f t="shared" si="666"/>
        <v>9817</v>
      </c>
      <c r="DE249" s="1033">
        <f t="shared" si="666"/>
        <v>9817</v>
      </c>
      <c r="DF249" s="1033">
        <f t="shared" si="666"/>
        <v>9817</v>
      </c>
      <c r="DG249" s="1033">
        <f t="shared" si="666"/>
        <v>9817</v>
      </c>
      <c r="DH249" s="1033">
        <f t="shared" si="666"/>
        <v>9817</v>
      </c>
      <c r="DI249" s="2183">
        <f t="shared" si="666"/>
        <v>9817</v>
      </c>
      <c r="DJ249" s="1033">
        <f t="shared" si="666"/>
        <v>9817</v>
      </c>
      <c r="DK249" s="1033">
        <f t="shared" si="666"/>
        <v>9817</v>
      </c>
      <c r="DL249" s="1033">
        <f t="shared" si="666"/>
        <v>9817</v>
      </c>
      <c r="DM249" s="1033">
        <f t="shared" si="666"/>
        <v>9817</v>
      </c>
      <c r="DN249" s="1034">
        <f t="shared" si="666"/>
        <v>9817</v>
      </c>
      <c r="DO249" s="1033">
        <f t="shared" si="666"/>
        <v>9817</v>
      </c>
      <c r="DP249" s="1033">
        <f t="shared" si="666"/>
        <v>9817</v>
      </c>
      <c r="DQ249" s="1033">
        <f t="shared" si="666"/>
        <v>9817</v>
      </c>
      <c r="DR249" s="1033">
        <f t="shared" si="666"/>
        <v>9817</v>
      </c>
      <c r="DS249" s="1034">
        <f t="shared" si="666"/>
        <v>9817</v>
      </c>
      <c r="DT249" s="1033">
        <f t="shared" si="666"/>
        <v>9817</v>
      </c>
      <c r="DU249" s="1033">
        <f t="shared" si="666"/>
        <v>9817</v>
      </c>
      <c r="DV249" s="1033">
        <f t="shared" si="666"/>
        <v>9817</v>
      </c>
      <c r="DW249" s="1033">
        <f t="shared" si="666"/>
        <v>9817</v>
      </c>
      <c r="DX249" s="1034">
        <f t="shared" si="666"/>
        <v>9817</v>
      </c>
      <c r="DY249" s="1033">
        <f t="shared" si="666"/>
        <v>9817</v>
      </c>
      <c r="DZ249" s="1033">
        <f t="shared" si="666"/>
        <v>9817</v>
      </c>
      <c r="EA249" s="1033">
        <f t="shared" si="666"/>
        <v>9817</v>
      </c>
      <c r="EB249" s="1033">
        <f t="shared" si="666"/>
        <v>9817</v>
      </c>
      <c r="EC249" s="1034">
        <f t="shared" si="666"/>
        <v>9817</v>
      </c>
      <c r="EF249"/>
      <c r="EG249"/>
      <c r="EH249"/>
      <c r="EI249"/>
      <c r="EJ249"/>
      <c r="EK249"/>
      <c r="EL249"/>
      <c r="EM249"/>
      <c r="EN249"/>
      <c r="EO249"/>
      <c r="EP249"/>
      <c r="EQ249"/>
      <c r="ER249"/>
      <c r="ES249"/>
      <c r="ET249"/>
      <c r="EU249"/>
      <c r="EV249"/>
      <c r="EW249"/>
      <c r="EX249"/>
      <c r="EY249"/>
      <c r="EZ249"/>
      <c r="FA249"/>
    </row>
    <row r="250" spans="1:157" s="848" customFormat="1" x14ac:dyDescent="0.2">
      <c r="A250" s="1035"/>
      <c r="CD250" s="980"/>
      <c r="CE250" s="980"/>
      <c r="CP250" s="1036"/>
      <c r="CZ250" s="849"/>
      <c r="EF250"/>
      <c r="EG250"/>
      <c r="EH250"/>
      <c r="EI250"/>
      <c r="EJ250"/>
      <c r="EK250"/>
      <c r="EL250"/>
      <c r="EM250"/>
      <c r="EN250"/>
      <c r="EO250"/>
      <c r="EP250"/>
      <c r="EQ250"/>
      <c r="ER250"/>
      <c r="ES250"/>
      <c r="ET250"/>
      <c r="EU250"/>
      <c r="EV250"/>
      <c r="EW250"/>
      <c r="EX250"/>
      <c r="EY250"/>
      <c r="EZ250"/>
      <c r="FA250"/>
    </row>
    <row r="251" spans="1:157" s="854" customFormat="1" x14ac:dyDescent="0.2">
      <c r="A251" s="854" t="s">
        <v>642</v>
      </c>
      <c r="CD251" s="979"/>
      <c r="CE251" s="979"/>
      <c r="EF251"/>
      <c r="EG251"/>
      <c r="EH251"/>
      <c r="EI251"/>
      <c r="EJ251"/>
      <c r="EK251"/>
      <c r="EL251"/>
      <c r="EM251"/>
      <c r="EN251"/>
      <c r="EO251"/>
      <c r="EP251"/>
      <c r="EQ251"/>
      <c r="ER251"/>
      <c r="ES251"/>
      <c r="ET251"/>
      <c r="EU251"/>
      <c r="EV251"/>
      <c r="EW251"/>
      <c r="EX251"/>
      <c r="EY251"/>
      <c r="EZ251"/>
      <c r="FA251"/>
    </row>
    <row r="252" spans="1:157" s="848" customFormat="1" ht="14.25" customHeight="1" x14ac:dyDescent="0.2">
      <c r="A252" s="831" t="s">
        <v>622</v>
      </c>
      <c r="B252" s="987"/>
      <c r="C252" s="987"/>
      <c r="D252" s="987"/>
      <c r="E252" s="987"/>
      <c r="F252" s="987"/>
      <c r="G252" s="987"/>
      <c r="H252" s="987"/>
      <c r="I252" s="987"/>
      <c r="J252" s="987"/>
      <c r="K252" s="987"/>
      <c r="L252" s="987"/>
      <c r="M252" s="987"/>
      <c r="N252" s="987"/>
      <c r="O252" s="987"/>
      <c r="P252" s="987"/>
      <c r="Q252" s="987"/>
      <c r="R252" s="987"/>
      <c r="S252" s="987"/>
      <c r="T252" s="987"/>
      <c r="U252" s="987"/>
      <c r="V252" s="988"/>
      <c r="W252" s="987"/>
      <c r="X252" s="987"/>
      <c r="Y252" s="987"/>
      <c r="Z252" s="987"/>
      <c r="AA252" s="987"/>
      <c r="AB252" s="987"/>
      <c r="AC252" s="987"/>
      <c r="AD252" s="987"/>
      <c r="AE252" s="987"/>
      <c r="AF252" s="987"/>
      <c r="AG252" s="987"/>
      <c r="AH252" s="987"/>
      <c r="AI252" s="987"/>
      <c r="AJ252" s="987"/>
      <c r="AK252" s="987"/>
      <c r="AL252" s="987"/>
      <c r="AM252" s="989"/>
      <c r="AN252" s="989"/>
      <c r="AO252" s="989"/>
      <c r="AP252" s="989"/>
      <c r="AQ252" s="989"/>
      <c r="AR252" s="989"/>
      <c r="AS252" s="989"/>
      <c r="AT252" s="989"/>
      <c r="AU252" s="989"/>
      <c r="AV252" s="989"/>
      <c r="AW252" s="989"/>
      <c r="AX252" s="989"/>
      <c r="AY252" s="989"/>
      <c r="AZ252" s="989"/>
      <c r="BA252" s="987"/>
      <c r="BB252" s="989"/>
      <c r="BC252" s="989"/>
      <c r="BD252" s="989"/>
      <c r="BE252" s="989"/>
      <c r="BF252" s="987"/>
      <c r="BG252" s="989"/>
      <c r="BH252" s="989"/>
      <c r="BI252" s="989"/>
      <c r="BJ252" s="989"/>
      <c r="BK252" s="987"/>
      <c r="BL252" s="989"/>
      <c r="BM252" s="989"/>
      <c r="BN252" s="989"/>
      <c r="BO252" s="989"/>
      <c r="BP252" s="987"/>
      <c r="BQ252" s="989"/>
      <c r="BR252" s="989"/>
      <c r="BS252" s="989"/>
      <c r="BT252" s="989"/>
      <c r="BU252" s="987"/>
      <c r="BV252" s="989"/>
      <c r="BW252" s="989"/>
      <c r="BX252" s="989"/>
      <c r="BY252" s="989"/>
      <c r="BZ252" s="986"/>
      <c r="CA252" s="989"/>
      <c r="CB252" s="989"/>
      <c r="CC252" s="989"/>
      <c r="CD252" s="989"/>
      <c r="CE252" s="986"/>
      <c r="CF252" s="989"/>
      <c r="CG252" s="989"/>
      <c r="CH252" s="989"/>
      <c r="CI252" s="989"/>
      <c r="CJ252" s="986"/>
      <c r="CK252" s="989"/>
      <c r="CL252" s="989"/>
      <c r="CM252" s="989"/>
      <c r="CN252" s="989"/>
      <c r="CO252" s="986"/>
      <c r="CP252" s="990"/>
      <c r="CQ252" s="989"/>
      <c r="CR252" s="989"/>
      <c r="CS252" s="989"/>
      <c r="CT252" s="986"/>
      <c r="CU252" s="989"/>
      <c r="CV252" s="989"/>
      <c r="CW252" s="989"/>
      <c r="CX252" s="989"/>
      <c r="CY252" s="986"/>
      <c r="CZ252" s="989"/>
      <c r="DA252" s="991"/>
      <c r="DB252" s="991"/>
      <c r="DC252" s="989"/>
      <c r="DD252" s="986"/>
      <c r="DE252" s="991"/>
      <c r="DF252" s="991"/>
      <c r="DG252" s="991"/>
      <c r="DH252" s="991"/>
      <c r="DI252" s="986"/>
      <c r="DJ252" s="991"/>
      <c r="DK252" s="991"/>
      <c r="DL252" s="991"/>
      <c r="DM252" s="991"/>
      <c r="DN252" s="986"/>
      <c r="DO252" s="991"/>
      <c r="DP252" s="991"/>
      <c r="DQ252" s="991"/>
      <c r="DR252" s="991"/>
      <c r="DS252" s="986"/>
      <c r="DT252" s="991"/>
      <c r="DU252" s="991"/>
      <c r="DV252" s="991"/>
      <c r="DW252" s="991"/>
      <c r="DX252" s="986"/>
      <c r="DY252" s="991"/>
      <c r="DZ252" s="991"/>
      <c r="EA252" s="991"/>
      <c r="EB252" s="991"/>
      <c r="EC252" s="986"/>
      <c r="EF252"/>
      <c r="EG252"/>
      <c r="EH252"/>
      <c r="EI252"/>
      <c r="EJ252"/>
      <c r="EK252"/>
      <c r="EL252"/>
      <c r="EM252"/>
      <c r="EN252"/>
      <c r="EO252"/>
      <c r="EP252"/>
      <c r="EQ252"/>
      <c r="ER252"/>
      <c r="ES252"/>
      <c r="ET252"/>
      <c r="EU252"/>
      <c r="EV252"/>
      <c r="EW252"/>
      <c r="EX252"/>
      <c r="EY252"/>
      <c r="EZ252"/>
      <c r="FA252"/>
    </row>
    <row r="253" spans="1:157" s="848" customFormat="1" x14ac:dyDescent="0.2">
      <c r="A253" s="267" t="s">
        <v>623</v>
      </c>
      <c r="B253" s="984"/>
      <c r="C253" s="984"/>
      <c r="D253" s="984"/>
      <c r="E253" s="984"/>
      <c r="F253" s="984"/>
      <c r="G253" s="984"/>
      <c r="H253" s="984"/>
      <c r="I253" s="984"/>
      <c r="J253" s="984"/>
      <c r="K253" s="984"/>
      <c r="L253" s="984"/>
      <c r="M253" s="984"/>
      <c r="N253" s="984"/>
      <c r="O253" s="984"/>
      <c r="P253" s="984"/>
      <c r="Q253" s="984"/>
      <c r="R253" s="984"/>
      <c r="S253" s="984"/>
      <c r="T253" s="984"/>
      <c r="U253" s="984"/>
      <c r="V253" s="985"/>
      <c r="W253" s="984"/>
      <c r="X253" s="984"/>
      <c r="Y253" s="984"/>
      <c r="Z253" s="984"/>
      <c r="AA253" s="984"/>
      <c r="AB253" s="984"/>
      <c r="AC253" s="984"/>
      <c r="AD253" s="984"/>
      <c r="AE253" s="984"/>
      <c r="AF253" s="984"/>
      <c r="AG253" s="984"/>
      <c r="AH253" s="984"/>
      <c r="AI253" s="984"/>
      <c r="AJ253" s="984"/>
      <c r="AK253" s="984"/>
      <c r="AL253" s="984"/>
      <c r="AM253" s="992"/>
      <c r="AN253" s="992"/>
      <c r="AO253" s="992"/>
      <c r="AP253" s="992"/>
      <c r="AQ253" s="992"/>
      <c r="AR253" s="992"/>
      <c r="AS253" s="992"/>
      <c r="AT253" s="992"/>
      <c r="AU253" s="992"/>
      <c r="AV253" s="992"/>
      <c r="AW253" s="992"/>
      <c r="AX253" s="992"/>
      <c r="AY253" s="992"/>
      <c r="AZ253" s="992"/>
      <c r="BA253" s="984"/>
      <c r="BB253" s="992"/>
      <c r="BC253" s="992"/>
      <c r="BD253" s="992"/>
      <c r="BE253" s="992"/>
      <c r="BF253" s="984"/>
      <c r="BG253" s="992"/>
      <c r="BH253" s="992"/>
      <c r="BI253" s="992"/>
      <c r="BJ253" s="992"/>
      <c r="BK253" s="984"/>
      <c r="BL253" s="992"/>
      <c r="BM253" s="992"/>
      <c r="BN253" s="992"/>
      <c r="BO253" s="992"/>
      <c r="BP253" s="984"/>
      <c r="BQ253" s="992"/>
      <c r="BR253" s="992"/>
      <c r="BS253" s="992"/>
      <c r="BT253" s="992"/>
      <c r="BU253" s="984"/>
      <c r="BV253" s="992"/>
      <c r="BW253" s="992"/>
      <c r="BX253" s="992"/>
      <c r="BY253" s="992"/>
      <c r="BZ253" s="983"/>
      <c r="CA253" s="992"/>
      <c r="CB253" s="992"/>
      <c r="CC253" s="992"/>
      <c r="CD253" s="992"/>
      <c r="CE253" s="983"/>
      <c r="CF253" s="992"/>
      <c r="CG253" s="992"/>
      <c r="CH253" s="992"/>
      <c r="CI253" s="992"/>
      <c r="CJ253" s="983"/>
      <c r="CK253" s="992"/>
      <c r="CL253" s="992"/>
      <c r="CM253" s="992"/>
      <c r="CN253" s="992"/>
      <c r="CO253" s="983"/>
      <c r="CP253" s="993"/>
      <c r="CQ253" s="992"/>
      <c r="CR253" s="992"/>
      <c r="CS253" s="992"/>
      <c r="CT253" s="983"/>
      <c r="CU253" s="2043"/>
      <c r="CV253" s="2043"/>
      <c r="CW253" s="2043">
        <v>6.3600000000000004E-2</v>
      </c>
      <c r="CX253" s="2043">
        <v>6.3600000000000004E-2</v>
      </c>
      <c r="CY253" s="1038">
        <v>6.3600000000000004E-2</v>
      </c>
      <c r="CZ253" s="2043">
        <v>6.3600000000000004E-2</v>
      </c>
      <c r="DA253" s="2043">
        <v>6.3600000000000004E-2</v>
      </c>
      <c r="DB253" s="1037">
        <v>6.3600000000000004E-2</v>
      </c>
      <c r="DC253" s="2043">
        <v>6.3600000000000004E-2</v>
      </c>
      <c r="DD253" s="1038">
        <v>6.3600000000000004E-2</v>
      </c>
      <c r="DE253" s="1037">
        <v>6.3600000000000004E-2</v>
      </c>
      <c r="DF253" s="1037">
        <v>6.3600000000000004E-2</v>
      </c>
      <c r="DG253" s="1037">
        <v>6.3600000000000004E-2</v>
      </c>
      <c r="DH253" s="1037">
        <v>6.3600000000000004E-2</v>
      </c>
      <c r="DI253" s="1038">
        <v>6.3600000000000004E-2</v>
      </c>
      <c r="DJ253" s="1037">
        <v>6.3600000000000004E-2</v>
      </c>
      <c r="DK253" s="1037">
        <v>6.3600000000000004E-2</v>
      </c>
      <c r="DL253" s="1037">
        <v>6.3600000000000004E-2</v>
      </c>
      <c r="DM253" s="1037">
        <v>6.3600000000000004E-2</v>
      </c>
      <c r="DN253" s="1038">
        <v>6.3600000000000004E-2</v>
      </c>
      <c r="DO253" s="1037">
        <v>6.3600000000000004E-2</v>
      </c>
      <c r="DP253" s="1037">
        <v>6.3600000000000004E-2</v>
      </c>
      <c r="DQ253" s="1037">
        <v>6.3600000000000004E-2</v>
      </c>
      <c r="DR253" s="1037">
        <v>6.3600000000000004E-2</v>
      </c>
      <c r="DS253" s="1038">
        <v>6.3600000000000004E-2</v>
      </c>
      <c r="DT253" s="1037">
        <v>6.3600000000000004E-2</v>
      </c>
      <c r="DU253" s="1037">
        <v>6.3600000000000004E-2</v>
      </c>
      <c r="DV253" s="1037">
        <v>6.3600000000000004E-2</v>
      </c>
      <c r="DW253" s="1037">
        <v>6.3600000000000004E-2</v>
      </c>
      <c r="DX253" s="1038">
        <v>6.3600000000000004E-2</v>
      </c>
      <c r="DY253" s="1037">
        <v>6.3600000000000004E-2</v>
      </c>
      <c r="DZ253" s="1037">
        <v>6.3600000000000004E-2</v>
      </c>
      <c r="EA253" s="1037">
        <v>6.3600000000000004E-2</v>
      </c>
      <c r="EB253" s="1037">
        <v>6.3600000000000004E-2</v>
      </c>
      <c r="EC253" s="1038">
        <v>6.3600000000000004E-2</v>
      </c>
      <c r="EF253"/>
      <c r="EG253"/>
      <c r="EH253"/>
      <c r="EI253"/>
      <c r="EJ253"/>
      <c r="EK253"/>
      <c r="EL253"/>
      <c r="EM253"/>
      <c r="EN253"/>
      <c r="EO253"/>
      <c r="EP253"/>
      <c r="EQ253"/>
      <c r="ER253"/>
      <c r="ES253"/>
      <c r="ET253"/>
      <c r="EU253"/>
      <c r="EV253"/>
      <c r="EW253"/>
      <c r="EX253"/>
      <c r="EY253"/>
      <c r="EZ253"/>
      <c r="FA253"/>
    </row>
    <row r="254" spans="1:157" s="848" customFormat="1" x14ac:dyDescent="0.2">
      <c r="A254" s="267" t="s">
        <v>624</v>
      </c>
      <c r="B254" s="984"/>
      <c r="C254" s="984"/>
      <c r="D254" s="984"/>
      <c r="E254" s="984"/>
      <c r="F254" s="984"/>
      <c r="G254" s="984"/>
      <c r="H254" s="984"/>
      <c r="I254" s="984"/>
      <c r="J254" s="984"/>
      <c r="K254" s="984"/>
      <c r="L254" s="984"/>
      <c r="M254" s="984"/>
      <c r="N254" s="984"/>
      <c r="O254" s="984"/>
      <c r="P254" s="984"/>
      <c r="Q254" s="984"/>
      <c r="R254" s="984"/>
      <c r="S254" s="984"/>
      <c r="T254" s="984"/>
      <c r="U254" s="984"/>
      <c r="V254" s="985"/>
      <c r="W254" s="984"/>
      <c r="X254" s="984"/>
      <c r="Y254" s="984"/>
      <c r="Z254" s="984"/>
      <c r="AA254" s="984"/>
      <c r="AB254" s="984"/>
      <c r="AC254" s="984"/>
      <c r="AD254" s="984"/>
      <c r="AE254" s="984"/>
      <c r="AF254" s="984"/>
      <c r="AG254" s="984"/>
      <c r="AH254" s="984"/>
      <c r="AI254" s="984"/>
      <c r="AJ254" s="984"/>
      <c r="AK254" s="984"/>
      <c r="AL254" s="984"/>
      <c r="AM254" s="992"/>
      <c r="AN254" s="992"/>
      <c r="AO254" s="992"/>
      <c r="AP254" s="992"/>
      <c r="AQ254" s="992"/>
      <c r="AR254" s="992"/>
      <c r="AS254" s="992"/>
      <c r="AT254" s="992"/>
      <c r="AU254" s="992"/>
      <c r="AV254" s="992"/>
      <c r="AW254" s="992"/>
      <c r="AX254" s="992"/>
      <c r="AY254" s="992"/>
      <c r="AZ254" s="992"/>
      <c r="BA254" s="984"/>
      <c r="BB254" s="992"/>
      <c r="BC254" s="992"/>
      <c r="BD254" s="992"/>
      <c r="BE254" s="992"/>
      <c r="BF254" s="984"/>
      <c r="BG254" s="992"/>
      <c r="BH254" s="992"/>
      <c r="BI254" s="992"/>
      <c r="BJ254" s="992"/>
      <c r="BK254" s="984"/>
      <c r="BL254" s="992"/>
      <c r="BM254" s="992"/>
      <c r="BN254" s="992"/>
      <c r="BO254" s="992"/>
      <c r="BP254" s="984"/>
      <c r="BQ254" s="992"/>
      <c r="BR254" s="992"/>
      <c r="BS254" s="992"/>
      <c r="BT254" s="992"/>
      <c r="BU254" s="984"/>
      <c r="BV254" s="992"/>
      <c r="BW254" s="992"/>
      <c r="BX254" s="992"/>
      <c r="BY254" s="992"/>
      <c r="BZ254" s="983"/>
      <c r="CA254" s="992"/>
      <c r="CB254" s="992"/>
      <c r="CC254" s="992"/>
      <c r="CD254" s="992"/>
      <c r="CE254" s="983"/>
      <c r="CF254" s="992"/>
      <c r="CG254" s="992"/>
      <c r="CH254" s="992"/>
      <c r="CI254" s="992"/>
      <c r="CJ254" s="983"/>
      <c r="CK254" s="992"/>
      <c r="CL254" s="992"/>
      <c r="CM254" s="992"/>
      <c r="CN254" s="992"/>
      <c r="CO254" s="983"/>
      <c r="CP254" s="993"/>
      <c r="CQ254" s="992"/>
      <c r="CR254" s="992"/>
      <c r="CS254" s="992"/>
      <c r="CT254" s="983"/>
      <c r="CU254" s="2043"/>
      <c r="CV254" s="2043"/>
      <c r="CW254" s="2043">
        <v>7.4499999999999997E-2</v>
      </c>
      <c r="CX254" s="2043">
        <v>7.4499999999999997E-2</v>
      </c>
      <c r="CY254" s="1038">
        <v>7.4499999999999997E-2</v>
      </c>
      <c r="CZ254" s="2043">
        <v>7.4499999999999997E-2</v>
      </c>
      <c r="DA254" s="2043">
        <v>7.4499999999999997E-2</v>
      </c>
      <c r="DB254" s="1037">
        <v>7.4499999999999997E-2</v>
      </c>
      <c r="DC254" s="2043">
        <v>7.4499999999999997E-2</v>
      </c>
      <c r="DD254" s="1038">
        <v>7.4499999999999997E-2</v>
      </c>
      <c r="DE254" s="1037">
        <v>7.4499999999999997E-2</v>
      </c>
      <c r="DF254" s="1037">
        <v>7.4499999999999997E-2</v>
      </c>
      <c r="DG254" s="1037">
        <v>7.4499999999999997E-2</v>
      </c>
      <c r="DH254" s="1037">
        <v>7.4499999999999997E-2</v>
      </c>
      <c r="DI254" s="1038">
        <v>7.4499999999999997E-2</v>
      </c>
      <c r="DJ254" s="1037">
        <v>7.4499999999999997E-2</v>
      </c>
      <c r="DK254" s="1037">
        <v>7.4499999999999997E-2</v>
      </c>
      <c r="DL254" s="1037">
        <v>7.4499999999999997E-2</v>
      </c>
      <c r="DM254" s="1037">
        <v>7.4499999999999997E-2</v>
      </c>
      <c r="DN254" s="1038">
        <v>7.4499999999999997E-2</v>
      </c>
      <c r="DO254" s="1037">
        <v>7.4499999999999997E-2</v>
      </c>
      <c r="DP254" s="1037">
        <v>7.4499999999999997E-2</v>
      </c>
      <c r="DQ254" s="1037">
        <v>7.4499999999999997E-2</v>
      </c>
      <c r="DR254" s="1037">
        <v>7.4499999999999997E-2</v>
      </c>
      <c r="DS254" s="1038">
        <v>7.4499999999999997E-2</v>
      </c>
      <c r="DT254" s="1037">
        <v>7.4499999999999997E-2</v>
      </c>
      <c r="DU254" s="1037">
        <v>7.4499999999999997E-2</v>
      </c>
      <c r="DV254" s="1037">
        <v>7.4499999999999997E-2</v>
      </c>
      <c r="DW254" s="1037">
        <v>7.4499999999999997E-2</v>
      </c>
      <c r="DX254" s="1038">
        <v>7.4499999999999997E-2</v>
      </c>
      <c r="DY254" s="1037">
        <v>7.4499999999999997E-2</v>
      </c>
      <c r="DZ254" s="1037">
        <v>7.4499999999999997E-2</v>
      </c>
      <c r="EA254" s="1037">
        <v>7.4499999999999997E-2</v>
      </c>
      <c r="EB254" s="1037">
        <v>7.4499999999999997E-2</v>
      </c>
      <c r="EC254" s="1038">
        <v>7.4499999999999997E-2</v>
      </c>
      <c r="EF254"/>
      <c r="EG254"/>
      <c r="EH254"/>
      <c r="EI254"/>
      <c r="EJ254"/>
      <c r="EK254"/>
      <c r="EL254"/>
      <c r="EM254"/>
      <c r="EN254"/>
      <c r="EO254"/>
      <c r="EP254"/>
      <c r="EQ254"/>
      <c r="ER254"/>
      <c r="ES254"/>
      <c r="ET254"/>
      <c r="EU254"/>
      <c r="EV254"/>
      <c r="EW254"/>
      <c r="EX254"/>
      <c r="EY254"/>
      <c r="EZ254"/>
      <c r="FA254"/>
    </row>
    <row r="255" spans="1:157" s="848" customFormat="1" x14ac:dyDescent="0.2">
      <c r="A255" s="267" t="s">
        <v>625</v>
      </c>
      <c r="B255" s="984"/>
      <c r="C255" s="984"/>
      <c r="D255" s="984"/>
      <c r="E255" s="984"/>
      <c r="F255" s="984"/>
      <c r="G255" s="984"/>
      <c r="H255" s="984"/>
      <c r="I255" s="984"/>
      <c r="J255" s="984"/>
      <c r="K255" s="984"/>
      <c r="L255" s="984"/>
      <c r="M255" s="984"/>
      <c r="N255" s="984"/>
      <c r="O255" s="984"/>
      <c r="P255" s="984"/>
      <c r="Q255" s="984"/>
      <c r="R255" s="984"/>
      <c r="S255" s="984"/>
      <c r="T255" s="984"/>
      <c r="U255" s="984"/>
      <c r="V255" s="985"/>
      <c r="W255" s="984"/>
      <c r="X255" s="984"/>
      <c r="Y255" s="984"/>
      <c r="Z255" s="984"/>
      <c r="AA255" s="984"/>
      <c r="AB255" s="984"/>
      <c r="AC255" s="984"/>
      <c r="AD255" s="984"/>
      <c r="AE255" s="984"/>
      <c r="AF255" s="984"/>
      <c r="AG255" s="984"/>
      <c r="AH255" s="984"/>
      <c r="AI255" s="984"/>
      <c r="AJ255" s="984"/>
      <c r="AK255" s="984"/>
      <c r="AL255" s="984"/>
      <c r="AM255" s="992"/>
      <c r="AN255" s="992"/>
      <c r="AO255" s="992"/>
      <c r="AP255" s="992"/>
      <c r="AQ255" s="992"/>
      <c r="AR255" s="992"/>
      <c r="AS255" s="992"/>
      <c r="AT255" s="992"/>
      <c r="AU255" s="992"/>
      <c r="AV255" s="992"/>
      <c r="AW255" s="992"/>
      <c r="AX255" s="992"/>
      <c r="AY255" s="992"/>
      <c r="AZ255" s="992"/>
      <c r="BA255" s="984"/>
      <c r="BB255" s="992"/>
      <c r="BC255" s="992"/>
      <c r="BD255" s="992"/>
      <c r="BE255" s="992"/>
      <c r="BF255" s="984"/>
      <c r="BG255" s="992"/>
      <c r="BH255" s="992"/>
      <c r="BI255" s="992"/>
      <c r="BJ255" s="992"/>
      <c r="BK255" s="984"/>
      <c r="BL255" s="992"/>
      <c r="BM255" s="992"/>
      <c r="BN255" s="992"/>
      <c r="BO255" s="992"/>
      <c r="BP255" s="984"/>
      <c r="BQ255" s="992"/>
      <c r="BR255" s="992"/>
      <c r="BS255" s="992"/>
      <c r="BT255" s="992"/>
      <c r="BU255" s="984"/>
      <c r="BV255" s="992"/>
      <c r="BW255" s="992"/>
      <c r="BX255" s="992"/>
      <c r="BY255" s="992"/>
      <c r="BZ255" s="983"/>
      <c r="CA255" s="992"/>
      <c r="CB255" s="992"/>
      <c r="CC255" s="992"/>
      <c r="CD255" s="992"/>
      <c r="CE255" s="983"/>
      <c r="CF255" s="992"/>
      <c r="CG255" s="992"/>
      <c r="CH255" s="992"/>
      <c r="CI255" s="992"/>
      <c r="CJ255" s="983"/>
      <c r="CK255" s="992"/>
      <c r="CL255" s="992"/>
      <c r="CM255" s="992"/>
      <c r="CN255" s="992"/>
      <c r="CO255" s="983"/>
      <c r="CP255" s="993"/>
      <c r="CQ255" s="992"/>
      <c r="CR255" s="992"/>
      <c r="CS255" s="992"/>
      <c r="CT255" s="983"/>
      <c r="CU255" s="2043"/>
      <c r="CV255" s="2043"/>
      <c r="CW255" s="2043">
        <v>5.5899999999999998E-2</v>
      </c>
      <c r="CX255" s="2043">
        <v>5.5899999999999998E-2</v>
      </c>
      <c r="CY255" s="1038">
        <v>5.5899999999999998E-2</v>
      </c>
      <c r="CZ255" s="2043">
        <v>5.5899999999999998E-2</v>
      </c>
      <c r="DA255" s="2043">
        <v>5.5899999999999998E-2</v>
      </c>
      <c r="DB255" s="1037">
        <v>5.5899999999999998E-2</v>
      </c>
      <c r="DC255" s="2043">
        <v>5.5899999999999998E-2</v>
      </c>
      <c r="DD255" s="1038">
        <v>5.5899999999999998E-2</v>
      </c>
      <c r="DE255" s="1037">
        <v>5.5899999999999998E-2</v>
      </c>
      <c r="DF255" s="1037">
        <v>5.5899999999999998E-2</v>
      </c>
      <c r="DG255" s="1037">
        <v>5.5899999999999998E-2</v>
      </c>
      <c r="DH255" s="1037">
        <v>5.5899999999999998E-2</v>
      </c>
      <c r="DI255" s="1038">
        <v>5.5899999999999998E-2</v>
      </c>
      <c r="DJ255" s="1037">
        <v>5.5899999999999998E-2</v>
      </c>
      <c r="DK255" s="1037">
        <v>5.5899999999999998E-2</v>
      </c>
      <c r="DL255" s="1037">
        <v>5.5899999999999998E-2</v>
      </c>
      <c r="DM255" s="1037">
        <v>5.5899999999999998E-2</v>
      </c>
      <c r="DN255" s="1038">
        <v>5.5899999999999998E-2</v>
      </c>
      <c r="DO255" s="1037">
        <v>5.5899999999999998E-2</v>
      </c>
      <c r="DP255" s="1037">
        <v>5.5899999999999998E-2</v>
      </c>
      <c r="DQ255" s="1037">
        <v>5.5899999999999998E-2</v>
      </c>
      <c r="DR255" s="1037">
        <v>5.5899999999999998E-2</v>
      </c>
      <c r="DS255" s="1038">
        <v>5.5899999999999998E-2</v>
      </c>
      <c r="DT255" s="1037">
        <v>5.5899999999999998E-2</v>
      </c>
      <c r="DU255" s="1037">
        <v>5.5899999999999998E-2</v>
      </c>
      <c r="DV255" s="1037">
        <v>5.5899999999999998E-2</v>
      </c>
      <c r="DW255" s="1037">
        <v>5.5899999999999998E-2</v>
      </c>
      <c r="DX255" s="1038">
        <v>5.5899999999999998E-2</v>
      </c>
      <c r="DY255" s="1037">
        <v>5.5899999999999998E-2</v>
      </c>
      <c r="DZ255" s="1037">
        <v>5.5899999999999998E-2</v>
      </c>
      <c r="EA255" s="1037">
        <v>5.5899999999999998E-2</v>
      </c>
      <c r="EB255" s="1037">
        <v>5.5899999999999998E-2</v>
      </c>
      <c r="EC255" s="1038">
        <v>5.5899999999999998E-2</v>
      </c>
      <c r="EF255"/>
      <c r="EG255"/>
      <c r="EH255"/>
      <c r="EI255"/>
      <c r="EJ255"/>
      <c r="EK255"/>
      <c r="EL255"/>
      <c r="EM255"/>
      <c r="EN255"/>
      <c r="EO255"/>
      <c r="EP255"/>
      <c r="EQ255"/>
      <c r="ER255"/>
      <c r="ES255"/>
      <c r="ET255"/>
      <c r="EU255"/>
      <c r="EV255"/>
      <c r="EW255"/>
      <c r="EX255"/>
      <c r="EY255"/>
      <c r="EZ255"/>
      <c r="FA255"/>
    </row>
    <row r="256" spans="1:157" s="848" customFormat="1" x14ac:dyDescent="0.2">
      <c r="A256" s="270" t="s">
        <v>626</v>
      </c>
      <c r="B256" s="984"/>
      <c r="C256" s="984"/>
      <c r="D256" s="984"/>
      <c r="E256" s="984"/>
      <c r="F256" s="984"/>
      <c r="G256" s="984"/>
      <c r="H256" s="984"/>
      <c r="I256" s="984"/>
      <c r="J256" s="984"/>
      <c r="K256" s="984"/>
      <c r="L256" s="984"/>
      <c r="M256" s="984"/>
      <c r="N256" s="984"/>
      <c r="O256" s="984"/>
      <c r="P256" s="984"/>
      <c r="Q256" s="984"/>
      <c r="R256" s="984"/>
      <c r="S256" s="984"/>
      <c r="T256" s="984"/>
      <c r="U256" s="984"/>
      <c r="V256" s="985"/>
      <c r="W256" s="984"/>
      <c r="X256" s="984"/>
      <c r="Y256" s="984"/>
      <c r="Z256" s="984"/>
      <c r="AA256" s="984"/>
      <c r="AB256" s="984"/>
      <c r="AC256" s="984"/>
      <c r="AD256" s="984"/>
      <c r="AE256" s="984"/>
      <c r="AF256" s="984"/>
      <c r="AG256" s="984"/>
      <c r="AH256" s="984"/>
      <c r="AI256" s="984"/>
      <c r="AJ256" s="984"/>
      <c r="AK256" s="984"/>
      <c r="AL256" s="984"/>
      <c r="AM256" s="992"/>
      <c r="AN256" s="992"/>
      <c r="AO256" s="992"/>
      <c r="AP256" s="992"/>
      <c r="AQ256" s="992"/>
      <c r="AR256" s="992"/>
      <c r="AS256" s="992"/>
      <c r="AT256" s="992"/>
      <c r="AU256" s="992"/>
      <c r="AV256" s="992"/>
      <c r="AW256" s="992"/>
      <c r="AX256" s="992"/>
      <c r="AY256" s="992"/>
      <c r="AZ256" s="992"/>
      <c r="BA256" s="984"/>
      <c r="BB256" s="992"/>
      <c r="BC256" s="992"/>
      <c r="BD256" s="992"/>
      <c r="BE256" s="992"/>
      <c r="BF256" s="984"/>
      <c r="BG256" s="992"/>
      <c r="BH256" s="992"/>
      <c r="BI256" s="992"/>
      <c r="BJ256" s="992"/>
      <c r="BK256" s="984"/>
      <c r="BL256" s="992"/>
      <c r="BM256" s="992"/>
      <c r="BN256" s="992"/>
      <c r="BO256" s="992"/>
      <c r="BP256" s="984"/>
      <c r="BQ256" s="992"/>
      <c r="BR256" s="992"/>
      <c r="BS256" s="992"/>
      <c r="BT256" s="992"/>
      <c r="BU256" s="984"/>
      <c r="BV256" s="992"/>
      <c r="BW256" s="992"/>
      <c r="BX256" s="992"/>
      <c r="BY256" s="992"/>
      <c r="BZ256" s="983"/>
      <c r="CA256" s="992"/>
      <c r="CB256" s="992"/>
      <c r="CC256" s="992"/>
      <c r="CD256" s="992"/>
      <c r="CE256" s="983"/>
      <c r="CF256" s="992"/>
      <c r="CG256" s="992"/>
      <c r="CH256" s="994"/>
      <c r="CI256" s="992"/>
      <c r="CJ256" s="983"/>
      <c r="CK256" s="994"/>
      <c r="CL256" s="992"/>
      <c r="CM256" s="992"/>
      <c r="CN256" s="992"/>
      <c r="CO256" s="983"/>
      <c r="CP256" s="993"/>
      <c r="CQ256" s="992"/>
      <c r="CR256" s="992"/>
      <c r="CS256" s="992"/>
      <c r="CT256" s="983"/>
      <c r="CU256" s="2043"/>
      <c r="CV256" s="2043"/>
      <c r="CW256" s="2043">
        <v>4.0099999999999997E-2</v>
      </c>
      <c r="CX256" s="2043">
        <v>4.0099999999999997E-2</v>
      </c>
      <c r="CY256" s="1038">
        <v>4.0099999999999997E-2</v>
      </c>
      <c r="CZ256" s="2043">
        <v>4.0099999999999997E-2</v>
      </c>
      <c r="DA256" s="2043">
        <v>4.0099999999999997E-2</v>
      </c>
      <c r="DB256" s="1037">
        <v>4.0099999999999997E-2</v>
      </c>
      <c r="DC256" s="2043">
        <v>4.0099999999999997E-2</v>
      </c>
      <c r="DD256" s="1038">
        <v>4.0099999999999997E-2</v>
      </c>
      <c r="DE256" s="1037">
        <v>4.0099999999999997E-2</v>
      </c>
      <c r="DF256" s="1037">
        <v>4.0099999999999997E-2</v>
      </c>
      <c r="DG256" s="1037">
        <v>4.0099999999999997E-2</v>
      </c>
      <c r="DH256" s="1037">
        <v>4.0099999999999997E-2</v>
      </c>
      <c r="DI256" s="1038">
        <v>4.0099999999999997E-2</v>
      </c>
      <c r="DJ256" s="1037">
        <v>4.0099999999999997E-2</v>
      </c>
      <c r="DK256" s="1037">
        <v>4.0099999999999997E-2</v>
      </c>
      <c r="DL256" s="1037">
        <v>4.0099999999999997E-2</v>
      </c>
      <c r="DM256" s="1037">
        <v>4.0099999999999997E-2</v>
      </c>
      <c r="DN256" s="1038">
        <v>4.0099999999999997E-2</v>
      </c>
      <c r="DO256" s="1037">
        <v>4.0099999999999997E-2</v>
      </c>
      <c r="DP256" s="1037">
        <v>4.0099999999999997E-2</v>
      </c>
      <c r="DQ256" s="1037">
        <v>4.0099999999999997E-2</v>
      </c>
      <c r="DR256" s="1037">
        <v>4.0099999999999997E-2</v>
      </c>
      <c r="DS256" s="1038">
        <v>4.0099999999999997E-2</v>
      </c>
      <c r="DT256" s="1037">
        <v>4.0099999999999997E-2</v>
      </c>
      <c r="DU256" s="1037">
        <v>4.0099999999999997E-2</v>
      </c>
      <c r="DV256" s="1037">
        <v>4.0099999999999997E-2</v>
      </c>
      <c r="DW256" s="1037">
        <v>4.0099999999999997E-2</v>
      </c>
      <c r="DX256" s="1038">
        <v>4.0099999999999997E-2</v>
      </c>
      <c r="DY256" s="1037">
        <v>4.0099999999999997E-2</v>
      </c>
      <c r="DZ256" s="1037">
        <v>4.0099999999999997E-2</v>
      </c>
      <c r="EA256" s="1037">
        <v>4.0099999999999997E-2</v>
      </c>
      <c r="EB256" s="1037">
        <v>4.0099999999999997E-2</v>
      </c>
      <c r="EC256" s="1038">
        <v>4.0099999999999997E-2</v>
      </c>
      <c r="EF256"/>
      <c r="EG256"/>
      <c r="EH256"/>
      <c r="EI256"/>
      <c r="EJ256"/>
      <c r="EK256"/>
      <c r="EL256"/>
      <c r="EM256"/>
      <c r="EN256"/>
      <c r="EO256"/>
      <c r="EP256"/>
      <c r="EQ256"/>
      <c r="ER256"/>
      <c r="ES256"/>
      <c r="ET256"/>
      <c r="EU256"/>
      <c r="EV256"/>
      <c r="EW256"/>
      <c r="EX256"/>
      <c r="EY256"/>
      <c r="EZ256"/>
      <c r="FA256"/>
    </row>
    <row r="257" spans="1:157" s="848" customFormat="1" x14ac:dyDescent="0.2">
      <c r="A257" s="271" t="s">
        <v>627</v>
      </c>
      <c r="B257" s="984"/>
      <c r="C257" s="984"/>
      <c r="D257" s="984"/>
      <c r="E257" s="984"/>
      <c r="F257" s="984"/>
      <c r="G257" s="984"/>
      <c r="H257" s="984"/>
      <c r="I257" s="984"/>
      <c r="J257" s="984"/>
      <c r="K257" s="984"/>
      <c r="L257" s="984"/>
      <c r="M257" s="984"/>
      <c r="N257" s="984"/>
      <c r="O257" s="984"/>
      <c r="P257" s="984"/>
      <c r="Q257" s="984"/>
      <c r="R257" s="984"/>
      <c r="S257" s="984"/>
      <c r="T257" s="984"/>
      <c r="U257" s="984"/>
      <c r="V257" s="985"/>
      <c r="W257" s="984"/>
      <c r="X257" s="984"/>
      <c r="Y257" s="984"/>
      <c r="Z257" s="984"/>
      <c r="AA257" s="984"/>
      <c r="AB257" s="984"/>
      <c r="AC257" s="984"/>
      <c r="AD257" s="984"/>
      <c r="AE257" s="984"/>
      <c r="AF257" s="984"/>
      <c r="AG257" s="984"/>
      <c r="AH257" s="984"/>
      <c r="AI257" s="984"/>
      <c r="AJ257" s="984"/>
      <c r="AK257" s="984"/>
      <c r="AL257" s="984"/>
      <c r="AM257" s="992"/>
      <c r="AN257" s="992"/>
      <c r="AO257" s="992"/>
      <c r="AP257" s="992"/>
      <c r="AQ257" s="992"/>
      <c r="AR257" s="992"/>
      <c r="AS257" s="992"/>
      <c r="AT257" s="992"/>
      <c r="AU257" s="992"/>
      <c r="AV257" s="992"/>
      <c r="AW257" s="992"/>
      <c r="AX257" s="992"/>
      <c r="AY257" s="992"/>
      <c r="AZ257" s="992"/>
      <c r="BA257" s="984"/>
      <c r="BB257" s="992"/>
      <c r="BC257" s="992"/>
      <c r="BD257" s="992"/>
      <c r="BE257" s="992"/>
      <c r="BF257" s="984"/>
      <c r="BG257" s="992"/>
      <c r="BH257" s="992"/>
      <c r="BI257" s="992"/>
      <c r="BJ257" s="992"/>
      <c r="BK257" s="984"/>
      <c r="BL257" s="992"/>
      <c r="BM257" s="992"/>
      <c r="BN257" s="992"/>
      <c r="BO257" s="992"/>
      <c r="BP257" s="984"/>
      <c r="BQ257" s="992"/>
      <c r="BR257" s="992"/>
      <c r="BS257" s="992"/>
      <c r="BT257" s="992"/>
      <c r="BU257" s="984"/>
      <c r="BV257" s="992"/>
      <c r="BW257" s="992"/>
      <c r="BX257" s="992"/>
      <c r="BY257" s="992"/>
      <c r="BZ257" s="983"/>
      <c r="CA257" s="992"/>
      <c r="CB257" s="992"/>
      <c r="CC257" s="992"/>
      <c r="CD257" s="992"/>
      <c r="CE257" s="983"/>
      <c r="CF257" s="992"/>
      <c r="CG257" s="992"/>
      <c r="CH257" s="992"/>
      <c r="CI257" s="992"/>
      <c r="CJ257" s="983"/>
      <c r="CK257" s="992"/>
      <c r="CL257" s="992"/>
      <c r="CM257" s="992"/>
      <c r="CN257" s="992"/>
      <c r="CO257" s="983"/>
      <c r="CP257" s="993"/>
      <c r="CQ257" s="992"/>
      <c r="CR257" s="992"/>
      <c r="CS257" s="992"/>
      <c r="CT257" s="983"/>
      <c r="CU257" s="2043"/>
      <c r="CV257" s="2043"/>
      <c r="CW257" s="2043">
        <v>3.8800000000000001E-2</v>
      </c>
      <c r="CX257" s="2043">
        <v>3.8800000000000001E-2</v>
      </c>
      <c r="CY257" s="1038">
        <v>3.8800000000000001E-2</v>
      </c>
      <c r="CZ257" s="2043">
        <v>3.8800000000000001E-2</v>
      </c>
      <c r="DA257" s="2043">
        <v>3.8800000000000001E-2</v>
      </c>
      <c r="DB257" s="1037">
        <v>3.8800000000000001E-2</v>
      </c>
      <c r="DC257" s="2043">
        <v>3.8800000000000001E-2</v>
      </c>
      <c r="DD257" s="1038">
        <v>3.8800000000000001E-2</v>
      </c>
      <c r="DE257" s="1037">
        <v>3.8800000000000001E-2</v>
      </c>
      <c r="DF257" s="1037">
        <v>3.8800000000000001E-2</v>
      </c>
      <c r="DG257" s="1037">
        <v>3.8800000000000001E-2</v>
      </c>
      <c r="DH257" s="1037">
        <v>3.8800000000000001E-2</v>
      </c>
      <c r="DI257" s="1038">
        <v>3.8800000000000001E-2</v>
      </c>
      <c r="DJ257" s="1037">
        <v>3.8800000000000001E-2</v>
      </c>
      <c r="DK257" s="1037">
        <v>3.8800000000000001E-2</v>
      </c>
      <c r="DL257" s="1037">
        <v>3.8800000000000001E-2</v>
      </c>
      <c r="DM257" s="1037">
        <v>3.8800000000000001E-2</v>
      </c>
      <c r="DN257" s="1038">
        <v>3.8800000000000001E-2</v>
      </c>
      <c r="DO257" s="1037">
        <v>3.8800000000000001E-2</v>
      </c>
      <c r="DP257" s="1037">
        <v>3.8800000000000001E-2</v>
      </c>
      <c r="DQ257" s="1037">
        <v>3.8800000000000001E-2</v>
      </c>
      <c r="DR257" s="1037">
        <v>3.8800000000000001E-2</v>
      </c>
      <c r="DS257" s="1038">
        <v>3.8800000000000001E-2</v>
      </c>
      <c r="DT257" s="1037">
        <v>3.8800000000000001E-2</v>
      </c>
      <c r="DU257" s="1037">
        <v>3.8800000000000001E-2</v>
      </c>
      <c r="DV257" s="1037">
        <v>3.8800000000000001E-2</v>
      </c>
      <c r="DW257" s="1037">
        <v>3.8800000000000001E-2</v>
      </c>
      <c r="DX257" s="1038">
        <v>3.8800000000000001E-2</v>
      </c>
      <c r="DY257" s="1037">
        <v>3.8800000000000001E-2</v>
      </c>
      <c r="DZ257" s="1037">
        <v>3.8800000000000001E-2</v>
      </c>
      <c r="EA257" s="1037">
        <v>3.8800000000000001E-2</v>
      </c>
      <c r="EB257" s="1037">
        <v>3.8800000000000001E-2</v>
      </c>
      <c r="EC257" s="1038">
        <v>3.8800000000000001E-2</v>
      </c>
      <c r="EF257"/>
      <c r="EG257"/>
      <c r="EH257"/>
      <c r="EI257"/>
      <c r="EJ257"/>
      <c r="EK257"/>
      <c r="EL257"/>
      <c r="EM257"/>
      <c r="EN257"/>
      <c r="EO257"/>
      <c r="EP257"/>
      <c r="EQ257"/>
      <c r="ER257"/>
      <c r="ES257"/>
      <c r="ET257"/>
      <c r="EU257"/>
      <c r="EV257"/>
      <c r="EW257"/>
      <c r="EX257"/>
      <c r="EY257"/>
      <c r="EZ257"/>
      <c r="FA257"/>
    </row>
    <row r="258" spans="1:157" s="848" customFormat="1" x14ac:dyDescent="0.2">
      <c r="A258" s="271" t="s">
        <v>628</v>
      </c>
      <c r="B258" s="984"/>
      <c r="C258" s="984"/>
      <c r="D258" s="984"/>
      <c r="E258" s="984"/>
      <c r="F258" s="984"/>
      <c r="G258" s="984"/>
      <c r="H258" s="984"/>
      <c r="I258" s="984"/>
      <c r="J258" s="984"/>
      <c r="K258" s="984"/>
      <c r="L258" s="984"/>
      <c r="M258" s="984"/>
      <c r="N258" s="984"/>
      <c r="O258" s="984"/>
      <c r="P258" s="984"/>
      <c r="Q258" s="984"/>
      <c r="R258" s="984"/>
      <c r="S258" s="984"/>
      <c r="T258" s="984"/>
      <c r="U258" s="984"/>
      <c r="V258" s="985"/>
      <c r="W258" s="984"/>
      <c r="X258" s="984"/>
      <c r="Y258" s="984"/>
      <c r="Z258" s="984"/>
      <c r="AA258" s="984"/>
      <c r="AB258" s="984"/>
      <c r="AC258" s="984"/>
      <c r="AD258" s="984"/>
      <c r="AE258" s="984"/>
      <c r="AF258" s="984"/>
      <c r="AG258" s="984"/>
      <c r="AH258" s="984"/>
      <c r="AI258" s="984"/>
      <c r="AJ258" s="984"/>
      <c r="AK258" s="984"/>
      <c r="AL258" s="984"/>
      <c r="AM258" s="992"/>
      <c r="AN258" s="992"/>
      <c r="AO258" s="992"/>
      <c r="AP258" s="992"/>
      <c r="AQ258" s="992"/>
      <c r="AR258" s="992"/>
      <c r="AS258" s="992"/>
      <c r="AT258" s="992"/>
      <c r="AU258" s="992"/>
      <c r="AV258" s="992"/>
      <c r="AW258" s="992"/>
      <c r="AX258" s="992"/>
      <c r="AY258" s="992"/>
      <c r="AZ258" s="992"/>
      <c r="BA258" s="984"/>
      <c r="BB258" s="992"/>
      <c r="BC258" s="992"/>
      <c r="BD258" s="992"/>
      <c r="BE258" s="992"/>
      <c r="BF258" s="984"/>
      <c r="BG258" s="992"/>
      <c r="BH258" s="992"/>
      <c r="BI258" s="992"/>
      <c r="BJ258" s="992"/>
      <c r="BK258" s="984"/>
      <c r="BL258" s="992"/>
      <c r="BM258" s="992"/>
      <c r="BN258" s="992"/>
      <c r="BO258" s="992"/>
      <c r="BP258" s="984"/>
      <c r="BQ258" s="992"/>
      <c r="BR258" s="992"/>
      <c r="BS258" s="992"/>
      <c r="BT258" s="992"/>
      <c r="BU258" s="984"/>
      <c r="BV258" s="992"/>
      <c r="BW258" s="992"/>
      <c r="BX258" s="992"/>
      <c r="BY258" s="992"/>
      <c r="BZ258" s="983"/>
      <c r="CA258" s="992"/>
      <c r="CB258" s="992"/>
      <c r="CC258" s="992"/>
      <c r="CD258" s="992"/>
      <c r="CE258" s="983"/>
      <c r="CF258" s="992"/>
      <c r="CG258" s="992"/>
      <c r="CH258" s="992"/>
      <c r="CI258" s="992"/>
      <c r="CJ258" s="983"/>
      <c r="CK258" s="992"/>
      <c r="CL258" s="992"/>
      <c r="CM258" s="992"/>
      <c r="CN258" s="992"/>
      <c r="CO258" s="983"/>
      <c r="CP258" s="993"/>
      <c r="CQ258" s="992"/>
      <c r="CR258" s="992"/>
      <c r="CS258" s="992"/>
      <c r="CT258" s="983"/>
      <c r="CU258" s="2043"/>
      <c r="CV258" s="2043"/>
      <c r="CW258" s="2043">
        <v>4.0099999999999997E-2</v>
      </c>
      <c r="CX258" s="2043">
        <v>4.0099999999999997E-2</v>
      </c>
      <c r="CY258" s="1038">
        <v>4.0099999999999997E-2</v>
      </c>
      <c r="CZ258" s="2043">
        <v>4.0099999999999997E-2</v>
      </c>
      <c r="DA258" s="2043">
        <v>4.0099999999999997E-2</v>
      </c>
      <c r="DB258" s="1037">
        <v>4.0099999999999997E-2</v>
      </c>
      <c r="DC258" s="2043">
        <v>4.0099999999999997E-2</v>
      </c>
      <c r="DD258" s="1038">
        <v>4.0099999999999997E-2</v>
      </c>
      <c r="DE258" s="1037">
        <v>4.0099999999999997E-2</v>
      </c>
      <c r="DF258" s="1037">
        <v>4.0099999999999997E-2</v>
      </c>
      <c r="DG258" s="1037">
        <v>4.0099999999999997E-2</v>
      </c>
      <c r="DH258" s="1037">
        <v>4.0099999999999997E-2</v>
      </c>
      <c r="DI258" s="1038">
        <v>4.0099999999999997E-2</v>
      </c>
      <c r="DJ258" s="1037">
        <v>4.0099999999999997E-2</v>
      </c>
      <c r="DK258" s="1037">
        <v>4.0099999999999997E-2</v>
      </c>
      <c r="DL258" s="1037">
        <v>4.0099999999999997E-2</v>
      </c>
      <c r="DM258" s="1037">
        <v>4.0099999999999997E-2</v>
      </c>
      <c r="DN258" s="1038">
        <v>4.0099999999999997E-2</v>
      </c>
      <c r="DO258" s="1037">
        <v>4.0099999999999997E-2</v>
      </c>
      <c r="DP258" s="1037">
        <v>4.0099999999999997E-2</v>
      </c>
      <c r="DQ258" s="1037">
        <v>4.0099999999999997E-2</v>
      </c>
      <c r="DR258" s="1037">
        <v>4.0099999999999997E-2</v>
      </c>
      <c r="DS258" s="1038">
        <v>4.0099999999999997E-2</v>
      </c>
      <c r="DT258" s="1037">
        <v>4.0099999999999997E-2</v>
      </c>
      <c r="DU258" s="1037">
        <v>4.0099999999999997E-2</v>
      </c>
      <c r="DV258" s="1037">
        <v>4.0099999999999997E-2</v>
      </c>
      <c r="DW258" s="1037">
        <v>4.0099999999999997E-2</v>
      </c>
      <c r="DX258" s="1038">
        <v>4.0099999999999997E-2</v>
      </c>
      <c r="DY258" s="1037">
        <v>4.0099999999999997E-2</v>
      </c>
      <c r="DZ258" s="1037">
        <v>4.0099999999999997E-2</v>
      </c>
      <c r="EA258" s="1037">
        <v>4.0099999999999997E-2</v>
      </c>
      <c r="EB258" s="1037">
        <v>4.0099999999999997E-2</v>
      </c>
      <c r="EC258" s="1038">
        <v>4.0099999999999997E-2</v>
      </c>
      <c r="EF258"/>
      <c r="EG258"/>
      <c r="EH258"/>
      <c r="EI258"/>
      <c r="EJ258"/>
      <c r="EK258"/>
      <c r="EL258"/>
      <c r="EM258"/>
      <c r="EN258"/>
      <c r="EO258"/>
      <c r="EP258"/>
      <c r="EQ258"/>
      <c r="ER258"/>
      <c r="ES258"/>
      <c r="ET258"/>
      <c r="EU258"/>
      <c r="EV258"/>
      <c r="EW258"/>
      <c r="EX258"/>
      <c r="EY258"/>
      <c r="EZ258"/>
      <c r="FA258"/>
    </row>
    <row r="259" spans="1:157" s="848" customFormat="1" x14ac:dyDescent="0.2">
      <c r="A259" s="271" t="s">
        <v>629</v>
      </c>
      <c r="B259" s="984"/>
      <c r="C259" s="984"/>
      <c r="D259" s="984"/>
      <c r="E259" s="984"/>
      <c r="F259" s="984"/>
      <c r="G259" s="984"/>
      <c r="H259" s="984"/>
      <c r="I259" s="984"/>
      <c r="J259" s="984"/>
      <c r="K259" s="984"/>
      <c r="L259" s="984"/>
      <c r="M259" s="984"/>
      <c r="N259" s="984"/>
      <c r="O259" s="984"/>
      <c r="P259" s="984"/>
      <c r="Q259" s="984"/>
      <c r="R259" s="984"/>
      <c r="S259" s="984"/>
      <c r="T259" s="984"/>
      <c r="U259" s="984"/>
      <c r="V259" s="985"/>
      <c r="W259" s="984"/>
      <c r="X259" s="984"/>
      <c r="Y259" s="984"/>
      <c r="Z259" s="984"/>
      <c r="AA259" s="984"/>
      <c r="AB259" s="984"/>
      <c r="AC259" s="984"/>
      <c r="AD259" s="984"/>
      <c r="AE259" s="984"/>
      <c r="AF259" s="984"/>
      <c r="AG259" s="984"/>
      <c r="AH259" s="984"/>
      <c r="AI259" s="984"/>
      <c r="AJ259" s="984"/>
      <c r="AK259" s="984"/>
      <c r="AL259" s="984"/>
      <c r="AM259" s="992"/>
      <c r="AN259" s="992"/>
      <c r="AO259" s="992"/>
      <c r="AP259" s="992"/>
      <c r="AQ259" s="992"/>
      <c r="AR259" s="992"/>
      <c r="AS259" s="992"/>
      <c r="AT259" s="992"/>
      <c r="AU259" s="992"/>
      <c r="AV259" s="992"/>
      <c r="AW259" s="992"/>
      <c r="AX259" s="992"/>
      <c r="AY259" s="992"/>
      <c r="AZ259" s="992"/>
      <c r="BA259" s="984"/>
      <c r="BB259" s="992"/>
      <c r="BC259" s="992"/>
      <c r="BD259" s="992"/>
      <c r="BE259" s="992"/>
      <c r="BF259" s="984"/>
      <c r="BG259" s="992"/>
      <c r="BH259" s="992"/>
      <c r="BI259" s="992"/>
      <c r="BJ259" s="992"/>
      <c r="BK259" s="984"/>
      <c r="BL259" s="992"/>
      <c r="BM259" s="992"/>
      <c r="BN259" s="992"/>
      <c r="BO259" s="992"/>
      <c r="BP259" s="984"/>
      <c r="BQ259" s="992"/>
      <c r="BR259" s="992"/>
      <c r="BS259" s="992"/>
      <c r="BT259" s="992"/>
      <c r="BU259" s="984"/>
      <c r="BV259" s="992"/>
      <c r="BW259" s="992"/>
      <c r="BX259" s="992"/>
      <c r="BY259" s="992"/>
      <c r="BZ259" s="983"/>
      <c r="CA259" s="992"/>
      <c r="CB259" s="992"/>
      <c r="CC259" s="992"/>
      <c r="CD259" s="992"/>
      <c r="CE259" s="983"/>
      <c r="CF259" s="992"/>
      <c r="CG259" s="992"/>
      <c r="CH259" s="992"/>
      <c r="CI259" s="992"/>
      <c r="CJ259" s="983"/>
      <c r="CK259" s="992"/>
      <c r="CL259" s="992"/>
      <c r="CM259" s="992"/>
      <c r="CN259" s="992"/>
      <c r="CO259" s="983"/>
      <c r="CP259" s="993"/>
      <c r="CQ259" s="992"/>
      <c r="CR259" s="992"/>
      <c r="CS259" s="992"/>
      <c r="CT259" s="983"/>
      <c r="CU259" s="2043"/>
      <c r="CV259" s="2043"/>
      <c r="CW259" s="2043">
        <v>5.4199999999999998E-2</v>
      </c>
      <c r="CX259" s="2043">
        <v>5.4199999999999998E-2</v>
      </c>
      <c r="CY259" s="1038">
        <v>5.4199999999999998E-2</v>
      </c>
      <c r="CZ259" s="2043">
        <v>5.4199999999999998E-2</v>
      </c>
      <c r="DA259" s="2043">
        <v>5.4199999999999998E-2</v>
      </c>
      <c r="DB259" s="1037">
        <v>5.4199999999999998E-2</v>
      </c>
      <c r="DC259" s="2043">
        <v>5.4199999999999998E-2</v>
      </c>
      <c r="DD259" s="1038">
        <v>5.4199999999999998E-2</v>
      </c>
      <c r="DE259" s="1037">
        <v>5.4199999999999998E-2</v>
      </c>
      <c r="DF259" s="1037">
        <v>5.4199999999999998E-2</v>
      </c>
      <c r="DG259" s="1037">
        <v>5.4199999999999998E-2</v>
      </c>
      <c r="DH259" s="1037">
        <v>5.4199999999999998E-2</v>
      </c>
      <c r="DI259" s="1038">
        <v>5.4199999999999998E-2</v>
      </c>
      <c r="DJ259" s="1037">
        <v>5.4199999999999998E-2</v>
      </c>
      <c r="DK259" s="1037">
        <v>5.4199999999999998E-2</v>
      </c>
      <c r="DL259" s="1037">
        <v>5.4199999999999998E-2</v>
      </c>
      <c r="DM259" s="1037">
        <v>5.4199999999999998E-2</v>
      </c>
      <c r="DN259" s="1038">
        <v>5.4199999999999998E-2</v>
      </c>
      <c r="DO259" s="1037">
        <v>5.4199999999999998E-2</v>
      </c>
      <c r="DP259" s="1037">
        <v>5.4199999999999998E-2</v>
      </c>
      <c r="DQ259" s="1037">
        <v>5.4199999999999998E-2</v>
      </c>
      <c r="DR259" s="1037">
        <v>5.4199999999999998E-2</v>
      </c>
      <c r="DS259" s="1038">
        <v>5.4199999999999998E-2</v>
      </c>
      <c r="DT259" s="1037">
        <v>5.4199999999999998E-2</v>
      </c>
      <c r="DU259" s="1037">
        <v>5.4199999999999998E-2</v>
      </c>
      <c r="DV259" s="1037">
        <v>5.4199999999999998E-2</v>
      </c>
      <c r="DW259" s="1037">
        <v>5.4199999999999998E-2</v>
      </c>
      <c r="DX259" s="1038">
        <v>5.4199999999999998E-2</v>
      </c>
      <c r="DY259" s="1037">
        <v>5.4199999999999998E-2</v>
      </c>
      <c r="DZ259" s="1037">
        <v>5.4199999999999998E-2</v>
      </c>
      <c r="EA259" s="1037">
        <v>5.4199999999999998E-2</v>
      </c>
      <c r="EB259" s="1037">
        <v>5.4199999999999998E-2</v>
      </c>
      <c r="EC259" s="1038">
        <v>5.4199999999999998E-2</v>
      </c>
      <c r="EF259"/>
      <c r="EG259"/>
      <c r="EH259"/>
      <c r="EI259"/>
      <c r="EJ259"/>
      <c r="EK259"/>
      <c r="EL259"/>
      <c r="EM259"/>
      <c r="EN259"/>
      <c r="EO259"/>
      <c r="EP259"/>
      <c r="EQ259"/>
      <c r="ER259"/>
      <c r="ES259"/>
      <c r="ET259"/>
      <c r="EU259"/>
      <c r="EV259"/>
      <c r="EW259"/>
      <c r="EX259"/>
      <c r="EY259"/>
      <c r="EZ259"/>
      <c r="FA259"/>
    </row>
    <row r="260" spans="1:157" s="848" customFormat="1" x14ac:dyDescent="0.2">
      <c r="A260" s="267" t="s">
        <v>709</v>
      </c>
      <c r="B260" s="984"/>
      <c r="C260" s="984"/>
      <c r="D260" s="984"/>
      <c r="E260" s="984"/>
      <c r="F260" s="984"/>
      <c r="G260" s="984"/>
      <c r="H260" s="984"/>
      <c r="I260" s="984"/>
      <c r="J260" s="984"/>
      <c r="K260" s="984"/>
      <c r="L260" s="984"/>
      <c r="M260" s="984"/>
      <c r="N260" s="984"/>
      <c r="O260" s="984"/>
      <c r="P260" s="984"/>
      <c r="Q260" s="984"/>
      <c r="R260" s="984"/>
      <c r="S260" s="984"/>
      <c r="T260" s="984"/>
      <c r="U260" s="984"/>
      <c r="V260" s="985"/>
      <c r="W260" s="984"/>
      <c r="X260" s="984"/>
      <c r="Y260" s="984"/>
      <c r="Z260" s="984"/>
      <c r="AA260" s="984"/>
      <c r="AB260" s="984"/>
      <c r="AC260" s="984"/>
      <c r="AD260" s="984"/>
      <c r="AE260" s="984"/>
      <c r="AF260" s="984"/>
      <c r="AG260" s="984"/>
      <c r="AH260" s="984"/>
      <c r="AI260" s="984"/>
      <c r="AJ260" s="984"/>
      <c r="AK260" s="984"/>
      <c r="AL260" s="984"/>
      <c r="AM260" s="992"/>
      <c r="AN260" s="992"/>
      <c r="AO260" s="992"/>
      <c r="AP260" s="992"/>
      <c r="AQ260" s="992"/>
      <c r="AR260" s="992"/>
      <c r="AS260" s="992"/>
      <c r="AT260" s="992"/>
      <c r="AU260" s="992"/>
      <c r="AV260" s="992"/>
      <c r="AW260" s="992"/>
      <c r="AX260" s="992"/>
      <c r="AY260" s="992"/>
      <c r="AZ260" s="992"/>
      <c r="BA260" s="984"/>
      <c r="BB260" s="992"/>
      <c r="BC260" s="992"/>
      <c r="BD260" s="992"/>
      <c r="BE260" s="992"/>
      <c r="BF260" s="984"/>
      <c r="BG260" s="992"/>
      <c r="BH260" s="992"/>
      <c r="BI260" s="992"/>
      <c r="BJ260" s="992"/>
      <c r="BK260" s="984"/>
      <c r="BL260" s="992"/>
      <c r="BM260" s="992"/>
      <c r="BN260" s="992"/>
      <c r="BO260" s="992"/>
      <c r="BP260" s="984"/>
      <c r="BQ260" s="992"/>
      <c r="BR260" s="992"/>
      <c r="BS260" s="992"/>
      <c r="BT260" s="992"/>
      <c r="BU260" s="984"/>
      <c r="BV260" s="992"/>
      <c r="BW260" s="992"/>
      <c r="BX260" s="992"/>
      <c r="BY260" s="992"/>
      <c r="BZ260" s="983"/>
      <c r="CA260" s="992"/>
      <c r="CB260" s="992"/>
      <c r="CC260" s="992"/>
      <c r="CD260" s="992"/>
      <c r="CE260" s="983"/>
      <c r="CF260" s="992"/>
      <c r="CG260" s="992"/>
      <c r="CH260" s="992"/>
      <c r="CI260" s="992"/>
      <c r="CJ260" s="983"/>
      <c r="CK260" s="992"/>
      <c r="CL260" s="992"/>
      <c r="CM260" s="992"/>
      <c r="CN260" s="992"/>
      <c r="CO260" s="983"/>
      <c r="CP260" s="993"/>
      <c r="CQ260" s="992"/>
      <c r="CR260" s="992"/>
      <c r="CS260" s="992"/>
      <c r="CT260" s="983"/>
      <c r="CU260" s="2043"/>
      <c r="CV260" s="2043"/>
      <c r="CW260" s="2043">
        <v>3.832E-2</v>
      </c>
      <c r="CX260" s="2043">
        <v>3.832E-2</v>
      </c>
      <c r="CY260" s="1038">
        <v>3.832E-2</v>
      </c>
      <c r="CZ260" s="2043">
        <v>3.832E-2</v>
      </c>
      <c r="DA260" s="2043">
        <v>3.832E-2</v>
      </c>
      <c r="DB260" s="1037">
        <v>3.832E-2</v>
      </c>
      <c r="DC260" s="2043">
        <v>3.832E-2</v>
      </c>
      <c r="DD260" s="1038">
        <v>3.832E-2</v>
      </c>
      <c r="DE260" s="1037">
        <v>3.832E-2</v>
      </c>
      <c r="DF260" s="1037">
        <v>3.832E-2</v>
      </c>
      <c r="DG260" s="1037">
        <v>3.832E-2</v>
      </c>
      <c r="DH260" s="1037">
        <v>3.832E-2</v>
      </c>
      <c r="DI260" s="1038">
        <v>3.832E-2</v>
      </c>
      <c r="DJ260" s="1037">
        <v>3.832E-2</v>
      </c>
      <c r="DK260" s="1037">
        <v>3.832E-2</v>
      </c>
      <c r="DL260" s="1037">
        <v>3.832E-2</v>
      </c>
      <c r="DM260" s="1037">
        <v>3.832E-2</v>
      </c>
      <c r="DN260" s="1038">
        <v>3.832E-2</v>
      </c>
      <c r="DO260" s="1037">
        <v>3.832E-2</v>
      </c>
      <c r="DP260" s="1037">
        <v>3.832E-2</v>
      </c>
      <c r="DQ260" s="1037">
        <v>3.832E-2</v>
      </c>
      <c r="DR260" s="1037">
        <v>3.832E-2</v>
      </c>
      <c r="DS260" s="1038">
        <v>3.832E-2</v>
      </c>
      <c r="DT260" s="1037">
        <v>3.832E-2</v>
      </c>
      <c r="DU260" s="1037">
        <v>3.832E-2</v>
      </c>
      <c r="DV260" s="1037">
        <v>3.832E-2</v>
      </c>
      <c r="DW260" s="1037">
        <v>3.832E-2</v>
      </c>
      <c r="DX260" s="1038">
        <v>3.832E-2</v>
      </c>
      <c r="DY260" s="1037">
        <v>3.832E-2</v>
      </c>
      <c r="DZ260" s="1037">
        <v>3.832E-2</v>
      </c>
      <c r="EA260" s="1037">
        <v>3.832E-2</v>
      </c>
      <c r="EB260" s="1037">
        <v>3.832E-2</v>
      </c>
      <c r="EC260" s="1038">
        <v>3.832E-2</v>
      </c>
      <c r="EF260"/>
      <c r="EG260"/>
      <c r="EH260"/>
      <c r="EI260"/>
      <c r="EJ260"/>
      <c r="EK260"/>
      <c r="EL260"/>
      <c r="EM260"/>
      <c r="EN260"/>
      <c r="EO260"/>
      <c r="EP260"/>
      <c r="EQ260"/>
      <c r="ER260"/>
      <c r="ES260"/>
      <c r="ET260"/>
      <c r="EU260"/>
      <c r="EV260"/>
      <c r="EW260"/>
      <c r="EX260"/>
      <c r="EY260"/>
      <c r="EZ260"/>
      <c r="FA260"/>
    </row>
    <row r="261" spans="1:157" s="848" customFormat="1" x14ac:dyDescent="0.2">
      <c r="A261" s="267" t="s">
        <v>710</v>
      </c>
      <c r="B261" s="984"/>
      <c r="C261" s="984"/>
      <c r="D261" s="984"/>
      <c r="E261" s="984"/>
      <c r="F261" s="984"/>
      <c r="G261" s="984"/>
      <c r="H261" s="984"/>
      <c r="I261" s="984"/>
      <c r="J261" s="984"/>
      <c r="K261" s="984"/>
      <c r="L261" s="984"/>
      <c r="M261" s="984"/>
      <c r="N261" s="984"/>
      <c r="O261" s="984"/>
      <c r="P261" s="984"/>
      <c r="Q261" s="984"/>
      <c r="R261" s="984"/>
      <c r="S261" s="984"/>
      <c r="T261" s="984"/>
      <c r="U261" s="984"/>
      <c r="V261" s="985"/>
      <c r="W261" s="984"/>
      <c r="X261" s="984"/>
      <c r="Y261" s="984"/>
      <c r="Z261" s="984"/>
      <c r="AA261" s="984"/>
      <c r="AB261" s="984"/>
      <c r="AC261" s="984"/>
      <c r="AD261" s="984"/>
      <c r="AE261" s="984"/>
      <c r="AF261" s="984"/>
      <c r="AG261" s="984"/>
      <c r="AH261" s="984"/>
      <c r="AI261" s="984"/>
      <c r="AJ261" s="984"/>
      <c r="AK261" s="984"/>
      <c r="AL261" s="984"/>
      <c r="AM261" s="992"/>
      <c r="AN261" s="992"/>
      <c r="AO261" s="992"/>
      <c r="AP261" s="992"/>
      <c r="AQ261" s="992"/>
      <c r="AR261" s="992"/>
      <c r="AS261" s="992"/>
      <c r="AT261" s="992"/>
      <c r="AU261" s="992"/>
      <c r="AV261" s="992"/>
      <c r="AW261" s="992"/>
      <c r="AX261" s="992"/>
      <c r="AY261" s="992"/>
      <c r="AZ261" s="992"/>
      <c r="BA261" s="984"/>
      <c r="BB261" s="992"/>
      <c r="BC261" s="992"/>
      <c r="BD261" s="992"/>
      <c r="BE261" s="992"/>
      <c r="BF261" s="984"/>
      <c r="BG261" s="992"/>
      <c r="BH261" s="992"/>
      <c r="BI261" s="992"/>
      <c r="BJ261" s="992"/>
      <c r="BK261" s="984"/>
      <c r="BL261" s="992"/>
      <c r="BM261" s="992"/>
      <c r="BN261" s="992"/>
      <c r="BO261" s="992"/>
      <c r="BP261" s="984"/>
      <c r="BQ261" s="992"/>
      <c r="BR261" s="992"/>
      <c r="BS261" s="992"/>
      <c r="BT261" s="992"/>
      <c r="BU261" s="984"/>
      <c r="BV261" s="992"/>
      <c r="BW261" s="992"/>
      <c r="BX261" s="992"/>
      <c r="BY261" s="992"/>
      <c r="BZ261" s="983"/>
      <c r="CA261" s="992"/>
      <c r="CB261" s="992"/>
      <c r="CC261" s="992"/>
      <c r="CD261" s="992"/>
      <c r="CE261" s="983"/>
      <c r="CF261" s="992"/>
      <c r="CG261" s="992"/>
      <c r="CH261" s="992"/>
      <c r="CI261" s="992"/>
      <c r="CJ261" s="983"/>
      <c r="CK261" s="992"/>
      <c r="CL261" s="992"/>
      <c r="CM261" s="992"/>
      <c r="CN261" s="992"/>
      <c r="CO261" s="983"/>
      <c r="CP261" s="993"/>
      <c r="CQ261" s="992"/>
      <c r="CR261" s="992"/>
      <c r="CS261" s="992"/>
      <c r="CT261" s="983"/>
      <c r="CU261" s="2043"/>
      <c r="CV261" s="2043"/>
      <c r="CW261" s="2043">
        <v>4.3770000000000003E-2</v>
      </c>
      <c r="CX261" s="2043">
        <v>4.3770000000000003E-2</v>
      </c>
      <c r="CY261" s="1038">
        <v>4.3770000000000003E-2</v>
      </c>
      <c r="CZ261" s="2043">
        <v>4.3770000000000003E-2</v>
      </c>
      <c r="DA261" s="2043">
        <v>4.3770000000000003E-2</v>
      </c>
      <c r="DB261" s="1037">
        <v>4.3770000000000003E-2</v>
      </c>
      <c r="DC261" s="2043">
        <v>4.3770000000000003E-2</v>
      </c>
      <c r="DD261" s="1038">
        <v>4.3770000000000003E-2</v>
      </c>
      <c r="DE261" s="1037">
        <v>4.3770000000000003E-2</v>
      </c>
      <c r="DF261" s="1037">
        <v>4.3770000000000003E-2</v>
      </c>
      <c r="DG261" s="1037">
        <v>4.3770000000000003E-2</v>
      </c>
      <c r="DH261" s="1037">
        <v>4.3770000000000003E-2</v>
      </c>
      <c r="DI261" s="1038">
        <v>4.3770000000000003E-2</v>
      </c>
      <c r="DJ261" s="1037">
        <v>4.3770000000000003E-2</v>
      </c>
      <c r="DK261" s="1037">
        <v>4.3770000000000003E-2</v>
      </c>
      <c r="DL261" s="1037">
        <v>4.3770000000000003E-2</v>
      </c>
      <c r="DM261" s="1037">
        <v>4.3770000000000003E-2</v>
      </c>
      <c r="DN261" s="1038">
        <v>4.3770000000000003E-2</v>
      </c>
      <c r="DO261" s="1037">
        <v>4.3770000000000003E-2</v>
      </c>
      <c r="DP261" s="1037">
        <v>4.3770000000000003E-2</v>
      </c>
      <c r="DQ261" s="1037">
        <v>4.3770000000000003E-2</v>
      </c>
      <c r="DR261" s="1037">
        <v>4.3770000000000003E-2</v>
      </c>
      <c r="DS261" s="1038">
        <v>4.3770000000000003E-2</v>
      </c>
      <c r="DT261" s="1037">
        <v>4.3770000000000003E-2</v>
      </c>
      <c r="DU261" s="1037">
        <v>4.3770000000000003E-2</v>
      </c>
      <c r="DV261" s="1037">
        <v>4.3770000000000003E-2</v>
      </c>
      <c r="DW261" s="1037">
        <v>4.3770000000000003E-2</v>
      </c>
      <c r="DX261" s="1038">
        <v>4.3770000000000003E-2</v>
      </c>
      <c r="DY261" s="1037">
        <v>4.3770000000000003E-2</v>
      </c>
      <c r="DZ261" s="1037">
        <v>4.3770000000000003E-2</v>
      </c>
      <c r="EA261" s="1037">
        <v>4.3770000000000003E-2</v>
      </c>
      <c r="EB261" s="1037">
        <v>4.3770000000000003E-2</v>
      </c>
      <c r="EC261" s="1038">
        <v>4.3770000000000003E-2</v>
      </c>
      <c r="EF261"/>
      <c r="EG261"/>
      <c r="EH261"/>
      <c r="EI261"/>
      <c r="EJ261"/>
      <c r="EK261"/>
      <c r="EL261"/>
      <c r="EM261"/>
      <c r="EN261"/>
      <c r="EO261"/>
      <c r="EP261"/>
      <c r="EQ261"/>
      <c r="ER261"/>
      <c r="ES261"/>
      <c r="ET261"/>
      <c r="EU261"/>
      <c r="EV261"/>
      <c r="EW261"/>
      <c r="EX261"/>
      <c r="EY261"/>
      <c r="EZ261"/>
      <c r="FA261"/>
    </row>
    <row r="262" spans="1:157" s="848" customFormat="1" x14ac:dyDescent="0.2">
      <c r="A262" s="267" t="s">
        <v>711</v>
      </c>
      <c r="B262" s="984"/>
      <c r="C262" s="984"/>
      <c r="D262" s="984"/>
      <c r="E262" s="984"/>
      <c r="F262" s="984"/>
      <c r="G262" s="984"/>
      <c r="H262" s="984"/>
      <c r="I262" s="984"/>
      <c r="J262" s="984"/>
      <c r="K262" s="984"/>
      <c r="L262" s="984"/>
      <c r="M262" s="984"/>
      <c r="N262" s="984"/>
      <c r="O262" s="984"/>
      <c r="P262" s="984"/>
      <c r="Q262" s="984"/>
      <c r="R262" s="984"/>
      <c r="S262" s="984"/>
      <c r="T262" s="984"/>
      <c r="U262" s="984"/>
      <c r="V262" s="985"/>
      <c r="W262" s="984"/>
      <c r="X262" s="984"/>
      <c r="Y262" s="984"/>
      <c r="Z262" s="984"/>
      <c r="AA262" s="984"/>
      <c r="AB262" s="984"/>
      <c r="AC262" s="984"/>
      <c r="AD262" s="984"/>
      <c r="AE262" s="984"/>
      <c r="AF262" s="984"/>
      <c r="AG262" s="984"/>
      <c r="AH262" s="984"/>
      <c r="AI262" s="984"/>
      <c r="AJ262" s="984"/>
      <c r="AK262" s="984"/>
      <c r="AL262" s="984"/>
      <c r="AM262" s="992"/>
      <c r="AN262" s="992"/>
      <c r="AO262" s="992"/>
      <c r="AP262" s="992"/>
      <c r="AQ262" s="992"/>
      <c r="AR262" s="992"/>
      <c r="AS262" s="992"/>
      <c r="AT262" s="992"/>
      <c r="AU262" s="992"/>
      <c r="AV262" s="992"/>
      <c r="AW262" s="992"/>
      <c r="AX262" s="992"/>
      <c r="AY262" s="992"/>
      <c r="AZ262" s="992"/>
      <c r="BA262" s="984"/>
      <c r="BB262" s="992"/>
      <c r="BC262" s="992"/>
      <c r="BD262" s="992"/>
      <c r="BE262" s="992"/>
      <c r="BF262" s="984"/>
      <c r="BG262" s="992"/>
      <c r="BH262" s="992"/>
      <c r="BI262" s="992"/>
      <c r="BJ262" s="992"/>
      <c r="BK262" s="984"/>
      <c r="BL262" s="992"/>
      <c r="BM262" s="992"/>
      <c r="BN262" s="992"/>
      <c r="BO262" s="992"/>
      <c r="BP262" s="984"/>
      <c r="BQ262" s="992"/>
      <c r="BR262" s="992"/>
      <c r="BS262" s="992"/>
      <c r="BT262" s="992"/>
      <c r="BU262" s="984"/>
      <c r="BV262" s="992"/>
      <c r="BW262" s="992"/>
      <c r="BX262" s="992"/>
      <c r="BY262" s="992"/>
      <c r="BZ262" s="983"/>
      <c r="CA262" s="992"/>
      <c r="CB262" s="992"/>
      <c r="CC262" s="992"/>
      <c r="CD262" s="992"/>
      <c r="CE262" s="983"/>
      <c r="CF262" s="992"/>
      <c r="CG262" s="992"/>
      <c r="CH262" s="992"/>
      <c r="CI262" s="992"/>
      <c r="CJ262" s="983"/>
      <c r="CK262" s="992"/>
      <c r="CL262" s="992"/>
      <c r="CM262" s="992"/>
      <c r="CN262" s="992"/>
      <c r="CO262" s="983"/>
      <c r="CP262" s="993"/>
      <c r="CQ262" s="992"/>
      <c r="CR262" s="992"/>
      <c r="CS262" s="992"/>
      <c r="CT262" s="983"/>
      <c r="CU262" s="2043"/>
      <c r="CV262" s="2043"/>
      <c r="CW262" s="2043">
        <v>4.9700000000000001E-2</v>
      </c>
      <c r="CX262" s="2043">
        <v>4.9700000000000001E-2</v>
      </c>
      <c r="CY262" s="1038">
        <v>4.9700000000000001E-2</v>
      </c>
      <c r="CZ262" s="2043">
        <v>4.9700000000000001E-2</v>
      </c>
      <c r="DA262" s="2043">
        <f t="shared" ref="DA262:EC262" si="667">CZ262</f>
        <v>4.9700000000000001E-2</v>
      </c>
      <c r="DB262" s="1037">
        <f t="shared" si="667"/>
        <v>4.9700000000000001E-2</v>
      </c>
      <c r="DC262" s="2043">
        <f t="shared" si="667"/>
        <v>4.9700000000000001E-2</v>
      </c>
      <c r="DD262" s="1038">
        <f t="shared" si="667"/>
        <v>4.9700000000000001E-2</v>
      </c>
      <c r="DE262" s="1037">
        <f t="shared" si="667"/>
        <v>4.9700000000000001E-2</v>
      </c>
      <c r="DF262" s="1037">
        <f t="shared" si="667"/>
        <v>4.9700000000000001E-2</v>
      </c>
      <c r="DG262" s="1037">
        <f t="shared" si="667"/>
        <v>4.9700000000000001E-2</v>
      </c>
      <c r="DH262" s="1037">
        <f t="shared" si="667"/>
        <v>4.9700000000000001E-2</v>
      </c>
      <c r="DI262" s="1038">
        <f t="shared" si="667"/>
        <v>4.9700000000000001E-2</v>
      </c>
      <c r="DJ262" s="1037">
        <f t="shared" si="667"/>
        <v>4.9700000000000001E-2</v>
      </c>
      <c r="DK262" s="1037">
        <f t="shared" si="667"/>
        <v>4.9700000000000001E-2</v>
      </c>
      <c r="DL262" s="1037">
        <f t="shared" si="667"/>
        <v>4.9700000000000001E-2</v>
      </c>
      <c r="DM262" s="1037">
        <f t="shared" si="667"/>
        <v>4.9700000000000001E-2</v>
      </c>
      <c r="DN262" s="1038">
        <f t="shared" si="667"/>
        <v>4.9700000000000001E-2</v>
      </c>
      <c r="DO262" s="1037">
        <f t="shared" si="667"/>
        <v>4.9700000000000001E-2</v>
      </c>
      <c r="DP262" s="1037">
        <f t="shared" si="667"/>
        <v>4.9700000000000001E-2</v>
      </c>
      <c r="DQ262" s="1037">
        <f t="shared" si="667"/>
        <v>4.9700000000000001E-2</v>
      </c>
      <c r="DR262" s="1037">
        <f t="shared" si="667"/>
        <v>4.9700000000000001E-2</v>
      </c>
      <c r="DS262" s="1038">
        <f t="shared" si="667"/>
        <v>4.9700000000000001E-2</v>
      </c>
      <c r="DT262" s="1037">
        <f t="shared" si="667"/>
        <v>4.9700000000000001E-2</v>
      </c>
      <c r="DU262" s="1037">
        <f t="shared" si="667"/>
        <v>4.9700000000000001E-2</v>
      </c>
      <c r="DV262" s="1037">
        <f t="shared" si="667"/>
        <v>4.9700000000000001E-2</v>
      </c>
      <c r="DW262" s="1037">
        <f t="shared" si="667"/>
        <v>4.9700000000000001E-2</v>
      </c>
      <c r="DX262" s="1038">
        <f t="shared" si="667"/>
        <v>4.9700000000000001E-2</v>
      </c>
      <c r="DY262" s="1037">
        <f t="shared" si="667"/>
        <v>4.9700000000000001E-2</v>
      </c>
      <c r="DZ262" s="1037">
        <f t="shared" si="667"/>
        <v>4.9700000000000001E-2</v>
      </c>
      <c r="EA262" s="1037">
        <f t="shared" si="667"/>
        <v>4.9700000000000001E-2</v>
      </c>
      <c r="EB262" s="1037">
        <f t="shared" si="667"/>
        <v>4.9700000000000001E-2</v>
      </c>
      <c r="EC262" s="1038">
        <f t="shared" si="667"/>
        <v>4.9700000000000001E-2</v>
      </c>
      <c r="EF262"/>
      <c r="EG262"/>
      <c r="EH262"/>
      <c r="EI262"/>
      <c r="EJ262"/>
      <c r="EK262"/>
      <c r="EL262"/>
      <c r="EM262"/>
      <c r="EN262"/>
      <c r="EO262"/>
      <c r="EP262"/>
      <c r="EQ262"/>
      <c r="ER262"/>
      <c r="ES262"/>
      <c r="ET262"/>
      <c r="EU262"/>
      <c r="EV262"/>
      <c r="EW262"/>
      <c r="EX262"/>
      <c r="EY262"/>
      <c r="EZ262"/>
      <c r="FA262"/>
    </row>
    <row r="263" spans="1:157" s="848" customFormat="1" x14ac:dyDescent="0.2">
      <c r="A263" s="270" t="s">
        <v>633</v>
      </c>
      <c r="B263" s="984"/>
      <c r="C263" s="984"/>
      <c r="D263" s="984"/>
      <c r="E263" s="984"/>
      <c r="F263" s="984"/>
      <c r="G263" s="984"/>
      <c r="H263" s="984"/>
      <c r="I263" s="984"/>
      <c r="J263" s="984"/>
      <c r="K263" s="984"/>
      <c r="L263" s="984"/>
      <c r="M263" s="984"/>
      <c r="N263" s="984"/>
      <c r="O263" s="984"/>
      <c r="P263" s="984"/>
      <c r="Q263" s="984"/>
      <c r="R263" s="984"/>
      <c r="S263" s="984"/>
      <c r="T263" s="984"/>
      <c r="U263" s="984"/>
      <c r="V263" s="985"/>
      <c r="W263" s="984"/>
      <c r="X263" s="984"/>
      <c r="Y263" s="984"/>
      <c r="Z263" s="984"/>
      <c r="AA263" s="984"/>
      <c r="AB263" s="984"/>
      <c r="AC263" s="984"/>
      <c r="AD263" s="984"/>
      <c r="AE263" s="984"/>
      <c r="AF263" s="984"/>
      <c r="AG263" s="984"/>
      <c r="AH263" s="984"/>
      <c r="AI263" s="984"/>
      <c r="AJ263" s="984"/>
      <c r="AK263" s="984"/>
      <c r="AL263" s="984"/>
      <c r="AM263" s="992"/>
      <c r="AN263" s="992"/>
      <c r="AO263" s="992"/>
      <c r="AP263" s="992"/>
      <c r="AQ263" s="992"/>
      <c r="AR263" s="992"/>
      <c r="AS263" s="992"/>
      <c r="AT263" s="992"/>
      <c r="AU263" s="992"/>
      <c r="AV263" s="992"/>
      <c r="AW263" s="992"/>
      <c r="AX263" s="992"/>
      <c r="AY263" s="992"/>
      <c r="AZ263" s="992"/>
      <c r="BA263" s="984"/>
      <c r="BB263" s="992"/>
      <c r="BC263" s="992"/>
      <c r="BD263" s="992"/>
      <c r="BE263" s="992"/>
      <c r="BF263" s="984"/>
      <c r="BG263" s="992"/>
      <c r="BH263" s="992"/>
      <c r="BI263" s="992"/>
      <c r="BJ263" s="992"/>
      <c r="BK263" s="984"/>
      <c r="BL263" s="992"/>
      <c r="BM263" s="992"/>
      <c r="BN263" s="992"/>
      <c r="BO263" s="992"/>
      <c r="BP263" s="984"/>
      <c r="BQ263" s="992"/>
      <c r="BR263" s="992"/>
      <c r="BS263" s="992"/>
      <c r="BT263" s="992"/>
      <c r="BU263" s="984"/>
      <c r="BV263" s="992"/>
      <c r="BW263" s="992"/>
      <c r="BX263" s="992"/>
      <c r="BY263" s="992"/>
      <c r="BZ263" s="983"/>
      <c r="CA263" s="992"/>
      <c r="CB263" s="992"/>
      <c r="CC263" s="992"/>
      <c r="CD263" s="992"/>
      <c r="CE263" s="983"/>
      <c r="CF263" s="992"/>
      <c r="CG263" s="992"/>
      <c r="CH263" s="994"/>
      <c r="CI263" s="992"/>
      <c r="CJ263" s="983"/>
      <c r="CK263" s="994"/>
      <c r="CL263" s="992"/>
      <c r="CM263" s="992"/>
      <c r="CN263" s="992"/>
      <c r="CO263" s="983"/>
      <c r="CP263" s="993"/>
      <c r="CQ263" s="992"/>
      <c r="CR263" s="992"/>
      <c r="CS263" s="992"/>
      <c r="CT263" s="983"/>
      <c r="CU263" s="2043"/>
      <c r="CV263" s="2043"/>
      <c r="CW263" s="2043">
        <v>0.05</v>
      </c>
      <c r="CX263" s="2043">
        <v>5.16E-2</v>
      </c>
      <c r="CY263" s="1038">
        <v>0.05</v>
      </c>
      <c r="CZ263" s="2043">
        <v>5.16E-2</v>
      </c>
      <c r="DA263" s="2043">
        <f t="shared" ref="DA263:DA265" si="668">CZ263</f>
        <v>5.16E-2</v>
      </c>
      <c r="DB263" s="1037">
        <f t="shared" ref="DB263:DD270" si="669">DA263</f>
        <v>5.16E-2</v>
      </c>
      <c r="DC263" s="2043">
        <f t="shared" si="669"/>
        <v>5.16E-2</v>
      </c>
      <c r="DD263" s="1038">
        <f t="shared" si="669"/>
        <v>5.16E-2</v>
      </c>
      <c r="DE263" s="1037">
        <f t="shared" ref="DE263:DI263" si="670">DD263</f>
        <v>5.16E-2</v>
      </c>
      <c r="DF263" s="1037">
        <f t="shared" si="670"/>
        <v>5.16E-2</v>
      </c>
      <c r="DG263" s="1037">
        <f t="shared" si="670"/>
        <v>5.16E-2</v>
      </c>
      <c r="DH263" s="1037">
        <f t="shared" si="670"/>
        <v>5.16E-2</v>
      </c>
      <c r="DI263" s="1038">
        <f t="shared" si="670"/>
        <v>5.16E-2</v>
      </c>
      <c r="DJ263" s="1037">
        <f t="shared" ref="DJ263:EC263" si="671">DI263</f>
        <v>5.16E-2</v>
      </c>
      <c r="DK263" s="1037">
        <f t="shared" si="671"/>
        <v>5.16E-2</v>
      </c>
      <c r="DL263" s="1037">
        <f t="shared" si="671"/>
        <v>5.16E-2</v>
      </c>
      <c r="DM263" s="1037">
        <f t="shared" si="671"/>
        <v>5.16E-2</v>
      </c>
      <c r="DN263" s="1038">
        <f t="shared" si="671"/>
        <v>5.16E-2</v>
      </c>
      <c r="DO263" s="1037">
        <f t="shared" si="671"/>
        <v>5.16E-2</v>
      </c>
      <c r="DP263" s="1037">
        <f t="shared" si="671"/>
        <v>5.16E-2</v>
      </c>
      <c r="DQ263" s="1037">
        <f t="shared" si="671"/>
        <v>5.16E-2</v>
      </c>
      <c r="DR263" s="1037">
        <f t="shared" si="671"/>
        <v>5.16E-2</v>
      </c>
      <c r="DS263" s="1038">
        <f t="shared" si="671"/>
        <v>5.16E-2</v>
      </c>
      <c r="DT263" s="1037">
        <f t="shared" si="671"/>
        <v>5.16E-2</v>
      </c>
      <c r="DU263" s="1037">
        <f t="shared" si="671"/>
        <v>5.16E-2</v>
      </c>
      <c r="DV263" s="1037">
        <f t="shared" si="671"/>
        <v>5.16E-2</v>
      </c>
      <c r="DW263" s="1037">
        <f t="shared" si="671"/>
        <v>5.16E-2</v>
      </c>
      <c r="DX263" s="1038">
        <f t="shared" si="671"/>
        <v>5.16E-2</v>
      </c>
      <c r="DY263" s="1037">
        <f t="shared" si="671"/>
        <v>5.16E-2</v>
      </c>
      <c r="DZ263" s="1037">
        <f t="shared" si="671"/>
        <v>5.16E-2</v>
      </c>
      <c r="EA263" s="1037">
        <f t="shared" si="671"/>
        <v>5.16E-2</v>
      </c>
      <c r="EB263" s="1037">
        <f t="shared" si="671"/>
        <v>5.16E-2</v>
      </c>
      <c r="EC263" s="1038">
        <f t="shared" si="671"/>
        <v>5.16E-2</v>
      </c>
      <c r="EF263"/>
      <c r="EG263"/>
      <c r="EH263"/>
      <c r="EI263"/>
      <c r="EJ263"/>
      <c r="EK263"/>
      <c r="EL263"/>
      <c r="EM263"/>
      <c r="EN263"/>
      <c r="EO263"/>
      <c r="EP263"/>
      <c r="EQ263"/>
      <c r="ER263"/>
      <c r="ES263"/>
      <c r="ET263"/>
      <c r="EU263"/>
      <c r="EV263"/>
      <c r="EW263"/>
      <c r="EX263"/>
      <c r="EY263"/>
      <c r="EZ263"/>
      <c r="FA263"/>
    </row>
    <row r="264" spans="1:157" s="848" customFormat="1" x14ac:dyDescent="0.2">
      <c r="A264" s="271" t="s">
        <v>634</v>
      </c>
      <c r="B264" s="984"/>
      <c r="C264" s="984"/>
      <c r="D264" s="984"/>
      <c r="E264" s="984"/>
      <c r="F264" s="984"/>
      <c r="G264" s="984"/>
      <c r="H264" s="984"/>
      <c r="I264" s="984"/>
      <c r="J264" s="984"/>
      <c r="K264" s="984"/>
      <c r="L264" s="984"/>
      <c r="M264" s="984"/>
      <c r="N264" s="984"/>
      <c r="O264" s="984"/>
      <c r="P264" s="984"/>
      <c r="Q264" s="984"/>
      <c r="R264" s="984"/>
      <c r="S264" s="984"/>
      <c r="T264" s="984"/>
      <c r="U264" s="984"/>
      <c r="V264" s="985"/>
      <c r="W264" s="984"/>
      <c r="X264" s="984"/>
      <c r="Y264" s="984"/>
      <c r="Z264" s="984"/>
      <c r="AA264" s="984"/>
      <c r="AB264" s="984"/>
      <c r="AC264" s="984"/>
      <c r="AD264" s="984"/>
      <c r="AE264" s="984"/>
      <c r="AF264" s="984"/>
      <c r="AG264" s="984"/>
      <c r="AH264" s="984"/>
      <c r="AI264" s="984"/>
      <c r="AJ264" s="984"/>
      <c r="AK264" s="984"/>
      <c r="AL264" s="984"/>
      <c r="AM264" s="992"/>
      <c r="AN264" s="992"/>
      <c r="AO264" s="992"/>
      <c r="AP264" s="992"/>
      <c r="AQ264" s="992"/>
      <c r="AR264" s="992"/>
      <c r="AS264" s="992"/>
      <c r="AT264" s="992"/>
      <c r="AU264" s="992"/>
      <c r="AV264" s="992"/>
      <c r="AW264" s="992"/>
      <c r="AX264" s="992"/>
      <c r="AY264" s="992"/>
      <c r="AZ264" s="992"/>
      <c r="BA264" s="984"/>
      <c r="BB264" s="992"/>
      <c r="BC264" s="992"/>
      <c r="BD264" s="992"/>
      <c r="BE264" s="992"/>
      <c r="BF264" s="984"/>
      <c r="BG264" s="992"/>
      <c r="BH264" s="992"/>
      <c r="BI264" s="992"/>
      <c r="BJ264" s="992"/>
      <c r="BK264" s="984"/>
      <c r="BL264" s="992"/>
      <c r="BM264" s="992"/>
      <c r="BN264" s="992"/>
      <c r="BO264" s="992"/>
      <c r="BP264" s="984"/>
      <c r="BQ264" s="992"/>
      <c r="BR264" s="992"/>
      <c r="BS264" s="992"/>
      <c r="BT264" s="992"/>
      <c r="BU264" s="984"/>
      <c r="BV264" s="992"/>
      <c r="BW264" s="992"/>
      <c r="BX264" s="992"/>
      <c r="BY264" s="992"/>
      <c r="BZ264" s="983"/>
      <c r="CA264" s="992"/>
      <c r="CB264" s="992"/>
      <c r="CC264" s="992"/>
      <c r="CD264" s="992"/>
      <c r="CE264" s="983"/>
      <c r="CF264" s="992"/>
      <c r="CG264" s="992"/>
      <c r="CH264" s="992"/>
      <c r="CI264" s="992"/>
      <c r="CJ264" s="983"/>
      <c r="CK264" s="992"/>
      <c r="CL264" s="992"/>
      <c r="CM264" s="992"/>
      <c r="CN264" s="992"/>
      <c r="CO264" s="983"/>
      <c r="CP264" s="993"/>
      <c r="CQ264" s="992"/>
      <c r="CR264" s="992"/>
      <c r="CS264" s="992"/>
      <c r="CT264" s="983"/>
      <c r="CU264" s="2043"/>
      <c r="CV264" s="2043"/>
      <c r="CW264" s="2043">
        <v>5.2499999999999998E-2</v>
      </c>
      <c r="CX264" s="2043">
        <v>5.3900000000000003E-2</v>
      </c>
      <c r="CY264" s="1038">
        <v>5.2499999999999998E-2</v>
      </c>
      <c r="CZ264" s="2043">
        <v>5.3900000000000003E-2</v>
      </c>
      <c r="DA264" s="2043">
        <f t="shared" si="668"/>
        <v>5.3900000000000003E-2</v>
      </c>
      <c r="DB264" s="1037">
        <f t="shared" si="669"/>
        <v>5.3900000000000003E-2</v>
      </c>
      <c r="DC264" s="2043">
        <f t="shared" si="669"/>
        <v>5.3900000000000003E-2</v>
      </c>
      <c r="DD264" s="1038">
        <f t="shared" si="669"/>
        <v>5.3900000000000003E-2</v>
      </c>
      <c r="DE264" s="1037">
        <f t="shared" ref="DE264:DI264" si="672">DD264</f>
        <v>5.3900000000000003E-2</v>
      </c>
      <c r="DF264" s="1037">
        <f t="shared" si="672"/>
        <v>5.3900000000000003E-2</v>
      </c>
      <c r="DG264" s="1037">
        <f t="shared" si="672"/>
        <v>5.3900000000000003E-2</v>
      </c>
      <c r="DH264" s="1037">
        <f t="shared" si="672"/>
        <v>5.3900000000000003E-2</v>
      </c>
      <c r="DI264" s="1038">
        <f t="shared" si="672"/>
        <v>5.3900000000000003E-2</v>
      </c>
      <c r="DJ264" s="1037">
        <f t="shared" ref="DJ264:EC264" si="673">DI264</f>
        <v>5.3900000000000003E-2</v>
      </c>
      <c r="DK264" s="1037">
        <f t="shared" si="673"/>
        <v>5.3900000000000003E-2</v>
      </c>
      <c r="DL264" s="1037">
        <f t="shared" si="673"/>
        <v>5.3900000000000003E-2</v>
      </c>
      <c r="DM264" s="1037">
        <f t="shared" si="673"/>
        <v>5.3900000000000003E-2</v>
      </c>
      <c r="DN264" s="1038">
        <f t="shared" si="673"/>
        <v>5.3900000000000003E-2</v>
      </c>
      <c r="DO264" s="1037">
        <f t="shared" si="673"/>
        <v>5.3900000000000003E-2</v>
      </c>
      <c r="DP264" s="1037">
        <f t="shared" si="673"/>
        <v>5.3900000000000003E-2</v>
      </c>
      <c r="DQ264" s="1037">
        <f t="shared" si="673"/>
        <v>5.3900000000000003E-2</v>
      </c>
      <c r="DR264" s="1037">
        <f t="shared" si="673"/>
        <v>5.3900000000000003E-2</v>
      </c>
      <c r="DS264" s="1038">
        <f t="shared" si="673"/>
        <v>5.3900000000000003E-2</v>
      </c>
      <c r="DT264" s="1037">
        <f t="shared" si="673"/>
        <v>5.3900000000000003E-2</v>
      </c>
      <c r="DU264" s="1037">
        <f t="shared" si="673"/>
        <v>5.3900000000000003E-2</v>
      </c>
      <c r="DV264" s="1037">
        <f t="shared" si="673"/>
        <v>5.3900000000000003E-2</v>
      </c>
      <c r="DW264" s="1037">
        <f t="shared" si="673"/>
        <v>5.3900000000000003E-2</v>
      </c>
      <c r="DX264" s="1038">
        <f t="shared" si="673"/>
        <v>5.3900000000000003E-2</v>
      </c>
      <c r="DY264" s="1037">
        <f t="shared" si="673"/>
        <v>5.3900000000000003E-2</v>
      </c>
      <c r="DZ264" s="1037">
        <f t="shared" si="673"/>
        <v>5.3900000000000003E-2</v>
      </c>
      <c r="EA264" s="1037">
        <f t="shared" si="673"/>
        <v>5.3900000000000003E-2</v>
      </c>
      <c r="EB264" s="1037">
        <f t="shared" si="673"/>
        <v>5.3900000000000003E-2</v>
      </c>
      <c r="EC264" s="1038">
        <f t="shared" si="673"/>
        <v>5.3900000000000003E-2</v>
      </c>
      <c r="EF264"/>
      <c r="EG264"/>
      <c r="EH264"/>
      <c r="EI264"/>
      <c r="EJ264"/>
      <c r="EK264"/>
      <c r="EL264"/>
      <c r="EM264"/>
      <c r="EN264"/>
      <c r="EO264"/>
      <c r="EP264"/>
      <c r="EQ264"/>
      <c r="ER264"/>
      <c r="ES264"/>
      <c r="ET264"/>
      <c r="EU264"/>
      <c r="EV264"/>
      <c r="EW264"/>
      <c r="EX264"/>
      <c r="EY264"/>
      <c r="EZ264"/>
      <c r="FA264"/>
    </row>
    <row r="265" spans="1:157" s="848" customFormat="1" x14ac:dyDescent="0.2">
      <c r="A265" s="271" t="s">
        <v>635</v>
      </c>
      <c r="B265" s="984"/>
      <c r="C265" s="984"/>
      <c r="D265" s="984"/>
      <c r="E265" s="984"/>
      <c r="F265" s="984"/>
      <c r="G265" s="984"/>
      <c r="H265" s="984"/>
      <c r="I265" s="984"/>
      <c r="J265" s="984"/>
      <c r="K265" s="984"/>
      <c r="L265" s="984"/>
      <c r="M265" s="984"/>
      <c r="N265" s="984"/>
      <c r="O265" s="984"/>
      <c r="P265" s="984"/>
      <c r="Q265" s="984"/>
      <c r="R265" s="984"/>
      <c r="S265" s="984"/>
      <c r="T265" s="984"/>
      <c r="U265" s="984"/>
      <c r="V265" s="985"/>
      <c r="W265" s="984"/>
      <c r="X265" s="984"/>
      <c r="Y265" s="984"/>
      <c r="Z265" s="984"/>
      <c r="AA265" s="984"/>
      <c r="AB265" s="984"/>
      <c r="AC265" s="984"/>
      <c r="AD265" s="984"/>
      <c r="AE265" s="984"/>
      <c r="AF265" s="984"/>
      <c r="AG265" s="984"/>
      <c r="AH265" s="984"/>
      <c r="AI265" s="984"/>
      <c r="AJ265" s="984"/>
      <c r="AK265" s="984"/>
      <c r="AL265" s="984"/>
      <c r="AM265" s="992"/>
      <c r="AN265" s="992"/>
      <c r="AO265" s="992"/>
      <c r="AP265" s="992"/>
      <c r="AQ265" s="992"/>
      <c r="AR265" s="992"/>
      <c r="AS265" s="992"/>
      <c r="AT265" s="992"/>
      <c r="AU265" s="992"/>
      <c r="AV265" s="992"/>
      <c r="AW265" s="992"/>
      <c r="AX265" s="992"/>
      <c r="AY265" s="992"/>
      <c r="AZ265" s="992"/>
      <c r="BA265" s="984"/>
      <c r="BB265" s="992"/>
      <c r="BC265" s="992"/>
      <c r="BD265" s="992"/>
      <c r="BE265" s="992"/>
      <c r="BF265" s="984"/>
      <c r="BG265" s="992"/>
      <c r="BH265" s="992"/>
      <c r="BI265" s="992"/>
      <c r="BJ265" s="992"/>
      <c r="BK265" s="984"/>
      <c r="BL265" s="992"/>
      <c r="BM265" s="992"/>
      <c r="BN265" s="992"/>
      <c r="BO265" s="992"/>
      <c r="BP265" s="984"/>
      <c r="BQ265" s="992"/>
      <c r="BR265" s="992"/>
      <c r="BS265" s="992"/>
      <c r="BT265" s="992"/>
      <c r="BU265" s="984"/>
      <c r="BV265" s="992"/>
      <c r="BW265" s="992"/>
      <c r="BX265" s="992"/>
      <c r="BY265" s="992"/>
      <c r="BZ265" s="983"/>
      <c r="CA265" s="992"/>
      <c r="CB265" s="992"/>
      <c r="CC265" s="992"/>
      <c r="CD265" s="992"/>
      <c r="CE265" s="983"/>
      <c r="CF265" s="992"/>
      <c r="CG265" s="992"/>
      <c r="CH265" s="992"/>
      <c r="CI265" s="992"/>
      <c r="CJ265" s="983"/>
      <c r="CK265" s="992"/>
      <c r="CL265" s="992"/>
      <c r="CM265" s="992"/>
      <c r="CN265" s="992"/>
      <c r="CO265" s="983"/>
      <c r="CP265" s="993"/>
      <c r="CQ265" s="992"/>
      <c r="CR265" s="992"/>
      <c r="CS265" s="992"/>
      <c r="CT265" s="983"/>
      <c r="CU265" s="2043"/>
      <c r="CV265" s="2043"/>
      <c r="CW265" s="2043">
        <v>2.2499999999999999E-2</v>
      </c>
      <c r="CX265" s="2043">
        <v>3.0099999999999998E-2</v>
      </c>
      <c r="CY265" s="1038">
        <v>2.2499999999999999E-2</v>
      </c>
      <c r="CZ265" s="2043">
        <v>3.0099999999999998E-2</v>
      </c>
      <c r="DA265" s="2043">
        <f t="shared" si="668"/>
        <v>3.0099999999999998E-2</v>
      </c>
      <c r="DB265" s="1037">
        <f t="shared" si="669"/>
        <v>3.0099999999999998E-2</v>
      </c>
      <c r="DC265" s="2043">
        <f t="shared" si="669"/>
        <v>3.0099999999999998E-2</v>
      </c>
      <c r="DD265" s="1038">
        <f t="shared" si="669"/>
        <v>3.0099999999999998E-2</v>
      </c>
      <c r="DE265" s="1037">
        <f t="shared" ref="DE265:DI265" si="674">DD265</f>
        <v>3.0099999999999998E-2</v>
      </c>
      <c r="DF265" s="1037">
        <f t="shared" si="674"/>
        <v>3.0099999999999998E-2</v>
      </c>
      <c r="DG265" s="1037">
        <f t="shared" si="674"/>
        <v>3.0099999999999998E-2</v>
      </c>
      <c r="DH265" s="1037">
        <f t="shared" si="674"/>
        <v>3.0099999999999998E-2</v>
      </c>
      <c r="DI265" s="1038">
        <f t="shared" si="674"/>
        <v>3.0099999999999998E-2</v>
      </c>
      <c r="DJ265" s="1037">
        <f t="shared" ref="DJ265:EC265" si="675">DI265</f>
        <v>3.0099999999999998E-2</v>
      </c>
      <c r="DK265" s="1037">
        <f t="shared" si="675"/>
        <v>3.0099999999999998E-2</v>
      </c>
      <c r="DL265" s="1037">
        <f t="shared" si="675"/>
        <v>3.0099999999999998E-2</v>
      </c>
      <c r="DM265" s="1037">
        <f t="shared" si="675"/>
        <v>3.0099999999999998E-2</v>
      </c>
      <c r="DN265" s="1038">
        <f t="shared" si="675"/>
        <v>3.0099999999999998E-2</v>
      </c>
      <c r="DO265" s="1037">
        <f t="shared" si="675"/>
        <v>3.0099999999999998E-2</v>
      </c>
      <c r="DP265" s="1037">
        <f t="shared" si="675"/>
        <v>3.0099999999999998E-2</v>
      </c>
      <c r="DQ265" s="1037">
        <f t="shared" si="675"/>
        <v>3.0099999999999998E-2</v>
      </c>
      <c r="DR265" s="1037">
        <f t="shared" si="675"/>
        <v>3.0099999999999998E-2</v>
      </c>
      <c r="DS265" s="1038">
        <f t="shared" si="675"/>
        <v>3.0099999999999998E-2</v>
      </c>
      <c r="DT265" s="1037">
        <f t="shared" si="675"/>
        <v>3.0099999999999998E-2</v>
      </c>
      <c r="DU265" s="1037">
        <f t="shared" si="675"/>
        <v>3.0099999999999998E-2</v>
      </c>
      <c r="DV265" s="1037">
        <f t="shared" si="675"/>
        <v>3.0099999999999998E-2</v>
      </c>
      <c r="DW265" s="1037">
        <f t="shared" si="675"/>
        <v>3.0099999999999998E-2</v>
      </c>
      <c r="DX265" s="1038">
        <f t="shared" si="675"/>
        <v>3.0099999999999998E-2</v>
      </c>
      <c r="DY265" s="1037">
        <f t="shared" si="675"/>
        <v>3.0099999999999998E-2</v>
      </c>
      <c r="DZ265" s="1037">
        <f t="shared" si="675"/>
        <v>3.0099999999999998E-2</v>
      </c>
      <c r="EA265" s="1037">
        <f t="shared" si="675"/>
        <v>3.0099999999999998E-2</v>
      </c>
      <c r="EB265" s="1037">
        <f t="shared" si="675"/>
        <v>3.0099999999999998E-2</v>
      </c>
      <c r="EC265" s="1038">
        <f t="shared" si="675"/>
        <v>3.0099999999999998E-2</v>
      </c>
      <c r="EF265"/>
      <c r="EG265"/>
      <c r="EH265"/>
      <c r="EI265"/>
      <c r="EJ265"/>
      <c r="EK265"/>
      <c r="EL265"/>
      <c r="EM265"/>
      <c r="EN265"/>
      <c r="EO265"/>
      <c r="EP265"/>
      <c r="EQ265"/>
      <c r="ER265"/>
      <c r="ES265"/>
      <c r="ET265"/>
      <c r="EU265"/>
      <c r="EV265"/>
      <c r="EW265"/>
      <c r="EX265"/>
      <c r="EY265"/>
      <c r="EZ265"/>
      <c r="FA265"/>
    </row>
    <row r="266" spans="1:157" s="848" customFormat="1" x14ac:dyDescent="0.2">
      <c r="A266" s="271" t="s">
        <v>636</v>
      </c>
      <c r="B266" s="984"/>
      <c r="C266" s="984"/>
      <c r="D266" s="984"/>
      <c r="E266" s="984"/>
      <c r="F266" s="984"/>
      <c r="G266" s="984"/>
      <c r="H266" s="984"/>
      <c r="I266" s="984"/>
      <c r="J266" s="984"/>
      <c r="K266" s="984"/>
      <c r="L266" s="984"/>
      <c r="M266" s="984"/>
      <c r="N266" s="984"/>
      <c r="O266" s="984"/>
      <c r="P266" s="984"/>
      <c r="Q266" s="984"/>
      <c r="R266" s="984"/>
      <c r="S266" s="984"/>
      <c r="T266" s="984"/>
      <c r="U266" s="984"/>
      <c r="V266" s="985"/>
      <c r="W266" s="984"/>
      <c r="X266" s="984"/>
      <c r="Y266" s="984"/>
      <c r="Z266" s="984"/>
      <c r="AA266" s="984"/>
      <c r="AB266" s="984"/>
      <c r="AC266" s="984"/>
      <c r="AD266" s="984"/>
      <c r="AE266" s="984"/>
      <c r="AF266" s="984"/>
      <c r="AG266" s="984"/>
      <c r="AH266" s="984"/>
      <c r="AI266" s="984"/>
      <c r="AJ266" s="984"/>
      <c r="AK266" s="984"/>
      <c r="AL266" s="984"/>
      <c r="AM266" s="992"/>
      <c r="AN266" s="992"/>
      <c r="AO266" s="992"/>
      <c r="AP266" s="992"/>
      <c r="AQ266" s="992"/>
      <c r="AR266" s="992"/>
      <c r="AS266" s="992"/>
      <c r="AT266" s="992"/>
      <c r="AU266" s="992"/>
      <c r="AV266" s="992"/>
      <c r="AW266" s="992"/>
      <c r="AX266" s="992"/>
      <c r="AY266" s="992"/>
      <c r="AZ266" s="992"/>
      <c r="BA266" s="984"/>
      <c r="BB266" s="992"/>
      <c r="BC266" s="992"/>
      <c r="BD266" s="992"/>
      <c r="BE266" s="992"/>
      <c r="BF266" s="984"/>
      <c r="BG266" s="992"/>
      <c r="BH266" s="992"/>
      <c r="BI266" s="992"/>
      <c r="BJ266" s="992"/>
      <c r="BK266" s="984"/>
      <c r="BL266" s="992"/>
      <c r="BM266" s="992"/>
      <c r="BN266" s="992"/>
      <c r="BO266" s="992"/>
      <c r="BP266" s="984"/>
      <c r="BQ266" s="992"/>
      <c r="BR266" s="992"/>
      <c r="BS266" s="992"/>
      <c r="BT266" s="992"/>
      <c r="BU266" s="984"/>
      <c r="BV266" s="992"/>
      <c r="BW266" s="992"/>
      <c r="BX266" s="992"/>
      <c r="BY266" s="992"/>
      <c r="BZ266" s="983"/>
      <c r="CA266" s="992"/>
      <c r="CB266" s="992"/>
      <c r="CC266" s="992"/>
      <c r="CD266" s="992"/>
      <c r="CE266" s="983"/>
      <c r="CF266" s="992"/>
      <c r="CG266" s="992"/>
      <c r="CH266" s="992"/>
      <c r="CI266" s="992"/>
      <c r="CJ266" s="983"/>
      <c r="CK266" s="992"/>
      <c r="CL266" s="992"/>
      <c r="CM266" s="992"/>
      <c r="CN266" s="992"/>
      <c r="CO266" s="983"/>
      <c r="CP266" s="993"/>
      <c r="CQ266" s="992"/>
      <c r="CR266" s="992"/>
      <c r="CS266" s="992"/>
      <c r="CT266" s="983"/>
      <c r="CU266" s="2043"/>
      <c r="CV266" s="2043"/>
      <c r="CW266" s="2043">
        <v>2.75E-2</v>
      </c>
      <c r="CX266" s="2043">
        <v>3.9100000000000003E-2</v>
      </c>
      <c r="CY266" s="1038">
        <v>2.75E-2</v>
      </c>
      <c r="CZ266" s="2043">
        <f>3.91%*0.67+3.15%*0.33</f>
        <v>3.6592000000000006E-2</v>
      </c>
      <c r="DA266" s="2043">
        <f>CX266-0.0075</f>
        <v>3.1600000000000003E-2</v>
      </c>
      <c r="DB266" s="1037">
        <f t="shared" si="669"/>
        <v>3.1600000000000003E-2</v>
      </c>
      <c r="DC266" s="2043">
        <f t="shared" si="669"/>
        <v>3.1600000000000003E-2</v>
      </c>
      <c r="DD266" s="1038">
        <f t="shared" si="669"/>
        <v>3.1600000000000003E-2</v>
      </c>
      <c r="DE266" s="1037">
        <f t="shared" ref="DE266:DI266" si="676">DD266</f>
        <v>3.1600000000000003E-2</v>
      </c>
      <c r="DF266" s="1037">
        <f t="shared" si="676"/>
        <v>3.1600000000000003E-2</v>
      </c>
      <c r="DG266" s="1037">
        <f t="shared" si="676"/>
        <v>3.1600000000000003E-2</v>
      </c>
      <c r="DH266" s="1037">
        <f t="shared" si="676"/>
        <v>3.1600000000000003E-2</v>
      </c>
      <c r="DI266" s="1038">
        <f t="shared" si="676"/>
        <v>3.1600000000000003E-2</v>
      </c>
      <c r="DJ266" s="1037">
        <f t="shared" ref="DJ266:EC266" si="677">DI266</f>
        <v>3.1600000000000003E-2</v>
      </c>
      <c r="DK266" s="1037">
        <f t="shared" si="677"/>
        <v>3.1600000000000003E-2</v>
      </c>
      <c r="DL266" s="1037">
        <f t="shared" si="677"/>
        <v>3.1600000000000003E-2</v>
      </c>
      <c r="DM266" s="1037">
        <f t="shared" si="677"/>
        <v>3.1600000000000003E-2</v>
      </c>
      <c r="DN266" s="1038">
        <f t="shared" si="677"/>
        <v>3.1600000000000003E-2</v>
      </c>
      <c r="DO266" s="1037">
        <f t="shared" si="677"/>
        <v>3.1600000000000003E-2</v>
      </c>
      <c r="DP266" s="1037">
        <f t="shared" si="677"/>
        <v>3.1600000000000003E-2</v>
      </c>
      <c r="DQ266" s="1037">
        <f t="shared" si="677"/>
        <v>3.1600000000000003E-2</v>
      </c>
      <c r="DR266" s="1037">
        <f t="shared" si="677"/>
        <v>3.1600000000000003E-2</v>
      </c>
      <c r="DS266" s="1038">
        <f t="shared" si="677"/>
        <v>3.1600000000000003E-2</v>
      </c>
      <c r="DT266" s="1037">
        <f t="shared" si="677"/>
        <v>3.1600000000000003E-2</v>
      </c>
      <c r="DU266" s="1037">
        <f t="shared" si="677"/>
        <v>3.1600000000000003E-2</v>
      </c>
      <c r="DV266" s="1037">
        <f t="shared" si="677"/>
        <v>3.1600000000000003E-2</v>
      </c>
      <c r="DW266" s="1037">
        <f t="shared" si="677"/>
        <v>3.1600000000000003E-2</v>
      </c>
      <c r="DX266" s="1038">
        <f t="shared" si="677"/>
        <v>3.1600000000000003E-2</v>
      </c>
      <c r="DY266" s="1037">
        <f t="shared" si="677"/>
        <v>3.1600000000000003E-2</v>
      </c>
      <c r="DZ266" s="1037">
        <f t="shared" si="677"/>
        <v>3.1600000000000003E-2</v>
      </c>
      <c r="EA266" s="1037">
        <f t="shared" si="677"/>
        <v>3.1600000000000003E-2</v>
      </c>
      <c r="EB266" s="1037">
        <f t="shared" si="677"/>
        <v>3.1600000000000003E-2</v>
      </c>
      <c r="EC266" s="1038">
        <f t="shared" si="677"/>
        <v>3.1600000000000003E-2</v>
      </c>
      <c r="EF266"/>
      <c r="EG266"/>
      <c r="EH266"/>
      <c r="EI266"/>
      <c r="EJ266"/>
      <c r="EK266"/>
      <c r="EL266"/>
      <c r="EM266"/>
      <c r="EN266"/>
      <c r="EO266"/>
      <c r="EP266"/>
      <c r="EQ266"/>
      <c r="ER266"/>
      <c r="ES266"/>
      <c r="ET266"/>
      <c r="EU266"/>
      <c r="EV266"/>
      <c r="EW266"/>
      <c r="EX266"/>
      <c r="EY266"/>
      <c r="EZ266"/>
      <c r="FA266"/>
    </row>
    <row r="267" spans="1:157" s="848" customFormat="1" x14ac:dyDescent="0.2">
      <c r="A267" s="271" t="s">
        <v>708</v>
      </c>
      <c r="B267" s="984"/>
      <c r="C267" s="984"/>
      <c r="D267" s="984"/>
      <c r="E267" s="984"/>
      <c r="F267" s="984"/>
      <c r="G267" s="984"/>
      <c r="H267" s="984"/>
      <c r="I267" s="984"/>
      <c r="J267" s="984"/>
      <c r="K267" s="984"/>
      <c r="L267" s="984"/>
      <c r="M267" s="984"/>
      <c r="N267" s="984"/>
      <c r="O267" s="984"/>
      <c r="P267" s="984"/>
      <c r="Q267" s="984"/>
      <c r="R267" s="984"/>
      <c r="S267" s="984"/>
      <c r="T267" s="984"/>
      <c r="U267" s="984"/>
      <c r="V267" s="985"/>
      <c r="W267" s="984"/>
      <c r="X267" s="984"/>
      <c r="Y267" s="984"/>
      <c r="Z267" s="984"/>
      <c r="AA267" s="984"/>
      <c r="AB267" s="984"/>
      <c r="AC267" s="984"/>
      <c r="AD267" s="984"/>
      <c r="AE267" s="984"/>
      <c r="AF267" s="984"/>
      <c r="AG267" s="984"/>
      <c r="AH267" s="984"/>
      <c r="AI267" s="984"/>
      <c r="AJ267" s="984"/>
      <c r="AK267" s="984"/>
      <c r="AL267" s="984"/>
      <c r="AM267" s="992"/>
      <c r="AN267" s="992"/>
      <c r="AO267" s="992"/>
      <c r="AP267" s="992"/>
      <c r="AQ267" s="992"/>
      <c r="AR267" s="992"/>
      <c r="AS267" s="992"/>
      <c r="AT267" s="992"/>
      <c r="AU267" s="992"/>
      <c r="AV267" s="992"/>
      <c r="AW267" s="992"/>
      <c r="AX267" s="992"/>
      <c r="AY267" s="992"/>
      <c r="AZ267" s="992"/>
      <c r="BA267" s="984"/>
      <c r="BB267" s="992"/>
      <c r="BC267" s="992"/>
      <c r="BD267" s="992"/>
      <c r="BE267" s="992"/>
      <c r="BF267" s="984"/>
      <c r="BG267" s="992"/>
      <c r="BH267" s="992"/>
      <c r="BI267" s="992"/>
      <c r="BJ267" s="992"/>
      <c r="BK267" s="984"/>
      <c r="BL267" s="992"/>
      <c r="BM267" s="992"/>
      <c r="BN267" s="992"/>
      <c r="BO267" s="992"/>
      <c r="BP267" s="984"/>
      <c r="BQ267" s="992"/>
      <c r="BR267" s="992"/>
      <c r="BS267" s="992"/>
      <c r="BT267" s="992"/>
      <c r="BU267" s="984"/>
      <c r="BV267" s="992"/>
      <c r="BW267" s="992"/>
      <c r="BX267" s="992"/>
      <c r="BY267" s="992"/>
      <c r="BZ267" s="983"/>
      <c r="CA267" s="992"/>
      <c r="CB267" s="992"/>
      <c r="CC267" s="992"/>
      <c r="CD267" s="992"/>
      <c r="CE267" s="983"/>
      <c r="CF267" s="992"/>
      <c r="CG267" s="992"/>
      <c r="CH267" s="992"/>
      <c r="CI267" s="992"/>
      <c r="CJ267" s="983"/>
      <c r="CK267" s="992"/>
      <c r="CL267" s="992"/>
      <c r="CM267" s="992"/>
      <c r="CN267" s="992"/>
      <c r="CO267" s="983"/>
      <c r="CP267" s="993"/>
      <c r="CQ267" s="992"/>
      <c r="CR267" s="992"/>
      <c r="CS267" s="992"/>
      <c r="CT267" s="983"/>
      <c r="CU267" s="2043"/>
      <c r="CV267" s="2043"/>
      <c r="CW267" s="2043"/>
      <c r="CX267" s="2043"/>
      <c r="CY267" s="1038"/>
      <c r="CZ267" s="2043"/>
      <c r="DA267" s="2043">
        <v>4.7500000000000001E-2</v>
      </c>
      <c r="DB267" s="1037">
        <f>DA267</f>
        <v>4.7500000000000001E-2</v>
      </c>
      <c r="DC267" s="2043">
        <f t="shared" si="669"/>
        <v>4.7500000000000001E-2</v>
      </c>
      <c r="DD267" s="1038">
        <v>4.7500000000000001E-2</v>
      </c>
      <c r="DE267" s="1037">
        <f>DD267</f>
        <v>4.7500000000000001E-2</v>
      </c>
      <c r="DF267" s="1037">
        <f>DE267</f>
        <v>4.7500000000000001E-2</v>
      </c>
      <c r="DG267" s="1037">
        <f>DF267</f>
        <v>4.7500000000000001E-2</v>
      </c>
      <c r="DH267" s="1037">
        <f>DG267</f>
        <v>4.7500000000000001E-2</v>
      </c>
      <c r="DI267" s="1038">
        <v>4.7500000000000001E-2</v>
      </c>
      <c r="DJ267" s="1037">
        <f>DI267</f>
        <v>4.7500000000000001E-2</v>
      </c>
      <c r="DK267" s="1037">
        <f>DJ267</f>
        <v>4.7500000000000001E-2</v>
      </c>
      <c r="DL267" s="1037">
        <f>DK267</f>
        <v>4.7500000000000001E-2</v>
      </c>
      <c r="DM267" s="1037">
        <f>DL267</f>
        <v>4.7500000000000001E-2</v>
      </c>
      <c r="DN267" s="1038">
        <v>4.7500000000000001E-2</v>
      </c>
      <c r="DO267" s="1037">
        <f>DN267</f>
        <v>4.7500000000000001E-2</v>
      </c>
      <c r="DP267" s="1037">
        <f>DO267</f>
        <v>4.7500000000000001E-2</v>
      </c>
      <c r="DQ267" s="1037">
        <f>DP267</f>
        <v>4.7500000000000001E-2</v>
      </c>
      <c r="DR267" s="1037">
        <f>DQ267</f>
        <v>4.7500000000000001E-2</v>
      </c>
      <c r="DS267" s="1038">
        <v>4.7500000000000001E-2</v>
      </c>
      <c r="DT267" s="1037">
        <f>DS267</f>
        <v>4.7500000000000001E-2</v>
      </c>
      <c r="DU267" s="1037">
        <f>DT267</f>
        <v>4.7500000000000001E-2</v>
      </c>
      <c r="DV267" s="1037">
        <f>DU267</f>
        <v>4.7500000000000001E-2</v>
      </c>
      <c r="DW267" s="1037">
        <f>DV267</f>
        <v>4.7500000000000001E-2</v>
      </c>
      <c r="DX267" s="1038">
        <v>4.7500000000000001E-2</v>
      </c>
      <c r="DY267" s="1037">
        <f>DX267</f>
        <v>4.7500000000000001E-2</v>
      </c>
      <c r="DZ267" s="1037">
        <f>DY267</f>
        <v>4.7500000000000001E-2</v>
      </c>
      <c r="EA267" s="1037">
        <f>DZ267</f>
        <v>4.7500000000000001E-2</v>
      </c>
      <c r="EB267" s="1037">
        <f>EA267</f>
        <v>4.7500000000000001E-2</v>
      </c>
      <c r="EC267" s="1038">
        <v>4.7500000000000001E-2</v>
      </c>
      <c r="EF267"/>
      <c r="EG267"/>
      <c r="EH267"/>
      <c r="EI267"/>
      <c r="EJ267"/>
      <c r="EK267"/>
      <c r="EL267" s="2161"/>
      <c r="EM267" s="2161"/>
      <c r="EN267" s="2161"/>
      <c r="EO267" s="2161"/>
      <c r="EP267" s="2161"/>
      <c r="EQ267" s="2161"/>
      <c r="ER267" s="2161"/>
      <c r="ES267" s="2161"/>
      <c r="ET267" s="2161"/>
      <c r="EU267" s="2161"/>
      <c r="EV267" s="2161"/>
      <c r="EW267" s="2161"/>
      <c r="EX267" s="2161"/>
      <c r="EY267" s="2161"/>
      <c r="EZ267" s="2161"/>
      <c r="FA267" s="2161"/>
    </row>
    <row r="268" spans="1:157" s="848" customFormat="1" x14ac:dyDescent="0.2">
      <c r="A268" s="267" t="s">
        <v>637</v>
      </c>
      <c r="B268" s="984"/>
      <c r="C268" s="984"/>
      <c r="D268" s="984"/>
      <c r="E268" s="984"/>
      <c r="F268" s="984"/>
      <c r="G268" s="984"/>
      <c r="H268" s="984"/>
      <c r="I268" s="984"/>
      <c r="J268" s="984"/>
      <c r="K268" s="984"/>
      <c r="L268" s="984"/>
      <c r="M268" s="984"/>
      <c r="N268" s="984"/>
      <c r="O268" s="984"/>
      <c r="P268" s="984"/>
      <c r="Q268" s="984"/>
      <c r="R268" s="984"/>
      <c r="S268" s="984"/>
      <c r="T268" s="984"/>
      <c r="U268" s="984"/>
      <c r="V268" s="985"/>
      <c r="W268" s="984"/>
      <c r="X268" s="984"/>
      <c r="Y268" s="984"/>
      <c r="Z268" s="984"/>
      <c r="AA268" s="984"/>
      <c r="AB268" s="984"/>
      <c r="AC268" s="984"/>
      <c r="AD268" s="984"/>
      <c r="AE268" s="984"/>
      <c r="AF268" s="984"/>
      <c r="AG268" s="984"/>
      <c r="AH268" s="984"/>
      <c r="AI268" s="984"/>
      <c r="AJ268" s="984"/>
      <c r="AK268" s="984"/>
      <c r="AL268" s="984"/>
      <c r="AM268" s="992"/>
      <c r="AN268" s="992"/>
      <c r="AO268" s="992"/>
      <c r="AP268" s="992"/>
      <c r="AQ268" s="992"/>
      <c r="AR268" s="992"/>
      <c r="AS268" s="992"/>
      <c r="AT268" s="992"/>
      <c r="AU268" s="992"/>
      <c r="AV268" s="992"/>
      <c r="AW268" s="992"/>
      <c r="AX268" s="992"/>
      <c r="AY268" s="992"/>
      <c r="AZ268" s="992"/>
      <c r="BA268" s="984"/>
      <c r="BB268" s="992"/>
      <c r="BC268" s="992"/>
      <c r="BD268" s="992"/>
      <c r="BE268" s="992"/>
      <c r="BF268" s="984"/>
      <c r="BG268" s="992"/>
      <c r="BH268" s="992"/>
      <c r="BI268" s="992"/>
      <c r="BJ268" s="992"/>
      <c r="BK268" s="984"/>
      <c r="BL268" s="992"/>
      <c r="BM268" s="992"/>
      <c r="BN268" s="992"/>
      <c r="BO268" s="992"/>
      <c r="BP268" s="984"/>
      <c r="BQ268" s="992"/>
      <c r="BR268" s="992"/>
      <c r="BS268" s="992"/>
      <c r="BT268" s="992"/>
      <c r="BU268" s="984"/>
      <c r="BV268" s="992"/>
      <c r="BW268" s="992"/>
      <c r="BX268" s="992"/>
      <c r="BY268" s="992"/>
      <c r="BZ268" s="983"/>
      <c r="CA268" s="992"/>
      <c r="CB268" s="992"/>
      <c r="CC268" s="992"/>
      <c r="CD268" s="992"/>
      <c r="CE268" s="983"/>
      <c r="CF268" s="992"/>
      <c r="CG268" s="992"/>
      <c r="CH268" s="992"/>
      <c r="CI268" s="992"/>
      <c r="CJ268" s="983"/>
      <c r="CK268" s="992"/>
      <c r="CL268" s="992"/>
      <c r="CM268" s="992"/>
      <c r="CN268" s="992"/>
      <c r="CO268" s="983"/>
      <c r="CP268" s="993"/>
      <c r="CQ268" s="992"/>
      <c r="CR268" s="992"/>
      <c r="CS268" s="992"/>
      <c r="CT268" s="983"/>
      <c r="CU268" s="2043"/>
      <c r="CV268" s="2043"/>
      <c r="CW268" s="2043">
        <v>2.5000000000000001E-3</v>
      </c>
      <c r="CX268" s="2043">
        <f>CX265</f>
        <v>3.0099999999999998E-2</v>
      </c>
      <c r="CY268" s="1038">
        <v>2.5000000000000001E-3</v>
      </c>
      <c r="CZ268" s="2043">
        <f>CZ265</f>
        <v>3.0099999999999998E-2</v>
      </c>
      <c r="DA268" s="2043">
        <f>CZ268</f>
        <v>3.0099999999999998E-2</v>
      </c>
      <c r="DB268" s="1037">
        <f t="shared" si="669"/>
        <v>3.0099999999999998E-2</v>
      </c>
      <c r="DC268" s="2043">
        <f t="shared" si="669"/>
        <v>3.0099999999999998E-2</v>
      </c>
      <c r="DD268" s="1038">
        <f>DC268</f>
        <v>3.0099999999999998E-2</v>
      </c>
      <c r="DE268" s="1037">
        <f t="shared" ref="DE268:DH268" si="678">DD268</f>
        <v>3.0099999999999998E-2</v>
      </c>
      <c r="DF268" s="1037">
        <f t="shared" si="678"/>
        <v>3.0099999999999998E-2</v>
      </c>
      <c r="DG268" s="1037">
        <f t="shared" si="678"/>
        <v>3.0099999999999998E-2</v>
      </c>
      <c r="DH268" s="1037">
        <f t="shared" si="678"/>
        <v>3.0099999999999998E-2</v>
      </c>
      <c r="DI268" s="1038">
        <f>DH268</f>
        <v>3.0099999999999998E-2</v>
      </c>
      <c r="DJ268" s="1037">
        <f t="shared" ref="DJ268:DM268" si="679">DI268</f>
        <v>3.0099999999999998E-2</v>
      </c>
      <c r="DK268" s="1037">
        <f t="shared" si="679"/>
        <v>3.0099999999999998E-2</v>
      </c>
      <c r="DL268" s="1037">
        <f t="shared" si="679"/>
        <v>3.0099999999999998E-2</v>
      </c>
      <c r="DM268" s="1037">
        <f t="shared" si="679"/>
        <v>3.0099999999999998E-2</v>
      </c>
      <c r="DN268" s="1038">
        <f>DM268</f>
        <v>3.0099999999999998E-2</v>
      </c>
      <c r="DO268" s="1037">
        <f t="shared" ref="DO268:DR268" si="680">DN268</f>
        <v>3.0099999999999998E-2</v>
      </c>
      <c r="DP268" s="1037">
        <f t="shared" si="680"/>
        <v>3.0099999999999998E-2</v>
      </c>
      <c r="DQ268" s="1037">
        <f t="shared" si="680"/>
        <v>3.0099999999999998E-2</v>
      </c>
      <c r="DR268" s="1037">
        <f t="shared" si="680"/>
        <v>3.0099999999999998E-2</v>
      </c>
      <c r="DS268" s="1038">
        <f>DR268</f>
        <v>3.0099999999999998E-2</v>
      </c>
      <c r="DT268" s="1037">
        <f t="shared" ref="DT268:DW268" si="681">DS268</f>
        <v>3.0099999999999998E-2</v>
      </c>
      <c r="DU268" s="1037">
        <f t="shared" si="681"/>
        <v>3.0099999999999998E-2</v>
      </c>
      <c r="DV268" s="1037">
        <f t="shared" si="681"/>
        <v>3.0099999999999998E-2</v>
      </c>
      <c r="DW268" s="1037">
        <f t="shared" si="681"/>
        <v>3.0099999999999998E-2</v>
      </c>
      <c r="DX268" s="1038">
        <f>DW268</f>
        <v>3.0099999999999998E-2</v>
      </c>
      <c r="DY268" s="1037">
        <f t="shared" ref="DY268:EB268" si="682">DX268</f>
        <v>3.0099999999999998E-2</v>
      </c>
      <c r="DZ268" s="1037">
        <f t="shared" si="682"/>
        <v>3.0099999999999998E-2</v>
      </c>
      <c r="EA268" s="1037">
        <f t="shared" si="682"/>
        <v>3.0099999999999998E-2</v>
      </c>
      <c r="EB268" s="1037">
        <f t="shared" si="682"/>
        <v>3.0099999999999998E-2</v>
      </c>
      <c r="EC268" s="1038">
        <f>EB268</f>
        <v>3.0099999999999998E-2</v>
      </c>
      <c r="EF268"/>
      <c r="EG268"/>
      <c r="EH268"/>
      <c r="EI268"/>
      <c r="EJ268"/>
      <c r="EK268"/>
      <c r="EL268"/>
      <c r="EM268"/>
      <c r="EN268"/>
      <c r="EO268"/>
      <c r="EP268"/>
      <c r="EQ268"/>
      <c r="ER268"/>
      <c r="ES268"/>
      <c r="ET268"/>
      <c r="EU268"/>
      <c r="EV268"/>
      <c r="EW268"/>
      <c r="EX268"/>
      <c r="EY268"/>
      <c r="EZ268"/>
      <c r="FA268"/>
    </row>
    <row r="269" spans="1:157" s="848" customFormat="1" x14ac:dyDescent="0.2">
      <c r="A269" s="267" t="s">
        <v>712</v>
      </c>
      <c r="B269" s="984"/>
      <c r="C269" s="984"/>
      <c r="D269" s="984"/>
      <c r="E269" s="984"/>
      <c r="F269" s="984"/>
      <c r="G269" s="984"/>
      <c r="H269" s="984"/>
      <c r="I269" s="984"/>
      <c r="J269" s="984"/>
      <c r="K269" s="984"/>
      <c r="L269" s="984"/>
      <c r="M269" s="984"/>
      <c r="N269" s="984"/>
      <c r="O269" s="984"/>
      <c r="P269" s="984"/>
      <c r="Q269" s="984"/>
      <c r="R269" s="984"/>
      <c r="S269" s="984"/>
      <c r="T269" s="984"/>
      <c r="U269" s="984"/>
      <c r="V269" s="985"/>
      <c r="W269" s="984"/>
      <c r="X269" s="984"/>
      <c r="Y269" s="984"/>
      <c r="Z269" s="984"/>
      <c r="AA269" s="984"/>
      <c r="AB269" s="984"/>
      <c r="AC269" s="984"/>
      <c r="AD269" s="984"/>
      <c r="AE269" s="984"/>
      <c r="AF269" s="984"/>
      <c r="AG269" s="984"/>
      <c r="AH269" s="984"/>
      <c r="AI269" s="984"/>
      <c r="AJ269" s="984"/>
      <c r="AK269" s="984"/>
      <c r="AL269" s="984"/>
      <c r="AM269" s="992"/>
      <c r="AN269" s="992"/>
      <c r="AO269" s="992"/>
      <c r="AP269" s="992"/>
      <c r="AQ269" s="992"/>
      <c r="AR269" s="992"/>
      <c r="AS269" s="992"/>
      <c r="AT269" s="992"/>
      <c r="AU269" s="992"/>
      <c r="AV269" s="992"/>
      <c r="AW269" s="992"/>
      <c r="AX269" s="992"/>
      <c r="AY269" s="992"/>
      <c r="AZ269" s="992"/>
      <c r="BA269" s="984"/>
      <c r="BB269" s="992"/>
      <c r="BC269" s="992"/>
      <c r="BD269" s="992"/>
      <c r="BE269" s="992"/>
      <c r="BF269" s="984"/>
      <c r="BG269" s="992"/>
      <c r="BH269" s="992"/>
      <c r="BI269" s="992"/>
      <c r="BJ269" s="992"/>
      <c r="BK269" s="984"/>
      <c r="BL269" s="992"/>
      <c r="BM269" s="992"/>
      <c r="BN269" s="992"/>
      <c r="BO269" s="992"/>
      <c r="BP269" s="984"/>
      <c r="BQ269" s="992"/>
      <c r="BR269" s="992"/>
      <c r="BS269" s="992"/>
      <c r="BT269" s="992"/>
      <c r="BU269" s="984"/>
      <c r="BV269" s="992"/>
      <c r="BW269" s="992"/>
      <c r="BX269" s="992"/>
      <c r="BY269" s="992"/>
      <c r="BZ269" s="983"/>
      <c r="CA269" s="992"/>
      <c r="CB269" s="992"/>
      <c r="CC269" s="992"/>
      <c r="CD269" s="992"/>
      <c r="CE269" s="983"/>
      <c r="CF269" s="992"/>
      <c r="CG269" s="992"/>
      <c r="CH269" s="992"/>
      <c r="CI269" s="992"/>
      <c r="CJ269" s="983"/>
      <c r="CK269" s="992"/>
      <c r="CL269" s="992"/>
      <c r="CM269" s="992"/>
      <c r="CN269" s="992"/>
      <c r="CO269" s="983"/>
      <c r="CP269" s="993"/>
      <c r="CQ269" s="992"/>
      <c r="CR269" s="992"/>
      <c r="CS269" s="992"/>
      <c r="CT269" s="983"/>
      <c r="CU269" s="2043"/>
      <c r="CV269" s="2043"/>
      <c r="CW269" s="2043">
        <v>3.5000000000000003E-2</v>
      </c>
      <c r="CX269" s="2043">
        <v>3.5000000000000003E-2</v>
      </c>
      <c r="CY269" s="1038">
        <v>3.5000000000000003E-2</v>
      </c>
      <c r="CZ269" s="2043">
        <v>0.04</v>
      </c>
      <c r="DA269" s="2043">
        <f>CZ269</f>
        <v>0.04</v>
      </c>
      <c r="DB269" s="1037">
        <f t="shared" si="669"/>
        <v>0.04</v>
      </c>
      <c r="DC269" s="2043">
        <f t="shared" si="669"/>
        <v>0.04</v>
      </c>
      <c r="DD269" s="2163">
        <f>DC269</f>
        <v>0.04</v>
      </c>
      <c r="DE269" s="1037">
        <f t="shared" ref="DE269:DH270" si="683">DD269</f>
        <v>0.04</v>
      </c>
      <c r="DF269" s="1037">
        <f t="shared" si="683"/>
        <v>0.04</v>
      </c>
      <c r="DG269" s="1037">
        <f t="shared" si="683"/>
        <v>0.04</v>
      </c>
      <c r="DH269" s="1037">
        <f t="shared" si="683"/>
        <v>0.04</v>
      </c>
      <c r="DI269" s="2163">
        <f>DH269</f>
        <v>0.04</v>
      </c>
      <c r="DJ269" s="1037">
        <f t="shared" ref="DJ269:DM270" si="684">DI269</f>
        <v>0.04</v>
      </c>
      <c r="DK269" s="1037">
        <f t="shared" si="684"/>
        <v>0.04</v>
      </c>
      <c r="DL269" s="1037">
        <f t="shared" si="684"/>
        <v>0.04</v>
      </c>
      <c r="DM269" s="1037">
        <f t="shared" si="684"/>
        <v>0.04</v>
      </c>
      <c r="DN269" s="2163">
        <f>DM269</f>
        <v>0.04</v>
      </c>
      <c r="DO269" s="1037">
        <f t="shared" ref="DO269:DR270" si="685">DN269</f>
        <v>0.04</v>
      </c>
      <c r="DP269" s="1037">
        <f t="shared" si="685"/>
        <v>0.04</v>
      </c>
      <c r="DQ269" s="1037">
        <f t="shared" si="685"/>
        <v>0.04</v>
      </c>
      <c r="DR269" s="1037">
        <f t="shared" si="685"/>
        <v>0.04</v>
      </c>
      <c r="DS269" s="2163">
        <f>DR269</f>
        <v>0.04</v>
      </c>
      <c r="DT269" s="1037">
        <f t="shared" ref="DT269:DW270" si="686">DS269</f>
        <v>0.04</v>
      </c>
      <c r="DU269" s="1037">
        <f t="shared" si="686"/>
        <v>0.04</v>
      </c>
      <c r="DV269" s="1037">
        <f t="shared" si="686"/>
        <v>0.04</v>
      </c>
      <c r="DW269" s="1037">
        <f t="shared" si="686"/>
        <v>0.04</v>
      </c>
      <c r="DX269" s="2163">
        <f>DW269</f>
        <v>0.04</v>
      </c>
      <c r="DY269" s="1037">
        <f t="shared" ref="DY269:EB270" si="687">DX269</f>
        <v>0.04</v>
      </c>
      <c r="DZ269" s="1037">
        <f t="shared" si="687"/>
        <v>0.04</v>
      </c>
      <c r="EA269" s="1037">
        <f t="shared" si="687"/>
        <v>0.04</v>
      </c>
      <c r="EB269" s="1037">
        <f t="shared" si="687"/>
        <v>0.04</v>
      </c>
      <c r="EC269" s="2163">
        <f>EB269</f>
        <v>0.04</v>
      </c>
      <c r="EF269"/>
      <c r="EG269"/>
      <c r="EH269"/>
      <c r="EI269"/>
      <c r="EJ269"/>
      <c r="EK269"/>
      <c r="EL269" s="2161"/>
      <c r="EM269" s="2161"/>
      <c r="EN269" s="2161"/>
      <c r="EO269" s="2161"/>
      <c r="EP269" s="2161"/>
      <c r="EQ269" s="2161"/>
      <c r="ER269" s="2161"/>
      <c r="ES269" s="2161"/>
      <c r="ET269" s="2161"/>
      <c r="EU269" s="2161"/>
      <c r="EV269" s="2161"/>
      <c r="EW269" s="2161"/>
      <c r="EX269" s="2161"/>
      <c r="EY269" s="2161"/>
      <c r="EZ269" s="2161"/>
      <c r="FA269" s="2161"/>
    </row>
    <row r="270" spans="1:157" s="848" customFormat="1" x14ac:dyDescent="0.2">
      <c r="A270" s="267" t="s">
        <v>712</v>
      </c>
      <c r="B270" s="984"/>
      <c r="C270" s="984"/>
      <c r="D270" s="984"/>
      <c r="E270" s="984"/>
      <c r="F270" s="984"/>
      <c r="G270" s="984"/>
      <c r="H270" s="984"/>
      <c r="I270" s="984"/>
      <c r="J270" s="984"/>
      <c r="K270" s="984"/>
      <c r="L270" s="984"/>
      <c r="M270" s="984"/>
      <c r="N270" s="984"/>
      <c r="O270" s="984"/>
      <c r="P270" s="984"/>
      <c r="Q270" s="984"/>
      <c r="R270" s="984"/>
      <c r="S270" s="984"/>
      <c r="T270" s="984"/>
      <c r="U270" s="984"/>
      <c r="V270" s="985"/>
      <c r="W270" s="984"/>
      <c r="X270" s="984"/>
      <c r="Y270" s="984"/>
      <c r="Z270" s="984"/>
      <c r="AA270" s="984"/>
      <c r="AB270" s="984"/>
      <c r="AC270" s="984"/>
      <c r="AD270" s="984"/>
      <c r="AE270" s="984"/>
      <c r="AF270" s="984"/>
      <c r="AG270" s="984"/>
      <c r="AH270" s="984"/>
      <c r="AI270" s="984"/>
      <c r="AJ270" s="984"/>
      <c r="AK270" s="984"/>
      <c r="AL270" s="984"/>
      <c r="AM270" s="992"/>
      <c r="AN270" s="992"/>
      <c r="AO270" s="992"/>
      <c r="AP270" s="992"/>
      <c r="AQ270" s="992"/>
      <c r="AR270" s="992"/>
      <c r="AS270" s="992"/>
      <c r="AT270" s="992"/>
      <c r="AU270" s="992"/>
      <c r="AV270" s="992"/>
      <c r="AW270" s="992"/>
      <c r="AX270" s="992"/>
      <c r="AY270" s="992"/>
      <c r="AZ270" s="992"/>
      <c r="BA270" s="984"/>
      <c r="BB270" s="992"/>
      <c r="BC270" s="992"/>
      <c r="BD270" s="992"/>
      <c r="BE270" s="992"/>
      <c r="BF270" s="984"/>
      <c r="BG270" s="992"/>
      <c r="BH270" s="992"/>
      <c r="BI270" s="992"/>
      <c r="BJ270" s="992"/>
      <c r="BK270" s="984"/>
      <c r="BL270" s="992"/>
      <c r="BM270" s="992"/>
      <c r="BN270" s="992"/>
      <c r="BO270" s="992"/>
      <c r="BP270" s="984"/>
      <c r="BQ270" s="992"/>
      <c r="BR270" s="992"/>
      <c r="BS270" s="992"/>
      <c r="BT270" s="992"/>
      <c r="BU270" s="984"/>
      <c r="BV270" s="992"/>
      <c r="BW270" s="992"/>
      <c r="BX270" s="992"/>
      <c r="BY270" s="992"/>
      <c r="BZ270" s="983"/>
      <c r="CA270" s="992"/>
      <c r="CB270" s="992"/>
      <c r="CC270" s="992"/>
      <c r="CD270" s="992"/>
      <c r="CE270" s="983"/>
      <c r="CF270" s="992"/>
      <c r="CG270" s="992"/>
      <c r="CH270" s="992"/>
      <c r="CI270" s="992"/>
      <c r="CJ270" s="983"/>
      <c r="CK270" s="992"/>
      <c r="CL270" s="992"/>
      <c r="CM270" s="992"/>
      <c r="CN270" s="992"/>
      <c r="CO270" s="983"/>
      <c r="CP270" s="993"/>
      <c r="CQ270" s="992"/>
      <c r="CR270" s="992"/>
      <c r="CS270" s="992"/>
      <c r="CT270" s="983"/>
      <c r="CU270" s="2043"/>
      <c r="CV270" s="2043"/>
      <c r="CW270" s="2043">
        <v>3.5000000000000003E-2</v>
      </c>
      <c r="CX270" s="2043">
        <v>3.5000000000000003E-2</v>
      </c>
      <c r="CY270" s="1038">
        <v>3.5000000000000003E-2</v>
      </c>
      <c r="CZ270" s="2043">
        <v>0.04</v>
      </c>
      <c r="DA270" s="2043">
        <f>CZ270</f>
        <v>0.04</v>
      </c>
      <c r="DB270" s="1037">
        <f t="shared" si="669"/>
        <v>0.04</v>
      </c>
      <c r="DC270" s="2043">
        <f t="shared" si="669"/>
        <v>0.04</v>
      </c>
      <c r="DD270" s="2163">
        <f>DC270</f>
        <v>0.04</v>
      </c>
      <c r="DE270" s="1037">
        <f t="shared" si="683"/>
        <v>0.04</v>
      </c>
      <c r="DF270" s="1037">
        <f t="shared" si="683"/>
        <v>0.04</v>
      </c>
      <c r="DG270" s="1037">
        <f t="shared" si="683"/>
        <v>0.04</v>
      </c>
      <c r="DH270" s="1037">
        <f t="shared" si="683"/>
        <v>0.04</v>
      </c>
      <c r="DI270" s="2163">
        <f>DH270</f>
        <v>0.04</v>
      </c>
      <c r="DJ270" s="1037">
        <f t="shared" si="684"/>
        <v>0.04</v>
      </c>
      <c r="DK270" s="1037">
        <f t="shared" si="684"/>
        <v>0.04</v>
      </c>
      <c r="DL270" s="1037">
        <f t="shared" si="684"/>
        <v>0.04</v>
      </c>
      <c r="DM270" s="1037">
        <f t="shared" si="684"/>
        <v>0.04</v>
      </c>
      <c r="DN270" s="2163">
        <f>DM270</f>
        <v>0.04</v>
      </c>
      <c r="DO270" s="1037">
        <f t="shared" si="685"/>
        <v>0.04</v>
      </c>
      <c r="DP270" s="1037">
        <f t="shared" si="685"/>
        <v>0.04</v>
      </c>
      <c r="DQ270" s="1037">
        <f t="shared" si="685"/>
        <v>0.04</v>
      </c>
      <c r="DR270" s="1037">
        <f t="shared" si="685"/>
        <v>0.04</v>
      </c>
      <c r="DS270" s="2163">
        <f>DR270</f>
        <v>0.04</v>
      </c>
      <c r="DT270" s="1037">
        <f t="shared" si="686"/>
        <v>0.04</v>
      </c>
      <c r="DU270" s="1037">
        <f t="shared" si="686"/>
        <v>0.04</v>
      </c>
      <c r="DV270" s="1037">
        <f t="shared" si="686"/>
        <v>0.04</v>
      </c>
      <c r="DW270" s="1037">
        <f t="shared" si="686"/>
        <v>0.04</v>
      </c>
      <c r="DX270" s="2163">
        <f>DW270</f>
        <v>0.04</v>
      </c>
      <c r="DY270" s="1037">
        <f t="shared" si="687"/>
        <v>0.04</v>
      </c>
      <c r="DZ270" s="1037">
        <f t="shared" si="687"/>
        <v>0.04</v>
      </c>
      <c r="EA270" s="1037">
        <f t="shared" si="687"/>
        <v>0.04</v>
      </c>
      <c r="EB270" s="1037">
        <f t="shared" si="687"/>
        <v>0.04</v>
      </c>
      <c r="EC270" s="2163">
        <f>EB270</f>
        <v>0.04</v>
      </c>
      <c r="EF270"/>
      <c r="EG270"/>
      <c r="EH270"/>
      <c r="EI270"/>
      <c r="EJ270"/>
      <c r="EK270"/>
      <c r="EL270"/>
      <c r="EM270"/>
      <c r="EN270"/>
      <c r="EO270"/>
      <c r="EP270"/>
      <c r="EQ270"/>
      <c r="ER270"/>
      <c r="ES270"/>
      <c r="ET270"/>
      <c r="EU270"/>
      <c r="EV270"/>
      <c r="EW270"/>
      <c r="EX270"/>
      <c r="EY270"/>
      <c r="EZ270"/>
      <c r="FA270"/>
    </row>
    <row r="271" spans="1:157" s="1039" customFormat="1" x14ac:dyDescent="0.2">
      <c r="A271" s="2172" t="s">
        <v>656</v>
      </c>
      <c r="B271" s="2173"/>
      <c r="C271" s="2173"/>
      <c r="D271" s="2173"/>
      <c r="E271" s="2173"/>
      <c r="F271" s="2173"/>
      <c r="G271" s="2173"/>
      <c r="H271" s="2173"/>
      <c r="I271" s="2173"/>
      <c r="J271" s="2173"/>
      <c r="K271" s="2173"/>
      <c r="L271" s="2173"/>
      <c r="M271" s="2173"/>
      <c r="N271" s="2173"/>
      <c r="O271" s="2173"/>
      <c r="P271" s="2173"/>
      <c r="Q271" s="2173"/>
      <c r="R271" s="2173"/>
      <c r="S271" s="2173"/>
      <c r="T271" s="2173"/>
      <c r="U271" s="2173"/>
      <c r="V271" s="2173"/>
      <c r="W271" s="2173"/>
      <c r="X271" s="2173"/>
      <c r="Y271" s="2173"/>
      <c r="Z271" s="2173"/>
      <c r="AA271" s="2173"/>
      <c r="AB271" s="2173"/>
      <c r="AC271" s="2173"/>
      <c r="AD271" s="2173"/>
      <c r="AE271" s="2173"/>
      <c r="AF271" s="2173"/>
      <c r="AG271" s="2173"/>
      <c r="AH271" s="2173"/>
      <c r="AI271" s="2173"/>
      <c r="AJ271" s="2173"/>
      <c r="AK271" s="2173"/>
      <c r="AL271" s="2173"/>
      <c r="AM271" s="2173"/>
      <c r="AN271" s="2173"/>
      <c r="AO271" s="2173"/>
      <c r="AP271" s="2173"/>
      <c r="AQ271" s="2173"/>
      <c r="AR271" s="2173"/>
      <c r="AS271" s="2173"/>
      <c r="AT271" s="2173"/>
      <c r="AU271" s="2173"/>
      <c r="AV271" s="2173"/>
      <c r="AW271" s="2173"/>
      <c r="AX271" s="2173"/>
      <c r="AY271" s="2173"/>
      <c r="AZ271" s="2173"/>
      <c r="BA271" s="2173"/>
      <c r="BB271" s="2173"/>
      <c r="BC271" s="2173"/>
      <c r="BD271" s="2173"/>
      <c r="BE271" s="2173"/>
      <c r="BF271" s="2173"/>
      <c r="BG271" s="2173"/>
      <c r="BH271" s="2173"/>
      <c r="BI271" s="2173"/>
      <c r="BJ271" s="2173"/>
      <c r="BK271" s="2173"/>
      <c r="BL271" s="2173"/>
      <c r="BM271" s="2173"/>
      <c r="BN271" s="2173"/>
      <c r="BO271" s="2173"/>
      <c r="BP271" s="2173"/>
      <c r="BQ271" s="2173"/>
      <c r="BR271" s="2173"/>
      <c r="BS271" s="2173"/>
      <c r="BT271" s="2173"/>
      <c r="BU271" s="2173"/>
      <c r="BV271" s="2173"/>
      <c r="BW271" s="2173"/>
      <c r="BX271" s="2173"/>
      <c r="BY271" s="2173"/>
      <c r="BZ271" s="2174"/>
      <c r="CA271" s="2173"/>
      <c r="CB271" s="2173"/>
      <c r="CC271" s="2173"/>
      <c r="CD271" s="2173"/>
      <c r="CE271" s="2174"/>
      <c r="CF271" s="2173"/>
      <c r="CG271" s="2173"/>
      <c r="CH271" s="2173"/>
      <c r="CI271" s="2173"/>
      <c r="CJ271" s="2174"/>
      <c r="CK271" s="2173"/>
      <c r="CL271" s="2173"/>
      <c r="CM271" s="2173"/>
      <c r="CN271" s="2173"/>
      <c r="CO271" s="2174"/>
      <c r="CP271" s="2173"/>
      <c r="CQ271" s="2173"/>
      <c r="CR271" s="2173"/>
      <c r="CS271" s="2173"/>
      <c r="CT271" s="2174"/>
      <c r="CU271" s="2173"/>
      <c r="CV271" s="2173"/>
      <c r="CW271" s="2173">
        <f>SUMPRODUCT(CW228:CW245,CW253:CW270)*12/52</f>
        <v>127.27523076923079</v>
      </c>
      <c r="CX271" s="2173">
        <f>SUMPRODUCT(CX228:CX245,CX253:CX270)*92/365</f>
        <v>105.93484931506852</v>
      </c>
      <c r="CY271" s="2174">
        <f>SUMPRODUCT(CY228:CY245,CY253:CY270)</f>
        <v>390.25100000000003</v>
      </c>
      <c r="CZ271" s="2173">
        <f>SUMPRODUCT(CZ228:CZ245,CZ253:CZ270)*90/365</f>
        <v>104.294978630137</v>
      </c>
      <c r="DA271" s="2173">
        <f>SUMPRODUCT(DA228:DA242,DA253:DA267)*91/365</f>
        <v>109.68177643835617</v>
      </c>
      <c r="DB271" s="2173">
        <f>SUMPRODUCT(DB228:DB245,DB253:DB270)*91/365</f>
        <v>109.68177643835617</v>
      </c>
      <c r="DC271" s="2173">
        <f>SUMPRODUCT(DC228:DC245,DC253:DC270)*92/365</f>
        <v>110.8870706849315</v>
      </c>
      <c r="DD271" s="2174">
        <f>SUM(CZ271:DC271)</f>
        <v>434.54560219178086</v>
      </c>
      <c r="DE271" s="2173">
        <f>SUMPRODUCT(DE228:DE245,DE253:DE270)*90/365</f>
        <v>108.47648219178083</v>
      </c>
      <c r="DF271" s="2173">
        <f>SUMPRODUCT(DF228:DF245,DF253:DF270)*91/365</f>
        <v>107.7695298630137</v>
      </c>
      <c r="DG271" s="2173">
        <f>SUMPRODUCT(DG228:DG245,DG253:DG270)*91/365</f>
        <v>107.7695298630137</v>
      </c>
      <c r="DH271" s="2173">
        <f>SUMPRODUCT(DH228:DH245,DH253:DH270)*92/365</f>
        <v>108.95381041095891</v>
      </c>
      <c r="DI271" s="2174">
        <f>SUM(DE271:DH271)</f>
        <v>432.96935232876717</v>
      </c>
      <c r="DJ271" s="2173">
        <f>SUMPRODUCT(DJ228:DJ245,DJ253:DJ270)*90/365</f>
        <v>106.58524931506849</v>
      </c>
      <c r="DK271" s="2173">
        <f>SUMPRODUCT(DK228:DK245,DK253:DK270)*91/365</f>
        <v>107.7695298630137</v>
      </c>
      <c r="DL271" s="2173">
        <f>SUMPRODUCT(DL228:DL245,DL253:DL270)*91/365</f>
        <v>107.7695298630137</v>
      </c>
      <c r="DM271" s="2173">
        <f>SUMPRODUCT(DM228:DM245,DM253:DM270)*92/365</f>
        <v>107.95189260273972</v>
      </c>
      <c r="DN271" s="2174">
        <f>SUM(DJ271:DM271)</f>
        <v>430.07620164383559</v>
      </c>
      <c r="DO271" s="2173">
        <f>SUMPRODUCT(DO228:DO245,DO253:DO270)*90/365</f>
        <v>105.60511232876713</v>
      </c>
      <c r="DP271" s="2173">
        <f>SUMPRODUCT(DP228:DP245,DP253:DP270)*91/365</f>
        <v>106.77850246575342</v>
      </c>
      <c r="DQ271" s="2173">
        <f>SUMPRODUCT(DQ228:DQ245,DQ253:DQ270)*91/365</f>
        <v>107.11358191780823</v>
      </c>
      <c r="DR271" s="2173">
        <f>SUMPRODUCT(DR228:DR245,DR253:DR270)*92/365</f>
        <v>108.29065424657536</v>
      </c>
      <c r="DS271" s="2174">
        <f>SUM(DO271:DR271)</f>
        <v>427.78785095890413</v>
      </c>
      <c r="DT271" s="2173">
        <f>SUMPRODUCT(DT228:DT245,DT253:DT270)*90/365</f>
        <v>105.93650958904109</v>
      </c>
      <c r="DU271" s="2173">
        <f>SUMPRODUCT(DU228:DU245,DU253:DU270)*91/365</f>
        <v>107.11358191780823</v>
      </c>
      <c r="DV271" s="2173">
        <f>SUMPRODUCT(DV228:DV245,DV253:DV270)*91/365</f>
        <v>107.11358191780823</v>
      </c>
      <c r="DW271" s="2173">
        <f>SUMPRODUCT(DW228:DW245,DW253:DW270)*92/365</f>
        <v>108.29065424657536</v>
      </c>
      <c r="DX271" s="2174">
        <f>SUM(DT271:DW271)</f>
        <v>428.45432767123287</v>
      </c>
      <c r="DY271" s="2173">
        <f>SUMPRODUCT(DY228:DY245,DY253:DY270)*90/365</f>
        <v>105.93650958904109</v>
      </c>
      <c r="DZ271" s="2173">
        <f>SUMPRODUCT(DZ228:DZ245,DZ253:DZ270)*91/365</f>
        <v>107.11358191780823</v>
      </c>
      <c r="EA271" s="2173">
        <f>SUMPRODUCT(EA228:EA245,EA253:EA270)*91/365</f>
        <v>107.11358191780823</v>
      </c>
      <c r="EB271" s="2173">
        <f>SUMPRODUCT(EB228:EB245,EB253:EB270)*92/365</f>
        <v>108.29065424657536</v>
      </c>
      <c r="EC271" s="2174">
        <f>SUM(DY271:EB271)</f>
        <v>428.45432767123287</v>
      </c>
      <c r="EF271"/>
      <c r="EG271"/>
      <c r="EH271"/>
      <c r="EI271"/>
      <c r="EJ271"/>
      <c r="EK271"/>
      <c r="EL271"/>
      <c r="EM271"/>
      <c r="EN271"/>
      <c r="EO271"/>
      <c r="EP271"/>
      <c r="EQ271"/>
      <c r="ER271"/>
      <c r="ES271"/>
      <c r="ET271"/>
      <c r="EU271"/>
      <c r="EV271"/>
      <c r="EW271"/>
      <c r="EX271"/>
      <c r="EY271"/>
      <c r="EZ271"/>
      <c r="FA271"/>
    </row>
    <row r="272" spans="1:157" s="854" customFormat="1" x14ac:dyDescent="0.2">
      <c r="A272" s="2175" t="s">
        <v>136</v>
      </c>
      <c r="B272" s="2176"/>
      <c r="C272" s="2176"/>
      <c r="D272" s="2176"/>
      <c r="E272" s="2176"/>
      <c r="F272" s="2176"/>
      <c r="G272" s="2176"/>
      <c r="H272" s="2176"/>
      <c r="I272" s="2176"/>
      <c r="J272" s="2176"/>
      <c r="K272" s="2176"/>
      <c r="L272" s="2176"/>
      <c r="M272" s="2176"/>
      <c r="N272" s="2176"/>
      <c r="O272" s="2176"/>
      <c r="P272" s="2176"/>
      <c r="Q272" s="2176"/>
      <c r="R272" s="2176"/>
      <c r="S272" s="2176"/>
      <c r="T272" s="2176"/>
      <c r="U272" s="2176"/>
      <c r="V272" s="2176"/>
      <c r="W272" s="2176"/>
      <c r="X272" s="2176"/>
      <c r="Y272" s="2176"/>
      <c r="Z272" s="2176"/>
      <c r="AA272" s="2176"/>
      <c r="AB272" s="2176"/>
      <c r="AC272" s="2176"/>
      <c r="AD272" s="2176"/>
      <c r="AE272" s="2176"/>
      <c r="AF272" s="2176"/>
      <c r="AG272" s="2176"/>
      <c r="AH272" s="2176"/>
      <c r="AI272" s="2176"/>
      <c r="AJ272" s="2176"/>
      <c r="AK272" s="2176"/>
      <c r="AL272" s="2176"/>
      <c r="AM272" s="2177"/>
      <c r="AN272" s="2177"/>
      <c r="AO272" s="2177"/>
      <c r="AP272" s="2177"/>
      <c r="AQ272" s="2177"/>
      <c r="AR272" s="2177"/>
      <c r="AS272" s="2177"/>
      <c r="AT272" s="2177"/>
      <c r="AU272" s="2177"/>
      <c r="AV272" s="2177"/>
      <c r="AW272" s="2177"/>
      <c r="AX272" s="2177"/>
      <c r="AY272" s="2177"/>
      <c r="AZ272" s="2177"/>
      <c r="BA272" s="2176"/>
      <c r="BB272" s="2177"/>
      <c r="BC272" s="2177"/>
      <c r="BD272" s="2177"/>
      <c r="BE272" s="2177"/>
      <c r="BF272" s="2176"/>
      <c r="BG272" s="2177"/>
      <c r="BH272" s="2177"/>
      <c r="BI272" s="2177"/>
      <c r="BJ272" s="2177"/>
      <c r="BK272" s="2176"/>
      <c r="BL272" s="2177"/>
      <c r="BM272" s="2177"/>
      <c r="BN272" s="2177"/>
      <c r="BO272" s="2177"/>
      <c r="BP272" s="2176"/>
      <c r="BQ272" s="2177"/>
      <c r="BR272" s="2177"/>
      <c r="BS272" s="2177"/>
      <c r="BT272" s="2177"/>
      <c r="BU272" s="2176"/>
      <c r="BV272" s="2177"/>
      <c r="BW272" s="2177"/>
      <c r="BX272" s="2177"/>
      <c r="BY272" s="2177"/>
      <c r="BZ272" s="2178"/>
      <c r="CA272" s="2177"/>
      <c r="CB272" s="2177"/>
      <c r="CC272" s="2177"/>
      <c r="CD272" s="2177"/>
      <c r="CE272" s="2178"/>
      <c r="CF272" s="2177"/>
      <c r="CG272" s="2177"/>
      <c r="CH272" s="2177"/>
      <c r="CI272" s="2177"/>
      <c r="CJ272" s="2178"/>
      <c r="CK272" s="2177"/>
      <c r="CL272" s="2177"/>
      <c r="CM272" s="2177"/>
      <c r="CN272" s="2177"/>
      <c r="CO272" s="2178"/>
      <c r="CP272" s="2177"/>
      <c r="CQ272" s="2177"/>
      <c r="CR272" s="2177"/>
      <c r="CS272" s="2177"/>
      <c r="CT272" s="2178"/>
      <c r="CU272" s="2179"/>
      <c r="CV272" s="2179"/>
      <c r="CW272" s="2179">
        <f>CW271/(SUM(CW228:CW243))*52/12</f>
        <v>6.060725274725276E-2</v>
      </c>
      <c r="CX272" s="2179">
        <f>CX271/(SUM(CX228:CX243))*52/16</f>
        <v>3.7875496179754969E-2</v>
      </c>
      <c r="CY272" s="2180">
        <f>CY271/(SUM(CY228:CY243))</f>
        <v>4.2931903190319039E-2</v>
      </c>
      <c r="CZ272" s="2179">
        <f>CZ271/(SUM(CZ228:CZ243))*365/90</f>
        <v>4.6531801980198018E-2</v>
      </c>
      <c r="DA272" s="2179">
        <f>DA271/(SUM(DA228:DA243))*365/91</f>
        <v>4.4813323826016091E-2</v>
      </c>
      <c r="DB272" s="2179">
        <f>DB271/(SUM(DB228:DB243))*365/91</f>
        <v>4.4813323826016091E-2</v>
      </c>
      <c r="DC272" s="2179">
        <f>DC271/(SUM(DC228:DC243))*365/92</f>
        <v>4.4813323826016091E-2</v>
      </c>
      <c r="DD272" s="2180">
        <f>DD271/(SUM(DD228:DD243))</f>
        <v>4.4264602443901485E-2</v>
      </c>
      <c r="DE272" s="2179">
        <f>DE271/(SUM(DE228:DE243))*365/90</f>
        <v>4.4813323826016098E-2</v>
      </c>
      <c r="DF272" s="2179">
        <f>DF271/(SUM(DF228:DF243))*365/91</f>
        <v>4.5539654445849127E-2</v>
      </c>
      <c r="DG272" s="2179">
        <f>DG271/(SUM(DG228:DG243))*365/91</f>
        <v>4.5539654445849127E-2</v>
      </c>
      <c r="DH272" s="2179">
        <f>DH271/(SUM(DH228:DH243))*365/92</f>
        <v>4.5539654445849141E-2</v>
      </c>
      <c r="DI272" s="2180">
        <f>DI271/(SUM(DI228:DI243))</f>
        <v>4.5614133199406569E-2</v>
      </c>
      <c r="DJ272" s="2179">
        <f>DJ271/(SUM(DJ228:DJ243))*365/90</f>
        <v>4.5539654445849141E-2</v>
      </c>
      <c r="DK272" s="2179">
        <f>DK271/(SUM(DK228:DK243))*365/91</f>
        <v>4.5539654445849127E-2</v>
      </c>
      <c r="DL272" s="2179">
        <f>DL271/(SUM(DL228:DL243))*365/91</f>
        <v>4.5539654445849127E-2</v>
      </c>
      <c r="DM272" s="2179">
        <f>DM271/(SUM(DM228:DM243))*365/92</f>
        <v>4.6341419606145851E-2</v>
      </c>
      <c r="DN272" s="2180">
        <f>DN271/(SUM(DN228:DN243))</f>
        <v>4.6534970963410041E-2</v>
      </c>
      <c r="DO272" s="2179">
        <f>DO271/(SUM(DO228:DO243))*365/90</f>
        <v>4.6341419606145864E-2</v>
      </c>
      <c r="DP272" s="2179">
        <f>DP271/(SUM(DP228:DP243))*365/91</f>
        <v>4.6341419606145851E-2</v>
      </c>
      <c r="DQ272" s="2179">
        <f>DQ271/(SUM(DQ228:DQ243))*365/91</f>
        <v>5.08921345652689E-2</v>
      </c>
      <c r="DR272" s="2179">
        <f>DR271/(SUM(DR228:DR243))*365/92</f>
        <v>5.0892134565268893E-2</v>
      </c>
      <c r="DS272" s="2180">
        <f>DS271/(SUM(DS228:DS243))</f>
        <v>5.0673756332492791E-2</v>
      </c>
      <c r="DT272" s="2179">
        <f>DT271/(SUM(DT228:DT243))*365/90</f>
        <v>5.0892134565268893E-2</v>
      </c>
      <c r="DU272" s="2179">
        <f>DU271/(SUM(DU228:DU243))*365/91</f>
        <v>5.08921345652689E-2</v>
      </c>
      <c r="DV272" s="2179">
        <f>DV271/(SUM(DV228:DV243))*365/91</f>
        <v>5.08921345652689E-2</v>
      </c>
      <c r="DW272" s="2179">
        <f>DW271/(SUM(DW228:DW243))*365/92</f>
        <v>5.0892134565268893E-2</v>
      </c>
      <c r="DX272" s="2180">
        <f>DX271/(SUM(DX228:DX243))</f>
        <v>5.0752704059610625E-2</v>
      </c>
      <c r="DY272" s="2179">
        <f>DY271/(SUM(DY228:DY243))*365/90</f>
        <v>5.0892134565268893E-2</v>
      </c>
      <c r="DZ272" s="2179">
        <f>DZ271/(SUM(DZ228:DZ243))*365/91</f>
        <v>5.08921345652689E-2</v>
      </c>
      <c r="EA272" s="2179">
        <f>EA271/(SUM(EA228:EA243))*365/91</f>
        <v>5.08921345652689E-2</v>
      </c>
      <c r="EB272" s="2179">
        <f>EB271/(SUM(EB228:EB243))*365/92</f>
        <v>5.0892134565268893E-2</v>
      </c>
      <c r="EC272" s="2180">
        <f>EC271/(SUM(EC228:EC243))</f>
        <v>5.0752704059610625E-2</v>
      </c>
      <c r="EF272"/>
      <c r="EG272"/>
      <c r="EH272"/>
      <c r="EI272"/>
      <c r="EJ272"/>
      <c r="EK272"/>
      <c r="EL272"/>
      <c r="EM272"/>
      <c r="EN272"/>
      <c r="EO272"/>
      <c r="EP272"/>
      <c r="EQ272"/>
      <c r="ER272"/>
      <c r="ES272"/>
      <c r="ET272"/>
      <c r="EU272"/>
      <c r="EV272"/>
      <c r="EW272"/>
      <c r="EX272"/>
      <c r="EY272"/>
      <c r="EZ272"/>
      <c r="FA272"/>
    </row>
    <row r="273" spans="1:157" s="2166" customFormat="1" x14ac:dyDescent="0.2">
      <c r="CP273" s="2167"/>
      <c r="EF273"/>
      <c r="EG273"/>
      <c r="EH273"/>
      <c r="EI273"/>
      <c r="EJ273"/>
      <c r="EK273"/>
      <c r="EL273" s="1005"/>
      <c r="EM273" s="1005"/>
      <c r="EN273" s="1005"/>
      <c r="EO273" s="1005"/>
      <c r="EP273" s="1005"/>
      <c r="EQ273" s="1005"/>
      <c r="ER273" s="1005"/>
      <c r="ES273" s="1005"/>
      <c r="ET273" s="1005"/>
      <c r="EU273" s="1005"/>
      <c r="EV273" s="1005"/>
      <c r="EW273" s="1005"/>
      <c r="EX273" s="1005"/>
      <c r="EY273" s="1005"/>
      <c r="EZ273" s="1005"/>
      <c r="FA273" s="1005"/>
    </row>
    <row r="274" spans="1:157" s="1875" customFormat="1" x14ac:dyDescent="0.2">
      <c r="CP274" s="2168"/>
      <c r="EF274"/>
      <c r="EG274"/>
      <c r="EH274"/>
      <c r="EI274"/>
      <c r="EJ274"/>
      <c r="EK274"/>
      <c r="EL274" s="1005"/>
      <c r="EM274" s="1005"/>
      <c r="EN274" s="1005"/>
      <c r="EO274" s="1005"/>
      <c r="EP274" s="1005"/>
      <c r="EQ274" s="1005"/>
      <c r="ER274" s="1005"/>
      <c r="ES274" s="1005"/>
      <c r="ET274" s="1005"/>
      <c r="EU274" s="1005"/>
      <c r="EV274" s="1005"/>
      <c r="EW274" s="1005"/>
      <c r="EX274" s="1005"/>
      <c r="EY274" s="1005"/>
      <c r="EZ274" s="1005"/>
      <c r="FA274" s="1005"/>
    </row>
    <row r="275" spans="1:157" s="856" customFormat="1" x14ac:dyDescent="0.2">
      <c r="CD275" s="2169"/>
      <c r="CE275" s="2169"/>
      <c r="CP275" s="2170"/>
      <c r="DA275" s="857"/>
      <c r="EF275"/>
      <c r="EG275"/>
      <c r="EH275"/>
      <c r="EI275"/>
      <c r="EJ275"/>
      <c r="EK275"/>
    </row>
    <row r="276" spans="1:157" s="856" customFormat="1" x14ac:dyDescent="0.2">
      <c r="A276" s="2171"/>
      <c r="B276" s="984"/>
      <c r="C276" s="984"/>
      <c r="D276" s="984"/>
      <c r="E276" s="984"/>
      <c r="F276" s="984"/>
      <c r="G276" s="984"/>
      <c r="H276" s="984"/>
      <c r="I276" s="984"/>
      <c r="J276" s="984"/>
      <c r="K276" s="984"/>
      <c r="L276" s="984"/>
      <c r="M276" s="984"/>
      <c r="N276" s="984"/>
      <c r="O276" s="984"/>
      <c r="P276" s="984"/>
      <c r="Q276" s="984"/>
      <c r="R276" s="984"/>
      <c r="S276" s="984"/>
      <c r="T276" s="984"/>
      <c r="U276" s="984"/>
      <c r="V276" s="985"/>
      <c r="W276" s="984"/>
      <c r="X276" s="984"/>
      <c r="Y276" s="984"/>
      <c r="Z276" s="984"/>
      <c r="AA276" s="984"/>
      <c r="AB276" s="984"/>
      <c r="AC276" s="984"/>
      <c r="AD276" s="984"/>
      <c r="AE276" s="984"/>
      <c r="AF276" s="984"/>
      <c r="AG276" s="984"/>
      <c r="AH276" s="984"/>
      <c r="AI276" s="984"/>
      <c r="AJ276" s="984"/>
      <c r="AK276" s="984"/>
      <c r="AL276" s="984"/>
      <c r="AM276" s="992"/>
      <c r="AN276" s="992"/>
      <c r="AO276" s="992"/>
      <c r="AP276" s="992"/>
      <c r="AQ276" s="992"/>
      <c r="AR276" s="992"/>
      <c r="AS276" s="992"/>
      <c r="AT276" s="992"/>
      <c r="AU276" s="992"/>
      <c r="AV276" s="992"/>
      <c r="AW276" s="992"/>
      <c r="AX276" s="992"/>
      <c r="AY276" s="992"/>
      <c r="AZ276" s="992"/>
      <c r="BA276" s="984"/>
      <c r="BB276" s="992"/>
      <c r="BC276" s="992"/>
      <c r="BD276" s="992"/>
      <c r="BE276" s="992"/>
      <c r="BF276" s="984"/>
      <c r="BG276" s="992"/>
      <c r="BH276" s="992"/>
      <c r="BI276" s="992"/>
      <c r="BJ276" s="992"/>
      <c r="BK276" s="984"/>
      <c r="BL276" s="992"/>
      <c r="BM276" s="992"/>
      <c r="BN276" s="992"/>
      <c r="BO276" s="992"/>
      <c r="BP276" s="984"/>
      <c r="BQ276" s="992"/>
      <c r="BR276" s="992"/>
      <c r="BS276" s="992"/>
      <c r="BT276" s="992"/>
      <c r="BU276" s="984"/>
      <c r="BV276" s="992"/>
      <c r="BW276" s="992"/>
      <c r="BX276" s="992"/>
      <c r="BY276" s="992"/>
      <c r="BZ276" s="984"/>
      <c r="CA276" s="992"/>
      <c r="CB276" s="992"/>
      <c r="CC276" s="992"/>
      <c r="CD276" s="992"/>
      <c r="CE276" s="984"/>
      <c r="CF276" s="992"/>
      <c r="CG276" s="992"/>
      <c r="CH276" s="992"/>
      <c r="CI276" s="992"/>
      <c r="CJ276" s="984"/>
      <c r="CK276" s="992"/>
      <c r="CL276" s="992"/>
      <c r="CM276" s="992"/>
      <c r="CN276" s="992"/>
      <c r="CO276" s="984"/>
      <c r="CP276" s="993"/>
      <c r="CQ276" s="992"/>
      <c r="CR276" s="992"/>
      <c r="CS276" s="992"/>
      <c r="CT276" s="984"/>
      <c r="CU276" s="2043"/>
      <c r="CV276" s="2043"/>
      <c r="CW276" s="2043"/>
      <c r="CX276" s="2043"/>
      <c r="CY276" s="2043"/>
      <c r="CZ276" s="2043"/>
      <c r="DA276" s="1037"/>
      <c r="DB276" s="1037"/>
      <c r="DC276" s="2043"/>
      <c r="DD276" s="2043"/>
      <c r="DE276" s="1037"/>
      <c r="DF276" s="1037"/>
      <c r="DG276" s="1037"/>
      <c r="DH276" s="1037"/>
      <c r="DI276" s="2043"/>
      <c r="DJ276" s="1037"/>
      <c r="DK276" s="1037"/>
      <c r="DL276" s="1037"/>
      <c r="DM276" s="1037"/>
      <c r="DN276" s="2043"/>
      <c r="DO276" s="1037"/>
      <c r="DP276" s="1037"/>
      <c r="DQ276" s="1037"/>
      <c r="DR276" s="1037"/>
      <c r="DS276" s="2043"/>
      <c r="DT276" s="1037"/>
      <c r="DU276" s="1037"/>
      <c r="DV276" s="1037"/>
      <c r="DW276" s="1037"/>
      <c r="DX276" s="2043"/>
      <c r="DY276" s="1037"/>
      <c r="DZ276" s="1037"/>
      <c r="EA276" s="1037"/>
      <c r="EB276" s="1037"/>
      <c r="EC276" s="2043"/>
      <c r="EF276"/>
      <c r="EG276"/>
      <c r="EH276"/>
      <c r="EI276"/>
      <c r="EJ276"/>
      <c r="EK276"/>
    </row>
    <row r="277" spans="1:157" s="848" customFormat="1" x14ac:dyDescent="0.2">
      <c r="A277" s="271"/>
      <c r="CD277" s="824"/>
      <c r="CE277" s="824"/>
      <c r="CP277" s="2165"/>
      <c r="EF277"/>
      <c r="EG277"/>
      <c r="EH277"/>
      <c r="EI277"/>
      <c r="EJ277"/>
      <c r="EK277"/>
    </row>
    <row r="278" spans="1:157" s="848" customFormat="1" x14ac:dyDescent="0.2">
      <c r="CD278" s="824"/>
      <c r="CE278" s="824"/>
      <c r="CP278" s="2165"/>
      <c r="DA278" s="826"/>
      <c r="DB278" s="826"/>
      <c r="DC278" s="826"/>
      <c r="DE278" s="826"/>
      <c r="DF278" s="826"/>
      <c r="DG278" s="826"/>
      <c r="DH278" s="826"/>
      <c r="EF278"/>
      <c r="EG278"/>
      <c r="EH278"/>
      <c r="EI278"/>
      <c r="EJ278"/>
      <c r="EK278"/>
    </row>
    <row r="279" spans="1:157" s="848" customFormat="1" x14ac:dyDescent="0.2">
      <c r="CD279" s="824"/>
      <c r="CE279" s="824"/>
      <c r="CP279" s="2165"/>
      <c r="DA279" s="2164"/>
      <c r="DB279" s="2164"/>
      <c r="DC279" s="2164"/>
      <c r="DE279" s="2164"/>
      <c r="DF279" s="2164"/>
      <c r="DG279" s="2164"/>
      <c r="DH279" s="2164"/>
      <c r="EF279"/>
      <c r="EG279"/>
      <c r="EH279"/>
      <c r="EI279"/>
      <c r="EJ279"/>
      <c r="EK279"/>
    </row>
  </sheetData>
  <phoneticPr fontId="9" type="noConversion"/>
  <printOptions horizontalCentered="1" verticalCentered="1"/>
  <pageMargins left="0" right="0" top="0" bottom="0" header="0" footer="0"/>
  <pageSetup paperSize="5" scale="76"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EQ165"/>
  <sheetViews>
    <sheetView showGridLines="0" zoomScaleNormal="100" workbookViewId="0">
      <pane xSplit="1" ySplit="9" topLeftCell="CH10" activePane="bottomRight" state="frozen"/>
      <selection pane="topRight" activeCell="B1" sqref="B1"/>
      <selection pane="bottomLeft" activeCell="A10" sqref="A10"/>
      <selection pane="bottomRight" activeCell="DH34" sqref="DH34"/>
    </sheetView>
  </sheetViews>
  <sheetFormatPr defaultRowHeight="12.75" outlineLevelRow="1" outlineLevelCol="2" x14ac:dyDescent="0.2"/>
  <cols>
    <col min="1" max="1" width="34.7109375" customWidth="1"/>
    <col min="2" max="5" width="9.140625" hidden="1" customWidth="1" outlineLevel="1"/>
    <col min="6" max="6" width="9.140625" hidden="1" customWidth="1" outlineLevel="1" collapsed="1"/>
    <col min="7" max="10" width="0" hidden="1" customWidth="1" outlineLevel="2"/>
    <col min="11" max="11" width="9.140625" hidden="1" customWidth="1" outlineLevel="1" collapsed="1"/>
    <col min="12" max="15" width="0" hidden="1" customWidth="1" outlineLevel="2"/>
    <col min="16" max="16" width="9.140625" hidden="1" customWidth="1" outlineLevel="1" collapsed="1"/>
    <col min="17" max="20" width="0" hidden="1" customWidth="1" outlineLevel="2"/>
    <col min="21" max="21" width="9.140625" hidden="1" customWidth="1" outlineLevel="1" collapsed="1"/>
    <col min="22" max="25" width="0" hidden="1" customWidth="1" outlineLevel="2"/>
    <col min="26" max="26" width="9.140625" hidden="1" customWidth="1" outlineLevel="1" collapsed="1"/>
    <col min="27" max="30" width="0" hidden="1" customWidth="1" outlineLevel="2"/>
    <col min="31" max="31" width="9.140625" hidden="1" customWidth="1" outlineLevel="1" collapsed="1"/>
    <col min="32" max="35" width="0" hidden="1" customWidth="1" outlineLevel="2"/>
    <col min="36" max="36" width="9.140625" hidden="1" customWidth="1" outlineLevel="1" collapsed="1"/>
    <col min="37" max="40" width="0" hidden="1" customWidth="1" outlineLevel="2"/>
    <col min="41" max="41" width="9.140625" hidden="1" customWidth="1" outlineLevel="1" collapsed="1"/>
    <col min="42" max="45" width="0" hidden="1" customWidth="1" outlineLevel="2"/>
    <col min="46" max="46" width="9.140625" hidden="1" customWidth="1" outlineLevel="1" collapsed="1"/>
    <col min="47" max="50" width="0" hidden="1" customWidth="1" outlineLevel="2"/>
    <col min="51" max="51" width="9.140625" hidden="1" customWidth="1" outlineLevel="1" collapsed="1"/>
    <col min="52" max="55" width="9.140625" hidden="1" customWidth="1" outlineLevel="2"/>
    <col min="56" max="56" width="9.140625" hidden="1" customWidth="1" outlineLevel="1"/>
    <col min="57" max="60" width="9.140625" hidden="1" customWidth="1" outlineLevel="2"/>
    <col min="61" max="61" width="9.140625" hidden="1" customWidth="1" outlineLevel="1"/>
    <col min="62" max="65" width="9.140625" hidden="1" customWidth="1" outlineLevel="2"/>
    <col min="66" max="66" width="9.140625" hidden="1" customWidth="1" outlineLevel="1"/>
    <col min="67" max="70" width="9.140625" hidden="1" customWidth="1" outlineLevel="2"/>
    <col min="71" max="71" width="9.140625" hidden="1" customWidth="1" outlineLevel="1"/>
    <col min="72" max="75" width="9.140625" hidden="1" customWidth="1" outlineLevel="2"/>
    <col min="76" max="76" width="9.140625" hidden="1" customWidth="1" outlineLevel="1"/>
    <col min="77" max="80" width="9.140625" hidden="1" customWidth="1" outlineLevel="2"/>
    <col min="81" max="85" width="9.140625" hidden="1" customWidth="1" outlineLevel="1"/>
    <col min="86" max="86" width="9.140625" customWidth="1" collapsed="1"/>
    <col min="87" max="90" width="9.140625" hidden="1" customWidth="1" outlineLevel="1"/>
    <col min="91" max="91" width="9.140625" customWidth="1" collapsed="1"/>
    <col min="92" max="95" width="9.140625" hidden="1" customWidth="1" outlineLevel="1"/>
    <col min="96" max="96" width="9.140625" collapsed="1"/>
    <col min="97" max="100" width="9.140625" style="844" customWidth="1" outlineLevel="1"/>
    <col min="101" max="101" width="9.140625" style="844"/>
    <col min="102" max="102" width="9.140625" style="844" customWidth="1" outlineLevel="1"/>
    <col min="103" max="104" width="9.140625" customWidth="1" outlineLevel="1"/>
    <col min="105" max="105" width="9.140625" style="844" customWidth="1" outlineLevel="1"/>
    <col min="106" max="106" width="9.140625" style="844"/>
    <col min="107" max="110" width="9.140625" customWidth="1" outlineLevel="1"/>
    <col min="112" max="115" width="9.140625" customWidth="1" outlineLevel="1"/>
    <col min="117" max="120" width="9.140625" hidden="1" customWidth="1" outlineLevel="1"/>
    <col min="121" max="121" width="9.140625" collapsed="1"/>
    <col min="122" max="125" width="9.140625" style="2152" hidden="1" customWidth="1" outlineLevel="1"/>
    <col min="126" max="126" width="9.140625" style="2152" collapsed="1"/>
    <col min="127" max="130" width="9.140625" style="2152" hidden="1" customWidth="1" outlineLevel="1"/>
    <col min="131" max="131" width="9.140625" style="2152" collapsed="1"/>
  </cols>
  <sheetData>
    <row r="1" spans="1:137" ht="49.5" customHeight="1" x14ac:dyDescent="0.2">
      <c r="A1" s="18"/>
      <c r="B1" s="11"/>
      <c r="C1" s="11"/>
      <c r="D1" s="11"/>
      <c r="E1" s="11"/>
      <c r="F1" s="11"/>
      <c r="G1" s="11"/>
      <c r="H1" s="11"/>
      <c r="I1" s="11"/>
      <c r="J1" s="39"/>
      <c r="K1" s="11"/>
      <c r="L1" s="11"/>
      <c r="M1" s="11"/>
      <c r="N1" s="11"/>
      <c r="O1" s="11"/>
      <c r="P1" s="11"/>
      <c r="Q1" s="11"/>
      <c r="R1" s="11"/>
      <c r="S1" s="11"/>
      <c r="T1" s="40"/>
      <c r="U1" s="11"/>
      <c r="V1" s="11"/>
      <c r="W1" s="11"/>
      <c r="X1" s="11"/>
      <c r="Y1" s="11"/>
      <c r="Z1" s="11"/>
      <c r="AA1" s="11"/>
      <c r="AB1" s="11"/>
      <c r="AC1" s="11"/>
      <c r="AD1" s="11"/>
      <c r="AE1" s="11"/>
      <c r="AF1" s="11"/>
      <c r="AG1" s="11"/>
      <c r="AH1" s="11"/>
      <c r="AI1" s="11"/>
      <c r="AJ1" s="11"/>
      <c r="AK1" s="11"/>
      <c r="AL1" s="11"/>
      <c r="AM1" s="11"/>
      <c r="AN1" s="11"/>
      <c r="AO1" s="11"/>
      <c r="AP1" s="117"/>
      <c r="AQ1" s="117"/>
      <c r="AR1" s="117"/>
      <c r="AS1" s="11"/>
      <c r="AT1" s="11"/>
      <c r="AU1" s="11"/>
      <c r="AV1" s="11"/>
      <c r="AW1" s="11"/>
      <c r="AX1" s="11"/>
      <c r="AY1" s="11"/>
      <c r="AZ1" s="11"/>
      <c r="BA1" s="11"/>
      <c r="BB1" s="11"/>
      <c r="BC1" s="11"/>
      <c r="BD1" s="29"/>
      <c r="BE1" s="11"/>
      <c r="BF1" s="11"/>
      <c r="BG1" s="11"/>
      <c r="BH1" s="11"/>
      <c r="BI1" s="29"/>
      <c r="BJ1" s="11"/>
      <c r="BK1" s="11"/>
      <c r="BL1" s="11"/>
      <c r="BM1" s="11"/>
      <c r="BN1" s="29"/>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850"/>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938"/>
      <c r="EC1" s="938"/>
      <c r="ED1" s="938"/>
      <c r="EE1" s="938"/>
      <c r="EF1" s="938" t="s">
        <v>51</v>
      </c>
    </row>
    <row r="2" spans="1:137" x14ac:dyDescent="0.2">
      <c r="A2" s="11" t="s">
        <v>340</v>
      </c>
      <c r="B2" s="11"/>
      <c r="C2" s="11"/>
      <c r="D2" s="11"/>
      <c r="E2" s="11"/>
      <c r="F2" s="11"/>
      <c r="G2" s="11"/>
      <c r="H2" s="11"/>
      <c r="I2" s="11"/>
      <c r="J2" s="39"/>
      <c r="K2" s="11"/>
      <c r="L2" s="11"/>
      <c r="M2" s="11"/>
      <c r="N2" s="11"/>
      <c r="O2" s="11"/>
      <c r="P2" s="11"/>
      <c r="Q2" s="11"/>
      <c r="R2" s="11"/>
      <c r="S2" s="41"/>
      <c r="T2" s="41"/>
      <c r="U2" s="42"/>
      <c r="V2" s="11"/>
      <c r="W2" s="11"/>
      <c r="X2" s="11"/>
      <c r="Y2" s="11"/>
      <c r="Z2" s="29"/>
      <c r="AA2" s="29"/>
      <c r="AB2" s="29"/>
      <c r="AC2" s="29"/>
      <c r="AD2" s="29"/>
      <c r="AE2" s="29"/>
      <c r="AF2" s="29"/>
      <c r="AG2" s="29"/>
      <c r="AH2" s="29"/>
      <c r="AI2" s="29"/>
      <c r="AJ2" s="29"/>
      <c r="AK2" s="29"/>
      <c r="AL2" s="29"/>
      <c r="AM2" s="29"/>
      <c r="AN2" s="29"/>
      <c r="AO2" s="29"/>
      <c r="AP2" s="29"/>
      <c r="AQ2" s="29"/>
      <c r="AR2" s="29"/>
      <c r="AS2" s="29"/>
      <c r="AT2" s="29"/>
      <c r="AU2" s="11"/>
      <c r="AV2" s="11"/>
      <c r="AW2" s="11"/>
      <c r="AX2" s="11"/>
      <c r="AY2" s="29"/>
      <c r="AZ2" s="11"/>
      <c r="BA2" s="11"/>
      <c r="BB2" s="11"/>
      <c r="BC2" s="11"/>
      <c r="BD2" s="29"/>
      <c r="BE2" s="11"/>
      <c r="BF2" s="11"/>
      <c r="BG2" s="11"/>
      <c r="BH2" s="11"/>
      <c r="BI2" s="29"/>
      <c r="BJ2" s="11"/>
      <c r="BK2" s="11"/>
      <c r="BL2" s="11"/>
      <c r="BM2" s="11"/>
      <c r="BN2" s="288"/>
      <c r="BO2" s="11"/>
      <c r="BP2" s="11"/>
      <c r="BQ2" s="11"/>
      <c r="BR2" s="11"/>
      <c r="BS2" s="29"/>
      <c r="BT2" s="11"/>
      <c r="BU2" s="11"/>
      <c r="BV2" s="11"/>
      <c r="BW2" s="11"/>
      <c r="BX2" s="29"/>
      <c r="BY2" s="11"/>
      <c r="BZ2" s="11"/>
      <c r="CA2" s="11"/>
      <c r="CB2" s="11"/>
      <c r="CC2" s="29"/>
      <c r="CD2" s="11"/>
      <c r="CE2" s="11"/>
      <c r="CF2" s="11"/>
      <c r="CG2" s="11"/>
      <c r="CH2" s="934"/>
      <c r="CI2" s="776"/>
      <c r="CJ2" s="11"/>
      <c r="CK2" s="11"/>
      <c r="CL2" s="11"/>
      <c r="CM2" s="29"/>
      <c r="CN2" s="850"/>
      <c r="CO2" s="11"/>
      <c r="CP2" s="11"/>
      <c r="CQ2" s="11"/>
      <c r="CR2" s="29"/>
      <c r="CS2" s="11"/>
      <c r="CT2" s="11"/>
      <c r="CU2" s="11"/>
      <c r="CV2" s="11"/>
      <c r="CW2" s="29"/>
      <c r="CX2" s="11"/>
      <c r="CY2" s="11"/>
      <c r="CZ2" s="11"/>
      <c r="DA2" s="11"/>
      <c r="DB2" s="29"/>
      <c r="DC2" s="11"/>
      <c r="DD2" s="11"/>
      <c r="DE2" s="11"/>
      <c r="DF2" s="11"/>
      <c r="DG2" s="29"/>
      <c r="DH2" s="11"/>
      <c r="DI2" s="11"/>
      <c r="DJ2" s="11"/>
      <c r="DK2" s="11"/>
      <c r="DL2" s="29"/>
      <c r="DM2" s="11"/>
      <c r="DN2" s="11"/>
      <c r="DO2" s="11"/>
      <c r="DP2" s="11"/>
      <c r="DQ2" s="29"/>
      <c r="DR2" s="11"/>
      <c r="DS2" s="11"/>
      <c r="DT2" s="11"/>
      <c r="DU2" s="11"/>
      <c r="DV2" s="29"/>
      <c r="DW2" s="11"/>
      <c r="DX2" s="11"/>
      <c r="DY2" s="11"/>
      <c r="DZ2" s="11"/>
      <c r="EA2" s="29"/>
      <c r="EB2" s="1008"/>
      <c r="EC2" s="1008"/>
      <c r="ED2" s="1008"/>
      <c r="EE2" s="1008"/>
      <c r="EF2" s="1008"/>
    </row>
    <row r="3" spans="1:137" x14ac:dyDescent="0.2">
      <c r="A3" s="693"/>
      <c r="B3" s="11"/>
      <c r="C3" s="11"/>
      <c r="D3" s="11"/>
      <c r="E3" s="11"/>
      <c r="F3" s="11"/>
      <c r="G3" s="11"/>
      <c r="H3" s="11"/>
      <c r="I3" s="11"/>
      <c r="J3" s="39"/>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7"/>
      <c r="AQ3" s="117"/>
      <c r="AR3" s="117"/>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850"/>
      <c r="CO3" s="11"/>
      <c r="CP3" s="11"/>
      <c r="CQ3" s="11"/>
      <c r="CR3" s="11"/>
      <c r="CS3" s="11"/>
      <c r="CT3" s="11"/>
      <c r="CU3" s="11"/>
      <c r="CV3" s="11"/>
      <c r="CW3" s="4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008"/>
      <c r="EC3" s="1008"/>
      <c r="ED3" s="1008"/>
      <c r="EE3" s="1008"/>
      <c r="EF3" s="1008"/>
    </row>
    <row r="4" spans="1:137" hidden="1" outlineLevel="1" x14ac:dyDescent="0.2">
      <c r="CS4"/>
      <c r="CT4"/>
      <c r="CU4"/>
      <c r="CV4"/>
      <c r="CW4"/>
      <c r="CX4"/>
      <c r="DA4"/>
      <c r="DB4"/>
      <c r="DR4"/>
      <c r="DS4"/>
      <c r="DT4"/>
      <c r="DU4"/>
      <c r="DV4"/>
      <c r="DW4"/>
      <c r="DX4"/>
      <c r="DY4"/>
      <c r="DZ4"/>
      <c r="EA4"/>
    </row>
    <row r="5" spans="1:137" hidden="1" outlineLevel="1" x14ac:dyDescent="0.2">
      <c r="A5" s="421"/>
      <c r="B5" s="421"/>
      <c r="C5" s="421"/>
      <c r="D5" s="421"/>
      <c r="E5" s="421"/>
      <c r="F5" s="421"/>
      <c r="G5" s="421"/>
      <c r="H5" s="421"/>
      <c r="I5" s="421"/>
      <c r="J5" s="422"/>
      <c r="K5" s="421"/>
      <c r="L5" s="421"/>
      <c r="M5" s="421"/>
      <c r="N5" s="421"/>
      <c r="O5" s="421"/>
      <c r="P5" s="421"/>
      <c r="Q5" s="421"/>
      <c r="R5" s="421"/>
      <c r="S5" s="421"/>
      <c r="T5" s="421"/>
      <c r="U5" s="421"/>
      <c r="V5" s="421"/>
      <c r="W5" s="421"/>
      <c r="X5" s="421"/>
      <c r="Y5" s="421"/>
      <c r="Z5" s="421"/>
      <c r="AA5" s="421"/>
      <c r="AB5" s="421"/>
      <c r="AC5" s="421"/>
      <c r="AD5" s="421"/>
      <c r="AE5" s="421"/>
      <c r="AF5" s="421"/>
      <c r="AG5" s="421"/>
      <c r="AH5" s="421"/>
      <c r="AI5" s="421"/>
      <c r="AJ5" s="421"/>
      <c r="AK5" s="421"/>
      <c r="AL5" s="421"/>
      <c r="AM5" s="421"/>
      <c r="AN5" s="421"/>
      <c r="AO5" s="421"/>
      <c r="AP5" s="423" t="s">
        <v>223</v>
      </c>
      <c r="AQ5" s="423" t="s">
        <v>224</v>
      </c>
      <c r="AR5" s="423" t="s">
        <v>225</v>
      </c>
      <c r="AS5" s="423" t="s">
        <v>319</v>
      </c>
      <c r="AT5" s="423"/>
      <c r="AU5" s="423"/>
      <c r="AV5" s="423"/>
      <c r="AW5" s="423"/>
      <c r="AX5" s="423"/>
      <c r="AY5" s="423"/>
      <c r="AZ5" s="423"/>
      <c r="BA5" s="423"/>
      <c r="BB5" s="423"/>
      <c r="BC5" s="423"/>
      <c r="BD5" s="423"/>
      <c r="BE5" s="423"/>
      <c r="BF5" s="423"/>
      <c r="BG5" s="423"/>
      <c r="BH5" s="423"/>
      <c r="BI5" s="423"/>
      <c r="BJ5" s="423"/>
      <c r="BK5" s="423"/>
      <c r="BL5" s="423"/>
      <c r="BM5" s="423"/>
      <c r="BN5" s="423"/>
      <c r="BO5" s="423"/>
      <c r="BP5" s="423"/>
      <c r="BQ5" s="423"/>
      <c r="BR5" s="423"/>
      <c r="BS5" s="423"/>
      <c r="BT5" s="423"/>
      <c r="BU5" s="423"/>
      <c r="BV5" s="423"/>
      <c r="BW5" s="423"/>
      <c r="BX5" s="513"/>
      <c r="BY5" s="423"/>
      <c r="BZ5" s="423"/>
      <c r="CA5" s="423"/>
      <c r="CB5" s="423"/>
      <c r="CC5" s="513"/>
      <c r="CD5" s="423"/>
      <c r="CE5" s="423"/>
      <c r="CF5" s="423"/>
      <c r="CG5" s="423"/>
      <c r="CH5" s="513"/>
      <c r="CI5" s="423"/>
      <c r="CJ5" s="423"/>
      <c r="CK5" s="423"/>
      <c r="CL5" s="423"/>
      <c r="CM5" s="513"/>
      <c r="CN5" s="866"/>
      <c r="CO5" s="423"/>
      <c r="CP5" s="423"/>
      <c r="CQ5" s="423"/>
      <c r="CR5" s="1323" t="s">
        <v>232</v>
      </c>
      <c r="CS5" s="423"/>
      <c r="CT5" s="423"/>
      <c r="CU5" s="423"/>
      <c r="CV5" s="423"/>
      <c r="CW5" s="513" t="s">
        <v>343</v>
      </c>
      <c r="CX5" s="423" t="s">
        <v>596</v>
      </c>
      <c r="CY5" s="423" t="s">
        <v>597</v>
      </c>
      <c r="CZ5" s="423" t="s">
        <v>598</v>
      </c>
      <c r="DA5" s="423" t="s">
        <v>599</v>
      </c>
      <c r="DB5" s="513" t="s">
        <v>600</v>
      </c>
      <c r="DC5" s="423" t="s">
        <v>614</v>
      </c>
      <c r="DD5" s="423" t="s">
        <v>615</v>
      </c>
      <c r="DE5" s="423" t="s">
        <v>616</v>
      </c>
      <c r="DF5" s="423" t="s">
        <v>617</v>
      </c>
      <c r="DG5" s="513" t="s">
        <v>618</v>
      </c>
      <c r="DH5" s="423" t="s">
        <v>663</v>
      </c>
      <c r="DI5" s="423" t="s">
        <v>664</v>
      </c>
      <c r="DJ5" s="423" t="s">
        <v>665</v>
      </c>
      <c r="DK5" s="423" t="s">
        <v>666</v>
      </c>
      <c r="DL5" s="513" t="s">
        <v>667</v>
      </c>
      <c r="DM5" s="423"/>
      <c r="DN5" s="423"/>
      <c r="DO5" s="423"/>
      <c r="DP5" s="423"/>
      <c r="DQ5" s="513"/>
      <c r="DR5" s="423"/>
      <c r="DS5" s="423"/>
      <c r="DT5" s="423"/>
      <c r="DU5" s="423"/>
      <c r="DV5" s="513"/>
      <c r="DW5" s="423"/>
      <c r="DX5" s="423"/>
      <c r="DY5" s="423"/>
      <c r="DZ5" s="423"/>
      <c r="EA5" s="513"/>
      <c r="EB5" s="938"/>
      <c r="EC5" s="938"/>
      <c r="ED5" s="938"/>
      <c r="EE5" s="938"/>
      <c r="EF5" s="938"/>
    </row>
    <row r="6" spans="1:137" ht="15.75" collapsed="1" x14ac:dyDescent="0.25">
      <c r="A6" s="498" t="s">
        <v>411</v>
      </c>
      <c r="B6" s="2"/>
      <c r="C6" s="2"/>
      <c r="D6" s="2"/>
      <c r="E6" s="2"/>
      <c r="F6" s="2"/>
      <c r="G6" s="2"/>
      <c r="H6" s="2"/>
      <c r="I6" s="2"/>
      <c r="J6" s="2"/>
      <c r="K6" s="2"/>
      <c r="L6" s="2"/>
      <c r="M6" s="2"/>
      <c r="N6" s="2"/>
      <c r="O6" s="2"/>
      <c r="P6" s="2"/>
      <c r="Q6" s="2"/>
      <c r="R6" s="2"/>
      <c r="S6" s="2"/>
      <c r="T6" s="3"/>
      <c r="U6" s="3"/>
      <c r="V6" s="3"/>
      <c r="W6" s="3"/>
      <c r="X6" s="3"/>
      <c r="Y6" s="2"/>
      <c r="Z6" s="2"/>
      <c r="AA6" s="2"/>
      <c r="AB6" s="2"/>
      <c r="AC6" s="2"/>
      <c r="AD6" s="2"/>
      <c r="AE6" s="2"/>
      <c r="AF6" s="3"/>
      <c r="AG6" s="3"/>
      <c r="AH6" s="3"/>
      <c r="AI6" s="3"/>
      <c r="AJ6" s="3"/>
      <c r="AK6" s="3"/>
      <c r="AL6" s="3"/>
      <c r="AM6" s="3"/>
      <c r="AN6" s="3"/>
      <c r="AO6" s="3"/>
      <c r="AP6" s="10"/>
      <c r="AQ6" s="10"/>
      <c r="AR6" s="10"/>
      <c r="AS6" s="3"/>
      <c r="AT6" s="3"/>
      <c r="AU6" s="7"/>
      <c r="AV6" s="2"/>
      <c r="AW6" s="2"/>
      <c r="AX6" s="2"/>
      <c r="AY6" s="2"/>
      <c r="AZ6" s="7"/>
      <c r="BA6" s="2"/>
      <c r="BB6" s="2"/>
      <c r="BC6" s="2"/>
      <c r="BD6" s="2"/>
      <c r="BE6" s="7"/>
      <c r="BF6" s="2"/>
      <c r="BG6" s="2"/>
      <c r="BH6" s="2"/>
      <c r="BI6" s="2"/>
      <c r="BJ6" s="7"/>
      <c r="BK6" s="2"/>
      <c r="BL6" s="2"/>
      <c r="BM6" s="2"/>
      <c r="BN6" s="2"/>
      <c r="BO6" s="7"/>
      <c r="BP6" s="2"/>
      <c r="BQ6" s="2"/>
      <c r="BR6" s="2"/>
      <c r="BS6" s="2"/>
      <c r="BT6" s="7"/>
      <c r="BU6" s="2"/>
      <c r="BV6" s="2"/>
      <c r="BW6" s="2"/>
      <c r="BX6" s="2"/>
      <c r="BY6" s="7"/>
      <c r="BZ6" s="2"/>
      <c r="CA6" s="2"/>
      <c r="CB6" s="3"/>
      <c r="CC6" s="3"/>
      <c r="CD6" s="7"/>
      <c r="CE6" s="2"/>
      <c r="CF6" s="2"/>
      <c r="CG6" s="2"/>
      <c r="CH6" s="2"/>
      <c r="CI6" s="7"/>
      <c r="CJ6" s="2"/>
      <c r="CK6" s="3"/>
      <c r="CL6" s="3"/>
      <c r="CM6" s="3"/>
      <c r="CN6" s="867"/>
      <c r="CO6" s="3"/>
      <c r="CP6" s="3"/>
      <c r="CQ6" s="2"/>
      <c r="CR6" s="7"/>
      <c r="CS6" s="7"/>
      <c r="CT6" s="3"/>
      <c r="CU6" s="3"/>
      <c r="CV6" s="3"/>
      <c r="CW6" s="3"/>
      <c r="CX6" s="7"/>
      <c r="CY6" s="3"/>
      <c r="CZ6" s="2"/>
      <c r="DA6" s="3"/>
      <c r="DB6" s="3"/>
      <c r="DC6" s="7"/>
      <c r="DD6" s="2"/>
      <c r="DE6" s="2"/>
      <c r="DF6" s="2"/>
      <c r="DG6" s="2"/>
      <c r="DH6" s="7"/>
      <c r="DI6" s="2"/>
      <c r="DJ6" s="2"/>
      <c r="DK6" s="2"/>
      <c r="DL6" s="2"/>
      <c r="DM6" s="7"/>
      <c r="DN6" s="2"/>
      <c r="DO6" s="2"/>
      <c r="DP6" s="2"/>
      <c r="DQ6" s="4"/>
      <c r="DR6" s="7"/>
      <c r="DS6" s="2"/>
      <c r="DT6" s="2"/>
      <c r="DU6" s="2"/>
      <c r="DV6" s="4"/>
      <c r="DW6" s="7"/>
      <c r="DX6" s="2"/>
      <c r="DY6" s="2"/>
      <c r="DZ6" s="2"/>
      <c r="EA6" s="4"/>
      <c r="EB6" s="939"/>
      <c r="EC6" s="939"/>
      <c r="ED6" s="939"/>
      <c r="EE6" s="939"/>
      <c r="EF6" s="939"/>
    </row>
    <row r="7" spans="1:137" x14ac:dyDescent="0.2">
      <c r="A7" s="444"/>
      <c r="B7" s="15"/>
      <c r="C7" s="15"/>
      <c r="D7" s="15"/>
      <c r="E7" s="15"/>
      <c r="F7" s="15"/>
      <c r="G7" s="15"/>
      <c r="H7" s="15"/>
      <c r="I7" s="15"/>
      <c r="J7" s="15"/>
      <c r="K7" s="15"/>
      <c r="L7" s="15"/>
      <c r="M7" s="15"/>
      <c r="N7" s="15"/>
      <c r="O7" s="15"/>
      <c r="P7" s="15"/>
      <c r="Q7" s="15"/>
      <c r="R7" s="15"/>
      <c r="S7" s="15"/>
      <c r="T7" s="62"/>
      <c r="U7" s="15"/>
      <c r="V7" s="15"/>
      <c r="W7" s="15"/>
      <c r="X7" s="15"/>
      <c r="Y7" s="15"/>
      <c r="Z7" s="15"/>
      <c r="AA7" s="15"/>
      <c r="AB7" s="15"/>
      <c r="AC7" s="15"/>
      <c r="AD7" s="15"/>
      <c r="AE7" s="15"/>
      <c r="AF7" s="15"/>
      <c r="AG7" s="15"/>
      <c r="AH7" s="15"/>
      <c r="AI7" s="15"/>
      <c r="AJ7" s="15"/>
      <c r="AK7" s="15"/>
      <c r="AL7" s="15"/>
      <c r="AM7" s="15"/>
      <c r="AN7" s="15"/>
      <c r="AO7" s="15"/>
      <c r="AP7" s="119"/>
      <c r="AQ7" s="119"/>
      <c r="AR7" s="119"/>
      <c r="AS7" s="15"/>
      <c r="AT7" s="15"/>
      <c r="AU7" s="15"/>
      <c r="AV7" s="15"/>
      <c r="AW7" s="15"/>
      <c r="AX7" s="15"/>
      <c r="AY7" s="15"/>
      <c r="AZ7" s="15"/>
      <c r="BA7" s="15"/>
      <c r="BB7" s="15"/>
      <c r="BC7" s="15"/>
      <c r="BD7" s="15"/>
      <c r="BE7" s="15"/>
      <c r="BF7" s="15"/>
      <c r="BG7" s="15"/>
      <c r="BH7" s="15"/>
      <c r="BI7" s="15"/>
      <c r="BJ7" s="15"/>
      <c r="BK7" s="15"/>
      <c r="BL7" s="15"/>
      <c r="BM7" s="15"/>
      <c r="BN7" s="15"/>
      <c r="BO7" s="15"/>
      <c r="BP7" s="15"/>
      <c r="BQ7" s="15"/>
      <c r="BR7" s="15"/>
      <c r="BS7" s="15"/>
      <c r="BT7" s="15"/>
      <c r="BU7" s="15"/>
      <c r="BV7" s="15"/>
      <c r="BW7" s="15"/>
      <c r="BX7" s="15"/>
      <c r="BY7" s="15"/>
      <c r="BZ7" s="15"/>
      <c r="CA7" s="15"/>
      <c r="CB7" s="15"/>
      <c r="CC7" s="444"/>
      <c r="CD7" s="15"/>
      <c r="CE7" s="15"/>
      <c r="CF7" s="15"/>
      <c r="CG7" s="15"/>
      <c r="CH7" s="15"/>
      <c r="CI7" s="15"/>
      <c r="CJ7" s="15"/>
      <c r="CK7" s="15"/>
      <c r="CL7" s="15"/>
      <c r="CM7" s="15"/>
      <c r="CN7" s="851"/>
      <c r="CO7" s="15"/>
      <c r="CP7" s="15"/>
      <c r="CQ7" s="15"/>
      <c r="CR7" s="15"/>
      <c r="CS7" s="15"/>
      <c r="CT7" s="15"/>
      <c r="CU7" s="15"/>
      <c r="CV7" s="15"/>
      <c r="CW7" s="15"/>
      <c r="CX7" s="15"/>
      <c r="CY7" s="15"/>
      <c r="CZ7" s="15"/>
      <c r="DA7" s="15"/>
      <c r="DB7" s="15"/>
      <c r="DC7" s="15"/>
      <c r="DD7" s="15"/>
      <c r="DE7" s="15"/>
      <c r="DF7" s="15"/>
      <c r="DG7" s="15"/>
      <c r="DH7" s="15"/>
      <c r="DI7" s="15"/>
      <c r="DJ7" s="15"/>
      <c r="DK7" s="15"/>
      <c r="DL7" s="15"/>
      <c r="DM7" s="15"/>
      <c r="DN7" s="15"/>
      <c r="DO7" s="15"/>
      <c r="DP7" s="15"/>
      <c r="DQ7" s="15"/>
      <c r="DR7" s="15"/>
      <c r="DS7" s="15"/>
      <c r="DT7" s="15"/>
      <c r="DU7" s="15"/>
      <c r="DV7" s="15"/>
      <c r="DW7" s="15"/>
      <c r="DX7" s="15"/>
      <c r="DY7" s="15"/>
      <c r="DZ7" s="15"/>
      <c r="EA7" s="15"/>
      <c r="EB7" s="1010"/>
      <c r="EC7" s="1010"/>
      <c r="ED7" s="1010"/>
      <c r="EE7" s="1010"/>
      <c r="EF7" s="1010"/>
    </row>
    <row r="8" spans="1:137" x14ac:dyDescent="0.2">
      <c r="A8" s="582" t="s">
        <v>523</v>
      </c>
      <c r="B8" s="590" t="s">
        <v>520</v>
      </c>
      <c r="C8" s="588" t="s">
        <v>520</v>
      </c>
      <c r="D8" s="588" t="s">
        <v>520</v>
      </c>
      <c r="E8" s="592" t="s">
        <v>521</v>
      </c>
      <c r="F8" s="592"/>
      <c r="G8" s="590" t="s">
        <v>520</v>
      </c>
      <c r="H8" s="588" t="s">
        <v>520</v>
      </c>
      <c r="I8" s="588" t="s">
        <v>520</v>
      </c>
      <c r="J8" s="593" t="s">
        <v>521</v>
      </c>
      <c r="K8" s="587"/>
      <c r="L8" s="590" t="s">
        <v>520</v>
      </c>
      <c r="M8" s="588" t="s">
        <v>520</v>
      </c>
      <c r="N8" s="588" t="s">
        <v>520</v>
      </c>
      <c r="O8" s="588" t="s">
        <v>521</v>
      </c>
      <c r="P8" s="587"/>
      <c r="Q8" s="588" t="s">
        <v>520</v>
      </c>
      <c r="R8" s="588" t="s">
        <v>520</v>
      </c>
      <c r="S8" s="588" t="s">
        <v>520</v>
      </c>
      <c r="T8" s="592" t="s">
        <v>522</v>
      </c>
      <c r="U8" s="587"/>
      <c r="V8" s="590" t="s">
        <v>520</v>
      </c>
      <c r="W8" s="588" t="s">
        <v>520</v>
      </c>
      <c r="X8" s="588" t="s">
        <v>520</v>
      </c>
      <c r="Y8" s="592" t="s">
        <v>521</v>
      </c>
      <c r="Z8" s="587"/>
      <c r="AA8" s="588" t="s">
        <v>520</v>
      </c>
      <c r="AB8" s="588" t="s">
        <v>520</v>
      </c>
      <c r="AC8" s="588" t="s">
        <v>520</v>
      </c>
      <c r="AD8" s="592" t="s">
        <v>521</v>
      </c>
      <c r="AE8" s="587"/>
      <c r="AF8" s="588" t="s">
        <v>520</v>
      </c>
      <c r="AG8" s="588" t="s">
        <v>520</v>
      </c>
      <c r="AH8" s="588" t="s">
        <v>520</v>
      </c>
      <c r="AI8" s="592" t="s">
        <v>521</v>
      </c>
      <c r="AJ8" s="587"/>
      <c r="AK8" s="588" t="s">
        <v>520</v>
      </c>
      <c r="AL8" s="588" t="s">
        <v>520</v>
      </c>
      <c r="AM8" s="588" t="s">
        <v>520</v>
      </c>
      <c r="AN8" s="592" t="s">
        <v>521</v>
      </c>
      <c r="AO8" s="587"/>
      <c r="AP8" s="588" t="s">
        <v>520</v>
      </c>
      <c r="AQ8" s="588" t="s">
        <v>520</v>
      </c>
      <c r="AR8" s="588" t="s">
        <v>520</v>
      </c>
      <c r="AS8" s="592" t="s">
        <v>522</v>
      </c>
      <c r="AT8" s="590"/>
      <c r="AU8" s="590" t="s">
        <v>520</v>
      </c>
      <c r="AV8" s="588" t="s">
        <v>520</v>
      </c>
      <c r="AW8" s="588" t="s">
        <v>520</v>
      </c>
      <c r="AX8" s="588" t="s">
        <v>22</v>
      </c>
      <c r="AY8" s="591"/>
      <c r="AZ8" s="590" t="s">
        <v>520</v>
      </c>
      <c r="BA8" s="588" t="s">
        <v>520</v>
      </c>
      <c r="BB8" s="588" t="s">
        <v>520</v>
      </c>
      <c r="BC8" s="588" t="s">
        <v>22</v>
      </c>
      <c r="BD8" s="591"/>
      <c r="BE8" s="590" t="s">
        <v>520</v>
      </c>
      <c r="BF8" s="588" t="s">
        <v>520</v>
      </c>
      <c r="BG8" s="588" t="s">
        <v>520</v>
      </c>
      <c r="BH8" s="588" t="s">
        <v>22</v>
      </c>
      <c r="BI8" s="591"/>
      <c r="BJ8" s="590" t="s">
        <v>520</v>
      </c>
      <c r="BK8" s="588" t="s">
        <v>520</v>
      </c>
      <c r="BL8" s="588" t="s">
        <v>520</v>
      </c>
      <c r="BM8" s="588" t="s">
        <v>22</v>
      </c>
      <c r="BN8" s="591"/>
      <c r="BO8" s="588" t="s">
        <v>520</v>
      </c>
      <c r="BP8" s="588" t="s">
        <v>520</v>
      </c>
      <c r="BQ8" s="588" t="s">
        <v>520</v>
      </c>
      <c r="BR8" s="588" t="s">
        <v>22</v>
      </c>
      <c r="BS8" s="591"/>
      <c r="BT8" s="590" t="s">
        <v>520</v>
      </c>
      <c r="BU8" s="588" t="s">
        <v>520</v>
      </c>
      <c r="BV8" s="588" t="s">
        <v>520</v>
      </c>
      <c r="BW8" s="588" t="s">
        <v>22</v>
      </c>
      <c r="BX8" s="591"/>
      <c r="BY8" s="590" t="s">
        <v>520</v>
      </c>
      <c r="BZ8" s="588" t="s">
        <v>520</v>
      </c>
      <c r="CA8" s="588" t="s">
        <v>520</v>
      </c>
      <c r="CB8" s="588" t="s">
        <v>22</v>
      </c>
      <c r="CC8" s="591"/>
      <c r="CD8" s="789" t="s">
        <v>520</v>
      </c>
      <c r="CE8" s="789" t="s">
        <v>520</v>
      </c>
      <c r="CF8" s="789" t="s">
        <v>520</v>
      </c>
      <c r="CG8" s="789" t="s">
        <v>22</v>
      </c>
      <c r="CH8" s="113"/>
      <c r="CI8" s="789" t="s">
        <v>520</v>
      </c>
      <c r="CJ8" s="789" t="s">
        <v>520</v>
      </c>
      <c r="CK8" s="789" t="s">
        <v>520</v>
      </c>
      <c r="CL8" s="789" t="s">
        <v>22</v>
      </c>
      <c r="CM8" s="113"/>
      <c r="CN8" s="868" t="s">
        <v>520</v>
      </c>
      <c r="CO8" s="789" t="s">
        <v>520</v>
      </c>
      <c r="CP8" s="789" t="s">
        <v>520</v>
      </c>
      <c r="CQ8" s="858" t="s">
        <v>22</v>
      </c>
      <c r="CR8" s="113"/>
      <c r="CS8" s="789" t="s">
        <v>520</v>
      </c>
      <c r="CT8" s="789" t="s">
        <v>520</v>
      </c>
      <c r="CU8" s="789" t="s">
        <v>520</v>
      </c>
      <c r="CV8" s="789" t="s">
        <v>513</v>
      </c>
      <c r="CW8" s="113"/>
      <c r="CX8" s="789" t="s">
        <v>520</v>
      </c>
      <c r="CY8" s="789" t="s">
        <v>520</v>
      </c>
      <c r="CZ8" s="789" t="s">
        <v>520</v>
      </c>
      <c r="DA8" s="789" t="s">
        <v>22</v>
      </c>
      <c r="DB8" s="113"/>
      <c r="DC8" s="169" t="s">
        <v>520</v>
      </c>
      <c r="DD8" s="169" t="s">
        <v>520</v>
      </c>
      <c r="DE8" s="169" t="s">
        <v>520</v>
      </c>
      <c r="DF8" s="169" t="s">
        <v>22</v>
      </c>
      <c r="DG8" s="113"/>
      <c r="DH8" s="169" t="s">
        <v>520</v>
      </c>
      <c r="DI8" s="169" t="s">
        <v>520</v>
      </c>
      <c r="DJ8" s="169" t="s">
        <v>520</v>
      </c>
      <c r="DK8" s="169" t="s">
        <v>22</v>
      </c>
      <c r="DL8" s="113"/>
      <c r="DM8" s="169" t="s">
        <v>520</v>
      </c>
      <c r="DN8" s="169" t="s">
        <v>520</v>
      </c>
      <c r="DO8" s="169" t="s">
        <v>520</v>
      </c>
      <c r="DP8" s="169" t="s">
        <v>22</v>
      </c>
      <c r="DQ8" s="113"/>
      <c r="DR8" s="169" t="s">
        <v>520</v>
      </c>
      <c r="DS8" s="169" t="s">
        <v>520</v>
      </c>
      <c r="DT8" s="169" t="s">
        <v>520</v>
      </c>
      <c r="DU8" s="169" t="s">
        <v>22</v>
      </c>
      <c r="DV8" s="113"/>
      <c r="DW8" s="169" t="s">
        <v>520</v>
      </c>
      <c r="DX8" s="169" t="s">
        <v>520</v>
      </c>
      <c r="DY8" s="169" t="s">
        <v>520</v>
      </c>
      <c r="DZ8" s="169" t="s">
        <v>22</v>
      </c>
      <c r="EA8" s="113"/>
      <c r="EB8" s="1008"/>
      <c r="EC8" s="1008"/>
      <c r="ED8" s="1008"/>
      <c r="EE8" s="1008"/>
      <c r="EF8" s="1008"/>
    </row>
    <row r="9" spans="1:137" x14ac:dyDescent="0.2">
      <c r="A9" s="639" t="s">
        <v>412</v>
      </c>
      <c r="B9" s="35" t="s">
        <v>569</v>
      </c>
      <c r="C9" s="8" t="s">
        <v>570</v>
      </c>
      <c r="D9" s="8" t="s">
        <v>571</v>
      </c>
      <c r="E9" s="36" t="s">
        <v>572</v>
      </c>
      <c r="F9" s="36" t="s">
        <v>573</v>
      </c>
      <c r="G9" s="35" t="s">
        <v>574</v>
      </c>
      <c r="H9" s="8" t="s">
        <v>575</v>
      </c>
      <c r="I9" s="8" t="s">
        <v>576</v>
      </c>
      <c r="J9" s="640" t="s">
        <v>577</v>
      </c>
      <c r="K9" s="9" t="s">
        <v>578</v>
      </c>
      <c r="L9" s="35" t="s">
        <v>579</v>
      </c>
      <c r="M9" s="8" t="s">
        <v>580</v>
      </c>
      <c r="N9" s="8" t="s">
        <v>581</v>
      </c>
      <c r="O9" s="8" t="s">
        <v>582</v>
      </c>
      <c r="P9" s="9" t="s">
        <v>276</v>
      </c>
      <c r="Q9" s="8" t="s">
        <v>277</v>
      </c>
      <c r="R9" s="8" t="s">
        <v>284</v>
      </c>
      <c r="S9" s="8" t="s">
        <v>285</v>
      </c>
      <c r="T9" s="36" t="s">
        <v>286</v>
      </c>
      <c r="U9" s="9" t="s">
        <v>287</v>
      </c>
      <c r="V9" s="35" t="s">
        <v>288</v>
      </c>
      <c r="W9" s="8" t="s">
        <v>289</v>
      </c>
      <c r="X9" s="8" t="s">
        <v>291</v>
      </c>
      <c r="Y9" s="36" t="s">
        <v>292</v>
      </c>
      <c r="Z9" s="9" t="s">
        <v>293</v>
      </c>
      <c r="AA9" s="8" t="s">
        <v>294</v>
      </c>
      <c r="AB9" s="8" t="s">
        <v>295</v>
      </c>
      <c r="AC9" s="8" t="s">
        <v>296</v>
      </c>
      <c r="AD9" s="36" t="s">
        <v>297</v>
      </c>
      <c r="AE9" s="9" t="s">
        <v>298</v>
      </c>
      <c r="AF9" s="8" t="s">
        <v>299</v>
      </c>
      <c r="AG9" s="8" t="s">
        <v>300</v>
      </c>
      <c r="AH9" s="8" t="s">
        <v>301</v>
      </c>
      <c r="AI9" s="36" t="s">
        <v>302</v>
      </c>
      <c r="AJ9" s="9" t="s">
        <v>303</v>
      </c>
      <c r="AK9" s="8" t="s">
        <v>567</v>
      </c>
      <c r="AL9" s="8" t="s">
        <v>536</v>
      </c>
      <c r="AM9" s="8" t="s">
        <v>282</v>
      </c>
      <c r="AN9" s="8" t="s">
        <v>361</v>
      </c>
      <c r="AO9" s="9" t="s">
        <v>362</v>
      </c>
      <c r="AP9" s="8" t="s">
        <v>469</v>
      </c>
      <c r="AQ9" s="8" t="s">
        <v>358</v>
      </c>
      <c r="AR9" s="8" t="s">
        <v>8</v>
      </c>
      <c r="AS9" s="8" t="s">
        <v>120</v>
      </c>
      <c r="AT9" s="35" t="s">
        <v>119</v>
      </c>
      <c r="AU9" s="35" t="s">
        <v>210</v>
      </c>
      <c r="AV9" s="8" t="s">
        <v>464</v>
      </c>
      <c r="AW9" s="8" t="s">
        <v>198</v>
      </c>
      <c r="AX9" s="8" t="s">
        <v>163</v>
      </c>
      <c r="AY9" s="9" t="s">
        <v>430</v>
      </c>
      <c r="AZ9" s="35" t="s">
        <v>208</v>
      </c>
      <c r="BA9" s="8" t="s">
        <v>484</v>
      </c>
      <c r="BB9" s="8" t="s">
        <v>565</v>
      </c>
      <c r="BC9" s="8" t="s">
        <v>275</v>
      </c>
      <c r="BD9" s="9">
        <v>2007</v>
      </c>
      <c r="BE9" s="35" t="s">
        <v>261</v>
      </c>
      <c r="BF9" s="8" t="s">
        <v>435</v>
      </c>
      <c r="BG9" s="8" t="s">
        <v>290</v>
      </c>
      <c r="BH9" s="8" t="s">
        <v>528</v>
      </c>
      <c r="BI9" s="9" t="s">
        <v>220</v>
      </c>
      <c r="BJ9" s="35" t="s">
        <v>257</v>
      </c>
      <c r="BK9" s="8" t="s">
        <v>1</v>
      </c>
      <c r="BL9" s="8" t="s">
        <v>416</v>
      </c>
      <c r="BM9" s="8" t="s">
        <v>249</v>
      </c>
      <c r="BN9" s="595" t="s">
        <v>250</v>
      </c>
      <c r="BO9" s="8" t="s">
        <v>561</v>
      </c>
      <c r="BP9" s="8" t="s">
        <v>344</v>
      </c>
      <c r="BQ9" s="8" t="s">
        <v>390</v>
      </c>
      <c r="BR9" s="8" t="s">
        <v>17</v>
      </c>
      <c r="BS9" s="9" t="s">
        <v>126</v>
      </c>
      <c r="BT9" s="35" t="s">
        <v>251</v>
      </c>
      <c r="BU9" s="8" t="s">
        <v>535</v>
      </c>
      <c r="BV9" s="8" t="s">
        <v>316</v>
      </c>
      <c r="BW9" s="8" t="s">
        <v>322</v>
      </c>
      <c r="BX9" s="9" t="s">
        <v>323</v>
      </c>
      <c r="BY9" s="35" t="s">
        <v>388</v>
      </c>
      <c r="BZ9" s="8" t="s">
        <v>125</v>
      </c>
      <c r="CA9" s="8" t="s">
        <v>307</v>
      </c>
      <c r="CB9" s="8" t="s">
        <v>106</v>
      </c>
      <c r="CC9" s="595" t="s">
        <v>107</v>
      </c>
      <c r="CD9" s="8" t="s">
        <v>159</v>
      </c>
      <c r="CE9" s="8" t="s">
        <v>60</v>
      </c>
      <c r="CF9" s="8" t="s">
        <v>97</v>
      </c>
      <c r="CG9" s="8" t="s">
        <v>94</v>
      </c>
      <c r="CH9" s="9" t="s">
        <v>95</v>
      </c>
      <c r="CI9" s="8" t="s">
        <v>25</v>
      </c>
      <c r="CJ9" s="8" t="s">
        <v>6</v>
      </c>
      <c r="CK9" s="8" t="s">
        <v>591</v>
      </c>
      <c r="CL9" s="8" t="s">
        <v>593</v>
      </c>
      <c r="CM9" s="9" t="s">
        <v>595</v>
      </c>
      <c r="CN9" s="879" t="s">
        <v>603</v>
      </c>
      <c r="CO9" s="8" t="s">
        <v>605</v>
      </c>
      <c r="CP9" s="8" t="s">
        <v>606</v>
      </c>
      <c r="CQ9" s="8" t="s">
        <v>610</v>
      </c>
      <c r="CR9" s="9" t="s">
        <v>611</v>
      </c>
      <c r="CS9" s="8" t="s">
        <v>494</v>
      </c>
      <c r="CT9" s="8" t="s">
        <v>495</v>
      </c>
      <c r="CU9" s="8" t="s">
        <v>496</v>
      </c>
      <c r="CV9" s="8" t="s">
        <v>497</v>
      </c>
      <c r="CW9" s="9" t="s">
        <v>687</v>
      </c>
      <c r="CX9" s="8" t="s">
        <v>693</v>
      </c>
      <c r="CY9" s="8" t="s">
        <v>714</v>
      </c>
      <c r="CZ9" s="8" t="s">
        <v>720</v>
      </c>
      <c r="DA9" s="8" t="s">
        <v>729</v>
      </c>
      <c r="DB9" s="9" t="s">
        <v>730</v>
      </c>
      <c r="DC9" s="34" t="s">
        <v>499</v>
      </c>
      <c r="DD9" s="34" t="s">
        <v>500</v>
      </c>
      <c r="DE9" s="34" t="s">
        <v>501</v>
      </c>
      <c r="DF9" s="34" t="s">
        <v>502</v>
      </c>
      <c r="DG9" s="32" t="s">
        <v>318</v>
      </c>
      <c r="DH9" s="34" t="s">
        <v>503</v>
      </c>
      <c r="DI9" s="34" t="s">
        <v>504</v>
      </c>
      <c r="DJ9" s="34" t="s">
        <v>505</v>
      </c>
      <c r="DK9" s="34" t="s">
        <v>506</v>
      </c>
      <c r="DL9" s="32" t="s">
        <v>507</v>
      </c>
      <c r="DM9" s="34" t="s">
        <v>508</v>
      </c>
      <c r="DN9" s="34" t="s">
        <v>509</v>
      </c>
      <c r="DO9" s="34" t="s">
        <v>510</v>
      </c>
      <c r="DP9" s="34" t="s">
        <v>511</v>
      </c>
      <c r="DQ9" s="32" t="s">
        <v>512</v>
      </c>
      <c r="DR9" s="2154" t="s">
        <v>698</v>
      </c>
      <c r="DS9" s="2154" t="s">
        <v>699</v>
      </c>
      <c r="DT9" s="2154" t="s">
        <v>700</v>
      </c>
      <c r="DU9" s="2154" t="s">
        <v>701</v>
      </c>
      <c r="DV9" s="2157" t="s">
        <v>695</v>
      </c>
      <c r="DW9" s="2154" t="s">
        <v>702</v>
      </c>
      <c r="DX9" s="2154" t="s">
        <v>703</v>
      </c>
      <c r="DY9" s="2154" t="s">
        <v>704</v>
      </c>
      <c r="DZ9" s="2154" t="s">
        <v>705</v>
      </c>
      <c r="EA9" s="2157" t="s">
        <v>696</v>
      </c>
      <c r="EB9" s="1008"/>
      <c r="EC9" s="1008"/>
      <c r="ED9" s="1008"/>
      <c r="EE9" s="1008"/>
      <c r="EF9" s="1008"/>
    </row>
    <row r="10" spans="1:137" x14ac:dyDescent="0.2">
      <c r="A10" s="445" t="s">
        <v>413</v>
      </c>
      <c r="B10" s="274"/>
      <c r="C10" s="85"/>
      <c r="D10" s="85"/>
      <c r="E10" s="85"/>
      <c r="F10" s="273"/>
      <c r="G10" s="85"/>
      <c r="H10" s="85"/>
      <c r="I10" s="85"/>
      <c r="J10" s="275"/>
      <c r="K10" s="276"/>
      <c r="L10" s="85"/>
      <c r="M10" s="85"/>
      <c r="N10" s="85"/>
      <c r="O10" s="85"/>
      <c r="P10" s="277"/>
      <c r="Q10" s="85"/>
      <c r="R10" s="85"/>
      <c r="S10" s="85"/>
      <c r="T10" s="85"/>
      <c r="U10" s="277"/>
      <c r="V10" s="278"/>
      <c r="W10" s="85"/>
      <c r="X10" s="85"/>
      <c r="Y10" s="85"/>
      <c r="Z10" s="277"/>
      <c r="AA10" s="143"/>
      <c r="AB10" s="143"/>
      <c r="AC10" s="143"/>
      <c r="AD10" s="143"/>
      <c r="AE10" s="279"/>
      <c r="AF10" s="85"/>
      <c r="AG10" s="85"/>
      <c r="AH10" s="85"/>
      <c r="AI10" s="85"/>
      <c r="AJ10" s="277"/>
      <c r="AK10" s="85"/>
      <c r="AL10" s="85"/>
      <c r="AM10" s="85"/>
      <c r="AN10" s="85"/>
      <c r="AO10" s="279"/>
      <c r="AP10" s="85"/>
      <c r="AQ10" s="85"/>
      <c r="AR10" s="85"/>
      <c r="AS10" s="85"/>
      <c r="AT10" s="280"/>
      <c r="AU10" s="13"/>
      <c r="AV10" s="114"/>
      <c r="AW10" s="114"/>
      <c r="AX10" s="114"/>
      <c r="AY10" s="113"/>
      <c r="AZ10" s="13"/>
      <c r="BA10" s="114"/>
      <c r="BB10" s="114"/>
      <c r="BC10" s="114"/>
      <c r="BD10" s="113"/>
      <c r="BE10" s="13"/>
      <c r="BF10" s="114"/>
      <c r="BG10" s="114"/>
      <c r="BH10" s="114"/>
      <c r="BI10" s="113"/>
      <c r="BJ10" s="13"/>
      <c r="BK10" s="114"/>
      <c r="BL10" s="114"/>
      <c r="BM10" s="114"/>
      <c r="BN10" s="448"/>
      <c r="BO10" s="114"/>
      <c r="BP10" s="114"/>
      <c r="BQ10" s="114"/>
      <c r="BR10" s="114"/>
      <c r="BS10" s="113"/>
      <c r="BT10" s="13"/>
      <c r="BU10" s="114"/>
      <c r="BV10" s="114"/>
      <c r="BW10" s="114"/>
      <c r="BX10" s="113"/>
      <c r="BY10" s="13"/>
      <c r="BZ10" s="114"/>
      <c r="CA10" s="114"/>
      <c r="CB10" s="114"/>
      <c r="CC10" s="448"/>
      <c r="CD10" s="114"/>
      <c r="CE10" s="114"/>
      <c r="CF10" s="114"/>
      <c r="CG10" s="114"/>
      <c r="CH10" s="113"/>
      <c r="CI10" s="114"/>
      <c r="CJ10" s="114"/>
      <c r="CK10" s="114"/>
      <c r="CL10" s="114"/>
      <c r="CM10" s="113"/>
      <c r="CN10" s="865"/>
      <c r="CO10" s="114"/>
      <c r="CP10" s="114"/>
      <c r="CQ10" s="114"/>
      <c r="CR10" s="113"/>
      <c r="CS10" s="114"/>
      <c r="CT10" s="114"/>
      <c r="CU10" s="114"/>
      <c r="CV10" s="114"/>
      <c r="CW10" s="1251"/>
      <c r="CX10" s="114"/>
      <c r="CY10" s="114"/>
      <c r="CZ10" s="114"/>
      <c r="DA10" s="114"/>
      <c r="DB10" s="113"/>
      <c r="DC10" s="114"/>
      <c r="DD10" s="114"/>
      <c r="DE10" s="114"/>
      <c r="DF10" s="114"/>
      <c r="DG10" s="113"/>
      <c r="DH10" s="114"/>
      <c r="DI10" s="114"/>
      <c r="DJ10" s="114"/>
      <c r="DK10" s="114"/>
      <c r="DL10" s="113"/>
      <c r="DM10" s="114"/>
      <c r="DN10" s="114"/>
      <c r="DO10" s="114"/>
      <c r="DP10" s="114"/>
      <c r="DQ10" s="113"/>
      <c r="DR10" s="114"/>
      <c r="DS10" s="114"/>
      <c r="DT10" s="114"/>
      <c r="DU10" s="114"/>
      <c r="DV10" s="113"/>
      <c r="DW10" s="114"/>
      <c r="DX10" s="114"/>
      <c r="DY10" s="114"/>
      <c r="DZ10" s="114"/>
      <c r="EA10" s="113"/>
      <c r="EB10" s="1010"/>
      <c r="EC10" s="1010"/>
      <c r="ED10" s="1010"/>
      <c r="EE10" s="1010"/>
      <c r="EF10" s="1010"/>
    </row>
    <row r="11" spans="1:137" x14ac:dyDescent="0.2">
      <c r="A11" s="446" t="s">
        <v>414</v>
      </c>
      <c r="B11" s="57"/>
      <c r="C11" s="125"/>
      <c r="D11" s="125"/>
      <c r="E11" s="125"/>
      <c r="F11" s="58"/>
      <c r="G11" s="125"/>
      <c r="H11" s="125"/>
      <c r="I11" s="125"/>
      <c r="J11" s="131"/>
      <c r="K11" s="58"/>
      <c r="L11" s="281">
        <v>106</v>
      </c>
      <c r="M11" s="281">
        <f>285-L11</f>
        <v>179</v>
      </c>
      <c r="N11" s="281">
        <f>482-M11-L11</f>
        <v>197</v>
      </c>
      <c r="O11" s="281">
        <f>P11-N11-M11-L11</f>
        <v>145</v>
      </c>
      <c r="P11" s="282">
        <v>627</v>
      </c>
      <c r="Q11" s="281">
        <v>120</v>
      </c>
      <c r="R11" s="281">
        <f>226-Q11</f>
        <v>106</v>
      </c>
      <c r="S11" s="281">
        <f>285-R11-Q11</f>
        <v>59</v>
      </c>
      <c r="T11" s="281">
        <f>U11-S11-R11-Q11</f>
        <v>128</v>
      </c>
      <c r="U11" s="282">
        <v>413</v>
      </c>
      <c r="V11" s="283">
        <v>88</v>
      </c>
      <c r="W11" s="281">
        <f>204-V11</f>
        <v>116</v>
      </c>
      <c r="X11" s="281">
        <f>328-W11-V11</f>
        <v>124</v>
      </c>
      <c r="Y11" s="281">
        <f>Z11-X11-W11-V11</f>
        <v>164</v>
      </c>
      <c r="Z11" s="282">
        <v>492</v>
      </c>
      <c r="AA11" s="281">
        <v>124</v>
      </c>
      <c r="AB11" s="281">
        <f>264-AA11</f>
        <v>140</v>
      </c>
      <c r="AC11" s="281">
        <f>411-AB11-AA11</f>
        <v>147</v>
      </c>
      <c r="AD11" s="281">
        <f>AE11-AC11-AB11-AA11</f>
        <v>172</v>
      </c>
      <c r="AE11" s="282">
        <v>583</v>
      </c>
      <c r="AF11" s="281">
        <v>117</v>
      </c>
      <c r="AG11" s="281">
        <f>239-AF11</f>
        <v>122</v>
      </c>
      <c r="AH11" s="281">
        <f>403-AG11-AF11</f>
        <v>164</v>
      </c>
      <c r="AI11" s="281">
        <f>617-AH11-AG11-AF11</f>
        <v>214</v>
      </c>
      <c r="AJ11" s="282">
        <f>SUM(AF11:AI11)</f>
        <v>617</v>
      </c>
      <c r="AK11" s="281">
        <v>142</v>
      </c>
      <c r="AL11" s="281">
        <f>320-AK11</f>
        <v>178</v>
      </c>
      <c r="AM11" s="281">
        <f>505-AL11-AK11</f>
        <v>185</v>
      </c>
      <c r="AN11" s="281">
        <f>AO11-AM11-AL11-AK11</f>
        <v>235</v>
      </c>
      <c r="AO11" s="282">
        <v>740</v>
      </c>
      <c r="AP11" s="281">
        <v>161</v>
      </c>
      <c r="AQ11" s="281">
        <f>348-AP11</f>
        <v>187</v>
      </c>
      <c r="AR11" s="281">
        <f>562-(SUM(AP11:AQ11))</f>
        <v>214</v>
      </c>
      <c r="AS11" s="281">
        <f>AT11-SUM(AP11:AR11)</f>
        <v>200</v>
      </c>
      <c r="AT11" s="283">
        <v>762</v>
      </c>
      <c r="AU11" s="283">
        <v>170</v>
      </c>
      <c r="AV11" s="281">
        <f>362-AU11</f>
        <v>192</v>
      </c>
      <c r="AW11" s="281">
        <f>592-AV11-AU11</f>
        <v>230</v>
      </c>
      <c r="AX11" s="281">
        <f>AY11-AW11-AV11-AU11</f>
        <v>232</v>
      </c>
      <c r="AY11" s="282">
        <v>824</v>
      </c>
      <c r="AZ11" s="283">
        <v>194</v>
      </c>
      <c r="BA11" s="281">
        <f>408-AZ11</f>
        <v>214</v>
      </c>
      <c r="BB11" s="281">
        <f>678-BA11-AZ11</f>
        <v>270</v>
      </c>
      <c r="BC11" s="281">
        <f>BD11-BB11-BA11-AZ11</f>
        <v>231</v>
      </c>
      <c r="BD11" s="282">
        <v>909</v>
      </c>
      <c r="BE11" s="283">
        <v>254</v>
      </c>
      <c r="BF11" s="281">
        <f>478-BE11</f>
        <v>224</v>
      </c>
      <c r="BG11" s="281">
        <f>760-BF11-BE11</f>
        <v>282</v>
      </c>
      <c r="BH11" s="281">
        <f>BI11-BG11-BF11-BE11</f>
        <v>204</v>
      </c>
      <c r="BI11" s="282">
        <v>964</v>
      </c>
      <c r="BJ11" s="283">
        <v>218</v>
      </c>
      <c r="BK11" s="281">
        <f>525-BJ11</f>
        <v>307</v>
      </c>
      <c r="BL11" s="281">
        <f>865-BK11-BJ11</f>
        <v>340</v>
      </c>
      <c r="BM11" s="281">
        <f>BN11-BL11-BK11-BJ11</f>
        <v>218</v>
      </c>
      <c r="BN11" s="573">
        <v>1083</v>
      </c>
      <c r="BO11" s="281">
        <v>245</v>
      </c>
      <c r="BP11" s="281">
        <f>534-BO11</f>
        <v>289</v>
      </c>
      <c r="BQ11" s="281">
        <f>901-BP11-BO11</f>
        <v>367</v>
      </c>
      <c r="BR11" s="281">
        <f>BS11-BQ11-BP11-BO11</f>
        <v>277</v>
      </c>
      <c r="BS11" s="282">
        <v>1178</v>
      </c>
      <c r="BT11" s="283">
        <v>267</v>
      </c>
      <c r="BU11" s="281">
        <f>589-BT11</f>
        <v>322</v>
      </c>
      <c r="BV11" s="281">
        <f>978-BU11-BT11</f>
        <v>389</v>
      </c>
      <c r="BW11" s="281">
        <f>BX11-BV11-BU11-BT11</f>
        <v>357</v>
      </c>
      <c r="BX11" s="282">
        <v>1335</v>
      </c>
      <c r="BY11" s="283">
        <v>461</v>
      </c>
      <c r="BZ11" s="281">
        <f>794-BY11</f>
        <v>333</v>
      </c>
      <c r="CA11" s="281">
        <f>1272-SUM(BY11:BZ11)</f>
        <v>478</v>
      </c>
      <c r="CB11" s="281">
        <f>CC11-SUM(BY11:CA11)</f>
        <v>336</v>
      </c>
      <c r="CC11" s="573">
        <v>1608</v>
      </c>
      <c r="CD11" s="281">
        <v>336</v>
      </c>
      <c r="CE11" s="281">
        <f>612-CD11</f>
        <v>276</v>
      </c>
      <c r="CF11" s="281">
        <f>749-SUM(CD11:CE11)</f>
        <v>137</v>
      </c>
      <c r="CG11" s="281">
        <f>CH11-SUM(CD11:CF11)</f>
        <v>315</v>
      </c>
      <c r="CH11" s="2379">
        <v>1064</v>
      </c>
      <c r="CI11" s="2380">
        <v>399</v>
      </c>
      <c r="CJ11" s="2380">
        <f>737-CI11</f>
        <v>338</v>
      </c>
      <c r="CK11" s="2380">
        <f>1140-CJ11-CI11</f>
        <v>403</v>
      </c>
      <c r="CL11" s="2380">
        <f>CM11-CK11-CJ11-CI11</f>
        <v>-119</v>
      </c>
      <c r="CM11" s="2381">
        <v>1021</v>
      </c>
      <c r="CN11" s="2382"/>
      <c r="CO11" s="2383"/>
      <c r="CP11" s="2383"/>
      <c r="CQ11" s="2383"/>
      <c r="CR11" s="2384">
        <v>970</v>
      </c>
      <c r="CS11" s="2385">
        <f>'IS '!CS49-'IS '!CS57</f>
        <v>219</v>
      </c>
      <c r="CT11" s="2385">
        <f>'IS '!CT49-'IS '!CT57</f>
        <v>300</v>
      </c>
      <c r="CU11" s="2385">
        <f>'IS '!CU49-'IS '!CU57</f>
        <v>212</v>
      </c>
      <c r="CV11" s="2385">
        <f>CW11-CU11-CT11-CS11</f>
        <v>263</v>
      </c>
      <c r="CW11" s="2386">
        <v>994</v>
      </c>
      <c r="CX11" s="2383">
        <v>280</v>
      </c>
      <c r="CY11" s="2383">
        <f>486-CX11</f>
        <v>206</v>
      </c>
      <c r="CZ11" s="2383">
        <f>904-CY11-CX11</f>
        <v>418</v>
      </c>
      <c r="DA11" s="2383">
        <f>1340-SUM(CX11:CZ11)</f>
        <v>436</v>
      </c>
      <c r="DB11" s="2379">
        <f>SUM(CX11:DA11)</f>
        <v>1340</v>
      </c>
      <c r="DC11" s="2387">
        <f>'IS '!DC49</f>
        <v>220.9807115954149</v>
      </c>
      <c r="DD11" s="2387">
        <f>'IS '!DD49</f>
        <v>237.69166822767966</v>
      </c>
      <c r="DE11" s="2387">
        <f>'IS '!DE49</f>
        <v>265.11890964064622</v>
      </c>
      <c r="DF11" s="2387">
        <f>'IS '!DF49</f>
        <v>312.20968885733697</v>
      </c>
      <c r="DG11" s="2388">
        <f>SUM(DC11:DF11)</f>
        <v>1036.0009783210778</v>
      </c>
      <c r="DH11" s="2387">
        <f>'IS '!DH49</f>
        <v>253.7479379591984</v>
      </c>
      <c r="DI11" s="2387">
        <f>'IS '!DI49</f>
        <v>269.99407132101891</v>
      </c>
      <c r="DJ11" s="2387">
        <f>'IS '!DJ49</f>
        <v>301.15263829463618</v>
      </c>
      <c r="DK11" s="2387">
        <f>'IS '!DK49</f>
        <v>356.5095453842531</v>
      </c>
      <c r="DL11" s="2388">
        <f>SUM(DH11:DK11)</f>
        <v>1181.4041929591067</v>
      </c>
      <c r="DM11" s="2387">
        <f>'IS '!DM49</f>
        <v>265.52348600899643</v>
      </c>
      <c r="DN11" s="2387">
        <f>'IS '!DN49</f>
        <v>286.00533758499574</v>
      </c>
      <c r="DO11" s="2387">
        <f>'IS '!DO49</f>
        <v>323.45997966566176</v>
      </c>
      <c r="DP11" s="2387">
        <f>'IS '!DP49</f>
        <v>388.2485730481938</v>
      </c>
      <c r="DQ11" s="2388">
        <f>SUM(DM11:DP11)</f>
        <v>1263.2373763078479</v>
      </c>
      <c r="DR11" s="2387">
        <f>'IS '!DR49</f>
        <v>294.02031480254925</v>
      </c>
      <c r="DS11" s="2387">
        <f>'IS '!DS49</f>
        <v>315.47619436336578</v>
      </c>
      <c r="DT11" s="2387">
        <f>'IS '!DT49</f>
        <v>356.7825097133973</v>
      </c>
      <c r="DU11" s="2387">
        <f>'IS '!DU49</f>
        <v>428.1660859175289</v>
      </c>
      <c r="DV11" s="2388">
        <f>SUM(DR11:DU11)</f>
        <v>1394.4451047968414</v>
      </c>
      <c r="DW11" s="2387">
        <f>'IS '!DW49</f>
        <v>322.99966163868618</v>
      </c>
      <c r="DX11" s="2387">
        <f>'IS '!DX49</f>
        <v>346.03285456944059</v>
      </c>
      <c r="DY11" s="2387">
        <f>'IS '!DY49</f>
        <v>392.11350081823372</v>
      </c>
      <c r="DZ11" s="2387">
        <f>'IS '!DZ49</f>
        <v>470.79346429205242</v>
      </c>
      <c r="EA11" s="2388">
        <f>SUM(DW11:DZ11)</f>
        <v>1531.9394813184128</v>
      </c>
      <c r="EB11" s="1010"/>
      <c r="EC11" s="1010"/>
      <c r="ED11" s="1010"/>
      <c r="EE11" s="1010"/>
      <c r="EF11" s="1010"/>
      <c r="EG11" s="1243"/>
    </row>
    <row r="12" spans="1:137" x14ac:dyDescent="0.2">
      <c r="A12" s="446" t="s">
        <v>178</v>
      </c>
      <c r="B12" s="71"/>
      <c r="C12" s="71"/>
      <c r="D12" s="71"/>
      <c r="E12" s="71"/>
      <c r="F12" s="60"/>
      <c r="G12" s="155"/>
      <c r="H12" s="155"/>
      <c r="I12" s="155"/>
      <c r="J12" s="155"/>
      <c r="K12" s="60"/>
      <c r="L12" s="71"/>
      <c r="M12" s="71"/>
      <c r="N12" s="71"/>
      <c r="O12" s="47"/>
      <c r="P12" s="82"/>
      <c r="Q12" s="71"/>
      <c r="R12" s="71"/>
      <c r="S12" s="71"/>
      <c r="T12" s="47"/>
      <c r="U12" s="82"/>
      <c r="V12" s="78"/>
      <c r="W12" s="71"/>
      <c r="X12" s="71"/>
      <c r="Y12" s="47"/>
      <c r="Z12" s="82"/>
      <c r="AA12" s="71"/>
      <c r="AB12" s="71"/>
      <c r="AC12" s="71"/>
      <c r="AD12" s="281"/>
      <c r="AE12" s="282"/>
      <c r="AF12" s="71"/>
      <c r="AG12" s="71"/>
      <c r="AH12" s="71"/>
      <c r="AI12" s="281"/>
      <c r="AJ12" s="282"/>
      <c r="AK12" s="281"/>
      <c r="AL12" s="281"/>
      <c r="AM12" s="281"/>
      <c r="AN12" s="281"/>
      <c r="AO12" s="282"/>
      <c r="AP12" s="281"/>
      <c r="AQ12" s="281"/>
      <c r="AR12" s="281"/>
      <c r="AS12" s="281"/>
      <c r="AT12" s="283"/>
      <c r="AU12" s="14"/>
      <c r="AV12" s="15"/>
      <c r="AW12" s="15"/>
      <c r="AX12" s="15"/>
      <c r="AY12" s="282"/>
      <c r="AZ12" s="14"/>
      <c r="BA12" s="15"/>
      <c r="BB12" s="15"/>
      <c r="BC12" s="15"/>
      <c r="BD12" s="282"/>
      <c r="BE12" s="14"/>
      <c r="BF12" s="15"/>
      <c r="BG12" s="15"/>
      <c r="BH12" s="15"/>
      <c r="BI12" s="282"/>
      <c r="BJ12" s="14"/>
      <c r="BK12" s="15"/>
      <c r="BL12" s="15"/>
      <c r="BM12" s="15"/>
      <c r="BN12" s="573"/>
      <c r="BO12" s="15"/>
      <c r="BP12" s="15"/>
      <c r="BQ12" s="15"/>
      <c r="BR12" s="15"/>
      <c r="BS12" s="282"/>
      <c r="BT12" s="14"/>
      <c r="BU12" s="15"/>
      <c r="BV12" s="15"/>
      <c r="BW12" s="15"/>
      <c r="BX12" s="282"/>
      <c r="BY12" s="638"/>
      <c r="BZ12" s="15"/>
      <c r="CA12" s="15"/>
      <c r="CB12" s="15"/>
      <c r="CC12" s="573"/>
      <c r="CD12" s="15"/>
      <c r="CE12" s="15"/>
      <c r="CF12" s="15"/>
      <c r="CG12" s="15"/>
      <c r="CH12" s="282"/>
      <c r="CI12" s="1010"/>
      <c r="CJ12" s="1010"/>
      <c r="CK12" s="1010"/>
      <c r="CL12" s="1010"/>
      <c r="CM12" s="995"/>
      <c r="CN12" s="851"/>
      <c r="CO12" s="15"/>
      <c r="CP12" s="15"/>
      <c r="CQ12" s="15"/>
      <c r="CR12" s="1252"/>
      <c r="CS12" s="1017"/>
      <c r="CT12" s="1017"/>
      <c r="CU12" s="1017"/>
      <c r="CV12" s="1017"/>
      <c r="CW12" s="2044"/>
      <c r="CX12" s="15"/>
      <c r="CY12" s="15"/>
      <c r="CZ12" s="15"/>
      <c r="DA12" s="15"/>
      <c r="DB12" s="282"/>
      <c r="DC12" s="15"/>
      <c r="DD12" s="15"/>
      <c r="DE12" s="15"/>
      <c r="DF12" s="15"/>
      <c r="DG12" s="284"/>
      <c r="DH12" s="15"/>
      <c r="DI12" s="15"/>
      <c r="DJ12" s="15"/>
      <c r="DK12" s="15"/>
      <c r="DL12" s="284"/>
      <c r="DM12" s="15"/>
      <c r="DN12" s="15"/>
      <c r="DO12" s="15"/>
      <c r="DP12" s="15"/>
      <c r="DQ12" s="284"/>
      <c r="DR12" s="15"/>
      <c r="DS12" s="15"/>
      <c r="DT12" s="15"/>
      <c r="DU12" s="15"/>
      <c r="DV12" s="284"/>
      <c r="DW12" s="15"/>
      <c r="DX12" s="15"/>
      <c r="DY12" s="15"/>
      <c r="DZ12" s="15"/>
      <c r="EA12" s="284"/>
      <c r="EB12" s="1010"/>
      <c r="EC12" s="1010"/>
      <c r="ED12" s="1010"/>
      <c r="EE12" s="1010"/>
      <c r="EF12" s="1010"/>
      <c r="EG12" s="1243"/>
    </row>
    <row r="13" spans="1:137" x14ac:dyDescent="0.2">
      <c r="A13" s="446" t="s">
        <v>179</v>
      </c>
      <c r="B13" s="71"/>
      <c r="C13" s="71"/>
      <c r="D13" s="71"/>
      <c r="E13" s="71"/>
      <c r="F13" s="60"/>
      <c r="G13" s="71"/>
      <c r="H13" s="71"/>
      <c r="I13" s="71"/>
      <c r="J13" s="71"/>
      <c r="K13" s="60"/>
      <c r="L13" s="71"/>
      <c r="M13" s="71"/>
      <c r="N13" s="71"/>
      <c r="O13" s="47"/>
      <c r="P13" s="82"/>
      <c r="Q13" s="71"/>
      <c r="R13" s="71"/>
      <c r="S13" s="71"/>
      <c r="T13" s="47"/>
      <c r="U13" s="82"/>
      <c r="V13" s="78"/>
      <c r="W13" s="71"/>
      <c r="X13" s="71"/>
      <c r="Y13" s="47"/>
      <c r="Z13" s="82"/>
      <c r="AA13" s="71"/>
      <c r="AB13" s="71"/>
      <c r="AC13" s="71"/>
      <c r="AD13" s="281"/>
      <c r="AE13" s="282"/>
      <c r="AF13" s="71"/>
      <c r="AG13" s="71"/>
      <c r="AH13" s="71"/>
      <c r="AI13" s="281"/>
      <c r="AJ13" s="282"/>
      <c r="AK13" s="281"/>
      <c r="AL13" s="281"/>
      <c r="AM13" s="281"/>
      <c r="AN13" s="281"/>
      <c r="AO13" s="282"/>
      <c r="AP13" s="281"/>
      <c r="AQ13" s="281"/>
      <c r="AR13" s="281"/>
      <c r="AS13" s="281"/>
      <c r="AT13" s="283"/>
      <c r="AU13" s="14"/>
      <c r="AV13" s="15"/>
      <c r="AW13" s="15"/>
      <c r="AX13" s="15"/>
      <c r="AY13" s="282"/>
      <c r="AZ13" s="14"/>
      <c r="BA13" s="15"/>
      <c r="BB13" s="15"/>
      <c r="BC13" s="15"/>
      <c r="BD13" s="282"/>
      <c r="BE13" s="14"/>
      <c r="BF13" s="15"/>
      <c r="BG13" s="15"/>
      <c r="BH13" s="15"/>
      <c r="BI13" s="282"/>
      <c r="BJ13" s="14"/>
      <c r="BK13" s="15"/>
      <c r="BL13" s="15"/>
      <c r="BM13" s="15"/>
      <c r="BN13" s="573"/>
      <c r="BO13" s="15"/>
      <c r="BP13" s="15"/>
      <c r="BQ13" s="15"/>
      <c r="BR13" s="15"/>
      <c r="BS13" s="282"/>
      <c r="BT13" s="14"/>
      <c r="BU13" s="15"/>
      <c r="BV13" s="15"/>
      <c r="BW13" s="15"/>
      <c r="BX13" s="282"/>
      <c r="BY13" s="14"/>
      <c r="BZ13" s="15"/>
      <c r="CA13" s="15"/>
      <c r="CB13" s="15"/>
      <c r="CC13" s="573"/>
      <c r="CD13" s="15"/>
      <c r="CE13" s="15"/>
      <c r="CF13" s="15"/>
      <c r="CG13" s="15"/>
      <c r="CH13" s="282"/>
      <c r="CI13" s="1010"/>
      <c r="CJ13" s="1010"/>
      <c r="CK13" s="1010"/>
      <c r="CL13" s="1010"/>
      <c r="CM13" s="995"/>
      <c r="CN13" s="851"/>
      <c r="CO13" s="15"/>
      <c r="CP13" s="15"/>
      <c r="CQ13" s="15"/>
      <c r="CR13" s="1253"/>
      <c r="CS13" s="1017"/>
      <c r="CT13" s="1017"/>
      <c r="CU13" s="1017"/>
      <c r="CV13" s="1017"/>
      <c r="CW13" s="2044"/>
      <c r="CX13" s="15"/>
      <c r="CY13" s="15"/>
      <c r="CZ13" s="15"/>
      <c r="DA13" s="15"/>
      <c r="DB13" s="282"/>
      <c r="DC13" s="15"/>
      <c r="DD13" s="15"/>
      <c r="DE13" s="15"/>
      <c r="DF13" s="15"/>
      <c r="DG13" s="284"/>
      <c r="DH13" s="15"/>
      <c r="DI13" s="15"/>
      <c r="DJ13" s="15"/>
      <c r="DK13" s="15"/>
      <c r="DL13" s="284"/>
      <c r="DM13" s="15"/>
      <c r="DN13" s="15"/>
      <c r="DO13" s="15"/>
      <c r="DP13" s="15"/>
      <c r="DQ13" s="284"/>
      <c r="DR13" s="15"/>
      <c r="DS13" s="15"/>
      <c r="DT13" s="15"/>
      <c r="DU13" s="15"/>
      <c r="DV13" s="284"/>
      <c r="DW13" s="15"/>
      <c r="DX13" s="15"/>
      <c r="DY13" s="15"/>
      <c r="DZ13" s="15"/>
      <c r="EA13" s="284"/>
      <c r="EB13" s="1010"/>
      <c r="EC13" s="1010"/>
      <c r="ED13" s="1010"/>
      <c r="EE13" s="1010"/>
      <c r="EF13" s="1010"/>
      <c r="EG13" s="1243"/>
    </row>
    <row r="14" spans="1:137" x14ac:dyDescent="0.2">
      <c r="A14" s="446" t="s">
        <v>180</v>
      </c>
      <c r="B14" s="71"/>
      <c r="C14" s="71"/>
      <c r="D14" s="71"/>
      <c r="E14" s="71"/>
      <c r="F14" s="60"/>
      <c r="G14" s="71"/>
      <c r="H14" s="71"/>
      <c r="I14" s="71"/>
      <c r="J14" s="71"/>
      <c r="K14" s="60"/>
      <c r="L14" s="71">
        <v>95</v>
      </c>
      <c r="M14" s="71">
        <f>183-L14</f>
        <v>88</v>
      </c>
      <c r="N14" s="71">
        <f>265-M14-L14</f>
        <v>82</v>
      </c>
      <c r="O14" s="47">
        <f>P14-N14-M14-L14</f>
        <v>121</v>
      </c>
      <c r="P14" s="82">
        <v>386</v>
      </c>
      <c r="Q14" s="71">
        <v>82</v>
      </c>
      <c r="R14" s="71">
        <f>163-Q14</f>
        <v>81</v>
      </c>
      <c r="S14" s="71">
        <f>245-R14-Q14</f>
        <v>82</v>
      </c>
      <c r="T14" s="47">
        <f>U14-S14-R14-Q14</f>
        <v>109</v>
      </c>
      <c r="U14" s="82">
        <v>354</v>
      </c>
      <c r="V14" s="78">
        <v>73</v>
      </c>
      <c r="W14" s="71">
        <f>158-V14</f>
        <v>85</v>
      </c>
      <c r="X14" s="71">
        <f>243-W14-V14</f>
        <v>85</v>
      </c>
      <c r="Y14" s="47">
        <f>Z14-X14-W14-V14</f>
        <v>111</v>
      </c>
      <c r="Z14" s="82">
        <v>354</v>
      </c>
      <c r="AA14" s="71">
        <v>78</v>
      </c>
      <c r="AB14" s="71">
        <f>158-AA14</f>
        <v>80</v>
      </c>
      <c r="AC14" s="71">
        <f>244-AB14-AA14</f>
        <v>86</v>
      </c>
      <c r="AD14" s="71">
        <f>AE14-AC14-AB14-AA14</f>
        <v>126</v>
      </c>
      <c r="AE14" s="82">
        <v>370</v>
      </c>
      <c r="AF14" s="47">
        <v>87</v>
      </c>
      <c r="AG14" s="47">
        <f>181-AF14</f>
        <v>94</v>
      </c>
      <c r="AH14" s="47">
        <f>273-AG14-AF14</f>
        <v>92</v>
      </c>
      <c r="AI14" s="71">
        <f>401-AH14-AG14-AF14</f>
        <v>128</v>
      </c>
      <c r="AJ14" s="82">
        <f>SUM(AF14:AI14)</f>
        <v>401</v>
      </c>
      <c r="AK14" s="71">
        <v>95</v>
      </c>
      <c r="AL14" s="71">
        <f>195-AK14</f>
        <v>100</v>
      </c>
      <c r="AM14" s="71">
        <f>302-AL14-AK14</f>
        <v>107</v>
      </c>
      <c r="AN14" s="71">
        <f>AO14-AM14-AL14-AK14</f>
        <v>146</v>
      </c>
      <c r="AO14" s="82">
        <v>448</v>
      </c>
      <c r="AP14" s="71">
        <v>97</v>
      </c>
      <c r="AQ14" s="71">
        <f>208-AP14</f>
        <v>111</v>
      </c>
      <c r="AR14" s="71">
        <f>319-(SUM(AP14:AQ14))</f>
        <v>111</v>
      </c>
      <c r="AS14" s="71">
        <f>AT14-SUM(AP14:AR14)</f>
        <v>150</v>
      </c>
      <c r="AT14" s="78">
        <v>469</v>
      </c>
      <c r="AU14" s="78">
        <v>99</v>
      </c>
      <c r="AV14" s="71">
        <f>210-AU14</f>
        <v>111</v>
      </c>
      <c r="AW14" s="71">
        <f>319-AV14-AU14</f>
        <v>109</v>
      </c>
      <c r="AX14" s="71">
        <f>AY14-AW14-AV14-AU14</f>
        <v>160</v>
      </c>
      <c r="AY14" s="133">
        <v>479</v>
      </c>
      <c r="AZ14" s="78">
        <v>112</v>
      </c>
      <c r="BA14" s="71">
        <f>233-AZ14</f>
        <v>121</v>
      </c>
      <c r="BB14" s="71">
        <f>362-BA14-AZ14</f>
        <v>129</v>
      </c>
      <c r="BC14" s="71">
        <f t="shared" ref="BC14:BC28" si="0">BD14-BB14-BA14-AZ14</f>
        <v>180</v>
      </c>
      <c r="BD14" s="133">
        <v>542</v>
      </c>
      <c r="BE14" s="78">
        <v>120</v>
      </c>
      <c r="BF14" s="71">
        <f>250-BE14</f>
        <v>130</v>
      </c>
      <c r="BG14" s="71">
        <f>389-BF14-BE14</f>
        <v>139</v>
      </c>
      <c r="BH14" s="71">
        <f>BI14-BG14-BF14-BE14</f>
        <v>167</v>
      </c>
      <c r="BI14" s="133">
        <v>556</v>
      </c>
      <c r="BJ14" s="78">
        <v>117</v>
      </c>
      <c r="BK14" s="71">
        <f>246-BJ14</f>
        <v>129</v>
      </c>
      <c r="BL14" s="71">
        <f>385-BK14-BJ14</f>
        <v>139</v>
      </c>
      <c r="BM14" s="71">
        <f>BN14-BL14-BK14-BJ14</f>
        <v>195</v>
      </c>
      <c r="BN14" s="574">
        <v>580</v>
      </c>
      <c r="BO14" s="71">
        <v>119</v>
      </c>
      <c r="BP14" s="71">
        <f>256-BO14</f>
        <v>137</v>
      </c>
      <c r="BQ14" s="71">
        <f>383-BP14-BO14</f>
        <v>127</v>
      </c>
      <c r="BR14" s="71">
        <f t="shared" ref="BR14:BR28" si="1">BS14-BQ14-BP14-BO14</f>
        <v>206</v>
      </c>
      <c r="BS14" s="133">
        <v>589</v>
      </c>
      <c r="BT14" s="78">
        <v>123</v>
      </c>
      <c r="BU14" s="71">
        <f>269-BT14</f>
        <v>146</v>
      </c>
      <c r="BV14" s="71">
        <f>426-BU14-BT14</f>
        <v>157</v>
      </c>
      <c r="BW14" s="71">
        <f t="shared" ref="BW14:BW28" si="2">BX14-BV14-BU14-BT14</f>
        <v>202</v>
      </c>
      <c r="BX14" s="133">
        <v>628</v>
      </c>
      <c r="BY14" s="78">
        <v>138</v>
      </c>
      <c r="BZ14" s="71">
        <f>279-BY14</f>
        <v>141</v>
      </c>
      <c r="CA14" s="71">
        <f>429-SUM(BY14:BZ14)</f>
        <v>150</v>
      </c>
      <c r="CB14" s="71">
        <f t="shared" ref="CB14:CB28" si="3">CC14-SUM(BY14:CA14)</f>
        <v>216</v>
      </c>
      <c r="CC14" s="574">
        <v>645</v>
      </c>
      <c r="CD14" s="71">
        <v>130</v>
      </c>
      <c r="CE14" s="71">
        <f>300-CD14</f>
        <v>170</v>
      </c>
      <c r="CF14" s="71">
        <f>473-SUM(CD14:CE14)</f>
        <v>173</v>
      </c>
      <c r="CG14" s="71">
        <f t="shared" ref="CG14:CG28" si="4">CH14-SUM(CD14:CF14)</f>
        <v>248</v>
      </c>
      <c r="CH14" s="133">
        <v>721</v>
      </c>
      <c r="CI14" s="1012">
        <v>140</v>
      </c>
      <c r="CJ14" s="1012">
        <f>320-CI14</f>
        <v>180</v>
      </c>
      <c r="CK14" s="1012">
        <f>501-CJ14-CI14</f>
        <v>181</v>
      </c>
      <c r="CL14" s="1012">
        <f>CM14-CK14-CJ14-CI14</f>
        <v>238</v>
      </c>
      <c r="CM14" s="996">
        <v>739</v>
      </c>
      <c r="CN14" s="71">
        <v>59.917001338688095</v>
      </c>
      <c r="CO14" s="71">
        <v>80.607764390896932</v>
      </c>
      <c r="CP14" s="71">
        <v>77.159303882195459</v>
      </c>
      <c r="CQ14" s="71">
        <v>104.31593038821956</v>
      </c>
      <c r="CR14" s="970">
        <v>322</v>
      </c>
      <c r="CS14" s="1007">
        <v>55.847300622376608</v>
      </c>
      <c r="CT14" s="1007">
        <v>87.152699377623392</v>
      </c>
      <c r="CU14" s="1007">
        <v>59.169199594731509</v>
      </c>
      <c r="CV14" s="71">
        <f>CW14-CU14-CT14-CS14</f>
        <v>111.83080040526848</v>
      </c>
      <c r="CW14" s="1231">
        <v>314</v>
      </c>
      <c r="CX14" s="71">
        <v>70</v>
      </c>
      <c r="CY14" s="71">
        <f>135-CX14</f>
        <v>65</v>
      </c>
      <c r="CZ14" s="71">
        <f>195-CY14-CX14</f>
        <v>60</v>
      </c>
      <c r="DA14" s="71">
        <f>253-SUM(CX14:CZ14)</f>
        <v>58</v>
      </c>
      <c r="DB14" s="133">
        <f>SUM(CX14:DA14)</f>
        <v>253</v>
      </c>
      <c r="DC14" s="71">
        <f>DC91*'IS '!DC22</f>
        <v>43.455451264359191</v>
      </c>
      <c r="DD14" s="71">
        <f>DD91*'IS '!DD22</f>
        <v>48.066512512403335</v>
      </c>
      <c r="DE14" s="71">
        <f>DE91*'IS '!DE22</f>
        <v>31.700736285434211</v>
      </c>
      <c r="DF14" s="71">
        <f>DF91*'IS '!DF22</f>
        <v>45.050723422972574</v>
      </c>
      <c r="DG14" s="139">
        <f>SUM(DC14:DF14)</f>
        <v>168.2734234851693</v>
      </c>
      <c r="DH14" s="71">
        <f>DH91*'IS '!DH22</f>
        <v>34.797320189293316</v>
      </c>
      <c r="DI14" s="71">
        <f>DI91*'IS '!DI22</f>
        <v>34.911743795678191</v>
      </c>
      <c r="DJ14" s="71">
        <f>DJ91*'IS '!DJ22</f>
        <v>35.160613168375455</v>
      </c>
      <c r="DK14" s="71">
        <f>DK91*'IS '!DK22</f>
        <v>42.678699264594449</v>
      </c>
      <c r="DL14" s="139">
        <f>SUM(DH14:DK14)</f>
        <v>147.54837641794143</v>
      </c>
      <c r="DM14" s="71">
        <f>DM91*'IS '!DM22</f>
        <v>28.474402217607349</v>
      </c>
      <c r="DN14" s="71">
        <f>DN91*'IS '!DN22</f>
        <v>31.589305682606394</v>
      </c>
      <c r="DO14" s="71">
        <f>DO91*'IS '!DO22</f>
        <v>21.657504035185855</v>
      </c>
      <c r="DP14" s="71">
        <f>DP91*'IS '!DP22</f>
        <v>39.000094470825232</v>
      </c>
      <c r="DQ14" s="139">
        <f>SUM(DM14:DP14)</f>
        <v>120.72130640622483</v>
      </c>
      <c r="DR14" s="71">
        <f>DR91*'IS '!DR22</f>
        <v>30.897489581288664</v>
      </c>
      <c r="DS14" s="71">
        <f>DS91*'IS '!DS22</f>
        <v>34.281161981932179</v>
      </c>
      <c r="DT14" s="71">
        <f>DT91*'IS '!DT22</f>
        <v>23.482326700155301</v>
      </c>
      <c r="DU14" s="71">
        <f>DU91*'IS '!DU22</f>
        <v>42.303444486415898</v>
      </c>
      <c r="DV14" s="139">
        <f>SUM(DR14:DU14)</f>
        <v>130.96442274979205</v>
      </c>
      <c r="DW14" s="71">
        <f>DW91*'IS '!DW22</f>
        <v>33.514956588012346</v>
      </c>
      <c r="DX14" s="71">
        <f>DX91*'IS '!DX22</f>
        <v>37.322136899600984</v>
      </c>
      <c r="DY14" s="71">
        <f>DY91*'IS '!DY22</f>
        <v>25.634216341914829</v>
      </c>
      <c r="DZ14" s="71">
        <f>DZ91*'IS '!DZ22</f>
        <v>46.363391210723364</v>
      </c>
      <c r="EA14" s="139">
        <f>SUM(DW14:DZ14)</f>
        <v>142.83470104025153</v>
      </c>
      <c r="EB14" s="1010"/>
      <c r="EC14" s="1010"/>
      <c r="ED14" s="1010"/>
      <c r="EE14" s="1010"/>
      <c r="EF14" s="1010"/>
      <c r="EG14" s="1243"/>
    </row>
    <row r="15" spans="1:137" x14ac:dyDescent="0.2">
      <c r="A15" s="446" t="s">
        <v>460</v>
      </c>
      <c r="B15" s="71"/>
      <c r="C15" s="71"/>
      <c r="D15" s="71"/>
      <c r="E15" s="71"/>
      <c r="F15" s="60"/>
      <c r="G15" s="71"/>
      <c r="H15" s="71"/>
      <c r="I15" s="71"/>
      <c r="J15" s="71"/>
      <c r="K15" s="60"/>
      <c r="L15" s="71"/>
      <c r="M15" s="71"/>
      <c r="N15" s="71"/>
      <c r="O15" s="47"/>
      <c r="P15" s="82"/>
      <c r="Q15" s="71"/>
      <c r="R15" s="71"/>
      <c r="S15" s="71"/>
      <c r="T15" s="47"/>
      <c r="U15" s="82"/>
      <c r="V15" s="78"/>
      <c r="W15" s="71"/>
      <c r="X15" s="71"/>
      <c r="Y15" s="47"/>
      <c r="Z15" s="82"/>
      <c r="AA15" s="71"/>
      <c r="AB15" s="71"/>
      <c r="AC15" s="71"/>
      <c r="AD15" s="71"/>
      <c r="AE15" s="82"/>
      <c r="AF15" s="47"/>
      <c r="AG15" s="47"/>
      <c r="AH15" s="47"/>
      <c r="AI15" s="71"/>
      <c r="AJ15" s="82"/>
      <c r="AK15" s="71"/>
      <c r="AL15" s="71"/>
      <c r="AM15" s="71"/>
      <c r="AN15" s="71"/>
      <c r="AO15" s="82"/>
      <c r="AP15" s="71"/>
      <c r="AQ15" s="71"/>
      <c r="AR15" s="71"/>
      <c r="AS15" s="71"/>
      <c r="AT15" s="78"/>
      <c r="AU15" s="78">
        <v>6</v>
      </c>
      <c r="AV15" s="71">
        <f>24-AU15</f>
        <v>18</v>
      </c>
      <c r="AW15" s="71">
        <f>25-AV15-AU15</f>
        <v>1</v>
      </c>
      <c r="AX15" s="71">
        <f>AY15-AW15-AV15-AU15</f>
        <v>34</v>
      </c>
      <c r="AY15" s="133">
        <v>59</v>
      </c>
      <c r="AZ15" s="78">
        <v>4</v>
      </c>
      <c r="BA15" s="71">
        <f>13-AZ15</f>
        <v>9</v>
      </c>
      <c r="BB15" s="71">
        <f>12-BA15-AZ15</f>
        <v>-1</v>
      </c>
      <c r="BC15" s="71">
        <f t="shared" si="0"/>
        <v>23</v>
      </c>
      <c r="BD15" s="133">
        <v>35</v>
      </c>
      <c r="BE15" s="78">
        <v>-2</v>
      </c>
      <c r="BF15" s="71">
        <f>6-BE15</f>
        <v>8</v>
      </c>
      <c r="BG15" s="71">
        <f>9-BF15-BE15</f>
        <v>3</v>
      </c>
      <c r="BH15" s="71">
        <f>BI15-BG15-BF15-BE15</f>
        <v>34</v>
      </c>
      <c r="BI15" s="133">
        <v>43</v>
      </c>
      <c r="BJ15" s="78">
        <v>4</v>
      </c>
      <c r="BK15" s="71">
        <f>26-BJ15</f>
        <v>22</v>
      </c>
      <c r="BL15" s="71">
        <f>31-BK15-BJ15</f>
        <v>5</v>
      </c>
      <c r="BM15" s="71">
        <f>BN15-BL15-BK15-BJ15</f>
        <v>72</v>
      </c>
      <c r="BN15" s="574">
        <v>103</v>
      </c>
      <c r="BO15" s="71">
        <v>4</v>
      </c>
      <c r="BP15" s="71">
        <f>16-BO15</f>
        <v>12</v>
      </c>
      <c r="BQ15" s="71">
        <f>21-BP15-BO15</f>
        <v>5</v>
      </c>
      <c r="BR15" s="71">
        <f t="shared" si="1"/>
        <v>26</v>
      </c>
      <c r="BS15" s="133">
        <v>47</v>
      </c>
      <c r="BT15" s="78">
        <v>69</v>
      </c>
      <c r="BU15" s="71">
        <f>88-BT15</f>
        <v>19</v>
      </c>
      <c r="BV15" s="71">
        <f>113-BU15-BT15</f>
        <v>25</v>
      </c>
      <c r="BW15" s="71">
        <f t="shared" si="2"/>
        <v>22</v>
      </c>
      <c r="BX15" s="133">
        <v>135</v>
      </c>
      <c r="BY15" s="78">
        <v>1</v>
      </c>
      <c r="BZ15" s="71">
        <f>5-BY15</f>
        <v>4</v>
      </c>
      <c r="CA15" s="71">
        <f>9-SUM(BY15:BZ15)</f>
        <v>4</v>
      </c>
      <c r="CB15" s="71">
        <f t="shared" si="3"/>
        <v>28</v>
      </c>
      <c r="CC15" s="574">
        <v>37</v>
      </c>
      <c r="CD15" s="71">
        <v>4</v>
      </c>
      <c r="CE15" s="71">
        <f>10-CD15</f>
        <v>6</v>
      </c>
      <c r="CF15" s="71">
        <f>310-SUM(CD15:CE15)</f>
        <v>300</v>
      </c>
      <c r="CG15" s="71">
        <f t="shared" si="4"/>
        <v>21</v>
      </c>
      <c r="CH15" s="133">
        <v>331</v>
      </c>
      <c r="CI15" s="1012">
        <v>3</v>
      </c>
      <c r="CJ15" s="1012">
        <f>24-CI15</f>
        <v>21</v>
      </c>
      <c r="CK15" s="1012">
        <f>30-CJ15-CI15</f>
        <v>6</v>
      </c>
      <c r="CL15" s="1012">
        <f>CM15-CK15-CJ15-CI15</f>
        <v>505</v>
      </c>
      <c r="CM15" s="996">
        <v>535</v>
      </c>
      <c r="CN15" s="860"/>
      <c r="CO15" s="71"/>
      <c r="CP15" s="71"/>
      <c r="CQ15" s="71"/>
      <c r="CR15" s="1081">
        <v>15</v>
      </c>
      <c r="CS15" s="1007">
        <v>3</v>
      </c>
      <c r="CT15" s="1007">
        <v>6</v>
      </c>
      <c r="CU15" s="1007">
        <v>2</v>
      </c>
      <c r="CV15" s="71">
        <f>CW15-CU15-CT15-CS15</f>
        <v>3</v>
      </c>
      <c r="CW15" s="1231">
        <v>14</v>
      </c>
      <c r="CX15" s="71">
        <v>1</v>
      </c>
      <c r="CY15" s="71">
        <f>2-CX15</f>
        <v>1</v>
      </c>
      <c r="CZ15" s="71">
        <f>3-CY15-CX15</f>
        <v>1</v>
      </c>
      <c r="DA15" s="71">
        <f>3-SUM(CX15:CZ15)</f>
        <v>0</v>
      </c>
      <c r="DB15" s="133">
        <f>SUM(CX15:DA15)</f>
        <v>3</v>
      </c>
      <c r="DC15" s="79">
        <f>'IS '!DC32</f>
        <v>5</v>
      </c>
      <c r="DD15" s="79">
        <f>'IS '!DD32</f>
        <v>5</v>
      </c>
      <c r="DE15" s="79">
        <f>'IS '!DE32</f>
        <v>4</v>
      </c>
      <c r="DF15" s="79">
        <f>'IS '!DF32</f>
        <v>5</v>
      </c>
      <c r="DG15" s="139">
        <f>SUM(DC15:DF15)</f>
        <v>19</v>
      </c>
      <c r="DH15" s="79">
        <f>'IS '!DH32</f>
        <v>5</v>
      </c>
      <c r="DI15" s="79">
        <f>'IS '!DI32</f>
        <v>5</v>
      </c>
      <c r="DJ15" s="79">
        <f>'IS '!DJ32</f>
        <v>4</v>
      </c>
      <c r="DK15" s="79">
        <f>'IS '!DK32</f>
        <v>5</v>
      </c>
      <c r="DL15" s="139">
        <f>SUM(DH15:DK15)</f>
        <v>19</v>
      </c>
      <c r="DM15" s="79">
        <f>'IS '!DM32</f>
        <v>5</v>
      </c>
      <c r="DN15" s="79">
        <f>'IS '!DN32</f>
        <v>5</v>
      </c>
      <c r="DO15" s="79">
        <f>'IS '!DO32</f>
        <v>4</v>
      </c>
      <c r="DP15" s="79">
        <f>'IS '!DP32</f>
        <v>5</v>
      </c>
      <c r="DQ15" s="139">
        <f>SUM(DM15:DP15)</f>
        <v>19</v>
      </c>
      <c r="DR15" s="79">
        <f>'IS '!DR32</f>
        <v>5</v>
      </c>
      <c r="DS15" s="79">
        <f>'IS '!DS32</f>
        <v>5</v>
      </c>
      <c r="DT15" s="79">
        <f>'IS '!DT32</f>
        <v>4</v>
      </c>
      <c r="DU15" s="79">
        <f>'IS '!DU32</f>
        <v>5</v>
      </c>
      <c r="DV15" s="139">
        <f>SUM(DR15:DU15)</f>
        <v>19</v>
      </c>
      <c r="DW15" s="79">
        <f>'IS '!DW32</f>
        <v>5</v>
      </c>
      <c r="DX15" s="79">
        <f>'IS '!DX32</f>
        <v>5</v>
      </c>
      <c r="DY15" s="79">
        <f>'IS '!DY32</f>
        <v>4</v>
      </c>
      <c r="DZ15" s="79">
        <f>'IS '!DZ32</f>
        <v>5</v>
      </c>
      <c r="EA15" s="139">
        <f>SUM(DW15:DZ15)</f>
        <v>19</v>
      </c>
      <c r="EB15" s="1010"/>
      <c r="EC15" s="1010"/>
      <c r="ED15" s="1010"/>
      <c r="EE15" s="1010"/>
      <c r="EF15" s="1010"/>
      <c r="EG15" s="1243"/>
    </row>
    <row r="16" spans="1:137" x14ac:dyDescent="0.2">
      <c r="A16" s="446" t="s">
        <v>461</v>
      </c>
      <c r="B16" s="71"/>
      <c r="C16" s="71"/>
      <c r="D16" s="71"/>
      <c r="E16" s="71"/>
      <c r="F16" s="60"/>
      <c r="G16" s="71"/>
      <c r="H16" s="71"/>
      <c r="I16" s="71"/>
      <c r="J16" s="71"/>
      <c r="K16" s="60"/>
      <c r="L16" s="71"/>
      <c r="M16" s="71"/>
      <c r="N16" s="71"/>
      <c r="O16" s="47"/>
      <c r="P16" s="82"/>
      <c r="Q16" s="71"/>
      <c r="R16" s="71"/>
      <c r="S16" s="71"/>
      <c r="T16" s="47"/>
      <c r="U16" s="82"/>
      <c r="V16" s="78"/>
      <c r="W16" s="71"/>
      <c r="X16" s="71"/>
      <c r="Y16" s="47"/>
      <c r="Z16" s="82"/>
      <c r="AA16" s="71"/>
      <c r="AB16" s="71"/>
      <c r="AC16" s="71"/>
      <c r="AD16" s="71"/>
      <c r="AE16" s="82"/>
      <c r="AF16" s="47"/>
      <c r="AG16" s="47"/>
      <c r="AH16" s="47"/>
      <c r="AI16" s="71"/>
      <c r="AJ16" s="82"/>
      <c r="AK16" s="71"/>
      <c r="AL16" s="71"/>
      <c r="AM16" s="71"/>
      <c r="AN16" s="71"/>
      <c r="AO16" s="82"/>
      <c r="AP16" s="71"/>
      <c r="AQ16" s="71"/>
      <c r="AR16" s="71"/>
      <c r="AS16" s="71"/>
      <c r="AT16" s="78"/>
      <c r="AU16" s="78">
        <v>4</v>
      </c>
      <c r="AV16" s="71">
        <f>-11-AU16</f>
        <v>-15</v>
      </c>
      <c r="AW16" s="71">
        <f>-7-AV16-AU16</f>
        <v>4</v>
      </c>
      <c r="AX16" s="71">
        <f>AY16-AW16-AV16-AU16</f>
        <v>-17</v>
      </c>
      <c r="AY16" s="133">
        <v>-24</v>
      </c>
      <c r="AZ16" s="78">
        <v>-1</v>
      </c>
      <c r="BA16" s="71">
        <f>-5-AZ16</f>
        <v>-4</v>
      </c>
      <c r="BB16" s="71">
        <f>-5-BA16-AZ16</f>
        <v>0</v>
      </c>
      <c r="BC16" s="71">
        <f t="shared" si="0"/>
        <v>-6</v>
      </c>
      <c r="BD16" s="133">
        <v>-11</v>
      </c>
      <c r="BE16" s="78">
        <v>25</v>
      </c>
      <c r="BF16" s="71">
        <f>24-BE16</f>
        <v>-1</v>
      </c>
      <c r="BG16" s="71">
        <f>16-BF16-BE16</f>
        <v>-8</v>
      </c>
      <c r="BH16" s="71">
        <f>BI16-BG16-BF16-BE16</f>
        <v>-21</v>
      </c>
      <c r="BI16" s="133">
        <v>-5</v>
      </c>
      <c r="BJ16" s="78">
        <v>-14</v>
      </c>
      <c r="BK16" s="71">
        <f>-13-BJ16</f>
        <v>1</v>
      </c>
      <c r="BL16" s="71">
        <f>-9-BK16-BJ16</f>
        <v>4</v>
      </c>
      <c r="BM16" s="71">
        <f>BN16-BL16-BK16-BJ16</f>
        <v>-17</v>
      </c>
      <c r="BN16" s="574">
        <v>-26</v>
      </c>
      <c r="BO16" s="71">
        <v>63</v>
      </c>
      <c r="BP16" s="71">
        <f>53-BO16</f>
        <v>-10</v>
      </c>
      <c r="BQ16" s="71">
        <f>51-BP16-BO16</f>
        <v>-2</v>
      </c>
      <c r="BR16" s="71">
        <f t="shared" si="1"/>
        <v>12</v>
      </c>
      <c r="BS16" s="133">
        <v>63</v>
      </c>
      <c r="BT16" s="78">
        <v>-2</v>
      </c>
      <c r="BU16" s="71">
        <f>3-BT16</f>
        <v>5</v>
      </c>
      <c r="BV16" s="71">
        <f>69-BU16-BT16</f>
        <v>66</v>
      </c>
      <c r="BW16" s="71">
        <f t="shared" si="2"/>
        <v>3</v>
      </c>
      <c r="BX16" s="133">
        <v>72</v>
      </c>
      <c r="BY16" s="78">
        <v>-26</v>
      </c>
      <c r="BZ16" s="71">
        <f>-39-BY16</f>
        <v>-13</v>
      </c>
      <c r="CA16" s="71">
        <f>-41-SUM(BY16:BZ16)</f>
        <v>-2</v>
      </c>
      <c r="CB16" s="71">
        <f t="shared" si="3"/>
        <v>-37</v>
      </c>
      <c r="CC16" s="574">
        <v>-78</v>
      </c>
      <c r="CD16" s="71">
        <v>-17</v>
      </c>
      <c r="CE16" s="71">
        <f>-49-CD16</f>
        <v>-32</v>
      </c>
      <c r="CF16" s="71">
        <f>-87-SUM(CD16:CE16)</f>
        <v>-38</v>
      </c>
      <c r="CG16" s="71">
        <f t="shared" si="4"/>
        <v>-13</v>
      </c>
      <c r="CH16" s="133">
        <v>-100</v>
      </c>
      <c r="CI16" s="1012">
        <v>-3</v>
      </c>
      <c r="CJ16" s="1012">
        <f>-7-CI16</f>
        <v>-4</v>
      </c>
      <c r="CK16" s="1012">
        <f>-27-CJ16-CI16</f>
        <v>-20</v>
      </c>
      <c r="CL16" s="1012">
        <f>CM16-CK16-CJ16-CI16</f>
        <v>-6</v>
      </c>
      <c r="CM16" s="996">
        <v>-33</v>
      </c>
      <c r="CN16" s="860"/>
      <c r="CO16" s="71"/>
      <c r="CP16" s="71"/>
      <c r="CQ16" s="71"/>
      <c r="CR16" s="1081">
        <v>23</v>
      </c>
      <c r="CS16" s="1007">
        <v>-5</v>
      </c>
      <c r="CT16" s="1007">
        <v>-51</v>
      </c>
      <c r="CU16" s="1007">
        <v>-25</v>
      </c>
      <c r="CV16" s="71">
        <f>CW16-CU16-CT16-CS16</f>
        <v>-60</v>
      </c>
      <c r="CW16" s="1231">
        <v>-141</v>
      </c>
      <c r="CX16" s="71">
        <v>-111</v>
      </c>
      <c r="CY16" s="71">
        <f>-130-CX16</f>
        <v>-19</v>
      </c>
      <c r="CZ16" s="71">
        <f>-331-CY16-CX16</f>
        <v>-201</v>
      </c>
      <c r="DA16" s="71">
        <f>-1083-SUM(CX16:CZ16)</f>
        <v>-752</v>
      </c>
      <c r="DB16" s="133">
        <f>SUM(CX16:DA16)</f>
        <v>-1083</v>
      </c>
      <c r="DC16" s="79">
        <f>'IS '!DC35</f>
        <v>0</v>
      </c>
      <c r="DD16" s="79">
        <f>'IS '!DD35</f>
        <v>0</v>
      </c>
      <c r="DE16" s="79">
        <f>'IS '!DE35</f>
        <v>0</v>
      </c>
      <c r="DF16" s="79">
        <f>'IS '!DF35</f>
        <v>0</v>
      </c>
      <c r="DG16" s="139">
        <f>SUM(DC16:DF16)</f>
        <v>0</v>
      </c>
      <c r="DH16" s="79">
        <f>'IS '!DH35</f>
        <v>0</v>
      </c>
      <c r="DI16" s="79">
        <f>'IS '!DI35</f>
        <v>0</v>
      </c>
      <c r="DJ16" s="79">
        <f>'IS '!DJ35</f>
        <v>0</v>
      </c>
      <c r="DK16" s="79">
        <f>'IS '!DK35</f>
        <v>0</v>
      </c>
      <c r="DL16" s="139">
        <f>SUM(DH16:DK16)</f>
        <v>0</v>
      </c>
      <c r="DM16" s="79">
        <f>'IS '!DM35</f>
        <v>0</v>
      </c>
      <c r="DN16" s="79">
        <f>'IS '!DN35</f>
        <v>0</v>
      </c>
      <c r="DO16" s="79">
        <f>'IS '!DO35</f>
        <v>0</v>
      </c>
      <c r="DP16" s="79">
        <f>'IS '!DP35</f>
        <v>0</v>
      </c>
      <c r="DQ16" s="139">
        <f>SUM(DM16:DP16)</f>
        <v>0</v>
      </c>
      <c r="DR16" s="79">
        <f>'IS '!DR35</f>
        <v>0</v>
      </c>
      <c r="DS16" s="79">
        <f>'IS '!DS35</f>
        <v>0</v>
      </c>
      <c r="DT16" s="79">
        <f>'IS '!DT35</f>
        <v>0</v>
      </c>
      <c r="DU16" s="79">
        <f>'IS '!DU35</f>
        <v>0</v>
      </c>
      <c r="DV16" s="139">
        <f>SUM(DR16:DU16)</f>
        <v>0</v>
      </c>
      <c r="DW16" s="79">
        <f>'IS '!DW35</f>
        <v>0</v>
      </c>
      <c r="DX16" s="79">
        <f>'IS '!DX35</f>
        <v>0</v>
      </c>
      <c r="DY16" s="79">
        <f>'IS '!DY35</f>
        <v>0</v>
      </c>
      <c r="DZ16" s="79">
        <f>'IS '!DZ35</f>
        <v>0</v>
      </c>
      <c r="EA16" s="139">
        <f>SUM(DW16:DZ16)</f>
        <v>0</v>
      </c>
      <c r="EB16" s="1010"/>
      <c r="EC16" s="1010"/>
      <c r="ED16" s="1010"/>
      <c r="EE16" s="1010"/>
      <c r="EF16" s="1010"/>
      <c r="EG16" s="1243"/>
    </row>
    <row r="17" spans="1:137" x14ac:dyDescent="0.2">
      <c r="A17" s="446" t="s">
        <v>376</v>
      </c>
      <c r="B17" s="71"/>
      <c r="C17" s="71"/>
      <c r="D17" s="71"/>
      <c r="E17" s="71"/>
      <c r="F17" s="60"/>
      <c r="G17" s="71"/>
      <c r="H17" s="71"/>
      <c r="I17" s="71"/>
      <c r="J17" s="71"/>
      <c r="K17" s="60"/>
      <c r="L17" s="71">
        <v>-34</v>
      </c>
      <c r="M17" s="71">
        <f>-167-L17</f>
        <v>-133</v>
      </c>
      <c r="N17" s="71">
        <f>-311-M17-L17</f>
        <v>-144</v>
      </c>
      <c r="O17" s="47">
        <f>P17-N17-M17-L17</f>
        <v>-70</v>
      </c>
      <c r="P17" s="82">
        <v>-381</v>
      </c>
      <c r="Q17" s="71">
        <v>-47</v>
      </c>
      <c r="R17" s="71">
        <f>-113-Q17</f>
        <v>-66</v>
      </c>
      <c r="S17" s="71">
        <f>-116-R17-Q17</f>
        <v>-3</v>
      </c>
      <c r="T17" s="47">
        <f>U17-S17-R17-Q17</f>
        <v>-60</v>
      </c>
      <c r="U17" s="82">
        <v>-176</v>
      </c>
      <c r="V17" s="78">
        <v>2</v>
      </c>
      <c r="W17" s="71">
        <f>-16-V17</f>
        <v>-18</v>
      </c>
      <c r="X17" s="71">
        <f>-25-W17-V17</f>
        <v>-9</v>
      </c>
      <c r="Y17" s="47">
        <f>Z17-X17-W17-V17</f>
        <v>26</v>
      </c>
      <c r="Z17" s="82">
        <v>1</v>
      </c>
      <c r="AA17" s="71">
        <v>9</v>
      </c>
      <c r="AB17" s="71">
        <f>19-AA17</f>
        <v>10</v>
      </c>
      <c r="AC17" s="71">
        <f>32-AB17-AA17</f>
        <v>13</v>
      </c>
      <c r="AD17" s="71">
        <f>AE17-AC17-AB17-AA17</f>
        <v>0</v>
      </c>
      <c r="AE17" s="82">
        <v>32</v>
      </c>
      <c r="AF17" s="71">
        <v>7</v>
      </c>
      <c r="AG17" s="71">
        <f>7-AF17</f>
        <v>0</v>
      </c>
      <c r="AH17" s="71">
        <f>13-AG17-AF17</f>
        <v>6</v>
      </c>
      <c r="AI17" s="71">
        <f>36-AH17-AG17-AF17</f>
        <v>23</v>
      </c>
      <c r="AJ17" s="82">
        <f t="shared" ref="AJ17:AJ23" si="5">SUM(AF17:AI17)</f>
        <v>36</v>
      </c>
      <c r="AK17" s="71">
        <v>9</v>
      </c>
      <c r="AL17" s="71">
        <f>19-AK17</f>
        <v>10</v>
      </c>
      <c r="AM17" s="71">
        <f>22-AL17-AK17</f>
        <v>3</v>
      </c>
      <c r="AN17" s="71">
        <f t="shared" ref="AN17:AN23" si="6">AO17-AM17-AL17-AK17</f>
        <v>4</v>
      </c>
      <c r="AO17" s="82">
        <v>26</v>
      </c>
      <c r="AP17" s="71">
        <v>11</v>
      </c>
      <c r="AQ17" s="71">
        <f>15-AP17</f>
        <v>4</v>
      </c>
      <c r="AR17" s="71">
        <f>22-AQ17-AP17</f>
        <v>7</v>
      </c>
      <c r="AS17" s="71">
        <f>AT17-SUM(AP17:AR17)</f>
        <v>-3</v>
      </c>
      <c r="AT17" s="78">
        <v>19</v>
      </c>
      <c r="AU17" s="77"/>
      <c r="AV17" s="62"/>
      <c r="AW17" s="62"/>
      <c r="AX17" s="62"/>
      <c r="AY17" s="133">
        <v>0</v>
      </c>
      <c r="AZ17" s="77"/>
      <c r="BA17" s="62"/>
      <c r="BB17" s="62"/>
      <c r="BC17" s="62">
        <f t="shared" si="0"/>
        <v>0</v>
      </c>
      <c r="BD17" s="133"/>
      <c r="BE17" s="77"/>
      <c r="BF17" s="62"/>
      <c r="BG17" s="62"/>
      <c r="BH17" s="62"/>
      <c r="BI17" s="133"/>
      <c r="BJ17" s="77"/>
      <c r="BK17" s="62"/>
      <c r="BL17" s="62"/>
      <c r="BM17" s="62"/>
      <c r="BN17" s="574"/>
      <c r="BO17" s="62">
        <v>0</v>
      </c>
      <c r="BP17" s="62">
        <v>0</v>
      </c>
      <c r="BQ17" s="62">
        <v>0</v>
      </c>
      <c r="BR17" s="62">
        <f t="shared" si="1"/>
        <v>0</v>
      </c>
      <c r="BS17" s="133">
        <v>0</v>
      </c>
      <c r="BT17" s="77"/>
      <c r="BU17" s="62">
        <v>0</v>
      </c>
      <c r="BV17" s="62">
        <v>0</v>
      </c>
      <c r="BW17" s="62">
        <f t="shared" si="2"/>
        <v>0</v>
      </c>
      <c r="BX17" s="133">
        <v>0</v>
      </c>
      <c r="BY17" s="77">
        <v>0</v>
      </c>
      <c r="BZ17" s="62">
        <f>0-BY17</f>
        <v>0</v>
      </c>
      <c r="CA17" s="62">
        <f>0-SUM(BY17:BZ17)</f>
        <v>0</v>
      </c>
      <c r="CB17" s="62">
        <f t="shared" si="3"/>
        <v>0</v>
      </c>
      <c r="CC17" s="574">
        <v>0</v>
      </c>
      <c r="CD17" s="77">
        <v>0</v>
      </c>
      <c r="CE17" s="62">
        <v>0</v>
      </c>
      <c r="CF17" s="62">
        <v>0</v>
      </c>
      <c r="CG17" s="62">
        <f t="shared" si="4"/>
        <v>0</v>
      </c>
      <c r="CH17" s="133">
        <v>0</v>
      </c>
      <c r="CI17" s="1014"/>
      <c r="CJ17" s="1015"/>
      <c r="CK17" s="1015"/>
      <c r="CL17" s="1015"/>
      <c r="CM17" s="997"/>
      <c r="CN17" s="864"/>
      <c r="CO17" s="62"/>
      <c r="CP17" s="62"/>
      <c r="CQ17" s="62"/>
      <c r="CR17" s="1255"/>
      <c r="CS17" s="1046"/>
      <c r="CT17" s="1046"/>
      <c r="CU17" s="1046"/>
      <c r="CV17" s="62"/>
      <c r="CW17" s="1231"/>
      <c r="CX17" s="62"/>
      <c r="CY17" s="62"/>
      <c r="CZ17" s="62"/>
      <c r="DA17" s="62"/>
      <c r="DB17" s="133"/>
      <c r="DC17" s="161"/>
      <c r="DD17" s="161"/>
      <c r="DE17" s="161"/>
      <c r="DF17" s="161"/>
      <c r="DG17" s="139"/>
      <c r="DH17" s="161"/>
      <c r="DI17" s="161"/>
      <c r="DJ17" s="161"/>
      <c r="DK17" s="161"/>
      <c r="DL17" s="139"/>
      <c r="DM17" s="161"/>
      <c r="DN17" s="161"/>
      <c r="DO17" s="161"/>
      <c r="DP17" s="161"/>
      <c r="DQ17" s="139"/>
      <c r="DR17" s="161"/>
      <c r="DS17" s="161"/>
      <c r="DT17" s="161"/>
      <c r="DU17" s="161"/>
      <c r="DV17" s="139"/>
      <c r="DW17" s="161"/>
      <c r="DX17" s="161"/>
      <c r="DY17" s="161"/>
      <c r="DZ17" s="161"/>
      <c r="EA17" s="139"/>
      <c r="EB17" s="1010"/>
      <c r="EC17" s="1010"/>
      <c r="ED17" s="1010"/>
      <c r="EE17" s="1010"/>
      <c r="EF17" s="1010"/>
      <c r="EG17" s="1243"/>
    </row>
    <row r="18" spans="1:137" x14ac:dyDescent="0.2">
      <c r="A18" s="446" t="s">
        <v>377</v>
      </c>
      <c r="B18" s="71"/>
      <c r="C18" s="71"/>
      <c r="D18" s="71"/>
      <c r="E18" s="71"/>
      <c r="F18" s="60"/>
      <c r="G18" s="71"/>
      <c r="H18" s="71"/>
      <c r="I18" s="71"/>
      <c r="J18" s="71"/>
      <c r="K18" s="60"/>
      <c r="L18" s="71"/>
      <c r="M18" s="71"/>
      <c r="N18" s="71"/>
      <c r="O18" s="47"/>
      <c r="P18" s="82"/>
      <c r="Q18" s="71"/>
      <c r="R18" s="71"/>
      <c r="S18" s="71"/>
      <c r="T18" s="47"/>
      <c r="U18" s="82"/>
      <c r="V18" s="78"/>
      <c r="W18" s="71"/>
      <c r="X18" s="71"/>
      <c r="Y18" s="47"/>
      <c r="Z18" s="82"/>
      <c r="AA18" s="71">
        <v>0</v>
      </c>
      <c r="AB18" s="71">
        <v>0</v>
      </c>
      <c r="AC18" s="71">
        <v>0</v>
      </c>
      <c r="AD18" s="71">
        <v>0</v>
      </c>
      <c r="AE18" s="82">
        <v>0</v>
      </c>
      <c r="AF18" s="71">
        <v>0</v>
      </c>
      <c r="AG18" s="71">
        <f>35-AF18</f>
        <v>35</v>
      </c>
      <c r="AH18" s="71">
        <f>42-AG18-AF18</f>
        <v>7</v>
      </c>
      <c r="AI18" s="71">
        <f>42-AH18-AG18-AF18</f>
        <v>0</v>
      </c>
      <c r="AJ18" s="82">
        <f t="shared" si="5"/>
        <v>42</v>
      </c>
      <c r="AK18" s="71">
        <v>0</v>
      </c>
      <c r="AL18" s="71">
        <v>0</v>
      </c>
      <c r="AM18" s="71">
        <v>0</v>
      </c>
      <c r="AN18" s="71">
        <f t="shared" si="6"/>
        <v>-14</v>
      </c>
      <c r="AO18" s="82">
        <v>-14</v>
      </c>
      <c r="AP18" s="71">
        <v>0</v>
      </c>
      <c r="AQ18" s="71">
        <v>0</v>
      </c>
      <c r="AR18" s="71">
        <v>0</v>
      </c>
      <c r="AS18" s="71">
        <f>AT18-SUM(AP18:AR18)</f>
        <v>0</v>
      </c>
      <c r="AT18" s="78"/>
      <c r="AU18" s="77">
        <v>0</v>
      </c>
      <c r="AV18" s="62">
        <f>AU18</f>
        <v>0</v>
      </c>
      <c r="AW18" s="62">
        <f>AV18</f>
        <v>0</v>
      </c>
      <c r="AX18" s="62">
        <f t="shared" ref="AX18:AX28" si="7">AY18-AW18-AV18-AU18</f>
        <v>0</v>
      </c>
      <c r="AY18" s="133">
        <v>0</v>
      </c>
      <c r="AZ18" s="77">
        <v>0</v>
      </c>
      <c r="BA18" s="62">
        <v>0</v>
      </c>
      <c r="BB18" s="62">
        <f>BA18</f>
        <v>0</v>
      </c>
      <c r="BC18" s="62">
        <f t="shared" si="0"/>
        <v>0</v>
      </c>
      <c r="BD18" s="133">
        <v>0</v>
      </c>
      <c r="BE18" s="77">
        <v>0</v>
      </c>
      <c r="BF18" s="62">
        <v>0</v>
      </c>
      <c r="BG18" s="62">
        <v>0</v>
      </c>
      <c r="BH18" s="62">
        <f t="shared" ref="BH18:BH28" si="8">BI18-BG18-BF18-BE18</f>
        <v>0</v>
      </c>
      <c r="BI18" s="133">
        <v>0</v>
      </c>
      <c r="BJ18" s="77">
        <v>0</v>
      </c>
      <c r="BK18" s="62">
        <v>0</v>
      </c>
      <c r="BL18" s="62">
        <v>0</v>
      </c>
      <c r="BM18" s="62">
        <f t="shared" ref="BM18:BM28" si="9">BN18-BL18-BK18-BJ18</f>
        <v>0</v>
      </c>
      <c r="BN18" s="574">
        <v>0</v>
      </c>
      <c r="BO18" s="62">
        <v>0</v>
      </c>
      <c r="BP18" s="62">
        <v>0</v>
      </c>
      <c r="BQ18" s="62">
        <v>0</v>
      </c>
      <c r="BR18" s="62">
        <f t="shared" si="1"/>
        <v>0</v>
      </c>
      <c r="BS18" s="133">
        <v>0</v>
      </c>
      <c r="BT18" s="77">
        <v>0</v>
      </c>
      <c r="BU18" s="62">
        <v>0</v>
      </c>
      <c r="BV18" s="62">
        <v>0</v>
      </c>
      <c r="BW18" s="62">
        <f t="shared" si="2"/>
        <v>0</v>
      </c>
      <c r="BX18" s="133">
        <v>0</v>
      </c>
      <c r="BY18" s="77">
        <v>0</v>
      </c>
      <c r="BZ18" s="62">
        <f>0-BY18</f>
        <v>0</v>
      </c>
      <c r="CA18" s="62">
        <f>0-SUM(BY18:BZ18)</f>
        <v>0</v>
      </c>
      <c r="CB18" s="62">
        <f t="shared" si="3"/>
        <v>0</v>
      </c>
      <c r="CC18" s="574">
        <v>0</v>
      </c>
      <c r="CD18" s="77">
        <v>0</v>
      </c>
      <c r="CE18" s="62">
        <v>0</v>
      </c>
      <c r="CF18" s="62">
        <v>0</v>
      </c>
      <c r="CG18" s="62">
        <f t="shared" si="4"/>
        <v>0</v>
      </c>
      <c r="CH18" s="574">
        <v>0</v>
      </c>
      <c r="CI18" s="1014">
        <v>0</v>
      </c>
      <c r="CJ18" s="1015">
        <v>0</v>
      </c>
      <c r="CK18" s="1015">
        <v>0</v>
      </c>
      <c r="CL18" s="1015">
        <v>0</v>
      </c>
      <c r="CM18" s="997">
        <f>SUM(CI18:CL18)</f>
        <v>0</v>
      </c>
      <c r="CN18" s="864"/>
      <c r="CO18" s="62"/>
      <c r="CP18" s="62"/>
      <c r="CQ18" s="62"/>
      <c r="CR18" s="1255">
        <v>0</v>
      </c>
      <c r="CS18" s="1046">
        <v>0</v>
      </c>
      <c r="CT18" s="1046">
        <v>0</v>
      </c>
      <c r="CU18" s="1046">
        <v>0</v>
      </c>
      <c r="CV18" s="62">
        <f>CU18</f>
        <v>0</v>
      </c>
      <c r="CW18" s="1231">
        <f t="shared" ref="CW18:CW22" si="10">SUM(CS18:CV18)</f>
        <v>0</v>
      </c>
      <c r="CX18" s="62">
        <f>CV18</f>
        <v>0</v>
      </c>
      <c r="CY18" s="62">
        <f t="shared" ref="CY18:DA19" si="11">CX18</f>
        <v>0</v>
      </c>
      <c r="CZ18" s="62">
        <f t="shared" si="11"/>
        <v>0</v>
      </c>
      <c r="DA18" s="62">
        <f t="shared" si="11"/>
        <v>0</v>
      </c>
      <c r="DB18" s="133">
        <f t="shared" ref="DB18:DB26" si="12">SUM(CX18:DA18)</f>
        <v>0</v>
      </c>
      <c r="DC18" s="161">
        <f>DA18</f>
        <v>0</v>
      </c>
      <c r="DD18" s="161">
        <f t="shared" ref="DD18:DF20" si="13">DC18</f>
        <v>0</v>
      </c>
      <c r="DE18" s="161">
        <f t="shared" si="13"/>
        <v>0</v>
      </c>
      <c r="DF18" s="161">
        <f t="shared" si="13"/>
        <v>0</v>
      </c>
      <c r="DG18" s="139">
        <f t="shared" ref="DG18:DG26" si="14">SUM(DC18:DF18)</f>
        <v>0</v>
      </c>
      <c r="DH18" s="161">
        <f>DF18</f>
        <v>0</v>
      </c>
      <c r="DI18" s="161">
        <f t="shared" ref="DI18:DK20" si="15">DH18</f>
        <v>0</v>
      </c>
      <c r="DJ18" s="161">
        <f t="shared" si="15"/>
        <v>0</v>
      </c>
      <c r="DK18" s="161">
        <f t="shared" si="15"/>
        <v>0</v>
      </c>
      <c r="DL18" s="139">
        <f t="shared" ref="DL18:DL26" si="16">SUM(DH18:DK18)</f>
        <v>0</v>
      </c>
      <c r="DM18" s="161">
        <f>DK18</f>
        <v>0</v>
      </c>
      <c r="DN18" s="161">
        <f t="shared" ref="DN18:DP20" si="17">DM18</f>
        <v>0</v>
      </c>
      <c r="DO18" s="161">
        <f t="shared" si="17"/>
        <v>0</v>
      </c>
      <c r="DP18" s="161">
        <f t="shared" si="17"/>
        <v>0</v>
      </c>
      <c r="DQ18" s="139">
        <f t="shared" ref="DQ18:DQ26" si="18">SUM(DM18:DP18)</f>
        <v>0</v>
      </c>
      <c r="DR18" s="161">
        <f>DP18</f>
        <v>0</v>
      </c>
      <c r="DS18" s="161">
        <f t="shared" ref="DS18:DS20" si="19">DR18</f>
        <v>0</v>
      </c>
      <c r="DT18" s="161">
        <f t="shared" ref="DT18:DT20" si="20">DS18</f>
        <v>0</v>
      </c>
      <c r="DU18" s="161">
        <f t="shared" ref="DU18:DU20" si="21">DT18</f>
        <v>0</v>
      </c>
      <c r="DV18" s="139">
        <f t="shared" ref="DV18:DV26" si="22">SUM(DR18:DU18)</f>
        <v>0</v>
      </c>
      <c r="DW18" s="161">
        <f>DU18</f>
        <v>0</v>
      </c>
      <c r="DX18" s="161">
        <f t="shared" ref="DX18:DX20" si="23">DW18</f>
        <v>0</v>
      </c>
      <c r="DY18" s="161">
        <f t="shared" ref="DY18:DY20" si="24">DX18</f>
        <v>0</v>
      </c>
      <c r="DZ18" s="161">
        <f t="shared" ref="DZ18:DZ20" si="25">DY18</f>
        <v>0</v>
      </c>
      <c r="EA18" s="139">
        <f t="shared" ref="EA18:EA26" si="26">SUM(DW18:DZ18)</f>
        <v>0</v>
      </c>
      <c r="EB18" s="1010"/>
      <c r="EC18" s="1010"/>
      <c r="ED18" s="1010"/>
      <c r="EE18" s="1010"/>
      <c r="EF18" s="1010"/>
      <c r="EG18" s="1243"/>
    </row>
    <row r="19" spans="1:137" x14ac:dyDescent="0.2">
      <c r="A19" s="446" t="s">
        <v>378</v>
      </c>
      <c r="B19" s="71"/>
      <c r="C19" s="71"/>
      <c r="D19" s="71"/>
      <c r="E19" s="71"/>
      <c r="F19" s="60"/>
      <c r="G19" s="71"/>
      <c r="H19" s="71"/>
      <c r="I19" s="71"/>
      <c r="J19" s="71"/>
      <c r="K19" s="60"/>
      <c r="L19" s="71"/>
      <c r="M19" s="71"/>
      <c r="N19" s="71"/>
      <c r="O19" s="47"/>
      <c r="P19" s="82"/>
      <c r="Q19" s="71"/>
      <c r="R19" s="71"/>
      <c r="S19" s="71"/>
      <c r="T19" s="47"/>
      <c r="U19" s="82"/>
      <c r="V19" s="78"/>
      <c r="W19" s="71"/>
      <c r="X19" s="71"/>
      <c r="Y19" s="47"/>
      <c r="Z19" s="82"/>
      <c r="AA19" s="71">
        <v>0</v>
      </c>
      <c r="AB19" s="71">
        <v>0</v>
      </c>
      <c r="AC19" s="71">
        <v>0</v>
      </c>
      <c r="AD19" s="71">
        <v>0</v>
      </c>
      <c r="AE19" s="82">
        <v>0</v>
      </c>
      <c r="AF19" s="71">
        <v>0</v>
      </c>
      <c r="AG19" s="71">
        <f>35-AF19</f>
        <v>35</v>
      </c>
      <c r="AH19" s="71">
        <f>-3-AG19-AF19</f>
        <v>-38</v>
      </c>
      <c r="AI19" s="71">
        <f>-3-AH19-AG19-AF19</f>
        <v>0</v>
      </c>
      <c r="AJ19" s="82">
        <f t="shared" si="5"/>
        <v>-3</v>
      </c>
      <c r="AK19" s="71">
        <v>0</v>
      </c>
      <c r="AL19" s="71">
        <v>0</v>
      </c>
      <c r="AM19" s="71">
        <v>0</v>
      </c>
      <c r="AN19" s="71">
        <f t="shared" si="6"/>
        <v>0</v>
      </c>
      <c r="AO19" s="82">
        <v>0</v>
      </c>
      <c r="AP19" s="71">
        <v>0</v>
      </c>
      <c r="AQ19" s="71">
        <v>0</v>
      </c>
      <c r="AR19" s="71">
        <v>0</v>
      </c>
      <c r="AS19" s="71">
        <f>AT19-SUM(AP19:AR19)</f>
        <v>0</v>
      </c>
      <c r="AT19" s="78"/>
      <c r="AU19" s="77">
        <v>0</v>
      </c>
      <c r="AV19" s="62">
        <f>AU19</f>
        <v>0</v>
      </c>
      <c r="AW19" s="62">
        <f>AV19</f>
        <v>0</v>
      </c>
      <c r="AX19" s="62">
        <f t="shared" si="7"/>
        <v>0</v>
      </c>
      <c r="AY19" s="133">
        <v>0</v>
      </c>
      <c r="AZ19" s="77">
        <v>0</v>
      </c>
      <c r="BA19" s="62">
        <v>0</v>
      </c>
      <c r="BB19" s="62">
        <f>BA19</f>
        <v>0</v>
      </c>
      <c r="BC19" s="62">
        <f t="shared" si="0"/>
        <v>0</v>
      </c>
      <c r="BD19" s="133">
        <v>0</v>
      </c>
      <c r="BE19" s="77">
        <v>0</v>
      </c>
      <c r="BF19" s="62">
        <v>0</v>
      </c>
      <c r="BG19" s="62">
        <v>0</v>
      </c>
      <c r="BH19" s="62">
        <f t="shared" si="8"/>
        <v>0</v>
      </c>
      <c r="BI19" s="133">
        <v>0</v>
      </c>
      <c r="BJ19" s="77">
        <v>0</v>
      </c>
      <c r="BK19" s="62">
        <v>0</v>
      </c>
      <c r="BL19" s="62">
        <v>0</v>
      </c>
      <c r="BM19" s="62">
        <f t="shared" si="9"/>
        <v>0</v>
      </c>
      <c r="BN19" s="574">
        <v>0</v>
      </c>
      <c r="BO19" s="62">
        <v>0</v>
      </c>
      <c r="BP19" s="62">
        <v>0</v>
      </c>
      <c r="BQ19" s="62">
        <v>0</v>
      </c>
      <c r="BR19" s="62">
        <f t="shared" si="1"/>
        <v>0</v>
      </c>
      <c r="BS19" s="133">
        <v>0</v>
      </c>
      <c r="BT19" s="77">
        <v>0</v>
      </c>
      <c r="BU19" s="62">
        <v>0</v>
      </c>
      <c r="BV19" s="62">
        <v>0</v>
      </c>
      <c r="BW19" s="62">
        <f t="shared" si="2"/>
        <v>0</v>
      </c>
      <c r="BX19" s="133">
        <v>0</v>
      </c>
      <c r="BY19" s="77">
        <v>0</v>
      </c>
      <c r="BZ19" s="62">
        <f>0-BY19</f>
        <v>0</v>
      </c>
      <c r="CA19" s="62">
        <f>0-SUM(BY19:BZ19)</f>
        <v>0</v>
      </c>
      <c r="CB19" s="62">
        <f t="shared" si="3"/>
        <v>0</v>
      </c>
      <c r="CC19" s="574">
        <v>0</v>
      </c>
      <c r="CD19" s="77">
        <v>0</v>
      </c>
      <c r="CE19" s="62">
        <v>0</v>
      </c>
      <c r="CF19" s="62">
        <v>0</v>
      </c>
      <c r="CG19" s="62">
        <f t="shared" si="4"/>
        <v>0</v>
      </c>
      <c r="CH19" s="574">
        <v>0</v>
      </c>
      <c r="CI19" s="1014">
        <v>0</v>
      </c>
      <c r="CJ19" s="1015">
        <v>0</v>
      </c>
      <c r="CK19" s="1015">
        <v>0</v>
      </c>
      <c r="CL19" s="1015">
        <v>0</v>
      </c>
      <c r="CM19" s="997">
        <f>SUM(CI19:CL19)</f>
        <v>0</v>
      </c>
      <c r="CN19" s="864"/>
      <c r="CO19" s="62"/>
      <c r="CP19" s="62"/>
      <c r="CQ19" s="62"/>
      <c r="CR19" s="1255">
        <v>0</v>
      </c>
      <c r="CS19" s="1046">
        <v>0</v>
      </c>
      <c r="CT19" s="1046">
        <v>0</v>
      </c>
      <c r="CU19" s="1046">
        <v>0</v>
      </c>
      <c r="CV19" s="62">
        <f>CU19</f>
        <v>0</v>
      </c>
      <c r="CW19" s="1231">
        <f t="shared" si="10"/>
        <v>0</v>
      </c>
      <c r="CX19" s="62">
        <f>CV19</f>
        <v>0</v>
      </c>
      <c r="CY19" s="62">
        <f t="shared" si="11"/>
        <v>0</v>
      </c>
      <c r="CZ19" s="62">
        <f t="shared" si="11"/>
        <v>0</v>
      </c>
      <c r="DA19" s="62">
        <f t="shared" si="11"/>
        <v>0</v>
      </c>
      <c r="DB19" s="133">
        <f t="shared" si="12"/>
        <v>0</v>
      </c>
      <c r="DC19" s="161">
        <f>DA19</f>
        <v>0</v>
      </c>
      <c r="DD19" s="161">
        <f t="shared" si="13"/>
        <v>0</v>
      </c>
      <c r="DE19" s="161">
        <f t="shared" si="13"/>
        <v>0</v>
      </c>
      <c r="DF19" s="161">
        <f t="shared" si="13"/>
        <v>0</v>
      </c>
      <c r="DG19" s="139">
        <f t="shared" si="14"/>
        <v>0</v>
      </c>
      <c r="DH19" s="161">
        <f>DF19</f>
        <v>0</v>
      </c>
      <c r="DI19" s="161">
        <f t="shared" si="15"/>
        <v>0</v>
      </c>
      <c r="DJ19" s="161">
        <f t="shared" si="15"/>
        <v>0</v>
      </c>
      <c r="DK19" s="161">
        <f t="shared" si="15"/>
        <v>0</v>
      </c>
      <c r="DL19" s="139">
        <f t="shared" si="16"/>
        <v>0</v>
      </c>
      <c r="DM19" s="161">
        <f>DK19</f>
        <v>0</v>
      </c>
      <c r="DN19" s="161">
        <f t="shared" si="17"/>
        <v>0</v>
      </c>
      <c r="DO19" s="161">
        <f t="shared" si="17"/>
        <v>0</v>
      </c>
      <c r="DP19" s="161">
        <f t="shared" si="17"/>
        <v>0</v>
      </c>
      <c r="DQ19" s="139">
        <f t="shared" si="18"/>
        <v>0</v>
      </c>
      <c r="DR19" s="161">
        <f>DP19</f>
        <v>0</v>
      </c>
      <c r="DS19" s="161">
        <f t="shared" si="19"/>
        <v>0</v>
      </c>
      <c r="DT19" s="161">
        <f t="shared" si="20"/>
        <v>0</v>
      </c>
      <c r="DU19" s="161">
        <f t="shared" si="21"/>
        <v>0</v>
      </c>
      <c r="DV19" s="139">
        <f t="shared" si="22"/>
        <v>0</v>
      </c>
      <c r="DW19" s="161">
        <f>DU19</f>
        <v>0</v>
      </c>
      <c r="DX19" s="161">
        <f t="shared" si="23"/>
        <v>0</v>
      </c>
      <c r="DY19" s="161">
        <f t="shared" si="24"/>
        <v>0</v>
      </c>
      <c r="DZ19" s="161">
        <f t="shared" si="25"/>
        <v>0</v>
      </c>
      <c r="EA19" s="139">
        <f t="shared" si="26"/>
        <v>0</v>
      </c>
      <c r="EB19" s="1010"/>
      <c r="EC19" s="1010"/>
      <c r="ED19" s="1010"/>
      <c r="EE19" s="1010"/>
      <c r="EF19" s="1010"/>
      <c r="EG19" s="1243"/>
    </row>
    <row r="20" spans="1:137" x14ac:dyDescent="0.2">
      <c r="A20" s="446" t="s">
        <v>379</v>
      </c>
      <c r="B20" s="71"/>
      <c r="C20" s="71"/>
      <c r="D20" s="71"/>
      <c r="E20" s="71"/>
      <c r="F20" s="60"/>
      <c r="G20" s="71"/>
      <c r="H20" s="71"/>
      <c r="I20" s="71"/>
      <c r="J20" s="71"/>
      <c r="K20" s="60"/>
      <c r="L20" s="71"/>
      <c r="M20" s="71"/>
      <c r="N20" s="71"/>
      <c r="O20" s="47"/>
      <c r="P20" s="82"/>
      <c r="Q20" s="71"/>
      <c r="R20" s="71"/>
      <c r="S20" s="71"/>
      <c r="T20" s="47"/>
      <c r="U20" s="82"/>
      <c r="V20" s="78"/>
      <c r="W20" s="71"/>
      <c r="X20" s="71"/>
      <c r="Y20" s="47"/>
      <c r="Z20" s="82"/>
      <c r="AA20" s="71">
        <v>0</v>
      </c>
      <c r="AB20" s="71">
        <v>0</v>
      </c>
      <c r="AC20" s="71">
        <v>0</v>
      </c>
      <c r="AD20" s="71">
        <v>0</v>
      </c>
      <c r="AE20" s="82">
        <v>0</v>
      </c>
      <c r="AF20" s="71">
        <v>0</v>
      </c>
      <c r="AG20" s="71">
        <v>0</v>
      </c>
      <c r="AH20" s="71">
        <v>0</v>
      </c>
      <c r="AI20" s="71">
        <f>-132-AH20-AG20-AF20</f>
        <v>-132</v>
      </c>
      <c r="AJ20" s="82">
        <f t="shared" si="5"/>
        <v>-132</v>
      </c>
      <c r="AK20" s="71">
        <v>0</v>
      </c>
      <c r="AL20" s="71">
        <v>0</v>
      </c>
      <c r="AM20" s="71">
        <v>0</v>
      </c>
      <c r="AN20" s="71">
        <f t="shared" si="6"/>
        <v>-55</v>
      </c>
      <c r="AO20" s="82">
        <v>-55</v>
      </c>
      <c r="AP20" s="71">
        <v>0</v>
      </c>
      <c r="AQ20" s="71">
        <v>0</v>
      </c>
      <c r="AR20" s="71">
        <v>0</v>
      </c>
      <c r="AS20" s="71">
        <f>AT20-SUM(AP20:AR20)</f>
        <v>-74</v>
      </c>
      <c r="AT20" s="78">
        <v>-74</v>
      </c>
      <c r="AU20" s="14">
        <v>0</v>
      </c>
      <c r="AV20" s="15">
        <f>-18-AU20</f>
        <v>-18</v>
      </c>
      <c r="AW20" s="15">
        <f>-41-AV20-AU20</f>
        <v>-23</v>
      </c>
      <c r="AX20" s="15">
        <f t="shared" si="7"/>
        <v>-2</v>
      </c>
      <c r="AY20" s="133">
        <v>-43</v>
      </c>
      <c r="AZ20" s="77">
        <v>0</v>
      </c>
      <c r="BA20" s="62">
        <v>0</v>
      </c>
      <c r="BB20" s="62">
        <v>0</v>
      </c>
      <c r="BC20" s="62">
        <f t="shared" si="0"/>
        <v>-1</v>
      </c>
      <c r="BD20" s="133">
        <v>-1</v>
      </c>
      <c r="BE20" s="77">
        <v>0</v>
      </c>
      <c r="BF20" s="62">
        <v>0</v>
      </c>
      <c r="BG20" s="62">
        <v>0</v>
      </c>
      <c r="BH20" s="62">
        <f t="shared" si="8"/>
        <v>-66</v>
      </c>
      <c r="BI20" s="133">
        <v>-66</v>
      </c>
      <c r="BJ20" s="77">
        <v>-6</v>
      </c>
      <c r="BK20" s="62">
        <f>-92-BJ20</f>
        <v>-86</v>
      </c>
      <c r="BL20" s="62">
        <f>-96-BK20-BJ20</f>
        <v>-4</v>
      </c>
      <c r="BM20" s="62">
        <f t="shared" si="9"/>
        <v>-184</v>
      </c>
      <c r="BN20" s="574">
        <v>-280</v>
      </c>
      <c r="BO20" s="62">
        <v>-10</v>
      </c>
      <c r="BP20" s="62">
        <f>-19-BO20</f>
        <v>-9</v>
      </c>
      <c r="BQ20" s="62">
        <f>-22-BP20-BO20</f>
        <v>-3</v>
      </c>
      <c r="BR20" s="62">
        <f t="shared" si="1"/>
        <v>-30</v>
      </c>
      <c r="BS20" s="133">
        <v>-52</v>
      </c>
      <c r="BT20" s="77">
        <v>-3</v>
      </c>
      <c r="BU20" s="62">
        <f>-11-BT20</f>
        <v>-8</v>
      </c>
      <c r="BV20" s="62">
        <f>-12-BU20-BT20</f>
        <v>-1</v>
      </c>
      <c r="BW20" s="62">
        <f t="shared" si="2"/>
        <v>-51</v>
      </c>
      <c r="BX20" s="133">
        <v>-63</v>
      </c>
      <c r="BY20" s="77">
        <v>-8</v>
      </c>
      <c r="BZ20" s="62">
        <f>-43-BY20</f>
        <v>-35</v>
      </c>
      <c r="CA20" s="62">
        <f>-46-SUM(BY20:BZ20)</f>
        <v>-3</v>
      </c>
      <c r="CB20" s="62">
        <f t="shared" si="3"/>
        <v>11</v>
      </c>
      <c r="CC20" s="574">
        <f>-119+84</f>
        <v>-35</v>
      </c>
      <c r="CD20" s="77">
        <v>-1</v>
      </c>
      <c r="CE20" s="62">
        <f>-3-CD20</f>
        <v>-2</v>
      </c>
      <c r="CF20" s="62">
        <f>-15-SUM(CD20:CE20)</f>
        <v>-12</v>
      </c>
      <c r="CG20" s="62">
        <f t="shared" si="4"/>
        <v>-8</v>
      </c>
      <c r="CH20" s="574">
        <v>-23</v>
      </c>
      <c r="CI20" s="1014">
        <v>0</v>
      </c>
      <c r="CJ20" s="1015">
        <v>0</v>
      </c>
      <c r="CK20" s="1015">
        <v>0</v>
      </c>
      <c r="CL20" s="1015">
        <f t="shared" ref="CL20:CL28" si="27">CM20-CK20-CJ20-CI20</f>
        <v>0</v>
      </c>
      <c r="CM20" s="997">
        <v>0</v>
      </c>
      <c r="CN20" s="864"/>
      <c r="CO20" s="62"/>
      <c r="CP20" s="62"/>
      <c r="CQ20" s="62"/>
      <c r="CR20" s="1081">
        <v>-98</v>
      </c>
      <c r="CS20" s="1007">
        <v>-2</v>
      </c>
      <c r="CT20" s="1007">
        <v>-1</v>
      </c>
      <c r="CU20" s="1007">
        <v>-1</v>
      </c>
      <c r="CV20" s="62">
        <f>CW20-CU20-CT20-CS20</f>
        <v>-37</v>
      </c>
      <c r="CW20" s="1231">
        <v>-41</v>
      </c>
      <c r="CX20" s="62">
        <v>-7</v>
      </c>
      <c r="CY20" s="62">
        <f>-12-CX20</f>
        <v>-5</v>
      </c>
      <c r="CZ20" s="62">
        <f>-47-CY20-CX20</f>
        <v>-35</v>
      </c>
      <c r="DA20" s="62">
        <f>-55-SUM(CX20:CZ20)</f>
        <v>-8</v>
      </c>
      <c r="DB20" s="133">
        <f>SUM(CX20:DA20)</f>
        <v>-55</v>
      </c>
      <c r="DC20" s="161">
        <f>DA20</f>
        <v>-8</v>
      </c>
      <c r="DD20" s="161">
        <f t="shared" si="13"/>
        <v>-8</v>
      </c>
      <c r="DE20" s="161">
        <f t="shared" si="13"/>
        <v>-8</v>
      </c>
      <c r="DF20" s="161">
        <f t="shared" si="13"/>
        <v>-8</v>
      </c>
      <c r="DG20" s="139">
        <f t="shared" si="14"/>
        <v>-32</v>
      </c>
      <c r="DH20" s="161">
        <f>DF20</f>
        <v>-8</v>
      </c>
      <c r="DI20" s="161">
        <f t="shared" si="15"/>
        <v>-8</v>
      </c>
      <c r="DJ20" s="161">
        <f t="shared" si="15"/>
        <v>-8</v>
      </c>
      <c r="DK20" s="161">
        <f t="shared" si="15"/>
        <v>-8</v>
      </c>
      <c r="DL20" s="139">
        <f t="shared" si="16"/>
        <v>-32</v>
      </c>
      <c r="DM20" s="161">
        <f>DK20</f>
        <v>-8</v>
      </c>
      <c r="DN20" s="161">
        <f t="shared" si="17"/>
        <v>-8</v>
      </c>
      <c r="DO20" s="161">
        <f t="shared" si="17"/>
        <v>-8</v>
      </c>
      <c r="DP20" s="161">
        <f t="shared" si="17"/>
        <v>-8</v>
      </c>
      <c r="DQ20" s="139">
        <f t="shared" si="18"/>
        <v>-32</v>
      </c>
      <c r="DR20" s="161">
        <f>DP20</f>
        <v>-8</v>
      </c>
      <c r="DS20" s="161">
        <f t="shared" si="19"/>
        <v>-8</v>
      </c>
      <c r="DT20" s="161">
        <f t="shared" si="20"/>
        <v>-8</v>
      </c>
      <c r="DU20" s="161">
        <f t="shared" si="21"/>
        <v>-8</v>
      </c>
      <c r="DV20" s="139">
        <f t="shared" si="22"/>
        <v>-32</v>
      </c>
      <c r="DW20" s="161">
        <f>DU20</f>
        <v>-8</v>
      </c>
      <c r="DX20" s="161">
        <f t="shared" si="23"/>
        <v>-8</v>
      </c>
      <c r="DY20" s="161">
        <f t="shared" si="24"/>
        <v>-8</v>
      </c>
      <c r="DZ20" s="161">
        <f t="shared" si="25"/>
        <v>-8</v>
      </c>
      <c r="EA20" s="139">
        <f t="shared" si="26"/>
        <v>-32</v>
      </c>
      <c r="EB20" s="1010"/>
      <c r="EC20" s="1010"/>
      <c r="ED20" s="1010"/>
      <c r="EE20" s="1010"/>
      <c r="EF20" s="1010"/>
      <c r="EG20" s="1243"/>
    </row>
    <row r="21" spans="1:137" x14ac:dyDescent="0.2">
      <c r="A21" s="446" t="s">
        <v>174</v>
      </c>
      <c r="B21" s="71"/>
      <c r="C21" s="71"/>
      <c r="D21" s="71"/>
      <c r="E21" s="71"/>
      <c r="F21" s="82"/>
      <c r="G21" s="71"/>
      <c r="H21" s="71"/>
      <c r="I21" s="71"/>
      <c r="J21" s="71"/>
      <c r="K21" s="60"/>
      <c r="L21" s="71">
        <v>0</v>
      </c>
      <c r="M21" s="71">
        <v>1</v>
      </c>
      <c r="N21" s="71">
        <f>2-M21-L21</f>
        <v>1</v>
      </c>
      <c r="O21" s="47">
        <f>P21-N21-M21-L21</f>
        <v>43</v>
      </c>
      <c r="P21" s="82">
        <v>45</v>
      </c>
      <c r="Q21" s="71">
        <v>0</v>
      </c>
      <c r="R21" s="71">
        <f>67-Q21</f>
        <v>67</v>
      </c>
      <c r="S21" s="71">
        <f>148-R21-Q21</f>
        <v>81</v>
      </c>
      <c r="T21" s="47">
        <f>U21-S21-R21-Q21</f>
        <v>-28</v>
      </c>
      <c r="U21" s="82">
        <v>120</v>
      </c>
      <c r="V21" s="78">
        <v>0</v>
      </c>
      <c r="W21" s="71">
        <f>-6-V21</f>
        <v>-6</v>
      </c>
      <c r="X21" s="71">
        <f>-6-W21-V21</f>
        <v>0</v>
      </c>
      <c r="Y21" s="47">
        <f>Z21-X21-W21-V21</f>
        <v>0</v>
      </c>
      <c r="Z21" s="82">
        <v>-6</v>
      </c>
      <c r="AA21" s="71">
        <v>0</v>
      </c>
      <c r="AB21" s="71">
        <f>-1-AA21</f>
        <v>-1</v>
      </c>
      <c r="AC21" s="71">
        <f>-7-AB21-AA21</f>
        <v>-6</v>
      </c>
      <c r="AD21" s="71">
        <f>AE21-AC21-AB21-AA21</f>
        <v>7</v>
      </c>
      <c r="AE21" s="82">
        <v>0</v>
      </c>
      <c r="AF21" s="71">
        <v>0</v>
      </c>
      <c r="AG21" s="71">
        <v>0</v>
      </c>
      <c r="AH21" s="71">
        <v>0</v>
      </c>
      <c r="AI21" s="71">
        <v>0</v>
      </c>
      <c r="AJ21" s="82">
        <f t="shared" si="5"/>
        <v>0</v>
      </c>
      <c r="AK21" s="71">
        <v>0</v>
      </c>
      <c r="AL21" s="71">
        <v>0</v>
      </c>
      <c r="AM21" s="71">
        <v>0</v>
      </c>
      <c r="AN21" s="71">
        <f t="shared" si="6"/>
        <v>0</v>
      </c>
      <c r="AO21" s="82">
        <v>0</v>
      </c>
      <c r="AP21" s="71">
        <v>0</v>
      </c>
      <c r="AQ21" s="71">
        <v>0</v>
      </c>
      <c r="AR21" s="71">
        <v>0</v>
      </c>
      <c r="AS21" s="71"/>
      <c r="AT21" s="78"/>
      <c r="AU21" s="77">
        <f>AS21</f>
        <v>0</v>
      </c>
      <c r="AV21" s="62">
        <f>AU21</f>
        <v>0</v>
      </c>
      <c r="AW21" s="62"/>
      <c r="AX21" s="62">
        <f t="shared" si="7"/>
        <v>0</v>
      </c>
      <c r="AY21" s="133">
        <v>0</v>
      </c>
      <c r="AZ21" s="77">
        <f>AX21</f>
        <v>0</v>
      </c>
      <c r="BA21" s="62">
        <v>0</v>
      </c>
      <c r="BB21" s="62">
        <f>BA21</f>
        <v>0</v>
      </c>
      <c r="BC21" s="62">
        <f t="shared" si="0"/>
        <v>0</v>
      </c>
      <c r="BD21" s="133">
        <v>0</v>
      </c>
      <c r="BE21" s="77">
        <v>-100</v>
      </c>
      <c r="BF21" s="62">
        <f>-100-BE21</f>
        <v>0</v>
      </c>
      <c r="BG21" s="62">
        <f>-100-BF21-BE21</f>
        <v>0</v>
      </c>
      <c r="BH21" s="62">
        <f t="shared" si="8"/>
        <v>0</v>
      </c>
      <c r="BI21" s="133">
        <v>-100</v>
      </c>
      <c r="BJ21" s="77">
        <v>0</v>
      </c>
      <c r="BK21" s="62">
        <f>-68-BJ21</f>
        <v>-68</v>
      </c>
      <c r="BL21" s="62">
        <v>0</v>
      </c>
      <c r="BM21" s="62">
        <f t="shared" si="9"/>
        <v>0</v>
      </c>
      <c r="BN21" s="574">
        <v>-68</v>
      </c>
      <c r="BO21" s="77">
        <v>0</v>
      </c>
      <c r="BP21" s="62">
        <v>0</v>
      </c>
      <c r="BQ21" s="62">
        <v>0</v>
      </c>
      <c r="BR21" s="62">
        <f t="shared" si="1"/>
        <v>0</v>
      </c>
      <c r="BS21" s="133">
        <v>0</v>
      </c>
      <c r="BT21" s="77">
        <v>0</v>
      </c>
      <c r="BU21" s="62">
        <v>0</v>
      </c>
      <c r="BV21" s="62">
        <v>0</v>
      </c>
      <c r="BW21" s="62">
        <f t="shared" si="2"/>
        <v>0</v>
      </c>
      <c r="BX21" s="133">
        <v>0</v>
      </c>
      <c r="BY21" s="62">
        <v>-74</v>
      </c>
      <c r="BZ21" s="62">
        <f>-74-BY21</f>
        <v>0</v>
      </c>
      <c r="CA21" s="62">
        <f>-74-SUM(BY21:BZ21)</f>
        <v>0</v>
      </c>
      <c r="CB21" s="62">
        <f t="shared" si="3"/>
        <v>0</v>
      </c>
      <c r="CC21" s="133">
        <v>-74</v>
      </c>
      <c r="CD21" s="62">
        <v>0</v>
      </c>
      <c r="CE21" s="62">
        <v>0</v>
      </c>
      <c r="CF21" s="62">
        <v>0</v>
      </c>
      <c r="CG21" s="62">
        <f t="shared" si="4"/>
        <v>150</v>
      </c>
      <c r="CH21" s="133">
        <f>30+120</f>
        <v>150</v>
      </c>
      <c r="CI21" s="1015">
        <v>0</v>
      </c>
      <c r="CJ21" s="1015">
        <v>0</v>
      </c>
      <c r="CK21" s="1015">
        <v>0</v>
      </c>
      <c r="CL21" s="1015">
        <f t="shared" si="27"/>
        <v>0</v>
      </c>
      <c r="CM21" s="996">
        <v>0</v>
      </c>
      <c r="CN21" s="861"/>
      <c r="CO21" s="62"/>
      <c r="CP21" s="62"/>
      <c r="CQ21" s="62"/>
      <c r="CR21" s="1081">
        <v>0</v>
      </c>
      <c r="CS21" s="1007">
        <v>0</v>
      </c>
      <c r="CT21" s="1007">
        <v>0</v>
      </c>
      <c r="CU21" s="1007">
        <v>0</v>
      </c>
      <c r="CV21" s="62">
        <v>0</v>
      </c>
      <c r="CW21" s="1231">
        <f t="shared" si="10"/>
        <v>0</v>
      </c>
      <c r="CX21" s="62">
        <v>0</v>
      </c>
      <c r="CY21" s="62">
        <v>0</v>
      </c>
      <c r="CZ21" s="62">
        <v>0</v>
      </c>
      <c r="DA21" s="62">
        <v>0</v>
      </c>
      <c r="DB21" s="133">
        <f t="shared" si="12"/>
        <v>0</v>
      </c>
      <c r="DC21" s="161">
        <v>0</v>
      </c>
      <c r="DD21" s="161">
        <v>0</v>
      </c>
      <c r="DE21" s="161">
        <v>0</v>
      </c>
      <c r="DF21" s="161">
        <v>0</v>
      </c>
      <c r="DG21" s="139">
        <f t="shared" si="14"/>
        <v>0</v>
      </c>
      <c r="DH21" s="161">
        <f>'IS '!DH57</f>
        <v>0</v>
      </c>
      <c r="DI21" s="161">
        <f>'IS '!DI57</f>
        <v>0</v>
      </c>
      <c r="DJ21" s="161">
        <f>'IS '!DJ57</f>
        <v>0</v>
      </c>
      <c r="DK21" s="161">
        <f>'IS '!DK57</f>
        <v>0</v>
      </c>
      <c r="DL21" s="139">
        <f t="shared" si="16"/>
        <v>0</v>
      </c>
      <c r="DM21" s="161">
        <f>'IS '!DM57</f>
        <v>0</v>
      </c>
      <c r="DN21" s="161">
        <f>'IS '!DN57</f>
        <v>0</v>
      </c>
      <c r="DO21" s="161">
        <f>'IS '!DO57</f>
        <v>0</v>
      </c>
      <c r="DP21" s="161">
        <f>'IS '!DP57</f>
        <v>0</v>
      </c>
      <c r="DQ21" s="139">
        <f t="shared" si="18"/>
        <v>0</v>
      </c>
      <c r="DR21" s="161">
        <f>'IS '!DR57</f>
        <v>0</v>
      </c>
      <c r="DS21" s="161">
        <f>'IS '!DS57</f>
        <v>0</v>
      </c>
      <c r="DT21" s="161">
        <f>'IS '!DT57</f>
        <v>0</v>
      </c>
      <c r="DU21" s="161">
        <f>'IS '!DU57</f>
        <v>0</v>
      </c>
      <c r="DV21" s="139">
        <f t="shared" si="22"/>
        <v>0</v>
      </c>
      <c r="DW21" s="161">
        <f>'IS '!DW57</f>
        <v>0</v>
      </c>
      <c r="DX21" s="161">
        <f>'IS '!DX57</f>
        <v>0</v>
      </c>
      <c r="DY21" s="161">
        <f>'IS '!DY57</f>
        <v>0</v>
      </c>
      <c r="DZ21" s="161">
        <f>'IS '!DZ57</f>
        <v>0</v>
      </c>
      <c r="EA21" s="139">
        <f t="shared" si="26"/>
        <v>0</v>
      </c>
      <c r="EB21" s="1010"/>
      <c r="EC21" s="1010"/>
      <c r="ED21" s="1010"/>
      <c r="EE21" s="1010"/>
      <c r="EF21" s="1010"/>
      <c r="EG21" s="1243"/>
    </row>
    <row r="22" spans="1:137" x14ac:dyDescent="0.2">
      <c r="A22" s="446" t="s">
        <v>175</v>
      </c>
      <c r="B22" s="71"/>
      <c r="C22" s="71"/>
      <c r="D22" s="71"/>
      <c r="E22" s="71"/>
      <c r="F22" s="59"/>
      <c r="G22" s="71"/>
      <c r="H22" s="71"/>
      <c r="I22" s="71"/>
      <c r="J22" s="155"/>
      <c r="K22" s="285"/>
      <c r="L22" s="71">
        <v>0</v>
      </c>
      <c r="M22" s="65">
        <v>0</v>
      </c>
      <c r="N22" s="71">
        <v>0</v>
      </c>
      <c r="O22" s="47">
        <f>P22-N22-M22-L22</f>
        <v>65</v>
      </c>
      <c r="P22" s="82">
        <v>65</v>
      </c>
      <c r="Q22" s="71">
        <v>-36</v>
      </c>
      <c r="R22" s="71">
        <f>-9-Q22</f>
        <v>27</v>
      </c>
      <c r="S22" s="71">
        <f>6-R22-Q22</f>
        <v>15</v>
      </c>
      <c r="T22" s="47">
        <f>U22-S22-R22-Q22</f>
        <v>-11</v>
      </c>
      <c r="U22" s="82">
        <v>-5</v>
      </c>
      <c r="V22" s="78">
        <v>-14</v>
      </c>
      <c r="W22" s="71">
        <f>-40-V22</f>
        <v>-26</v>
      </c>
      <c r="X22" s="71">
        <f>-10-W22-V22</f>
        <v>30</v>
      </c>
      <c r="Y22" s="47">
        <f>Z22-X22-W22-V22</f>
        <v>-1</v>
      </c>
      <c r="Z22" s="82">
        <v>-11</v>
      </c>
      <c r="AA22" s="71">
        <v>4</v>
      </c>
      <c r="AB22" s="71">
        <f>21-AA22</f>
        <v>17</v>
      </c>
      <c r="AC22" s="71">
        <f>13-AB22-AA22</f>
        <v>-8</v>
      </c>
      <c r="AD22" s="71">
        <f>AE22-AC22-AB22-AA22</f>
        <v>-51</v>
      </c>
      <c r="AE22" s="82">
        <v>-38</v>
      </c>
      <c r="AF22" s="71">
        <v>7</v>
      </c>
      <c r="AG22" s="71">
        <f>4-AF22</f>
        <v>-3</v>
      </c>
      <c r="AH22" s="71">
        <f>-24-AG22-AF22</f>
        <v>-28</v>
      </c>
      <c r="AI22" s="71">
        <f>17-AH22-AG22-AF22</f>
        <v>41</v>
      </c>
      <c r="AJ22" s="82">
        <f t="shared" si="5"/>
        <v>17</v>
      </c>
      <c r="AK22" s="71">
        <v>-10</v>
      </c>
      <c r="AL22" s="71">
        <f>8-AK22</f>
        <v>18</v>
      </c>
      <c r="AM22" s="71">
        <f>-30-AL22-AK22</f>
        <v>-38</v>
      </c>
      <c r="AN22" s="71">
        <f t="shared" si="6"/>
        <v>51</v>
      </c>
      <c r="AO22" s="82">
        <v>21</v>
      </c>
      <c r="AP22" s="71">
        <v>17</v>
      </c>
      <c r="AQ22" s="71">
        <f>4-AP22</f>
        <v>-13</v>
      </c>
      <c r="AR22" s="71">
        <f>25-AQ22-AP22</f>
        <v>21</v>
      </c>
      <c r="AS22" s="71">
        <f t="shared" ref="AS22:AS35" si="28">AT22-SUM(AP22:AR22)</f>
        <v>9</v>
      </c>
      <c r="AT22" s="419">
        <v>34</v>
      </c>
      <c r="AU22" s="77">
        <v>24</v>
      </c>
      <c r="AV22" s="62">
        <f>67-AU22</f>
        <v>43</v>
      </c>
      <c r="AW22" s="62">
        <f>71-AV22-AU22</f>
        <v>4</v>
      </c>
      <c r="AX22" s="62">
        <f t="shared" si="7"/>
        <v>-71</v>
      </c>
      <c r="AY22" s="133">
        <v>0</v>
      </c>
      <c r="AZ22" s="77">
        <v>0</v>
      </c>
      <c r="BA22" s="62">
        <f>AZ22</f>
        <v>0</v>
      </c>
      <c r="BB22" s="62">
        <f>BA22</f>
        <v>0</v>
      </c>
      <c r="BC22" s="62">
        <f t="shared" si="0"/>
        <v>0</v>
      </c>
      <c r="BD22" s="133">
        <v>0</v>
      </c>
      <c r="BE22" s="77">
        <v>0</v>
      </c>
      <c r="BF22" s="62">
        <v>0</v>
      </c>
      <c r="BG22" s="62">
        <v>0</v>
      </c>
      <c r="BH22" s="62">
        <f t="shared" si="8"/>
        <v>0</v>
      </c>
      <c r="BI22" s="133">
        <v>0</v>
      </c>
      <c r="BJ22" s="77">
        <v>0</v>
      </c>
      <c r="BK22" s="62">
        <f>BJ22</f>
        <v>0</v>
      </c>
      <c r="BL22" s="62">
        <v>0</v>
      </c>
      <c r="BM22" s="62">
        <f t="shared" si="9"/>
        <v>0</v>
      </c>
      <c r="BN22" s="574">
        <v>0</v>
      </c>
      <c r="BO22" s="62">
        <v>0</v>
      </c>
      <c r="BP22" s="62">
        <v>0</v>
      </c>
      <c r="BQ22" s="62">
        <v>0</v>
      </c>
      <c r="BR22" s="62">
        <f t="shared" si="1"/>
        <v>0</v>
      </c>
      <c r="BS22" s="133">
        <v>0</v>
      </c>
      <c r="BT22" s="77">
        <v>0</v>
      </c>
      <c r="BU22" s="62">
        <v>0</v>
      </c>
      <c r="BV22" s="62">
        <f>BU22</f>
        <v>0</v>
      </c>
      <c r="BW22" s="62">
        <f t="shared" si="2"/>
        <v>0</v>
      </c>
      <c r="BX22" s="133">
        <v>0</v>
      </c>
      <c r="BY22" s="77">
        <v>0</v>
      </c>
      <c r="BZ22" s="62">
        <v>0</v>
      </c>
      <c r="CA22" s="62">
        <f>0-SUM(BY22:BZ22)</f>
        <v>0</v>
      </c>
      <c r="CB22" s="62">
        <f t="shared" si="3"/>
        <v>0</v>
      </c>
      <c r="CC22" s="574">
        <v>0</v>
      </c>
      <c r="CD22" s="77">
        <v>0</v>
      </c>
      <c r="CE22" s="62">
        <v>0</v>
      </c>
      <c r="CF22" s="62">
        <v>0</v>
      </c>
      <c r="CG22" s="62">
        <f t="shared" si="4"/>
        <v>0</v>
      </c>
      <c r="CH22" s="574">
        <v>0</v>
      </c>
      <c r="CI22" s="1014">
        <v>0</v>
      </c>
      <c r="CJ22" s="1015">
        <v>0</v>
      </c>
      <c r="CK22" s="1015">
        <v>0</v>
      </c>
      <c r="CL22" s="1015">
        <f t="shared" si="27"/>
        <v>0</v>
      </c>
      <c r="CM22" s="997">
        <v>0</v>
      </c>
      <c r="CN22" s="864"/>
      <c r="CO22" s="62"/>
      <c r="CP22" s="62"/>
      <c r="CQ22" s="62"/>
      <c r="CR22" s="1081">
        <v>0</v>
      </c>
      <c r="CS22" s="1007">
        <v>0</v>
      </c>
      <c r="CT22" s="1007">
        <v>0</v>
      </c>
      <c r="CU22" s="1007">
        <v>0</v>
      </c>
      <c r="CV22" s="62">
        <f>CU22</f>
        <v>0</v>
      </c>
      <c r="CW22" s="1231">
        <f t="shared" si="10"/>
        <v>0</v>
      </c>
      <c r="CX22" s="62">
        <f>CV22</f>
        <v>0</v>
      </c>
      <c r="CY22" s="62">
        <f>CX22</f>
        <v>0</v>
      </c>
      <c r="CZ22" s="62">
        <f>CY22</f>
        <v>0</v>
      </c>
      <c r="DA22" s="62">
        <f>CZ22</f>
        <v>0</v>
      </c>
      <c r="DB22" s="133">
        <f t="shared" si="12"/>
        <v>0</v>
      </c>
      <c r="DC22" s="161">
        <f>DA22</f>
        <v>0</v>
      </c>
      <c r="DD22" s="161">
        <f>DC22</f>
        <v>0</v>
      </c>
      <c r="DE22" s="161">
        <f>DD22</f>
        <v>0</v>
      </c>
      <c r="DF22" s="161">
        <f>DE22</f>
        <v>0</v>
      </c>
      <c r="DG22" s="139">
        <f t="shared" si="14"/>
        <v>0</v>
      </c>
      <c r="DH22" s="161">
        <f>DF22</f>
        <v>0</v>
      </c>
      <c r="DI22" s="161">
        <f>DH22</f>
        <v>0</v>
      </c>
      <c r="DJ22" s="161">
        <f>DI22</f>
        <v>0</v>
      </c>
      <c r="DK22" s="161">
        <f>DJ22</f>
        <v>0</v>
      </c>
      <c r="DL22" s="139">
        <f t="shared" si="16"/>
        <v>0</v>
      </c>
      <c r="DM22" s="161">
        <f>DK22</f>
        <v>0</v>
      </c>
      <c r="DN22" s="161">
        <f>DM22</f>
        <v>0</v>
      </c>
      <c r="DO22" s="161">
        <f>DN22</f>
        <v>0</v>
      </c>
      <c r="DP22" s="161">
        <f>DO22</f>
        <v>0</v>
      </c>
      <c r="DQ22" s="139">
        <f t="shared" si="18"/>
        <v>0</v>
      </c>
      <c r="DR22" s="161">
        <f>DP22</f>
        <v>0</v>
      </c>
      <c r="DS22" s="161">
        <f>DR22</f>
        <v>0</v>
      </c>
      <c r="DT22" s="161">
        <f>DS22</f>
        <v>0</v>
      </c>
      <c r="DU22" s="161">
        <f>DT22</f>
        <v>0</v>
      </c>
      <c r="DV22" s="139">
        <f t="shared" si="22"/>
        <v>0</v>
      </c>
      <c r="DW22" s="161">
        <f>DU22</f>
        <v>0</v>
      </c>
      <c r="DX22" s="161">
        <f>DW22</f>
        <v>0</v>
      </c>
      <c r="DY22" s="161">
        <f>DX22</f>
        <v>0</v>
      </c>
      <c r="DZ22" s="161">
        <f>DY22</f>
        <v>0</v>
      </c>
      <c r="EA22" s="139">
        <f t="shared" si="26"/>
        <v>0</v>
      </c>
      <c r="EB22" s="1010"/>
      <c r="EC22" s="1010"/>
      <c r="ED22" s="1010"/>
      <c r="EE22" s="1010"/>
      <c r="EF22" s="1010"/>
      <c r="EG22" s="1243"/>
    </row>
    <row r="23" spans="1:137" x14ac:dyDescent="0.2">
      <c r="A23" s="446" t="s">
        <v>389</v>
      </c>
      <c r="B23" s="71"/>
      <c r="C23" s="71"/>
      <c r="D23" s="71"/>
      <c r="E23" s="71"/>
      <c r="F23" s="60"/>
      <c r="G23" s="71"/>
      <c r="H23" s="71"/>
      <c r="I23" s="155"/>
      <c r="J23" s="155"/>
      <c r="K23" s="60"/>
      <c r="L23" s="71">
        <v>-21</v>
      </c>
      <c r="M23" s="71">
        <f>-18-L23</f>
        <v>3</v>
      </c>
      <c r="N23" s="71">
        <f>-42-M23-L23</f>
        <v>-24</v>
      </c>
      <c r="O23" s="47">
        <f>P23-N23-M23-L23</f>
        <v>26</v>
      </c>
      <c r="P23" s="82">
        <v>-16</v>
      </c>
      <c r="Q23" s="71">
        <v>-14</v>
      </c>
      <c r="R23" s="71">
        <f>-23-Q23</f>
        <v>-9</v>
      </c>
      <c r="S23" s="71">
        <f>-37-R23-Q23</f>
        <v>-14</v>
      </c>
      <c r="T23" s="47">
        <f>U23-S23-R23-Q23</f>
        <v>-14</v>
      </c>
      <c r="U23" s="82">
        <v>-51</v>
      </c>
      <c r="V23" s="78">
        <v>-14</v>
      </c>
      <c r="W23" s="71">
        <f>-24-V23</f>
        <v>-10</v>
      </c>
      <c r="X23" s="71">
        <f>-22-W23-V23</f>
        <v>2</v>
      </c>
      <c r="Y23" s="47">
        <f>Z23-X23-W23-V23</f>
        <v>-50</v>
      </c>
      <c r="Z23" s="82">
        <v>-72</v>
      </c>
      <c r="AA23" s="71">
        <v>-2</v>
      </c>
      <c r="AB23" s="71">
        <f>-1-AA23</f>
        <v>1</v>
      </c>
      <c r="AC23" s="71">
        <f>3-AB23-AA23</f>
        <v>4</v>
      </c>
      <c r="AD23" s="71">
        <f>AE23-AC23-AB23-AA23</f>
        <v>18</v>
      </c>
      <c r="AE23" s="82">
        <v>21</v>
      </c>
      <c r="AF23" s="71">
        <v>-13</v>
      </c>
      <c r="AG23" s="71">
        <f>-27-AF23</f>
        <v>-14</v>
      </c>
      <c r="AH23" s="71">
        <f>2-AG23-AF23</f>
        <v>29</v>
      </c>
      <c r="AI23" s="71">
        <f>-23-AH23-AG23-AF23</f>
        <v>-25</v>
      </c>
      <c r="AJ23" s="82">
        <f t="shared" si="5"/>
        <v>-23</v>
      </c>
      <c r="AK23" s="71">
        <v>1</v>
      </c>
      <c r="AL23" s="71">
        <f>0-AK23</f>
        <v>-1</v>
      </c>
      <c r="AM23" s="71">
        <f>28-AL23-AK23</f>
        <v>28</v>
      </c>
      <c r="AN23" s="71">
        <f t="shared" si="6"/>
        <v>114</v>
      </c>
      <c r="AO23" s="82">
        <v>142</v>
      </c>
      <c r="AP23" s="71">
        <v>-5</v>
      </c>
      <c r="AQ23" s="71">
        <f>-23-AP23</f>
        <v>-18</v>
      </c>
      <c r="AR23" s="71">
        <f>-66-AQ23-AP23</f>
        <v>-43</v>
      </c>
      <c r="AS23" s="71">
        <f t="shared" si="28"/>
        <v>-35</v>
      </c>
      <c r="AT23" s="78">
        <v>-101</v>
      </c>
      <c r="AU23" s="77">
        <v>-51</v>
      </c>
      <c r="AV23" s="62">
        <f>-58-AU23</f>
        <v>-7</v>
      </c>
      <c r="AW23" s="62">
        <f>-47-AV23-AU23</f>
        <v>11</v>
      </c>
      <c r="AX23" s="15">
        <f t="shared" si="7"/>
        <v>17</v>
      </c>
      <c r="AY23" s="133">
        <v>-30</v>
      </c>
      <c r="AZ23" s="77">
        <v>-11</v>
      </c>
      <c r="BA23" s="62">
        <f>-12-AZ23</f>
        <v>-1</v>
      </c>
      <c r="BB23" s="386">
        <f>-32-BA23-AZ23</f>
        <v>-20</v>
      </c>
      <c r="BC23" s="386">
        <f t="shared" si="0"/>
        <v>-63</v>
      </c>
      <c r="BD23" s="133">
        <v>-95</v>
      </c>
      <c r="BE23" s="77">
        <v>19</v>
      </c>
      <c r="BF23" s="62">
        <f>13-BE23</f>
        <v>-6</v>
      </c>
      <c r="BG23" s="62">
        <f>-13-BF23-BE23</f>
        <v>-26</v>
      </c>
      <c r="BH23" s="62">
        <f t="shared" si="8"/>
        <v>23</v>
      </c>
      <c r="BI23" s="133">
        <v>10</v>
      </c>
      <c r="BJ23" s="77">
        <v>-5</v>
      </c>
      <c r="BK23" s="62">
        <f>-29-BJ23</f>
        <v>-24</v>
      </c>
      <c r="BL23" s="62">
        <f>59-BK23-BJ23</f>
        <v>88</v>
      </c>
      <c r="BM23" s="62">
        <f t="shared" si="9"/>
        <v>13</v>
      </c>
      <c r="BN23" s="574">
        <v>72</v>
      </c>
      <c r="BO23" s="62">
        <v>-74</v>
      </c>
      <c r="BP23" s="62">
        <f>-78-BO23</f>
        <v>-4</v>
      </c>
      <c r="BQ23" s="62">
        <f>-130-BP23-BO23</f>
        <v>-52</v>
      </c>
      <c r="BR23" s="62">
        <f t="shared" si="1"/>
        <v>14</v>
      </c>
      <c r="BS23" s="133">
        <v>-116</v>
      </c>
      <c r="BT23" s="77">
        <v>-60</v>
      </c>
      <c r="BU23" s="62">
        <f>-48-BT23</f>
        <v>12</v>
      </c>
      <c r="BV23" s="62">
        <f>-72-BU23-BT23</f>
        <v>-24</v>
      </c>
      <c r="BW23" s="62">
        <f t="shared" si="2"/>
        <v>-65</v>
      </c>
      <c r="BX23" s="133">
        <v>-137</v>
      </c>
      <c r="BY23" s="77">
        <v>-4</v>
      </c>
      <c r="BZ23" s="62">
        <f>-10-BY23</f>
        <v>-6</v>
      </c>
      <c r="CA23" s="62">
        <f>86-SUM(BY23:BZ23)</f>
        <v>96</v>
      </c>
      <c r="CB23" s="62">
        <f t="shared" si="3"/>
        <v>-58</v>
      </c>
      <c r="CC23" s="574">
        <v>28</v>
      </c>
      <c r="CD23" s="62">
        <v>-6</v>
      </c>
      <c r="CE23" s="62">
        <f>-5-CD23</f>
        <v>1</v>
      </c>
      <c r="CF23" s="62">
        <f>-51-SUM(CD23:CE23)</f>
        <v>-46</v>
      </c>
      <c r="CG23" s="62">
        <f t="shared" si="4"/>
        <v>27</v>
      </c>
      <c r="CH23" s="133">
        <v>-24</v>
      </c>
      <c r="CI23" s="1015">
        <v>-11</v>
      </c>
      <c r="CJ23" s="1015">
        <f>-10-CI23</f>
        <v>1</v>
      </c>
      <c r="CK23" s="1015">
        <f>-94-CJ23-CI23</f>
        <v>-84</v>
      </c>
      <c r="CL23" s="1015">
        <f t="shared" si="27"/>
        <v>-78</v>
      </c>
      <c r="CM23" s="996">
        <v>-172</v>
      </c>
      <c r="CN23" s="861"/>
      <c r="CO23" s="62"/>
      <c r="CP23" s="62"/>
      <c r="CQ23" s="62"/>
      <c r="CR23" s="1081">
        <v>-118</v>
      </c>
      <c r="CS23" s="1007">
        <v>-11</v>
      </c>
      <c r="CT23" s="1007">
        <v>-3</v>
      </c>
      <c r="CU23" s="1007">
        <v>0</v>
      </c>
      <c r="CV23" s="62">
        <f t="shared" ref="CV23:CV27" si="29">CW23-CU23-CT23-CS23</f>
        <v>3</v>
      </c>
      <c r="CW23" s="1231">
        <v>-11</v>
      </c>
      <c r="CX23" s="62">
        <v>20</v>
      </c>
      <c r="CY23" s="62">
        <f>10-CX23</f>
        <v>-10</v>
      </c>
      <c r="CZ23" s="62">
        <f>122-CY23-CX23</f>
        <v>112</v>
      </c>
      <c r="DA23" s="62">
        <f>634-SUM(CX23:CZ23)</f>
        <v>512</v>
      </c>
      <c r="DB23" s="133">
        <f t="shared" si="12"/>
        <v>634</v>
      </c>
      <c r="DC23" s="161">
        <f>BS!DE19-BS!DD19</f>
        <v>0</v>
      </c>
      <c r="DD23" s="161">
        <f>BS!DF19-BS!DE19</f>
        <v>0</v>
      </c>
      <c r="DE23" s="161">
        <f>BS!DG19-BS!DF19</f>
        <v>0</v>
      </c>
      <c r="DF23" s="161">
        <f>BS!DH19-BS!DG19</f>
        <v>0</v>
      </c>
      <c r="DG23" s="139">
        <f t="shared" si="14"/>
        <v>0</v>
      </c>
      <c r="DH23" s="161">
        <f>BS!DJ19-BS!DI19</f>
        <v>0</v>
      </c>
      <c r="DI23" s="161">
        <f>BS!DK19-BS!DJ19</f>
        <v>0</v>
      </c>
      <c r="DJ23" s="161">
        <f>BS!DL19-BS!DK19</f>
        <v>0</v>
      </c>
      <c r="DK23" s="161">
        <f>BS!DM19-BS!DL19</f>
        <v>0</v>
      </c>
      <c r="DL23" s="139">
        <f t="shared" si="16"/>
        <v>0</v>
      </c>
      <c r="DM23" s="161">
        <f>BS!DO19-BS!DN19</f>
        <v>0</v>
      </c>
      <c r="DN23" s="161">
        <f>BS!DP19-BS!DO19</f>
        <v>0</v>
      </c>
      <c r="DO23" s="161">
        <f>BS!DQ19-BS!DP19</f>
        <v>0</v>
      </c>
      <c r="DP23" s="161">
        <f>BS!DR19-BS!DQ19</f>
        <v>0</v>
      </c>
      <c r="DQ23" s="139">
        <f t="shared" si="18"/>
        <v>0</v>
      </c>
      <c r="DR23" s="161">
        <f>BS!DT19-BS!DS19</f>
        <v>0</v>
      </c>
      <c r="DS23" s="161">
        <f>BS!DU19-BS!DT19</f>
        <v>0</v>
      </c>
      <c r="DT23" s="161">
        <f>BS!DV19-BS!DU19</f>
        <v>0</v>
      </c>
      <c r="DU23" s="161">
        <f>BS!DW19-BS!DV19</f>
        <v>0</v>
      </c>
      <c r="DV23" s="139">
        <f t="shared" si="22"/>
        <v>0</v>
      </c>
      <c r="DW23" s="161">
        <f>BS!DY19-BS!DX19</f>
        <v>0</v>
      </c>
      <c r="DX23" s="161">
        <f>BS!DZ19-BS!DY19</f>
        <v>0</v>
      </c>
      <c r="DY23" s="161">
        <f>BS!EA19-BS!DZ19</f>
        <v>0</v>
      </c>
      <c r="DZ23" s="161">
        <f>BS!EB19-BS!EA19</f>
        <v>0</v>
      </c>
      <c r="EA23" s="139">
        <f t="shared" si="26"/>
        <v>0</v>
      </c>
      <c r="EB23" s="1010"/>
      <c r="EC23" s="1010"/>
      <c r="ED23" s="1010"/>
      <c r="EE23" s="1010"/>
      <c r="EF23" s="1010"/>
      <c r="EG23" s="1243"/>
    </row>
    <row r="24" spans="1:137" x14ac:dyDescent="0.2">
      <c r="A24" s="446" t="s">
        <v>15</v>
      </c>
      <c r="B24" s="71"/>
      <c r="C24" s="71"/>
      <c r="D24" s="71"/>
      <c r="E24" s="71"/>
      <c r="F24" s="60"/>
      <c r="G24" s="71"/>
      <c r="H24" s="71"/>
      <c r="I24" s="155"/>
      <c r="J24" s="155"/>
      <c r="K24" s="60"/>
      <c r="L24" s="71"/>
      <c r="M24" s="71"/>
      <c r="N24" s="71"/>
      <c r="O24" s="47"/>
      <c r="P24" s="82"/>
      <c r="Q24" s="71"/>
      <c r="R24" s="71"/>
      <c r="S24" s="71"/>
      <c r="T24" s="47"/>
      <c r="U24" s="82"/>
      <c r="V24" s="78"/>
      <c r="W24" s="71"/>
      <c r="X24" s="71"/>
      <c r="Y24" s="47"/>
      <c r="Z24" s="82"/>
      <c r="AA24" s="71"/>
      <c r="AB24" s="71"/>
      <c r="AC24" s="71"/>
      <c r="AD24" s="71"/>
      <c r="AE24" s="82"/>
      <c r="AF24" s="71"/>
      <c r="AG24" s="71"/>
      <c r="AH24" s="71"/>
      <c r="AI24" s="71"/>
      <c r="AJ24" s="82"/>
      <c r="AK24" s="71"/>
      <c r="AL24" s="71"/>
      <c r="AM24" s="71"/>
      <c r="AN24" s="71"/>
      <c r="AO24" s="82"/>
      <c r="AP24" s="71"/>
      <c r="AQ24" s="71"/>
      <c r="AR24" s="71"/>
      <c r="AS24" s="71">
        <f t="shared" si="28"/>
        <v>-51</v>
      </c>
      <c r="AT24" s="78">
        <v>-51</v>
      </c>
      <c r="AU24" s="77">
        <v>-11</v>
      </c>
      <c r="AV24" s="62">
        <f>-21-AU24</f>
        <v>-10</v>
      </c>
      <c r="AW24" s="62">
        <f>-37-AV24-AU24</f>
        <v>-16</v>
      </c>
      <c r="AX24" s="15">
        <f t="shared" si="7"/>
        <v>-14</v>
      </c>
      <c r="AY24" s="133">
        <f>-51</f>
        <v>-51</v>
      </c>
      <c r="AZ24" s="77">
        <v>-13</v>
      </c>
      <c r="BA24" s="62">
        <f>-21-AZ24</f>
        <v>-8</v>
      </c>
      <c r="BB24" s="62">
        <f>-40-BA24-AZ24</f>
        <v>-19</v>
      </c>
      <c r="BC24" s="386">
        <f t="shared" si="0"/>
        <v>-11</v>
      </c>
      <c r="BD24" s="133">
        <v>-51</v>
      </c>
      <c r="BE24" s="77">
        <v>-11</v>
      </c>
      <c r="BF24" s="62">
        <f>-20-BE24</f>
        <v>-9</v>
      </c>
      <c r="BG24" s="62">
        <f>-33-BF24-BE24</f>
        <v>-13</v>
      </c>
      <c r="BH24" s="62">
        <f t="shared" si="8"/>
        <v>-8</v>
      </c>
      <c r="BI24" s="133">
        <v>-41</v>
      </c>
      <c r="BJ24" s="77">
        <v>-10</v>
      </c>
      <c r="BK24" s="62">
        <f>-17-BJ24</f>
        <v>-7</v>
      </c>
      <c r="BL24" s="62">
        <f>-29-BK24-BJ24</f>
        <v>-12</v>
      </c>
      <c r="BM24" s="62">
        <f t="shared" si="9"/>
        <v>-7</v>
      </c>
      <c r="BN24" s="574">
        <v>-36</v>
      </c>
      <c r="BO24" s="62">
        <v>-12</v>
      </c>
      <c r="BP24" s="62">
        <f>-20-BO24</f>
        <v>-8</v>
      </c>
      <c r="BQ24" s="62">
        <f>-34-BP24-BO24</f>
        <v>-14</v>
      </c>
      <c r="BR24" s="15">
        <f t="shared" si="1"/>
        <v>-8</v>
      </c>
      <c r="BS24" s="133">
        <v>-42</v>
      </c>
      <c r="BT24" s="77">
        <v>-16</v>
      </c>
      <c r="BU24" s="62">
        <f>-27-BT24</f>
        <v>-11</v>
      </c>
      <c r="BV24" s="62">
        <f>-40-BU24-BT24</f>
        <v>-13</v>
      </c>
      <c r="BW24" s="15">
        <f t="shared" si="2"/>
        <v>-7</v>
      </c>
      <c r="BX24" s="133">
        <v>-47</v>
      </c>
      <c r="BY24" s="77">
        <v>-13</v>
      </c>
      <c r="BZ24" s="62">
        <f>-22-BY24</f>
        <v>-9</v>
      </c>
      <c r="CA24" s="62">
        <f>-38-SUM(BY24:BZ24)</f>
        <v>-16</v>
      </c>
      <c r="CB24" s="15">
        <f t="shared" si="3"/>
        <v>-9</v>
      </c>
      <c r="CC24" s="574">
        <v>-47</v>
      </c>
      <c r="CD24" s="62">
        <v>-7</v>
      </c>
      <c r="CE24" s="62">
        <f>-4-CD24</f>
        <v>3</v>
      </c>
      <c r="CF24" s="62">
        <f>-17-SUM(CD24:CE24)</f>
        <v>-13</v>
      </c>
      <c r="CG24" s="15">
        <f t="shared" si="4"/>
        <v>-9</v>
      </c>
      <c r="CH24" s="133">
        <v>-26</v>
      </c>
      <c r="CI24" s="1015">
        <v>-13</v>
      </c>
      <c r="CJ24" s="1015">
        <f>-22-CI24</f>
        <v>-9</v>
      </c>
      <c r="CK24" s="1015">
        <f>-31-CJ24-CI24</f>
        <v>-9</v>
      </c>
      <c r="CL24" s="1015">
        <f t="shared" si="27"/>
        <v>1</v>
      </c>
      <c r="CM24" s="996">
        <v>-30</v>
      </c>
      <c r="CN24" s="861"/>
      <c r="CO24" s="62"/>
      <c r="CP24" s="62"/>
      <c r="CQ24" s="62"/>
      <c r="CR24" s="1081">
        <v>0</v>
      </c>
      <c r="CS24" s="1007">
        <v>0</v>
      </c>
      <c r="CT24" s="1007">
        <v>0</v>
      </c>
      <c r="CU24" s="1007">
        <v>-18</v>
      </c>
      <c r="CV24" s="62">
        <f t="shared" si="29"/>
        <v>18</v>
      </c>
      <c r="CW24" s="1231">
        <v>0</v>
      </c>
      <c r="CX24" s="62">
        <v>0</v>
      </c>
      <c r="CY24" s="62">
        <v>0</v>
      </c>
      <c r="CZ24" s="62">
        <v>0</v>
      </c>
      <c r="DA24" s="62">
        <v>0</v>
      </c>
      <c r="DB24" s="133">
        <f t="shared" si="12"/>
        <v>0</v>
      </c>
      <c r="DC24" s="161">
        <v>0</v>
      </c>
      <c r="DD24" s="161">
        <v>0</v>
      </c>
      <c r="DE24" s="161">
        <v>0</v>
      </c>
      <c r="DF24" s="161">
        <v>0</v>
      </c>
      <c r="DG24" s="139">
        <f t="shared" si="14"/>
        <v>0</v>
      </c>
      <c r="DH24" s="161">
        <v>0</v>
      </c>
      <c r="DI24" s="161">
        <v>0</v>
      </c>
      <c r="DJ24" s="161">
        <v>0</v>
      </c>
      <c r="DK24" s="161">
        <v>0</v>
      </c>
      <c r="DL24" s="139">
        <f t="shared" si="16"/>
        <v>0</v>
      </c>
      <c r="DM24" s="161">
        <v>0</v>
      </c>
      <c r="DN24" s="161">
        <v>0</v>
      </c>
      <c r="DO24" s="161">
        <v>0</v>
      </c>
      <c r="DP24" s="161">
        <v>0</v>
      </c>
      <c r="DQ24" s="139">
        <f t="shared" si="18"/>
        <v>0</v>
      </c>
      <c r="DR24" s="161">
        <v>0</v>
      </c>
      <c r="DS24" s="161">
        <v>0</v>
      </c>
      <c r="DT24" s="161">
        <v>0</v>
      </c>
      <c r="DU24" s="161">
        <v>0</v>
      </c>
      <c r="DV24" s="139">
        <f t="shared" si="22"/>
        <v>0</v>
      </c>
      <c r="DW24" s="161">
        <v>0</v>
      </c>
      <c r="DX24" s="161">
        <v>0</v>
      </c>
      <c r="DY24" s="161">
        <v>0</v>
      </c>
      <c r="DZ24" s="161">
        <v>0</v>
      </c>
      <c r="EA24" s="139">
        <f t="shared" si="26"/>
        <v>0</v>
      </c>
      <c r="EB24" s="1010"/>
      <c r="EC24" s="1010"/>
      <c r="ED24" s="1010"/>
      <c r="EE24" s="1010"/>
      <c r="EF24" s="1010"/>
      <c r="EG24" s="1243"/>
    </row>
    <row r="25" spans="1:137" x14ac:dyDescent="0.2">
      <c r="A25" s="446" t="s">
        <v>351</v>
      </c>
      <c r="B25" s="71"/>
      <c r="C25" s="71"/>
      <c r="D25" s="71"/>
      <c r="E25" s="71"/>
      <c r="F25" s="60"/>
      <c r="G25" s="71"/>
      <c r="H25" s="71"/>
      <c r="I25" s="155"/>
      <c r="J25" s="155"/>
      <c r="K25" s="60"/>
      <c r="L25" s="71"/>
      <c r="M25" s="71"/>
      <c r="N25" s="71"/>
      <c r="O25" s="47"/>
      <c r="P25" s="82"/>
      <c r="Q25" s="71"/>
      <c r="R25" s="71"/>
      <c r="S25" s="71"/>
      <c r="T25" s="47"/>
      <c r="U25" s="82"/>
      <c r="V25" s="78"/>
      <c r="W25" s="71"/>
      <c r="X25" s="71"/>
      <c r="Y25" s="47"/>
      <c r="Z25" s="82"/>
      <c r="AA25" s="71"/>
      <c r="AB25" s="71"/>
      <c r="AC25" s="71"/>
      <c r="AD25" s="71"/>
      <c r="AE25" s="82"/>
      <c r="AF25" s="71"/>
      <c r="AG25" s="71"/>
      <c r="AH25" s="71"/>
      <c r="AI25" s="71"/>
      <c r="AJ25" s="82"/>
      <c r="AK25" s="71"/>
      <c r="AL25" s="71"/>
      <c r="AM25" s="71"/>
      <c r="AN25" s="71"/>
      <c r="AO25" s="82"/>
      <c r="AP25" s="71"/>
      <c r="AQ25" s="71"/>
      <c r="AR25" s="71"/>
      <c r="AS25" s="71">
        <f t="shared" si="28"/>
        <v>44</v>
      </c>
      <c r="AT25" s="78">
        <v>44</v>
      </c>
      <c r="AU25" s="77">
        <v>0</v>
      </c>
      <c r="AV25" s="62">
        <f>15-AU25</f>
        <v>15</v>
      </c>
      <c r="AW25" s="62">
        <f>26-AV25-AU25</f>
        <v>11</v>
      </c>
      <c r="AX25" s="15">
        <f t="shared" si="7"/>
        <v>6</v>
      </c>
      <c r="AY25" s="133">
        <v>32</v>
      </c>
      <c r="AZ25" s="77"/>
      <c r="BA25" s="62">
        <f>20-AZ25</f>
        <v>20</v>
      </c>
      <c r="BB25" s="62">
        <f>28-BA25-AZ25</f>
        <v>8</v>
      </c>
      <c r="BC25" s="386">
        <f t="shared" si="0"/>
        <v>12</v>
      </c>
      <c r="BD25" s="133">
        <v>40</v>
      </c>
      <c r="BE25" s="77">
        <v>0</v>
      </c>
      <c r="BF25" s="62">
        <f>22-BE25</f>
        <v>22</v>
      </c>
      <c r="BG25" s="62">
        <f>40-BF25-BE25</f>
        <v>18</v>
      </c>
      <c r="BH25" s="62">
        <f t="shared" si="8"/>
        <v>1</v>
      </c>
      <c r="BI25" s="133">
        <v>41</v>
      </c>
      <c r="BJ25" s="77">
        <v>0</v>
      </c>
      <c r="BK25" s="62">
        <f>8-BJ25</f>
        <v>8</v>
      </c>
      <c r="BL25" s="62">
        <f>29-BK25-BJ25</f>
        <v>21</v>
      </c>
      <c r="BM25" s="62">
        <f t="shared" si="9"/>
        <v>2</v>
      </c>
      <c r="BN25" s="574">
        <v>31</v>
      </c>
      <c r="BO25" s="62"/>
      <c r="BP25" s="62">
        <f>8-BO25</f>
        <v>8</v>
      </c>
      <c r="BQ25" s="62">
        <f>34-BP25-BO25</f>
        <v>26</v>
      </c>
      <c r="BR25" s="15">
        <f t="shared" si="1"/>
        <v>0</v>
      </c>
      <c r="BS25" s="133">
        <v>34</v>
      </c>
      <c r="BT25" s="77">
        <v>0</v>
      </c>
      <c r="BU25" s="62">
        <f>16-BT25</f>
        <v>16</v>
      </c>
      <c r="BV25" s="62">
        <f>37-BU25-BT25</f>
        <v>21</v>
      </c>
      <c r="BW25" s="15">
        <f t="shared" si="2"/>
        <v>2</v>
      </c>
      <c r="BX25" s="133">
        <v>39</v>
      </c>
      <c r="BY25" s="77">
        <v>0</v>
      </c>
      <c r="BZ25" s="62">
        <f>15-BY25</f>
        <v>15</v>
      </c>
      <c r="CA25" s="62">
        <f>38-SUM(BY25:BZ25)</f>
        <v>23</v>
      </c>
      <c r="CB25" s="15">
        <f t="shared" si="3"/>
        <v>3</v>
      </c>
      <c r="CC25" s="574">
        <v>41</v>
      </c>
      <c r="CD25" s="62">
        <v>0</v>
      </c>
      <c r="CE25" s="62">
        <v>12</v>
      </c>
      <c r="CF25" s="62">
        <f>15-SUM(CD25:CE25)</f>
        <v>3</v>
      </c>
      <c r="CG25" s="15">
        <f t="shared" si="4"/>
        <v>28</v>
      </c>
      <c r="CH25" s="133">
        <v>43</v>
      </c>
      <c r="CI25" s="1015">
        <v>0</v>
      </c>
      <c r="CJ25" s="1015">
        <f>7-CI25</f>
        <v>7</v>
      </c>
      <c r="CK25" s="1015">
        <f>12-CJ25-CI25</f>
        <v>5</v>
      </c>
      <c r="CL25" s="1015">
        <f t="shared" si="27"/>
        <v>16</v>
      </c>
      <c r="CM25" s="996">
        <v>28</v>
      </c>
      <c r="CN25" s="861"/>
      <c r="CO25" s="62"/>
      <c r="CP25" s="62"/>
      <c r="CQ25" s="62"/>
      <c r="CR25" s="1081">
        <v>0</v>
      </c>
      <c r="CS25" s="1007">
        <v>-6.5</v>
      </c>
      <c r="CT25" s="1007">
        <v>6.5</v>
      </c>
      <c r="CU25" s="1007">
        <v>5</v>
      </c>
      <c r="CV25" s="71">
        <f t="shared" si="29"/>
        <v>-5</v>
      </c>
      <c r="CW25" s="1231">
        <v>0</v>
      </c>
      <c r="CX25" s="71">
        <v>0</v>
      </c>
      <c r="CY25" s="71">
        <v>0</v>
      </c>
      <c r="CZ25" s="71">
        <v>0</v>
      </c>
      <c r="DA25" s="71">
        <v>0</v>
      </c>
      <c r="DB25" s="133">
        <f t="shared" si="12"/>
        <v>0</v>
      </c>
      <c r="DC25" s="71">
        <v>0</v>
      </c>
      <c r="DD25" s="71">
        <v>0</v>
      </c>
      <c r="DE25" s="161">
        <v>0</v>
      </c>
      <c r="DF25" s="161">
        <v>0</v>
      </c>
      <c r="DG25" s="139">
        <f t="shared" si="14"/>
        <v>0</v>
      </c>
      <c r="DH25" s="161">
        <v>0</v>
      </c>
      <c r="DI25" s="161">
        <v>0</v>
      </c>
      <c r="DJ25" s="161">
        <v>0</v>
      </c>
      <c r="DK25" s="161">
        <v>0</v>
      </c>
      <c r="DL25" s="139">
        <f t="shared" si="16"/>
        <v>0</v>
      </c>
      <c r="DM25" s="161">
        <v>0</v>
      </c>
      <c r="DN25" s="161">
        <v>0</v>
      </c>
      <c r="DO25" s="161">
        <v>0</v>
      </c>
      <c r="DP25" s="161">
        <v>0</v>
      </c>
      <c r="DQ25" s="139">
        <f t="shared" si="18"/>
        <v>0</v>
      </c>
      <c r="DR25" s="161">
        <v>0</v>
      </c>
      <c r="DS25" s="161">
        <v>0</v>
      </c>
      <c r="DT25" s="161">
        <v>0</v>
      </c>
      <c r="DU25" s="161">
        <v>0</v>
      </c>
      <c r="DV25" s="139">
        <f t="shared" si="22"/>
        <v>0</v>
      </c>
      <c r="DW25" s="161">
        <v>0</v>
      </c>
      <c r="DX25" s="161">
        <v>0</v>
      </c>
      <c r="DY25" s="161">
        <v>0</v>
      </c>
      <c r="DZ25" s="161">
        <v>0</v>
      </c>
      <c r="EA25" s="139">
        <f t="shared" si="26"/>
        <v>0</v>
      </c>
      <c r="EB25" s="1010"/>
      <c r="EC25" s="1010"/>
      <c r="ED25" s="1010"/>
      <c r="EE25" s="1010"/>
      <c r="EF25" s="1010"/>
      <c r="EG25" s="1243"/>
    </row>
    <row r="26" spans="1:137" x14ac:dyDescent="0.2">
      <c r="A26" s="446" t="s">
        <v>274</v>
      </c>
      <c r="B26" s="71"/>
      <c r="C26" s="71"/>
      <c r="D26" s="71"/>
      <c r="E26" s="71"/>
      <c r="F26" s="60"/>
      <c r="G26" s="71"/>
      <c r="H26" s="71"/>
      <c r="I26" s="155"/>
      <c r="J26" s="155"/>
      <c r="K26" s="60"/>
      <c r="L26" s="71"/>
      <c r="M26" s="71"/>
      <c r="N26" s="71"/>
      <c r="O26" s="47"/>
      <c r="P26" s="82"/>
      <c r="Q26" s="71"/>
      <c r="R26" s="71"/>
      <c r="S26" s="71"/>
      <c r="T26" s="47"/>
      <c r="U26" s="82"/>
      <c r="V26" s="78"/>
      <c r="W26" s="71"/>
      <c r="X26" s="71"/>
      <c r="Y26" s="47"/>
      <c r="Z26" s="82"/>
      <c r="AA26" s="71"/>
      <c r="AB26" s="71"/>
      <c r="AC26" s="71"/>
      <c r="AD26" s="71"/>
      <c r="AE26" s="82"/>
      <c r="AF26" s="71"/>
      <c r="AG26" s="71"/>
      <c r="AH26" s="71"/>
      <c r="AI26" s="71"/>
      <c r="AJ26" s="82"/>
      <c r="AK26" s="71"/>
      <c r="AL26" s="71"/>
      <c r="AM26" s="71"/>
      <c r="AN26" s="71"/>
      <c r="AO26" s="82"/>
      <c r="AP26" s="71"/>
      <c r="AQ26" s="71"/>
      <c r="AR26" s="71"/>
      <c r="AS26" s="71">
        <f t="shared" si="28"/>
        <v>-87</v>
      </c>
      <c r="AT26" s="78">
        <v>-87</v>
      </c>
      <c r="AU26" s="77">
        <v>-20</v>
      </c>
      <c r="AV26" s="62">
        <f>-37-AU26</f>
        <v>-17</v>
      </c>
      <c r="AW26" s="62">
        <f>-40-AV26-AU26</f>
        <v>-3</v>
      </c>
      <c r="AX26" s="15">
        <f t="shared" si="7"/>
        <v>-22</v>
      </c>
      <c r="AY26" s="133">
        <v>-62</v>
      </c>
      <c r="AZ26" s="77">
        <v>-11</v>
      </c>
      <c r="BA26" s="62">
        <f>-30-AZ26</f>
        <v>-19</v>
      </c>
      <c r="BB26" s="62">
        <f>-40-BA26-AZ26</f>
        <v>-10</v>
      </c>
      <c r="BC26" s="386">
        <f t="shared" si="0"/>
        <v>-36</v>
      </c>
      <c r="BD26" s="133">
        <v>-76</v>
      </c>
      <c r="BE26" s="77">
        <v>-9</v>
      </c>
      <c r="BF26" s="62">
        <f>-31-BE26</f>
        <v>-22</v>
      </c>
      <c r="BG26" s="62">
        <f>-27-BF26-BE26</f>
        <v>4</v>
      </c>
      <c r="BH26" s="15">
        <f t="shared" si="8"/>
        <v>-17</v>
      </c>
      <c r="BI26" s="133">
        <v>-44</v>
      </c>
      <c r="BJ26" s="77">
        <v>-8</v>
      </c>
      <c r="BK26" s="62">
        <f>-43-BJ26</f>
        <v>-35</v>
      </c>
      <c r="BL26" s="62">
        <f>-48-BK26-BJ26</f>
        <v>-5</v>
      </c>
      <c r="BM26" s="62">
        <f t="shared" si="9"/>
        <v>-11</v>
      </c>
      <c r="BN26" s="574">
        <v>-59</v>
      </c>
      <c r="BO26" s="62">
        <v>-9</v>
      </c>
      <c r="BP26" s="62">
        <f>-23-BO26</f>
        <v>-14</v>
      </c>
      <c r="BQ26" s="62">
        <f>-46-BP26-BO26</f>
        <v>-23</v>
      </c>
      <c r="BR26" s="15">
        <f t="shared" si="1"/>
        <v>-23</v>
      </c>
      <c r="BS26" s="133">
        <v>-69</v>
      </c>
      <c r="BT26" s="77">
        <v>-8</v>
      </c>
      <c r="BU26" s="62">
        <f>-22-BT26</f>
        <v>-14</v>
      </c>
      <c r="BV26" s="62">
        <f>-33-BU26-BT26</f>
        <v>-11</v>
      </c>
      <c r="BW26" s="15">
        <f t="shared" si="2"/>
        <v>-33</v>
      </c>
      <c r="BX26" s="133">
        <v>-66</v>
      </c>
      <c r="BY26" s="77">
        <v>-28</v>
      </c>
      <c r="BZ26" s="62">
        <f>-46-BY26</f>
        <v>-18</v>
      </c>
      <c r="CA26" s="62">
        <f>-52-SUM(BY26:BZ26)</f>
        <v>-6</v>
      </c>
      <c r="CB26" s="15">
        <f t="shared" si="3"/>
        <v>-46</v>
      </c>
      <c r="CC26" s="574">
        <v>-98</v>
      </c>
      <c r="CD26" s="62">
        <v>-11</v>
      </c>
      <c r="CE26" s="62">
        <f>-24-CD26</f>
        <v>-13</v>
      </c>
      <c r="CF26" s="62">
        <f>-27-SUM(CD26:CE26)</f>
        <v>-3</v>
      </c>
      <c r="CG26" s="15">
        <f t="shared" si="4"/>
        <v>-17</v>
      </c>
      <c r="CH26" s="133">
        <v>-44</v>
      </c>
      <c r="CI26" s="1015">
        <v>-13</v>
      </c>
      <c r="CJ26" s="1015">
        <f>-25-CI26</f>
        <v>-12</v>
      </c>
      <c r="CK26" s="1015">
        <f>-29-CJ26-CI26</f>
        <v>-4</v>
      </c>
      <c r="CL26" s="1015">
        <f t="shared" si="27"/>
        <v>-13</v>
      </c>
      <c r="CM26" s="996">
        <v>-42</v>
      </c>
      <c r="CN26" s="861"/>
      <c r="CO26" s="62"/>
      <c r="CP26" s="62"/>
      <c r="CQ26" s="62"/>
      <c r="CR26" s="1081">
        <v>-47</v>
      </c>
      <c r="CS26" s="1007">
        <v>-10.5</v>
      </c>
      <c r="CT26" s="1007">
        <v>-14.5</v>
      </c>
      <c r="CU26" s="1007">
        <v>-40</v>
      </c>
      <c r="CV26" s="62">
        <f t="shared" si="29"/>
        <v>-18</v>
      </c>
      <c r="CW26" s="1231">
        <v>-83</v>
      </c>
      <c r="CX26" s="62">
        <v>0</v>
      </c>
      <c r="CY26" s="62">
        <v>0</v>
      </c>
      <c r="CZ26" s="62">
        <v>0</v>
      </c>
      <c r="DA26" s="62">
        <v>0</v>
      </c>
      <c r="DB26" s="133">
        <f t="shared" si="12"/>
        <v>0</v>
      </c>
      <c r="DC26" s="161">
        <v>0</v>
      </c>
      <c r="DD26" s="161">
        <v>0</v>
      </c>
      <c r="DE26" s="161">
        <v>0</v>
      </c>
      <c r="DF26" s="161">
        <v>0</v>
      </c>
      <c r="DG26" s="139">
        <f t="shared" si="14"/>
        <v>0</v>
      </c>
      <c r="DH26" s="161">
        <v>0</v>
      </c>
      <c r="DI26" s="161">
        <v>0</v>
      </c>
      <c r="DJ26" s="161">
        <v>0</v>
      </c>
      <c r="DK26" s="161">
        <v>0</v>
      </c>
      <c r="DL26" s="139">
        <f t="shared" si="16"/>
        <v>0</v>
      </c>
      <c r="DM26" s="161">
        <v>0</v>
      </c>
      <c r="DN26" s="161">
        <v>0</v>
      </c>
      <c r="DO26" s="161">
        <v>0</v>
      </c>
      <c r="DP26" s="161">
        <v>0</v>
      </c>
      <c r="DQ26" s="139">
        <f t="shared" si="18"/>
        <v>0</v>
      </c>
      <c r="DR26" s="161">
        <v>0</v>
      </c>
      <c r="DS26" s="161">
        <v>0</v>
      </c>
      <c r="DT26" s="161">
        <v>0</v>
      </c>
      <c r="DU26" s="161">
        <v>0</v>
      </c>
      <c r="DV26" s="139">
        <f t="shared" si="22"/>
        <v>0</v>
      </c>
      <c r="DW26" s="161">
        <v>0</v>
      </c>
      <c r="DX26" s="161">
        <v>0</v>
      </c>
      <c r="DY26" s="161">
        <v>0</v>
      </c>
      <c r="DZ26" s="161">
        <v>0</v>
      </c>
      <c r="EA26" s="139">
        <f t="shared" si="26"/>
        <v>0</v>
      </c>
      <c r="EB26" s="1010"/>
      <c r="EC26" s="1010"/>
      <c r="ED26" s="1010"/>
      <c r="EE26" s="1010"/>
      <c r="EF26" s="1010"/>
      <c r="EG26" s="1243"/>
    </row>
    <row r="27" spans="1:137" x14ac:dyDescent="0.2">
      <c r="A27" s="446" t="s">
        <v>123</v>
      </c>
      <c r="B27" s="71"/>
      <c r="C27" s="71"/>
      <c r="D27" s="71"/>
      <c r="E27" s="71"/>
      <c r="F27" s="60"/>
      <c r="G27" s="71"/>
      <c r="H27" s="71"/>
      <c r="I27" s="155"/>
      <c r="J27" s="155"/>
      <c r="K27" s="60"/>
      <c r="L27" s="71"/>
      <c r="M27" s="71"/>
      <c r="N27" s="71"/>
      <c r="O27" s="47"/>
      <c r="P27" s="82"/>
      <c r="Q27" s="71"/>
      <c r="R27" s="71"/>
      <c r="S27" s="71"/>
      <c r="T27" s="47"/>
      <c r="U27" s="82"/>
      <c r="V27" s="78"/>
      <c r="W27" s="71"/>
      <c r="X27" s="71"/>
      <c r="Y27" s="47"/>
      <c r="Z27" s="82"/>
      <c r="AA27" s="71"/>
      <c r="AB27" s="71"/>
      <c r="AC27" s="71"/>
      <c r="AD27" s="71"/>
      <c r="AE27" s="82"/>
      <c r="AF27" s="71"/>
      <c r="AG27" s="71"/>
      <c r="AH27" s="71"/>
      <c r="AI27" s="71"/>
      <c r="AJ27" s="82"/>
      <c r="AK27" s="71"/>
      <c r="AL27" s="71"/>
      <c r="AM27" s="71"/>
      <c r="AN27" s="71"/>
      <c r="AO27" s="82"/>
      <c r="AP27" s="71"/>
      <c r="AQ27" s="71"/>
      <c r="AR27" s="71"/>
      <c r="AS27" s="71">
        <f t="shared" si="28"/>
        <v>62</v>
      </c>
      <c r="AT27" s="78">
        <v>62</v>
      </c>
      <c r="AU27" s="77">
        <v>16</v>
      </c>
      <c r="AV27" s="62">
        <f>30-AU27</f>
        <v>14</v>
      </c>
      <c r="AW27" s="62">
        <f>46-AV27-AU27</f>
        <v>16</v>
      </c>
      <c r="AX27" s="62">
        <f t="shared" si="7"/>
        <v>19</v>
      </c>
      <c r="AY27" s="133">
        <v>65</v>
      </c>
      <c r="AZ27" s="77">
        <v>14</v>
      </c>
      <c r="BA27" s="62">
        <f>29-AZ27</f>
        <v>15</v>
      </c>
      <c r="BB27" s="62">
        <f>43-BA27-AZ27</f>
        <v>14</v>
      </c>
      <c r="BC27" s="386">
        <f t="shared" si="0"/>
        <v>18</v>
      </c>
      <c r="BD27" s="133">
        <v>61</v>
      </c>
      <c r="BE27" s="77">
        <v>15</v>
      </c>
      <c r="BF27" s="62">
        <f>29-BE27</f>
        <v>14</v>
      </c>
      <c r="BG27" s="62">
        <f>44-BF27-BE27</f>
        <v>15</v>
      </c>
      <c r="BH27" s="15">
        <f t="shared" si="8"/>
        <v>20</v>
      </c>
      <c r="BI27" s="133">
        <v>64</v>
      </c>
      <c r="BJ27" s="77">
        <v>13</v>
      </c>
      <c r="BK27" s="62">
        <f>26-BJ27</f>
        <v>13</v>
      </c>
      <c r="BL27" s="62">
        <f>39-BK27-BJ27</f>
        <v>13</v>
      </c>
      <c r="BM27" s="15">
        <f t="shared" si="9"/>
        <v>17</v>
      </c>
      <c r="BN27" s="574">
        <v>56</v>
      </c>
      <c r="BO27" s="62">
        <v>13</v>
      </c>
      <c r="BP27" s="62">
        <f>24-BO27</f>
        <v>11</v>
      </c>
      <c r="BQ27" s="62">
        <f>37-BP27-BO27</f>
        <v>13</v>
      </c>
      <c r="BR27" s="15">
        <f t="shared" si="1"/>
        <v>10</v>
      </c>
      <c r="BS27" s="133">
        <v>47</v>
      </c>
      <c r="BT27" s="77">
        <v>13</v>
      </c>
      <c r="BU27" s="62">
        <f>26-BT27</f>
        <v>13</v>
      </c>
      <c r="BV27" s="62">
        <f>40-BU27-BT27</f>
        <v>14</v>
      </c>
      <c r="BW27" s="15">
        <f t="shared" si="2"/>
        <v>19</v>
      </c>
      <c r="BX27" s="133">
        <v>59</v>
      </c>
      <c r="BY27" s="77">
        <v>11</v>
      </c>
      <c r="BZ27" s="62">
        <f>23-BY27</f>
        <v>12</v>
      </c>
      <c r="CA27" s="62">
        <f>35-SUM(BY27:BZ27)</f>
        <v>12</v>
      </c>
      <c r="CB27" s="15">
        <f t="shared" si="3"/>
        <v>15</v>
      </c>
      <c r="CC27" s="574">
        <v>50</v>
      </c>
      <c r="CD27" s="62">
        <v>9</v>
      </c>
      <c r="CE27" s="62">
        <f>21-CD27</f>
        <v>12</v>
      </c>
      <c r="CF27" s="62">
        <f>32-SUM(CD27:CE27)</f>
        <v>11</v>
      </c>
      <c r="CG27" s="15">
        <f t="shared" si="4"/>
        <v>17</v>
      </c>
      <c r="CH27" s="133">
        <v>49</v>
      </c>
      <c r="CI27" s="1015">
        <v>12</v>
      </c>
      <c r="CJ27" s="1015">
        <f>25-CI27</f>
        <v>13</v>
      </c>
      <c r="CK27" s="1015">
        <f>36-CJ27-CI27</f>
        <v>11</v>
      </c>
      <c r="CL27" s="1015">
        <f t="shared" si="27"/>
        <v>19</v>
      </c>
      <c r="CM27" s="996">
        <v>55</v>
      </c>
      <c r="CN27" s="861"/>
      <c r="CO27" s="62"/>
      <c r="CP27" s="62"/>
      <c r="CQ27" s="62"/>
      <c r="CR27" s="1081">
        <v>43</v>
      </c>
      <c r="CS27" s="1007">
        <v>10.5</v>
      </c>
      <c r="CT27" s="1007">
        <v>11.5</v>
      </c>
      <c r="CU27" s="1007">
        <v>9</v>
      </c>
      <c r="CV27" s="62">
        <f t="shared" si="29"/>
        <v>49</v>
      </c>
      <c r="CW27" s="1231">
        <v>80</v>
      </c>
      <c r="CX27" s="62">
        <v>15</v>
      </c>
      <c r="CY27" s="62">
        <f>25-CX27</f>
        <v>10</v>
      </c>
      <c r="CZ27" s="62">
        <f>35-CY27-CX27</f>
        <v>10</v>
      </c>
      <c r="DA27" s="62">
        <f>65-SUM(CX27:CZ27)</f>
        <v>30</v>
      </c>
      <c r="DB27" s="133">
        <f>SUM(CX27:DA27)</f>
        <v>65</v>
      </c>
      <c r="DC27" s="161">
        <f>DG27/4</f>
        <v>16.25</v>
      </c>
      <c r="DD27" s="161">
        <f>DG27/4</f>
        <v>16.25</v>
      </c>
      <c r="DE27" s="161">
        <f>DG27/4</f>
        <v>16.25</v>
      </c>
      <c r="DF27" s="161">
        <f>DG27/4</f>
        <v>16.25</v>
      </c>
      <c r="DG27" s="139">
        <f>DB27</f>
        <v>65</v>
      </c>
      <c r="DH27" s="161">
        <f>DL27/4</f>
        <v>16.25</v>
      </c>
      <c r="DI27" s="161">
        <f>DL27/4</f>
        <v>16.25</v>
      </c>
      <c r="DJ27" s="161">
        <f>DL27/4</f>
        <v>16.25</v>
      </c>
      <c r="DK27" s="161">
        <f>DL27/4</f>
        <v>16.25</v>
      </c>
      <c r="DL27" s="139">
        <f>DG27</f>
        <v>65</v>
      </c>
      <c r="DM27" s="161">
        <f>DQ27/4</f>
        <v>16.25</v>
      </c>
      <c r="DN27" s="161">
        <f>DQ27/4</f>
        <v>16.25</v>
      </c>
      <c r="DO27" s="161">
        <f>DQ27/4</f>
        <v>16.25</v>
      </c>
      <c r="DP27" s="161">
        <f>DQ27/4</f>
        <v>16.25</v>
      </c>
      <c r="DQ27" s="139">
        <f>DL27</f>
        <v>65</v>
      </c>
      <c r="DR27" s="161">
        <f>DV27/4</f>
        <v>16.25</v>
      </c>
      <c r="DS27" s="161">
        <f>DV27/4</f>
        <v>16.25</v>
      </c>
      <c r="DT27" s="161">
        <f>DV27/4</f>
        <v>16.25</v>
      </c>
      <c r="DU27" s="161">
        <f>DV27/4</f>
        <v>16.25</v>
      </c>
      <c r="DV27" s="139">
        <f>DQ27</f>
        <v>65</v>
      </c>
      <c r="DW27" s="161">
        <f>EA27/4</f>
        <v>16.25</v>
      </c>
      <c r="DX27" s="161">
        <f>EA27/4</f>
        <v>16.25</v>
      </c>
      <c r="DY27" s="161">
        <f>EA27/4</f>
        <v>16.25</v>
      </c>
      <c r="DZ27" s="161">
        <f>EA27/4</f>
        <v>16.25</v>
      </c>
      <c r="EA27" s="139">
        <f>DV27</f>
        <v>65</v>
      </c>
      <c r="EB27" s="1010"/>
      <c r="EC27" s="1010"/>
      <c r="ED27" s="1010"/>
      <c r="EE27" s="1010"/>
      <c r="EF27" s="1010"/>
      <c r="EG27" s="1243"/>
    </row>
    <row r="28" spans="1:137" x14ac:dyDescent="0.2">
      <c r="A28" s="446" t="s">
        <v>532</v>
      </c>
      <c r="B28" s="71"/>
      <c r="C28" s="71"/>
      <c r="D28" s="71"/>
      <c r="E28" s="71"/>
      <c r="F28" s="60"/>
      <c r="G28" s="71"/>
      <c r="H28" s="71"/>
      <c r="I28" s="286"/>
      <c r="J28" s="155"/>
      <c r="K28" s="60"/>
      <c r="L28" s="71">
        <v>46</v>
      </c>
      <c r="M28" s="71">
        <f>31-L28</f>
        <v>-15</v>
      </c>
      <c r="N28" s="71">
        <f>73-M28-L28</f>
        <v>42</v>
      </c>
      <c r="O28" s="47">
        <f>P28-N28-M28-L28</f>
        <v>-7</v>
      </c>
      <c r="P28" s="82">
        <v>66</v>
      </c>
      <c r="Q28" s="71">
        <v>18</v>
      </c>
      <c r="R28" s="71">
        <f>26-Q28</f>
        <v>8</v>
      </c>
      <c r="S28" s="71">
        <f>32-R28-Q28</f>
        <v>6</v>
      </c>
      <c r="T28" s="47">
        <f>U28-S28-R28-Q28</f>
        <v>11</v>
      </c>
      <c r="U28" s="82">
        <v>43</v>
      </c>
      <c r="V28" s="78">
        <v>13</v>
      </c>
      <c r="W28" s="71">
        <f>13-V28</f>
        <v>0</v>
      </c>
      <c r="X28" s="71">
        <f>14-W28-V28</f>
        <v>1</v>
      </c>
      <c r="Y28" s="47">
        <f>Z28-X28-W28-V28</f>
        <v>1</v>
      </c>
      <c r="Z28" s="82">
        <v>15</v>
      </c>
      <c r="AA28" s="71">
        <v>4</v>
      </c>
      <c r="AB28" s="71">
        <f>19-AA28</f>
        <v>15</v>
      </c>
      <c r="AC28" s="71">
        <f>21-AB28-AA28</f>
        <v>2</v>
      </c>
      <c r="AD28" s="71">
        <f>AE28-AC28-AB28-AA28</f>
        <v>15</v>
      </c>
      <c r="AE28" s="82">
        <v>36</v>
      </c>
      <c r="AF28" s="71">
        <v>20</v>
      </c>
      <c r="AG28" s="71">
        <f>32-AF28</f>
        <v>12</v>
      </c>
      <c r="AH28" s="71">
        <f>42-AG28-AF28</f>
        <v>10</v>
      </c>
      <c r="AI28" s="71">
        <f>33-AH28-AG28-AF28</f>
        <v>-9</v>
      </c>
      <c r="AJ28" s="82">
        <f>SUM(AF28:AI28)</f>
        <v>33</v>
      </c>
      <c r="AK28" s="71">
        <v>9</v>
      </c>
      <c r="AL28" s="71">
        <f>19-AK28</f>
        <v>10</v>
      </c>
      <c r="AM28" s="71">
        <f>22-AL28-AK28</f>
        <v>3</v>
      </c>
      <c r="AN28" s="71">
        <f>AO28-AM28-AL28-AK28</f>
        <v>3</v>
      </c>
      <c r="AO28" s="82">
        <v>25</v>
      </c>
      <c r="AP28" s="71">
        <v>6</v>
      </c>
      <c r="AQ28" s="71">
        <f>-4-AP28</f>
        <v>-10</v>
      </c>
      <c r="AR28" s="71">
        <f>-16-AQ28-AP28</f>
        <v>-12</v>
      </c>
      <c r="AS28" s="71">
        <f t="shared" si="28"/>
        <v>56</v>
      </c>
      <c r="AT28" s="78">
        <v>40</v>
      </c>
      <c r="AU28" s="77">
        <v>19</v>
      </c>
      <c r="AV28" s="62">
        <f>39-AU28</f>
        <v>20</v>
      </c>
      <c r="AW28" s="62">
        <f>59-AV28-AU28</f>
        <v>20</v>
      </c>
      <c r="AX28" s="62">
        <f t="shared" si="7"/>
        <v>42</v>
      </c>
      <c r="AY28" s="133">
        <v>101</v>
      </c>
      <c r="AZ28" s="77">
        <v>57</v>
      </c>
      <c r="BA28" s="62">
        <f>17-AZ28</f>
        <v>-40</v>
      </c>
      <c r="BB28" s="62">
        <f>58-BA28-AZ28</f>
        <v>41</v>
      </c>
      <c r="BC28" s="62">
        <f t="shared" si="0"/>
        <v>7</v>
      </c>
      <c r="BD28" s="133">
        <v>65</v>
      </c>
      <c r="BE28" s="77">
        <v>62</v>
      </c>
      <c r="BF28" s="62">
        <f>66-BE28</f>
        <v>4</v>
      </c>
      <c r="BG28" s="62">
        <f>81-BF28-BE28</f>
        <v>15</v>
      </c>
      <c r="BH28" s="62">
        <f t="shared" si="8"/>
        <v>-35</v>
      </c>
      <c r="BI28" s="133">
        <v>46</v>
      </c>
      <c r="BJ28" s="77">
        <v>53</v>
      </c>
      <c r="BK28" s="62">
        <f>73-BJ28</f>
        <v>20</v>
      </c>
      <c r="BL28" s="62">
        <f>53-BK28-BJ28</f>
        <v>-20</v>
      </c>
      <c r="BM28" s="62">
        <f t="shared" si="9"/>
        <v>29</v>
      </c>
      <c r="BN28" s="574">
        <v>82</v>
      </c>
      <c r="BO28" s="62">
        <v>36</v>
      </c>
      <c r="BP28" s="62">
        <f>-12-BO28</f>
        <v>-48</v>
      </c>
      <c r="BQ28" s="62">
        <f>111-BP28-BO28</f>
        <v>123</v>
      </c>
      <c r="BR28" s="62">
        <f t="shared" si="1"/>
        <v>26</v>
      </c>
      <c r="BS28" s="133">
        <v>137</v>
      </c>
      <c r="BT28" s="77">
        <v>34</v>
      </c>
      <c r="BU28" s="62">
        <f>33-BT28</f>
        <v>-1</v>
      </c>
      <c r="BV28" s="62">
        <f>39-BU28-BT28</f>
        <v>6</v>
      </c>
      <c r="BW28" s="62">
        <f t="shared" si="2"/>
        <v>62</v>
      </c>
      <c r="BX28" s="133">
        <v>101</v>
      </c>
      <c r="BY28" s="77">
        <v>39</v>
      </c>
      <c r="BZ28" s="62">
        <f>69-BY28</f>
        <v>30</v>
      </c>
      <c r="CA28" s="62">
        <f>66-SUM(BY28:BZ28)</f>
        <v>-3</v>
      </c>
      <c r="CB28" s="62">
        <f t="shared" si="3"/>
        <v>39</v>
      </c>
      <c r="CC28" s="574">
        <v>105</v>
      </c>
      <c r="CD28" s="62">
        <v>0</v>
      </c>
      <c r="CE28" s="62">
        <v>29</v>
      </c>
      <c r="CF28" s="62">
        <f>77-SUM(CD28:CE28)</f>
        <v>48</v>
      </c>
      <c r="CG28" s="62">
        <f t="shared" si="4"/>
        <v>-43</v>
      </c>
      <c r="CH28" s="133">
        <v>34</v>
      </c>
      <c r="CI28" s="1015">
        <v>-31</v>
      </c>
      <c r="CJ28" s="1015">
        <f>-40-CI28</f>
        <v>-9</v>
      </c>
      <c r="CK28" s="1015">
        <f>43-CJ28-CI28</f>
        <v>83</v>
      </c>
      <c r="CL28" s="1015">
        <f t="shared" si="27"/>
        <v>41</v>
      </c>
      <c r="CM28" s="996">
        <v>84</v>
      </c>
      <c r="CN28" s="861"/>
      <c r="CO28" s="62"/>
      <c r="CP28" s="62"/>
      <c r="CQ28" s="62"/>
      <c r="CR28" s="1081">
        <v>75</v>
      </c>
      <c r="CS28" s="1060">
        <v>-38</v>
      </c>
      <c r="CT28" s="1060">
        <v>-78</v>
      </c>
      <c r="CU28" s="1046">
        <v>-14</v>
      </c>
      <c r="CV28" s="62">
        <f>CW28-CU28-CT28-CS28</f>
        <v>177</v>
      </c>
      <c r="CW28" s="1231">
        <v>47</v>
      </c>
      <c r="CX28" s="62">
        <v>39</v>
      </c>
      <c r="CY28" s="62">
        <f>110-CX28</f>
        <v>71</v>
      </c>
      <c r="CZ28" s="62">
        <f>120-CY28-CX28</f>
        <v>10</v>
      </c>
      <c r="DA28" s="62">
        <f>130-SUM(CX28:CZ28)</f>
        <v>10</v>
      </c>
      <c r="DB28" s="133">
        <f>SUM(CX28:DA28)</f>
        <v>130</v>
      </c>
      <c r="DC28" s="161">
        <f>'IS '!DC57</f>
        <v>12.074999999999999</v>
      </c>
      <c r="DD28" s="161">
        <f>'IS '!DD57</f>
        <v>12.074999999999999</v>
      </c>
      <c r="DE28" s="161">
        <f>'IS '!DE57</f>
        <v>12.074999999999999</v>
      </c>
      <c r="DF28" s="161">
        <f>'IS '!DF57</f>
        <v>12.074999999999999</v>
      </c>
      <c r="DG28" s="139">
        <f>SUM(DC28:DF28)</f>
        <v>48.3</v>
      </c>
      <c r="DH28" s="161">
        <f>'IS '!DH57</f>
        <v>0</v>
      </c>
      <c r="DI28" s="161">
        <f>'IS '!DI57</f>
        <v>0</v>
      </c>
      <c r="DJ28" s="161">
        <f>'IS '!DJ57</f>
        <v>0</v>
      </c>
      <c r="DK28" s="161">
        <f>'IS '!DK57</f>
        <v>0</v>
      </c>
      <c r="DL28" s="139">
        <f>SUM(DH28:DK28)</f>
        <v>0</v>
      </c>
      <c r="DM28" s="161">
        <f>'IS '!DM57</f>
        <v>0</v>
      </c>
      <c r="DN28" s="161">
        <f>'IS '!DN57</f>
        <v>0</v>
      </c>
      <c r="DO28" s="161">
        <f>'IS '!DO57</f>
        <v>0</v>
      </c>
      <c r="DP28" s="161">
        <f>'IS '!DP57</f>
        <v>0</v>
      </c>
      <c r="DQ28" s="139">
        <f>SUM(DM28:DP28)</f>
        <v>0</v>
      </c>
      <c r="DR28" s="161">
        <f>'IS '!DR57</f>
        <v>0</v>
      </c>
      <c r="DS28" s="161">
        <f>'IS '!DS57</f>
        <v>0</v>
      </c>
      <c r="DT28" s="161">
        <f>'IS '!DT57</f>
        <v>0</v>
      </c>
      <c r="DU28" s="161">
        <f>'IS '!DU57</f>
        <v>0</v>
      </c>
      <c r="DV28" s="139">
        <f>SUM(DR28:DU28)</f>
        <v>0</v>
      </c>
      <c r="DW28" s="161">
        <f>'IS '!DW57</f>
        <v>0</v>
      </c>
      <c r="DX28" s="161">
        <f>'IS '!DX57</f>
        <v>0</v>
      </c>
      <c r="DY28" s="161">
        <f>'IS '!DY57</f>
        <v>0</v>
      </c>
      <c r="DZ28" s="161">
        <f>'IS '!DZ57</f>
        <v>0</v>
      </c>
      <c r="EA28" s="139">
        <f>SUM(DW28:DZ28)</f>
        <v>0</v>
      </c>
      <c r="EB28" s="1010"/>
      <c r="EC28" s="1010"/>
      <c r="ED28" s="1010"/>
      <c r="EE28" s="1010"/>
      <c r="EF28" s="1010"/>
      <c r="EG28" s="1243"/>
    </row>
    <row r="29" spans="1:137" x14ac:dyDescent="0.2">
      <c r="A29" s="446" t="s">
        <v>533</v>
      </c>
      <c r="B29" s="65"/>
      <c r="C29" s="65"/>
      <c r="D29" s="65"/>
      <c r="E29" s="65"/>
      <c r="F29" s="66"/>
      <c r="G29" s="65"/>
      <c r="H29" s="65"/>
      <c r="I29" s="65"/>
      <c r="J29" s="287"/>
      <c r="K29" s="66"/>
      <c r="L29" s="65"/>
      <c r="M29" s="65"/>
      <c r="N29" s="65"/>
      <c r="O29" s="47"/>
      <c r="P29" s="81"/>
      <c r="Q29" s="65"/>
      <c r="R29" s="65"/>
      <c r="S29" s="65"/>
      <c r="T29" s="47"/>
      <c r="U29" s="81"/>
      <c r="V29" s="67"/>
      <c r="W29" s="65"/>
      <c r="X29" s="65"/>
      <c r="Y29" s="47"/>
      <c r="Z29" s="81"/>
      <c r="AA29" s="65"/>
      <c r="AB29" s="65"/>
      <c r="AC29" s="65"/>
      <c r="AD29" s="65"/>
      <c r="AE29" s="81"/>
      <c r="AF29" s="65"/>
      <c r="AG29" s="65"/>
      <c r="AH29" s="65"/>
      <c r="AI29" s="65"/>
      <c r="AJ29" s="81"/>
      <c r="AK29" s="65"/>
      <c r="AL29" s="65"/>
      <c r="AM29" s="65"/>
      <c r="AN29" s="65"/>
      <c r="AO29" s="81"/>
      <c r="AP29" s="65"/>
      <c r="AQ29" s="65"/>
      <c r="AR29" s="288"/>
      <c r="AS29" s="65">
        <f t="shared" si="28"/>
        <v>0</v>
      </c>
      <c r="AT29" s="67"/>
      <c r="AU29" s="26"/>
      <c r="AV29" s="55"/>
      <c r="AW29" s="55"/>
      <c r="AX29" s="55"/>
      <c r="AY29" s="126"/>
      <c r="AZ29" s="26"/>
      <c r="BA29" s="55"/>
      <c r="BB29" s="55"/>
      <c r="BC29" s="55"/>
      <c r="BD29" s="126"/>
      <c r="BE29" s="26"/>
      <c r="BF29" s="55"/>
      <c r="BG29" s="55"/>
      <c r="BH29" s="55"/>
      <c r="BI29" s="126"/>
      <c r="BJ29" s="26"/>
      <c r="BK29" s="55"/>
      <c r="BL29" s="55"/>
      <c r="BM29" s="55"/>
      <c r="BN29" s="575"/>
      <c r="BO29" s="55"/>
      <c r="BP29" s="55"/>
      <c r="BQ29" s="55"/>
      <c r="BR29" s="55"/>
      <c r="BS29" s="126"/>
      <c r="BT29" s="26"/>
      <c r="BU29" s="55"/>
      <c r="BV29" s="55"/>
      <c r="BW29" s="55"/>
      <c r="BX29" s="126"/>
      <c r="BY29" s="26"/>
      <c r="BZ29" s="55"/>
      <c r="CA29" s="55"/>
      <c r="CB29" s="55"/>
      <c r="CC29" s="575"/>
      <c r="CD29" s="55"/>
      <c r="CE29" s="55"/>
      <c r="CF29" s="55"/>
      <c r="CG29" s="55"/>
      <c r="CH29" s="126"/>
      <c r="CI29" s="942"/>
      <c r="CJ29" s="942"/>
      <c r="CK29" s="942"/>
      <c r="CL29" s="942"/>
      <c r="CM29" s="998"/>
      <c r="CN29" s="909"/>
      <c r="CO29" s="55"/>
      <c r="CP29" s="55"/>
      <c r="CQ29" s="55"/>
      <c r="CR29" s="1081">
        <v>0</v>
      </c>
      <c r="CS29" s="1007">
        <v>0</v>
      </c>
      <c r="CT29" s="1007">
        <v>0</v>
      </c>
      <c r="CU29" s="1007">
        <v>0</v>
      </c>
      <c r="CV29" s="55"/>
      <c r="CW29" s="2045"/>
      <c r="CX29" s="55"/>
      <c r="CY29" s="55"/>
      <c r="CZ29" s="55"/>
      <c r="DA29" s="55"/>
      <c r="DB29" s="126"/>
      <c r="DC29" s="55"/>
      <c r="DD29" s="55"/>
      <c r="DE29" s="55"/>
      <c r="DF29" s="55"/>
      <c r="DG29" s="127"/>
      <c r="DH29" s="55"/>
      <c r="DI29" s="55"/>
      <c r="DJ29" s="55"/>
      <c r="DK29" s="55"/>
      <c r="DL29" s="127"/>
      <c r="DM29" s="55"/>
      <c r="DN29" s="55"/>
      <c r="DO29" s="55"/>
      <c r="DP29" s="55"/>
      <c r="DQ29" s="127"/>
      <c r="DR29" s="55"/>
      <c r="DS29" s="55"/>
      <c r="DT29" s="55"/>
      <c r="DU29" s="55"/>
      <c r="DV29" s="127"/>
      <c r="DW29" s="55"/>
      <c r="DX29" s="55"/>
      <c r="DY29" s="55"/>
      <c r="DZ29" s="55"/>
      <c r="EA29" s="127"/>
      <c r="EB29" s="942"/>
      <c r="EC29" s="942"/>
      <c r="ED29" s="942"/>
      <c r="EE29" s="942"/>
      <c r="EF29" s="942"/>
      <c r="EG29" s="1243"/>
    </row>
    <row r="30" spans="1:137" x14ac:dyDescent="0.2">
      <c r="A30" s="446" t="s">
        <v>562</v>
      </c>
      <c r="B30" s="71"/>
      <c r="C30" s="71"/>
      <c r="D30" s="71"/>
      <c r="E30" s="71"/>
      <c r="F30" s="60"/>
      <c r="G30" s="71"/>
      <c r="H30" s="71"/>
      <c r="I30" s="286"/>
      <c r="J30" s="155"/>
      <c r="K30" s="60"/>
      <c r="L30" s="71"/>
      <c r="M30" s="71"/>
      <c r="N30" s="71"/>
      <c r="O30" s="47"/>
      <c r="P30" s="82"/>
      <c r="Q30" s="71"/>
      <c r="R30" s="71"/>
      <c r="S30" s="71"/>
      <c r="T30" s="47"/>
      <c r="U30" s="82"/>
      <c r="V30" s="78"/>
      <c r="W30" s="71"/>
      <c r="X30" s="71"/>
      <c r="Y30" s="47"/>
      <c r="Z30" s="82"/>
      <c r="AA30" s="71"/>
      <c r="AB30" s="71"/>
      <c r="AC30" s="71"/>
      <c r="AD30" s="71"/>
      <c r="AE30" s="82"/>
      <c r="AF30" s="71"/>
      <c r="AG30" s="71"/>
      <c r="AH30" s="71"/>
      <c r="AI30" s="71"/>
      <c r="AJ30" s="82"/>
      <c r="AK30" s="71"/>
      <c r="AL30" s="71"/>
      <c r="AM30" s="71"/>
      <c r="AN30" s="71"/>
      <c r="AO30" s="82"/>
      <c r="AP30" s="71"/>
      <c r="AQ30" s="71"/>
      <c r="AR30" s="79"/>
      <c r="AS30" s="71">
        <f t="shared" si="28"/>
        <v>0</v>
      </c>
      <c r="AT30" s="78"/>
      <c r="AU30" s="14"/>
      <c r="AV30" s="15"/>
      <c r="AW30" s="15"/>
      <c r="AX30" s="15"/>
      <c r="AY30" s="133"/>
      <c r="AZ30" s="14"/>
      <c r="BA30" s="15"/>
      <c r="BB30" s="15"/>
      <c r="BC30" s="15"/>
      <c r="BD30" s="133"/>
      <c r="BE30" s="14"/>
      <c r="BF30" s="15"/>
      <c r="BG30" s="15"/>
      <c r="BH30" s="15"/>
      <c r="BI30" s="133"/>
      <c r="BJ30" s="14"/>
      <c r="BK30" s="15"/>
      <c r="BL30" s="15"/>
      <c r="BM30" s="15"/>
      <c r="BN30" s="574"/>
      <c r="BO30" s="15"/>
      <c r="BP30" s="15"/>
      <c r="BQ30" s="15"/>
      <c r="BR30" s="15"/>
      <c r="BS30" s="133"/>
      <c r="BT30" s="14"/>
      <c r="BU30" s="15"/>
      <c r="BV30" s="15"/>
      <c r="BW30" s="15"/>
      <c r="BX30" s="133"/>
      <c r="BY30" s="14"/>
      <c r="BZ30" s="15"/>
      <c r="CA30" s="15"/>
      <c r="CB30" s="15"/>
      <c r="CC30" s="574"/>
      <c r="CD30" s="15"/>
      <c r="CE30" s="15"/>
      <c r="CF30" s="15"/>
      <c r="CG30" s="15"/>
      <c r="CH30" s="133"/>
      <c r="CI30" s="1010"/>
      <c r="CJ30" s="1010"/>
      <c r="CK30" s="1010"/>
      <c r="CL30" s="1010"/>
      <c r="CM30" s="996"/>
      <c r="CN30" s="851"/>
      <c r="CO30" s="15"/>
      <c r="CP30" s="15"/>
      <c r="CQ30" s="15"/>
      <c r="CR30" s="1081">
        <v>0</v>
      </c>
      <c r="CS30" s="1007">
        <v>0</v>
      </c>
      <c r="CT30" s="1007">
        <v>0</v>
      </c>
      <c r="CU30" s="1007">
        <v>0</v>
      </c>
      <c r="CV30" s="15"/>
      <c r="CW30" s="1231"/>
      <c r="CX30" s="15"/>
      <c r="CY30" s="15"/>
      <c r="CZ30" s="15"/>
      <c r="DA30" s="15"/>
      <c r="DB30" s="133"/>
      <c r="DC30" s="15"/>
      <c r="DD30" s="15"/>
      <c r="DE30" s="15"/>
      <c r="DF30" s="15"/>
      <c r="DG30" s="139"/>
      <c r="DH30" s="15"/>
      <c r="DI30" s="15"/>
      <c r="DJ30" s="15"/>
      <c r="DK30" s="15"/>
      <c r="DL30" s="139"/>
      <c r="DM30" s="15"/>
      <c r="DN30" s="15"/>
      <c r="DO30" s="15"/>
      <c r="DP30" s="15"/>
      <c r="DQ30" s="139"/>
      <c r="DR30" s="15"/>
      <c r="DS30" s="15"/>
      <c r="DT30" s="15"/>
      <c r="DU30" s="15"/>
      <c r="DV30" s="139"/>
      <c r="DW30" s="15"/>
      <c r="DX30" s="15"/>
      <c r="DY30" s="15"/>
      <c r="DZ30" s="15"/>
      <c r="EA30" s="139"/>
      <c r="EB30" s="1010"/>
      <c r="EC30" s="1010"/>
      <c r="ED30" s="1010"/>
      <c r="EE30" s="1010"/>
      <c r="EF30" s="1010"/>
      <c r="EG30" s="1243"/>
    </row>
    <row r="31" spans="1:137" x14ac:dyDescent="0.2">
      <c r="A31" s="446" t="s">
        <v>563</v>
      </c>
      <c r="B31" s="71"/>
      <c r="C31" s="71"/>
      <c r="D31" s="71"/>
      <c r="E31" s="71"/>
      <c r="F31" s="60"/>
      <c r="G31" s="71"/>
      <c r="H31" s="71"/>
      <c r="I31" s="155"/>
      <c r="J31" s="155"/>
      <c r="K31" s="60"/>
      <c r="L31" s="71">
        <v>-24</v>
      </c>
      <c r="M31" s="71">
        <f>-50-L31</f>
        <v>-26</v>
      </c>
      <c r="N31" s="71">
        <f>-11-M31-L31</f>
        <v>39</v>
      </c>
      <c r="O31" s="47">
        <f>P31-N31-M31-L31</f>
        <v>-17</v>
      </c>
      <c r="P31" s="82">
        <v>-28</v>
      </c>
      <c r="Q31" s="71">
        <v>-194</v>
      </c>
      <c r="R31" s="71">
        <f>-262-Q31</f>
        <v>-68</v>
      </c>
      <c r="S31" s="71">
        <f>-238-R31-Q31</f>
        <v>24</v>
      </c>
      <c r="T31" s="47">
        <f>U31-S31-R31-Q31</f>
        <v>77</v>
      </c>
      <c r="U31" s="82">
        <v>-161</v>
      </c>
      <c r="V31" s="78">
        <v>44</v>
      </c>
      <c r="W31" s="71">
        <f>60-V31</f>
        <v>16</v>
      </c>
      <c r="X31" s="71">
        <f>91-W31-V31</f>
        <v>31</v>
      </c>
      <c r="Y31" s="47">
        <f>Z31-X31-W31-V31</f>
        <v>25</v>
      </c>
      <c r="Z31" s="82">
        <v>116</v>
      </c>
      <c r="AA31" s="71">
        <v>5</v>
      </c>
      <c r="AB31" s="71">
        <f>10-AA31</f>
        <v>5</v>
      </c>
      <c r="AC31" s="71">
        <f>34-AB31-AA31</f>
        <v>24</v>
      </c>
      <c r="AD31" s="71">
        <f t="shared" ref="AD31:AD36" si="30">AE31-AC31-AB31-AA31</f>
        <v>-2</v>
      </c>
      <c r="AE31" s="82">
        <v>32</v>
      </c>
      <c r="AF31" s="47">
        <v>12</v>
      </c>
      <c r="AG31" s="47">
        <f>-11-AF31</f>
        <v>-23</v>
      </c>
      <c r="AH31" s="47">
        <f>3-AG31-AF31</f>
        <v>14</v>
      </c>
      <c r="AI31" s="71">
        <f>2-AH31-AG31-AF31</f>
        <v>-1</v>
      </c>
      <c r="AJ31" s="82">
        <f t="shared" ref="AJ31:AJ37" si="31">SUM(AF31:AI31)</f>
        <v>2</v>
      </c>
      <c r="AK31" s="71">
        <v>-11</v>
      </c>
      <c r="AL31" s="71">
        <f>-14-AK31</f>
        <v>-3</v>
      </c>
      <c r="AM31" s="71">
        <f>-12-AL31-AK31</f>
        <v>2</v>
      </c>
      <c r="AN31" s="71">
        <f t="shared" ref="AN31:AN36" si="32">AO31-AM31-AL31-AK31</f>
        <v>-27</v>
      </c>
      <c r="AO31" s="82">
        <v>-39</v>
      </c>
      <c r="AP31" s="71">
        <v>-6</v>
      </c>
      <c r="AQ31" s="71">
        <f>-4-AP31</f>
        <v>2</v>
      </c>
      <c r="AR31" s="71">
        <f>-22-AQ31-AP31</f>
        <v>-18</v>
      </c>
      <c r="AS31" s="71">
        <f t="shared" si="28"/>
        <v>21</v>
      </c>
      <c r="AT31" s="78">
        <v>-1</v>
      </c>
      <c r="AU31" s="78">
        <v>8</v>
      </c>
      <c r="AV31" s="71">
        <f>25-AU31</f>
        <v>17</v>
      </c>
      <c r="AW31" s="71">
        <f>22-AV31-AU31</f>
        <v>-3</v>
      </c>
      <c r="AX31" s="71">
        <f>AY31-AW31-AV31-AU31</f>
        <v>2</v>
      </c>
      <c r="AY31" s="133">
        <v>24</v>
      </c>
      <c r="AZ31" s="78">
        <v>-12</v>
      </c>
      <c r="BA31" s="71">
        <f>-16-AZ31</f>
        <v>-4</v>
      </c>
      <c r="BB31" s="71">
        <f>-19-BA31-AZ31</f>
        <v>-3</v>
      </c>
      <c r="BC31" s="71">
        <f>BD31-BB31-BA31-AZ31</f>
        <v>15</v>
      </c>
      <c r="BD31" s="133">
        <v>-4</v>
      </c>
      <c r="BE31" s="78">
        <v>-3</v>
      </c>
      <c r="BF31" s="71">
        <f>6-BE31</f>
        <v>9</v>
      </c>
      <c r="BG31" s="71">
        <f>-18-BF31-BE31</f>
        <v>-24</v>
      </c>
      <c r="BH31" s="71">
        <f>BI31-BG31-BF31-BE31</f>
        <v>12</v>
      </c>
      <c r="BI31" s="133">
        <v>-6</v>
      </c>
      <c r="BJ31" s="78">
        <v>-7</v>
      </c>
      <c r="BK31" s="71">
        <f>-19-BJ31</f>
        <v>-12</v>
      </c>
      <c r="BL31" s="71">
        <f>1-BK31-BJ31</f>
        <v>20</v>
      </c>
      <c r="BM31" s="71">
        <f>BN31-BL31-BK31-BJ31</f>
        <v>2</v>
      </c>
      <c r="BN31" s="574">
        <v>3</v>
      </c>
      <c r="BO31" s="71">
        <v>-7</v>
      </c>
      <c r="BP31" s="71">
        <f>28-BO31</f>
        <v>35</v>
      </c>
      <c r="BQ31" s="71">
        <f>-6-BP31-BO31</f>
        <v>-34</v>
      </c>
      <c r="BR31" s="71">
        <f>BS31-BQ31-BP31-BO31</f>
        <v>-6</v>
      </c>
      <c r="BS31" s="133">
        <v>-12</v>
      </c>
      <c r="BT31" s="78">
        <v>11</v>
      </c>
      <c r="BU31" s="71">
        <f>9-BT31</f>
        <v>-2</v>
      </c>
      <c r="BV31" s="71">
        <f>-19-BU31-BT31</f>
        <v>-28</v>
      </c>
      <c r="BW31" s="71">
        <f>BX31-BV31-BU31-BT31</f>
        <v>-20</v>
      </c>
      <c r="BX31" s="133">
        <v>-39</v>
      </c>
      <c r="BY31" s="78">
        <v>29</v>
      </c>
      <c r="BZ31" s="71">
        <f>16-BY31</f>
        <v>-13</v>
      </c>
      <c r="CA31" s="71">
        <f>7-SUM(BY31:BZ31)</f>
        <v>-9</v>
      </c>
      <c r="CB31" s="71">
        <f>CC31-SUM(BY31:CA31)</f>
        <v>-25</v>
      </c>
      <c r="CC31" s="574">
        <v>-18</v>
      </c>
      <c r="CD31" s="71">
        <v>9</v>
      </c>
      <c r="CE31" s="71">
        <f>4-CD31</f>
        <v>-5</v>
      </c>
      <c r="CF31" s="71">
        <f>-4-SUM(CD31:CE31)</f>
        <v>-8</v>
      </c>
      <c r="CG31" s="71">
        <f>CH31-SUM(CD31:CF31)</f>
        <v>-8</v>
      </c>
      <c r="CH31" s="133">
        <v>-12</v>
      </c>
      <c r="CI31" s="1012">
        <v>23</v>
      </c>
      <c r="CJ31" s="1012">
        <f>12-CI31</f>
        <v>-11</v>
      </c>
      <c r="CK31" s="1012">
        <f>-25-CJ31-CI31</f>
        <v>-37</v>
      </c>
      <c r="CL31" s="1012">
        <f>CM31-CK31-CJ31-CI31</f>
        <v>4</v>
      </c>
      <c r="CM31" s="996">
        <v>-21</v>
      </c>
      <c r="CN31" s="860"/>
      <c r="CO31" s="71"/>
      <c r="CP31" s="71"/>
      <c r="CQ31" s="71"/>
      <c r="CR31" s="1081">
        <v>-42</v>
      </c>
      <c r="CS31" s="1007">
        <f>BS!CS14-BS!CU14</f>
        <v>0</v>
      </c>
      <c r="CT31" s="1007">
        <f>BS!CU14-BS!CV14</f>
        <v>23</v>
      </c>
      <c r="CU31" s="1007">
        <f>BS!CV14-BS!CW14+157</f>
        <v>104</v>
      </c>
      <c r="CV31" s="71">
        <f t="shared" ref="CV31:CV36" si="33">CW31-CU31-CT31-CS31</f>
        <v>-173</v>
      </c>
      <c r="CW31" s="1231">
        <v>-46</v>
      </c>
      <c r="CX31" s="71">
        <v>18</v>
      </c>
      <c r="CY31" s="71">
        <f>30-CX31</f>
        <v>12</v>
      </c>
      <c r="CZ31" s="71">
        <f>17-CY31-CX31</f>
        <v>-13</v>
      </c>
      <c r="DA31" s="71">
        <f>-19-SUM(CX31:CZ31)</f>
        <v>-36</v>
      </c>
      <c r="DB31" s="133">
        <f t="shared" ref="DB31:DB37" si="34">SUM(CX31:DA31)</f>
        <v>-19</v>
      </c>
      <c r="DC31" s="79">
        <f>BS!DC14-BS!DE14</f>
        <v>117.24192670451208</v>
      </c>
      <c r="DD31" s="79">
        <f>BS!DE14-BS!DF14</f>
        <v>4.7478030563209472</v>
      </c>
      <c r="DE31" s="79">
        <f>BS!DF14-BS!DG14</f>
        <v>2.9810513244409549</v>
      </c>
      <c r="DF31" s="79">
        <f>BS!DG14-BS!DH14</f>
        <v>-59.985945483113085</v>
      </c>
      <c r="DG31" s="139">
        <f t="shared" ref="DG31:DG37" si="35">SUM(DC31:DF31)</f>
        <v>64.984835602160899</v>
      </c>
      <c r="DH31" s="79">
        <f>BS!DH14-BS!DJ14</f>
        <v>76.248399780785121</v>
      </c>
      <c r="DI31" s="79">
        <f>BS!DJ14-BS!DK14</f>
        <v>-0.85089961695211969</v>
      </c>
      <c r="DJ31" s="79">
        <f>BS!DK14-BS!DL14</f>
        <v>-1.8506920083162868</v>
      </c>
      <c r="DK31" s="79">
        <f>BS!DL14-BS!DM14</f>
        <v>-55.907489560923977</v>
      </c>
      <c r="DL31" s="139">
        <f t="shared" ref="DL31:DL37" si="36">SUM(DH31:DK31)</f>
        <v>17.639318594592737</v>
      </c>
      <c r="DM31" s="79">
        <f>BS!DM14-BS!DO14</f>
        <v>72.938055076754068</v>
      </c>
      <c r="DN31" s="79">
        <f>BS!DO14-BS!DP14</f>
        <v>-9.7912104862646459</v>
      </c>
      <c r="DO31" s="79">
        <f>BS!DP14-BS!DQ14</f>
        <v>-11.368569473149194</v>
      </c>
      <c r="DP31" s="79">
        <f>BS!DQ14-BS!DR14</f>
        <v>-69.197760844465733</v>
      </c>
      <c r="DQ31" s="139">
        <f t="shared" ref="DQ31:DQ37" si="37">SUM(DM31:DP31)</f>
        <v>-17.419485727125505</v>
      </c>
      <c r="DR31" s="79">
        <f>BS!DR14-BS!DT14</f>
        <v>69.556608184149525</v>
      </c>
      <c r="DS31" s="79">
        <f>BS!DT14-BS!DU14</f>
        <v>-10.654189864533237</v>
      </c>
      <c r="DT31" s="79">
        <f>BS!DU14-BS!DV14</f>
        <v>-12.083435101651219</v>
      </c>
      <c r="DU31" s="79">
        <f>BS!DV14-BS!DW14</f>
        <v>-75.176508465957966</v>
      </c>
      <c r="DV31" s="139">
        <f t="shared" ref="DV31:DV37" si="38">SUM(DR31:DU31)</f>
        <v>-28.357525247992896</v>
      </c>
      <c r="DW31" s="79">
        <f>BS!DW14-BS!DY14</f>
        <v>75.444553648395754</v>
      </c>
      <c r="DX31" s="79">
        <f>BS!DY14-BS!DZ14</f>
        <v>-12.658209589422484</v>
      </c>
      <c r="DY31" s="79">
        <f>BS!DZ14-BS!EA14</f>
        <v>-13.999610717006874</v>
      </c>
      <c r="DZ31" s="79">
        <f>BS!EA14-BS!EB14</f>
        <v>-83.63924403465154</v>
      </c>
      <c r="EA31" s="139">
        <f t="shared" ref="EA31:EA37" si="39">SUM(DW31:DZ31)</f>
        <v>-34.852510692685144</v>
      </c>
      <c r="EB31" s="1010"/>
      <c r="EC31" s="1010"/>
      <c r="ED31" s="1010"/>
      <c r="EE31" s="1010"/>
      <c r="EF31" s="1010"/>
      <c r="EG31" s="1243"/>
    </row>
    <row r="32" spans="1:137" x14ac:dyDescent="0.2">
      <c r="A32" s="446" t="s">
        <v>564</v>
      </c>
      <c r="B32" s="71"/>
      <c r="C32" s="71"/>
      <c r="D32" s="71"/>
      <c r="E32" s="71"/>
      <c r="F32" s="60"/>
      <c r="G32" s="71"/>
      <c r="H32" s="71"/>
      <c r="I32" s="286"/>
      <c r="J32" s="155"/>
      <c r="K32" s="60"/>
      <c r="L32" s="71">
        <v>5</v>
      </c>
      <c r="M32" s="71">
        <f>0-L32</f>
        <v>-5</v>
      </c>
      <c r="N32" s="71">
        <f>7-M32-L32</f>
        <v>7</v>
      </c>
      <c r="O32" s="47">
        <f>P32-N32-M32-L32</f>
        <v>-1</v>
      </c>
      <c r="P32" s="82">
        <v>6</v>
      </c>
      <c r="Q32" s="71">
        <v>-75</v>
      </c>
      <c r="R32" s="71">
        <f>-66-Q32</f>
        <v>9</v>
      </c>
      <c r="S32" s="71">
        <f>-68-R32-Q32</f>
        <v>-2</v>
      </c>
      <c r="T32" s="47">
        <f>U32-S32-R32-Q32</f>
        <v>79</v>
      </c>
      <c r="U32" s="82">
        <v>11</v>
      </c>
      <c r="V32" s="78">
        <v>-1</v>
      </c>
      <c r="W32" s="71">
        <f>-5-V32</f>
        <v>-4</v>
      </c>
      <c r="X32" s="71">
        <f>-5-W32-V32</f>
        <v>0</v>
      </c>
      <c r="Y32" s="47">
        <f>Z32-X32-W32-V32</f>
        <v>-3</v>
      </c>
      <c r="Z32" s="82">
        <v>-8</v>
      </c>
      <c r="AA32" s="71">
        <v>-4</v>
      </c>
      <c r="AB32" s="71">
        <f>-3-AA32</f>
        <v>1</v>
      </c>
      <c r="AC32" s="71">
        <f>12-AB32-AA32</f>
        <v>15</v>
      </c>
      <c r="AD32" s="71">
        <f t="shared" si="30"/>
        <v>-1</v>
      </c>
      <c r="AE32" s="82">
        <v>11</v>
      </c>
      <c r="AF32" s="47">
        <v>-7</v>
      </c>
      <c r="AG32" s="47">
        <f>-3-AF32</f>
        <v>4</v>
      </c>
      <c r="AH32" s="47">
        <f>-4-AG32-AF32</f>
        <v>-1</v>
      </c>
      <c r="AI32" s="71">
        <f>-1-AH32-AG32-AF32</f>
        <v>3</v>
      </c>
      <c r="AJ32" s="82">
        <f t="shared" si="31"/>
        <v>-1</v>
      </c>
      <c r="AK32" s="47">
        <v>-3</v>
      </c>
      <c r="AL32" s="47">
        <f>-6-AK32</f>
        <v>-3</v>
      </c>
      <c r="AM32" s="47">
        <f>-5-AL32-AK32</f>
        <v>1</v>
      </c>
      <c r="AN32" s="71">
        <f t="shared" si="32"/>
        <v>-2</v>
      </c>
      <c r="AO32" s="82">
        <v>-7</v>
      </c>
      <c r="AP32" s="47">
        <v>0</v>
      </c>
      <c r="AQ32" s="47">
        <f>4-AP32</f>
        <v>4</v>
      </c>
      <c r="AR32" s="47">
        <f>7-AQ32-AP32</f>
        <v>3</v>
      </c>
      <c r="AS32" s="47">
        <f t="shared" si="28"/>
        <v>-11</v>
      </c>
      <c r="AT32" s="78">
        <v>-4</v>
      </c>
      <c r="AU32" s="78">
        <v>2</v>
      </c>
      <c r="AV32" s="71">
        <f>1-AU32</f>
        <v>-1</v>
      </c>
      <c r="AW32" s="71">
        <f>7-AV32-AU32</f>
        <v>6</v>
      </c>
      <c r="AX32" s="71">
        <f>AY32-AW32-AV32-AU32</f>
        <v>-10</v>
      </c>
      <c r="AY32" s="133">
        <v>-3</v>
      </c>
      <c r="AZ32" s="78">
        <v>-4</v>
      </c>
      <c r="BA32" s="71">
        <f>-4-AZ32</f>
        <v>0</v>
      </c>
      <c r="BB32" s="71">
        <f>-1-BA32-AZ32</f>
        <v>3</v>
      </c>
      <c r="BC32" s="71">
        <f>BD32-BB32-BA32-AZ32</f>
        <v>-30</v>
      </c>
      <c r="BD32" s="133">
        <v>-31</v>
      </c>
      <c r="BE32" s="78">
        <v>6</v>
      </c>
      <c r="BF32" s="71">
        <f>-1-BE32</f>
        <v>-7</v>
      </c>
      <c r="BG32" s="71">
        <f>-16-BF32-BE32</f>
        <v>-15</v>
      </c>
      <c r="BH32" s="71">
        <f>BI32-BG32-BF32-BE32</f>
        <v>8</v>
      </c>
      <c r="BI32" s="133">
        <v>-8</v>
      </c>
      <c r="BJ32" s="78">
        <v>19</v>
      </c>
      <c r="BK32" s="71">
        <f>15-BJ32</f>
        <v>-4</v>
      </c>
      <c r="BL32" s="71">
        <f>34-BK32-BJ32</f>
        <v>19</v>
      </c>
      <c r="BM32" s="71">
        <f>BN32-BL32-BK32-BJ32</f>
        <v>-7</v>
      </c>
      <c r="BN32" s="574">
        <v>27</v>
      </c>
      <c r="BO32" s="71">
        <v>5</v>
      </c>
      <c r="BP32" s="71">
        <f>-19-BO32</f>
        <v>-24</v>
      </c>
      <c r="BQ32" s="71">
        <f>-30-BP32-BO32</f>
        <v>-11</v>
      </c>
      <c r="BR32" s="71">
        <f>BS32-BQ32-BP32-BO32</f>
        <v>-38</v>
      </c>
      <c r="BS32" s="133">
        <v>-68</v>
      </c>
      <c r="BT32" s="78">
        <v>34</v>
      </c>
      <c r="BU32" s="71">
        <f>20-BT32</f>
        <v>-14</v>
      </c>
      <c r="BV32" s="71">
        <f>9-BU32-BT32</f>
        <v>-11</v>
      </c>
      <c r="BW32" s="71">
        <f>BX32-BV32-BU32-BT32</f>
        <v>-84</v>
      </c>
      <c r="BX32" s="133">
        <v>-75</v>
      </c>
      <c r="BY32" s="78">
        <v>27</v>
      </c>
      <c r="BZ32" s="71">
        <f>14-BY32</f>
        <v>-13</v>
      </c>
      <c r="CA32" s="71">
        <f>27-SUM(BY32:BZ32)</f>
        <v>13</v>
      </c>
      <c r="CB32" s="71">
        <f>CC32-SUM(BY32:CA32)</f>
        <v>-18</v>
      </c>
      <c r="CC32" s="574">
        <v>9</v>
      </c>
      <c r="CD32" s="71">
        <v>26</v>
      </c>
      <c r="CE32" s="71">
        <f>1-CD32</f>
        <v>-25</v>
      </c>
      <c r="CF32" s="71">
        <f>19-SUM(CD32:CE32)</f>
        <v>18</v>
      </c>
      <c r="CG32" s="71">
        <f>CH32-SUM(CD32:CF32)</f>
        <v>-1</v>
      </c>
      <c r="CH32" s="133">
        <v>18</v>
      </c>
      <c r="CI32" s="1012">
        <v>33</v>
      </c>
      <c r="CJ32" s="1012">
        <f>5-CI32</f>
        <v>-28</v>
      </c>
      <c r="CK32" s="1012">
        <f>24-CJ32-CI32</f>
        <v>19</v>
      </c>
      <c r="CL32" s="1012">
        <f>CM32-CK32-CJ32-CI32</f>
        <v>-46</v>
      </c>
      <c r="CM32" s="996">
        <v>-22</v>
      </c>
      <c r="CN32" s="860"/>
      <c r="CO32" s="71"/>
      <c r="CP32" s="71"/>
      <c r="CQ32" s="71"/>
      <c r="CR32" s="1081">
        <v>-3</v>
      </c>
      <c r="CS32" s="1007">
        <f>BS!CS15-BS!CU15</f>
        <v>1</v>
      </c>
      <c r="CT32" s="1007">
        <f>BS!CU15-BS!CV15</f>
        <v>0</v>
      </c>
      <c r="CU32" s="1007">
        <f>BS!CV15-BS!CW15</f>
        <v>2</v>
      </c>
      <c r="CV32" s="71">
        <f t="shared" si="33"/>
        <v>-3</v>
      </c>
      <c r="CW32" s="1231">
        <v>0</v>
      </c>
      <c r="CX32" s="71">
        <v>4</v>
      </c>
      <c r="CY32" s="71">
        <f>4-CX32</f>
        <v>0</v>
      </c>
      <c r="CZ32" s="71">
        <f>7-CY32-CX32</f>
        <v>3</v>
      </c>
      <c r="DA32" s="71">
        <f>3-SUM(CX32:CZ32)</f>
        <v>-4</v>
      </c>
      <c r="DB32" s="133">
        <f t="shared" si="34"/>
        <v>3</v>
      </c>
      <c r="DC32" s="79">
        <f>BS!DC15-BS!DE15</f>
        <v>-5.9564099670196669</v>
      </c>
      <c r="DD32" s="79">
        <f>BS!DE15-BS!DF15</f>
        <v>3.1368059372594885</v>
      </c>
      <c r="DE32" s="79">
        <f>BS!DF15-BS!DG15</f>
        <v>1.0209641005397838</v>
      </c>
      <c r="DF32" s="79">
        <f>BS!DG15-BS!DH15</f>
        <v>1.8191810527714409</v>
      </c>
      <c r="DG32" s="139">
        <f t="shared" si="35"/>
        <v>2.0541123551046425E-2</v>
      </c>
      <c r="DH32" s="79">
        <f>BS!DH15-BS!DJ15</f>
        <v>-0.60823230041539667</v>
      </c>
      <c r="DI32" s="79">
        <f>BS!DJ15-BS!DK15</f>
        <v>1.8726428194427776</v>
      </c>
      <c r="DJ32" s="79">
        <f>BS!DK15-BS!DL15</f>
        <v>0.54826654694989863</v>
      </c>
      <c r="DK32" s="79">
        <f>BS!DL15-BS!DM15</f>
        <v>1.6571811793138611</v>
      </c>
      <c r="DL32" s="139">
        <f t="shared" si="36"/>
        <v>3.4698582452911406</v>
      </c>
      <c r="DM32" s="79">
        <f>BS!DM15-BS!DO15</f>
        <v>-0.55603666769453142</v>
      </c>
      <c r="DN32" s="79">
        <f>BS!DO15-BS!DP15</f>
        <v>0.33636032853408437</v>
      </c>
      <c r="DO32" s="79">
        <f>BS!DP15-BS!DQ15</f>
        <v>-0.68851881794994085</v>
      </c>
      <c r="DP32" s="79">
        <f>BS!DQ15-BS!DR15</f>
        <v>0.32508099508430099</v>
      </c>
      <c r="DQ32" s="139">
        <f t="shared" si="37"/>
        <v>-0.5831141620260869</v>
      </c>
      <c r="DR32" s="79">
        <f>BS!DR15-BS!DT15</f>
        <v>-1.3455782778763279</v>
      </c>
      <c r="DS32" s="79">
        <f>BS!DT15-BS!DU15</f>
        <v>0.41137435294706215</v>
      </c>
      <c r="DT32" s="79">
        <f>BS!DU15-BS!DV15</f>
        <v>-0.74104057803541146</v>
      </c>
      <c r="DU32" s="79">
        <f>BS!DV15-BS!DW15</f>
        <v>0.3869946690031707</v>
      </c>
      <c r="DV32" s="139">
        <f t="shared" si="38"/>
        <v>-1.2882498339615065</v>
      </c>
      <c r="DW32" s="79">
        <f>BS!DW15-BS!DY15</f>
        <v>-1.5713767383489241</v>
      </c>
      <c r="DX32" s="79">
        <f>BS!DY15-BS!DZ15</f>
        <v>0.33830957244878235</v>
      </c>
      <c r="DY32" s="79">
        <f>BS!DZ15-BS!EA15</f>
        <v>-0.96875464860138116</v>
      </c>
      <c r="DZ32" s="79">
        <f>BS!EA15-BS!EB15</f>
        <v>0.32161043372584608</v>
      </c>
      <c r="EA32" s="139">
        <f t="shared" si="39"/>
        <v>-1.8802113807756768</v>
      </c>
      <c r="EB32" s="1010"/>
      <c r="EC32" s="1010"/>
      <c r="ED32" s="1010"/>
      <c r="EE32" s="1010"/>
      <c r="EF32" s="1010"/>
      <c r="EG32" s="1243"/>
    </row>
    <row r="33" spans="1:137" x14ac:dyDescent="0.2">
      <c r="A33" s="446" t="s">
        <v>26</v>
      </c>
      <c r="B33" s="65"/>
      <c r="C33" s="65"/>
      <c r="D33" s="65"/>
      <c r="E33" s="65"/>
      <c r="F33" s="66"/>
      <c r="G33" s="65"/>
      <c r="H33" s="65"/>
      <c r="I33" s="65"/>
      <c r="J33" s="287"/>
      <c r="K33" s="66"/>
      <c r="L33" s="71">
        <v>-14</v>
      </c>
      <c r="M33" s="71">
        <f>-22-L33</f>
        <v>-8</v>
      </c>
      <c r="N33" s="71">
        <f>-13-M33-L33</f>
        <v>9</v>
      </c>
      <c r="O33" s="47">
        <f>P33-N33-M33-L33</f>
        <v>0</v>
      </c>
      <c r="P33" s="82">
        <v>-13</v>
      </c>
      <c r="Q33" s="71">
        <v>-16</v>
      </c>
      <c r="R33" s="71">
        <f>-9-Q33</f>
        <v>7</v>
      </c>
      <c r="S33" s="71">
        <f>-6-R33-Q33</f>
        <v>3</v>
      </c>
      <c r="T33" s="47">
        <f>U33-S33-R33-Q33</f>
        <v>3</v>
      </c>
      <c r="U33" s="82">
        <v>-3</v>
      </c>
      <c r="V33" s="78">
        <v>-20</v>
      </c>
      <c r="W33" s="71">
        <f>-12-V33</f>
        <v>8</v>
      </c>
      <c r="X33" s="71">
        <f>-5-W33-V33</f>
        <v>7</v>
      </c>
      <c r="Y33" s="47">
        <f>Z33-X33-W33-V33</f>
        <v>2</v>
      </c>
      <c r="Z33" s="82">
        <v>-3</v>
      </c>
      <c r="AA33" s="71">
        <v>9</v>
      </c>
      <c r="AB33" s="71">
        <f>19-AA33</f>
        <v>10</v>
      </c>
      <c r="AC33" s="71">
        <f>5-AB33-AA33</f>
        <v>-14</v>
      </c>
      <c r="AD33" s="71">
        <f t="shared" si="30"/>
        <v>14</v>
      </c>
      <c r="AE33" s="82">
        <v>19</v>
      </c>
      <c r="AF33" s="47">
        <v>-25</v>
      </c>
      <c r="AG33" s="47">
        <f>-25-AF33</f>
        <v>0</v>
      </c>
      <c r="AH33" s="47">
        <f>-17-AG33-AF33</f>
        <v>8</v>
      </c>
      <c r="AI33" s="71">
        <f>0-AH33-AG33-AF33</f>
        <v>17</v>
      </c>
      <c r="AJ33" s="82">
        <f t="shared" si="31"/>
        <v>0</v>
      </c>
      <c r="AK33" s="47">
        <v>-16</v>
      </c>
      <c r="AL33" s="47">
        <f>-12-AK33</f>
        <v>4</v>
      </c>
      <c r="AM33" s="47">
        <f>-19-AL33-AK33</f>
        <v>-7</v>
      </c>
      <c r="AN33" s="71">
        <f t="shared" si="32"/>
        <v>14</v>
      </c>
      <c r="AO33" s="82">
        <v>-5</v>
      </c>
      <c r="AP33" s="47">
        <v>31</v>
      </c>
      <c r="AQ33" s="47">
        <f>57-AP33</f>
        <v>26</v>
      </c>
      <c r="AR33" s="47">
        <f>70-AQ33-AP33</f>
        <v>13</v>
      </c>
      <c r="AS33" s="47">
        <f t="shared" si="28"/>
        <v>8</v>
      </c>
      <c r="AT33" s="78">
        <v>78</v>
      </c>
      <c r="AU33" s="78">
        <v>-13</v>
      </c>
      <c r="AV33" s="71">
        <f>-24-AU33</f>
        <v>-11</v>
      </c>
      <c r="AW33" s="71">
        <f>-10-AV33-AU33</f>
        <v>14</v>
      </c>
      <c r="AX33" s="71">
        <f>AY33-AW33-AV33-AU33</f>
        <v>-23</v>
      </c>
      <c r="AY33" s="133">
        <v>-33</v>
      </c>
      <c r="AZ33" s="78">
        <v>-6</v>
      </c>
      <c r="BA33" s="71">
        <f>1-AZ33</f>
        <v>7</v>
      </c>
      <c r="BB33" s="71">
        <f>4-BA33-AZ33</f>
        <v>3</v>
      </c>
      <c r="BC33" s="71">
        <f>BD33-BB33-BA33-AZ33</f>
        <v>-10</v>
      </c>
      <c r="BD33" s="133">
        <v>-6</v>
      </c>
      <c r="BE33" s="78">
        <v>-5</v>
      </c>
      <c r="BF33" s="71">
        <f>-9-BE33</f>
        <v>-4</v>
      </c>
      <c r="BG33" s="71">
        <f>-27-BF33-BE33</f>
        <v>-18</v>
      </c>
      <c r="BH33" s="71">
        <f>BI33-BG33-BF33-BE33</f>
        <v>31</v>
      </c>
      <c r="BI33" s="133">
        <v>4</v>
      </c>
      <c r="BJ33" s="78">
        <v>-1</v>
      </c>
      <c r="BK33" s="71">
        <f>-18-BJ33</f>
        <v>-17</v>
      </c>
      <c r="BL33" s="71">
        <f>-26-BK33-BJ33</f>
        <v>-8</v>
      </c>
      <c r="BM33" s="71">
        <f>BN33-BL33-BK33-BJ33</f>
        <v>19</v>
      </c>
      <c r="BN33" s="574">
        <v>-7</v>
      </c>
      <c r="BO33" s="71">
        <v>1</v>
      </c>
      <c r="BP33" s="71">
        <f>2-BO33</f>
        <v>1</v>
      </c>
      <c r="BQ33" s="71">
        <f>15-BP33-BO33</f>
        <v>13</v>
      </c>
      <c r="BR33" s="71">
        <f>BS33-BQ33-BP33-BO33</f>
        <v>52</v>
      </c>
      <c r="BS33" s="133">
        <v>67</v>
      </c>
      <c r="BT33" s="78">
        <v>-25</v>
      </c>
      <c r="BU33" s="71">
        <f>-23-BT33</f>
        <v>2</v>
      </c>
      <c r="BV33" s="71">
        <f>-29-BU33-BT33</f>
        <v>-6</v>
      </c>
      <c r="BW33" s="71">
        <f>BX33-BV33-BU33-BT33</f>
        <v>4</v>
      </c>
      <c r="BX33" s="133">
        <v>-25</v>
      </c>
      <c r="BY33" s="78">
        <v>-15</v>
      </c>
      <c r="BZ33" s="71">
        <f>-9-BY33</f>
        <v>6</v>
      </c>
      <c r="CA33" s="71">
        <f>-14-SUM(BY33:BZ33)</f>
        <v>-5</v>
      </c>
      <c r="CB33" s="71">
        <f>CC33-SUM(BY33:CA33)</f>
        <v>0</v>
      </c>
      <c r="CC33" s="574">
        <v>-14</v>
      </c>
      <c r="CD33" s="71">
        <v>-8</v>
      </c>
      <c r="CE33" s="71">
        <f>-8-CD33</f>
        <v>0</v>
      </c>
      <c r="CF33" s="71">
        <f>-22-SUM(CD33:CE33)</f>
        <v>-14</v>
      </c>
      <c r="CG33" s="71">
        <f>CH33-SUM(CD33:CF33)</f>
        <v>1</v>
      </c>
      <c r="CH33" s="133">
        <v>-21</v>
      </c>
      <c r="CI33" s="1012">
        <v>-2</v>
      </c>
      <c r="CJ33" s="1012">
        <f>-11-CI33</f>
        <v>-9</v>
      </c>
      <c r="CK33" s="1012">
        <f>-3-CJ33-CI33</f>
        <v>8</v>
      </c>
      <c r="CL33" s="1012">
        <f>CM33-CK33-CJ33-CI33</f>
        <v>-7</v>
      </c>
      <c r="CM33" s="996">
        <v>-10</v>
      </c>
      <c r="CN33" s="860"/>
      <c r="CO33" s="71"/>
      <c r="CP33" s="71"/>
      <c r="CQ33" s="71"/>
      <c r="CR33" s="1081">
        <v>-21</v>
      </c>
      <c r="CS33" s="1007">
        <f>BS!CS17-BS!CU17</f>
        <v>5</v>
      </c>
      <c r="CT33" s="1007">
        <f>BS!CU17-BS!CV17</f>
        <v>-53</v>
      </c>
      <c r="CU33" s="1007">
        <f>BS!CV17-BS!CW17</f>
        <v>-57</v>
      </c>
      <c r="CV33" s="71">
        <f t="shared" si="33"/>
        <v>111</v>
      </c>
      <c r="CW33" s="1231">
        <v>6</v>
      </c>
      <c r="CX33" s="71">
        <v>-5</v>
      </c>
      <c r="CY33" s="71">
        <f>-1-CX33</f>
        <v>4</v>
      </c>
      <c r="CZ33" s="71">
        <f>-14-CY33-CX33</f>
        <v>-13</v>
      </c>
      <c r="DA33" s="71">
        <f>-13-SUM(CX33:CZ33)</f>
        <v>1</v>
      </c>
      <c r="DB33" s="133">
        <f t="shared" si="34"/>
        <v>-13</v>
      </c>
      <c r="DC33" s="79">
        <f>BS!DC17-BS!DE17</f>
        <v>0</v>
      </c>
      <c r="DD33" s="79">
        <f>BS!DE17-BS!DF17</f>
        <v>0</v>
      </c>
      <c r="DE33" s="79">
        <f>BS!DF17-BS!DG17</f>
        <v>0</v>
      </c>
      <c r="DF33" s="79">
        <f>BS!DG17-BS!DH17</f>
        <v>0</v>
      </c>
      <c r="DG33" s="139">
        <f t="shared" si="35"/>
        <v>0</v>
      </c>
      <c r="DH33" s="79">
        <f>BS!DH17-BS!DJ17</f>
        <v>0</v>
      </c>
      <c r="DI33" s="79">
        <f>BS!DJ17-BS!DK17</f>
        <v>0</v>
      </c>
      <c r="DJ33" s="79">
        <f>BS!DK17-BS!DL17</f>
        <v>0</v>
      </c>
      <c r="DK33" s="79">
        <f>BS!DL17-BS!DM17</f>
        <v>0</v>
      </c>
      <c r="DL33" s="139">
        <f t="shared" si="36"/>
        <v>0</v>
      </c>
      <c r="DM33" s="79">
        <f>BS!DM17-BS!DO17</f>
        <v>0</v>
      </c>
      <c r="DN33" s="79">
        <f>BS!DO17-BS!DP17</f>
        <v>0</v>
      </c>
      <c r="DO33" s="79">
        <f>BS!DP17-BS!DQ17</f>
        <v>0</v>
      </c>
      <c r="DP33" s="79">
        <f>BS!DQ17-BS!DR17</f>
        <v>0</v>
      </c>
      <c r="DQ33" s="139">
        <f t="shared" si="37"/>
        <v>0</v>
      </c>
      <c r="DR33" s="79">
        <f>BS!DR17-BS!DT17</f>
        <v>0</v>
      </c>
      <c r="DS33" s="79">
        <f>BS!DT17-BS!DU17</f>
        <v>0</v>
      </c>
      <c r="DT33" s="79">
        <f>BS!DU17-BS!DV17</f>
        <v>0</v>
      </c>
      <c r="DU33" s="79">
        <f>BS!DV17-BS!DW17</f>
        <v>0</v>
      </c>
      <c r="DV33" s="139">
        <f t="shared" si="38"/>
        <v>0</v>
      </c>
      <c r="DW33" s="79">
        <f>BS!DW17-BS!DY17</f>
        <v>0</v>
      </c>
      <c r="DX33" s="79">
        <f>BS!DY17-BS!DZ17</f>
        <v>0</v>
      </c>
      <c r="DY33" s="79">
        <f>BS!DZ17-BS!EA17</f>
        <v>0</v>
      </c>
      <c r="DZ33" s="79">
        <f>BS!EA17-BS!EB17</f>
        <v>0</v>
      </c>
      <c r="EA33" s="139">
        <f t="shared" si="39"/>
        <v>0</v>
      </c>
      <c r="EB33" s="942"/>
      <c r="EC33" s="942"/>
      <c r="ED33" s="942"/>
      <c r="EE33" s="942"/>
      <c r="EF33" s="942"/>
      <c r="EG33" s="1243"/>
    </row>
    <row r="34" spans="1:137" x14ac:dyDescent="0.2">
      <c r="A34" s="446" t="s">
        <v>27</v>
      </c>
      <c r="B34" s="71"/>
      <c r="C34" s="71"/>
      <c r="D34" s="71"/>
      <c r="E34" s="71"/>
      <c r="F34" s="59"/>
      <c r="G34" s="71"/>
      <c r="H34" s="71"/>
      <c r="I34" s="71"/>
      <c r="J34" s="155"/>
      <c r="K34" s="59"/>
      <c r="L34" s="71">
        <v>-213</v>
      </c>
      <c r="M34" s="71">
        <f>-178-L34</f>
        <v>35</v>
      </c>
      <c r="N34" s="71">
        <f>-212-M34-L34</f>
        <v>-34</v>
      </c>
      <c r="O34" s="47">
        <f>P34-N34-M34-L34</f>
        <v>-3</v>
      </c>
      <c r="P34" s="82">
        <v>-215</v>
      </c>
      <c r="Q34" s="71">
        <v>77</v>
      </c>
      <c r="R34" s="71">
        <f>60-Q34</f>
        <v>-17</v>
      </c>
      <c r="S34" s="71">
        <f>75-R34-Q34</f>
        <v>15</v>
      </c>
      <c r="T34" s="47">
        <f>U34-S34-R34-Q34</f>
        <v>-169</v>
      </c>
      <c r="U34" s="82">
        <v>-94</v>
      </c>
      <c r="V34" s="78">
        <v>-52</v>
      </c>
      <c r="W34" s="71">
        <f>-94-V34</f>
        <v>-42</v>
      </c>
      <c r="X34" s="71">
        <f>-55-W34-V34</f>
        <v>39</v>
      </c>
      <c r="Y34" s="47">
        <f>Z34-X34-W34-V34</f>
        <v>42</v>
      </c>
      <c r="Z34" s="82">
        <v>-13</v>
      </c>
      <c r="AA34" s="71">
        <v>-72</v>
      </c>
      <c r="AB34" s="71">
        <f>-78-AA34</f>
        <v>-6</v>
      </c>
      <c r="AC34" s="71">
        <f>-26-AB34-AA34</f>
        <v>52</v>
      </c>
      <c r="AD34" s="71">
        <f t="shared" si="30"/>
        <v>-11</v>
      </c>
      <c r="AE34" s="82">
        <v>-37</v>
      </c>
      <c r="AF34" s="47">
        <v>-80</v>
      </c>
      <c r="AG34" s="47">
        <f>-107-AF34</f>
        <v>-27</v>
      </c>
      <c r="AH34" s="47">
        <f>-19-AG34-AF34</f>
        <v>88</v>
      </c>
      <c r="AI34" s="71">
        <f>-32-AH34-AG34-AF34</f>
        <v>-13</v>
      </c>
      <c r="AJ34" s="82">
        <f t="shared" si="31"/>
        <v>-32</v>
      </c>
      <c r="AK34" s="47">
        <v>-6</v>
      </c>
      <c r="AL34" s="47">
        <f>-64-AK34</f>
        <v>-58</v>
      </c>
      <c r="AM34" s="47">
        <f>27-AL34-AK34</f>
        <v>91</v>
      </c>
      <c r="AN34" s="71">
        <f t="shared" si="32"/>
        <v>-47</v>
      </c>
      <c r="AO34" s="82">
        <v>-20</v>
      </c>
      <c r="AP34" s="47">
        <v>-44</v>
      </c>
      <c r="AQ34" s="47">
        <v>44</v>
      </c>
      <c r="AR34" s="47">
        <f>54-AQ34-AP34</f>
        <v>54</v>
      </c>
      <c r="AS34" s="47">
        <f t="shared" si="28"/>
        <v>-60</v>
      </c>
      <c r="AT34" s="78">
        <v>-6</v>
      </c>
      <c r="AU34" s="78">
        <v>-28</v>
      </c>
      <c r="AV34" s="71">
        <f>-66-AU34</f>
        <v>-38</v>
      </c>
      <c r="AW34" s="71">
        <f>-47-AV34-AU34</f>
        <v>19</v>
      </c>
      <c r="AX34" s="71">
        <f>AY34-AW34-AV34-AU34</f>
        <v>1</v>
      </c>
      <c r="AY34" s="133">
        <v>-46</v>
      </c>
      <c r="AZ34" s="78">
        <v>-35</v>
      </c>
      <c r="BA34" s="71">
        <f>-64-AZ34</f>
        <v>-29</v>
      </c>
      <c r="BB34" s="71">
        <f>39-BA34-AZ34</f>
        <v>103</v>
      </c>
      <c r="BC34" s="71">
        <f>BD34-BB34-BA34-AZ34</f>
        <v>79</v>
      </c>
      <c r="BD34" s="133">
        <v>118</v>
      </c>
      <c r="BE34" s="78">
        <v>-53</v>
      </c>
      <c r="BF34" s="71">
        <f>-101-BE34</f>
        <v>-48</v>
      </c>
      <c r="BG34" s="71">
        <f>11-BF34-BE34</f>
        <v>112</v>
      </c>
      <c r="BH34" s="71">
        <f>BI34-BG34-BF34-BE34</f>
        <v>-45</v>
      </c>
      <c r="BI34" s="133">
        <v>-34</v>
      </c>
      <c r="BJ34" s="78">
        <v>-75</v>
      </c>
      <c r="BK34" s="71">
        <f>-140-BJ34</f>
        <v>-65</v>
      </c>
      <c r="BL34" s="71">
        <f>2-BK34-BJ34</f>
        <v>142</v>
      </c>
      <c r="BM34" s="71">
        <f>BN34-BL34-BK34-BJ34</f>
        <v>-64</v>
      </c>
      <c r="BN34" s="574">
        <v>-62</v>
      </c>
      <c r="BO34" s="71">
        <v>-8</v>
      </c>
      <c r="BP34" s="71">
        <f>29-BO34</f>
        <v>37</v>
      </c>
      <c r="BQ34" s="71">
        <f>94-BP34-BO34</f>
        <v>65</v>
      </c>
      <c r="BR34" s="71">
        <f>BS34-BQ34-BP34-BO34</f>
        <v>-33</v>
      </c>
      <c r="BS34" s="133">
        <v>61</v>
      </c>
      <c r="BT34" s="78">
        <v>-14</v>
      </c>
      <c r="BU34" s="71">
        <f>-71-BT34</f>
        <v>-57</v>
      </c>
      <c r="BV34" s="71">
        <f>142-BU34-BT34</f>
        <v>213</v>
      </c>
      <c r="BW34" s="71">
        <f>BX34-BV34-BU34-BT34</f>
        <v>2</v>
      </c>
      <c r="BX34" s="133">
        <v>144</v>
      </c>
      <c r="BY34" s="78">
        <v>-124</v>
      </c>
      <c r="BZ34" s="71">
        <f>-118-BY34</f>
        <v>6</v>
      </c>
      <c r="CA34" s="71">
        <f>28-SUM(BY34:BZ34)</f>
        <v>146</v>
      </c>
      <c r="CB34" s="71">
        <f>CC34-SUM(BY34:CA34)</f>
        <v>-19</v>
      </c>
      <c r="CC34" s="574">
        <v>9</v>
      </c>
      <c r="CD34" s="71">
        <v>-81</v>
      </c>
      <c r="CE34" s="71">
        <f>-229-CD34</f>
        <v>-148</v>
      </c>
      <c r="CF34" s="71">
        <f>-14-SUM(CD34:CE34)</f>
        <v>215</v>
      </c>
      <c r="CG34" s="71">
        <f>CH34-SUM(CD34:CF34)</f>
        <v>-88</v>
      </c>
      <c r="CH34" s="133">
        <v>-102</v>
      </c>
      <c r="CI34" s="1012">
        <v>-20</v>
      </c>
      <c r="CJ34" s="1012">
        <f>-27-CI34</f>
        <v>-7</v>
      </c>
      <c r="CK34" s="1012">
        <f>59-CJ34-CI34</f>
        <v>86</v>
      </c>
      <c r="CL34" s="1012">
        <f>CM34-CK34-CJ34-CI34</f>
        <v>1</v>
      </c>
      <c r="CM34" s="996">
        <v>60</v>
      </c>
      <c r="CN34" s="860"/>
      <c r="CO34" s="71"/>
      <c r="CP34" s="71"/>
      <c r="CQ34" s="71"/>
      <c r="CR34" s="1081">
        <v>97</v>
      </c>
      <c r="CS34" s="1007">
        <f>-(BS!CS31-BS!CU31)</f>
        <v>75</v>
      </c>
      <c r="CT34" s="1007">
        <f>-(BS!CU31-BS!CV31)</f>
        <v>-39</v>
      </c>
      <c r="CU34" s="1007">
        <f>-(BS!CV31-BS!CW31)</f>
        <v>-34</v>
      </c>
      <c r="CV34" s="71">
        <f t="shared" si="33"/>
        <v>15</v>
      </c>
      <c r="CW34" s="1231">
        <v>17</v>
      </c>
      <c r="CX34" s="71">
        <v>-48</v>
      </c>
      <c r="CY34" s="71">
        <f>-137-CX34</f>
        <v>-89</v>
      </c>
      <c r="CZ34" s="71">
        <f>-168-CY34-CX34</f>
        <v>-31</v>
      </c>
      <c r="DA34" s="71">
        <f>-173-SUM(CX34:CZ34)</f>
        <v>-5</v>
      </c>
      <c r="DB34" s="133">
        <f t="shared" si="34"/>
        <v>-173</v>
      </c>
      <c r="DC34" s="79">
        <f>-(BS!DC31-BS!DE31)</f>
        <v>23.651773893780842</v>
      </c>
      <c r="DD34" s="79">
        <f>-(BS!DE31-BS!DF31)</f>
        <v>-28.852712510029846</v>
      </c>
      <c r="DE34" s="79">
        <f>-(BS!DF31-BS!DG31)</f>
        <v>-21.915628931650872</v>
      </c>
      <c r="DF34" s="79">
        <f>-(BS!DG31-BS!DH31)</f>
        <v>225.41697517284274</v>
      </c>
      <c r="DG34" s="139">
        <f t="shared" si="35"/>
        <v>198.30040762494286</v>
      </c>
      <c r="DH34" s="79">
        <f>-(BS!DH31-BS!DJ31)</f>
        <v>-331.68110609466828</v>
      </c>
      <c r="DI34" s="79">
        <f>-(BS!DJ31-BS!DK31)</f>
        <v>-7.9065314889144247</v>
      </c>
      <c r="DJ34" s="79">
        <f>-(BS!DK31-BS!DL31)</f>
        <v>-10.852043545967831</v>
      </c>
      <c r="DK34" s="79">
        <f>-(BS!DL31-BS!DM31)</f>
        <v>371.07755416013561</v>
      </c>
      <c r="DL34" s="139">
        <f t="shared" si="36"/>
        <v>20.63787303058507</v>
      </c>
      <c r="DM34" s="79">
        <f>-(BS!DM31-BS!DO31)</f>
        <v>-390.41579248706955</v>
      </c>
      <c r="DN34" s="79">
        <f>-(BS!DO31-BS!DP31)</f>
        <v>27.225122727282951</v>
      </c>
      <c r="DO34" s="79">
        <f>-(BS!DP31-BS!DQ31)</f>
        <v>24.249710183107254</v>
      </c>
      <c r="DP34" s="79">
        <f>-(BS!DQ31-BS!DR31)</f>
        <v>457.89377220405925</v>
      </c>
      <c r="DQ34" s="139">
        <f t="shared" si="37"/>
        <v>118.9528126273799</v>
      </c>
      <c r="DR34" s="79">
        <f>-(BS!DR31-BS!DT31)</f>
        <v>-412.00226579658658</v>
      </c>
      <c r="DS34" s="79">
        <f>-(BS!DT31-BS!DU31)</f>
        <v>32.940459775332215</v>
      </c>
      <c r="DT34" s="79">
        <f>-(BS!DU31-BS!DV31)</f>
        <v>26.067547061085634</v>
      </c>
      <c r="DU34" s="79">
        <f>-(BS!DV31-BS!DW31)</f>
        <v>526.59610899046675</v>
      </c>
      <c r="DV34" s="139">
        <f t="shared" si="38"/>
        <v>173.60185003029801</v>
      </c>
      <c r="DW34" s="79">
        <f>-(BS!DW31-BS!DY31)</f>
        <v>-470.14219692873883</v>
      </c>
      <c r="DX34" s="79">
        <f>-(BS!DY31-BS!DZ31)</f>
        <v>44.694196949666207</v>
      </c>
      <c r="DY34" s="79">
        <f>-(BS!DZ31-BS!EA31)</f>
        <v>33.406065252301232</v>
      </c>
      <c r="DZ34" s="79">
        <f>-(BS!EA31-BS!EB31)</f>
        <v>622.86035860574839</v>
      </c>
      <c r="EA34" s="139">
        <f t="shared" si="39"/>
        <v>230.818423878977</v>
      </c>
      <c r="EB34" s="1010"/>
      <c r="EC34" s="1010"/>
      <c r="ED34" s="1010"/>
      <c r="EE34" s="1010"/>
      <c r="EF34" s="1010"/>
      <c r="EG34" s="1243"/>
    </row>
    <row r="35" spans="1:137" x14ac:dyDescent="0.2">
      <c r="A35" s="446" t="s">
        <v>28</v>
      </c>
      <c r="B35" s="71"/>
      <c r="C35" s="71"/>
      <c r="D35" s="71"/>
      <c r="E35" s="71"/>
      <c r="F35" s="60"/>
      <c r="G35" s="71"/>
      <c r="H35" s="71"/>
      <c r="I35" s="71"/>
      <c r="J35" s="155"/>
      <c r="K35" s="60"/>
      <c r="L35" s="71">
        <v>78</v>
      </c>
      <c r="M35" s="71">
        <f>122-L35</f>
        <v>44</v>
      </c>
      <c r="N35" s="71">
        <f>214-M35-L35</f>
        <v>92</v>
      </c>
      <c r="O35" s="47">
        <f>P35-N35-M35-L35</f>
        <v>-191</v>
      </c>
      <c r="P35" s="82">
        <v>23</v>
      </c>
      <c r="Q35" s="71">
        <v>67</v>
      </c>
      <c r="R35" s="71">
        <f>55-Q35</f>
        <v>-12</v>
      </c>
      <c r="S35" s="71">
        <f>22-R35-Q35</f>
        <v>-33</v>
      </c>
      <c r="T35" s="47">
        <f>U35-S35-R35-Q35</f>
        <v>18</v>
      </c>
      <c r="U35" s="82">
        <v>40</v>
      </c>
      <c r="V35" s="78">
        <v>26</v>
      </c>
      <c r="W35" s="71">
        <f>64-V35</f>
        <v>38</v>
      </c>
      <c r="X35" s="71">
        <f>86-W35-V35</f>
        <v>22</v>
      </c>
      <c r="Y35" s="47">
        <f>Z35-X35-W35-V35</f>
        <v>-119</v>
      </c>
      <c r="Z35" s="82">
        <v>-33</v>
      </c>
      <c r="AA35" s="71">
        <v>32</v>
      </c>
      <c r="AB35" s="71">
        <f>71-AA35</f>
        <v>39</v>
      </c>
      <c r="AC35" s="71">
        <f>93-AB35-AA35</f>
        <v>22</v>
      </c>
      <c r="AD35" s="71">
        <f t="shared" si="30"/>
        <v>-34</v>
      </c>
      <c r="AE35" s="82">
        <v>59</v>
      </c>
      <c r="AF35" s="47">
        <v>4</v>
      </c>
      <c r="AG35" s="47">
        <f>39-AF35</f>
        <v>35</v>
      </c>
      <c r="AH35" s="47">
        <f>58-AG35-AF35</f>
        <v>19</v>
      </c>
      <c r="AI35" s="71">
        <f>96-AH35-AG35-AF35</f>
        <v>38</v>
      </c>
      <c r="AJ35" s="82">
        <f t="shared" si="31"/>
        <v>96</v>
      </c>
      <c r="AK35" s="47">
        <v>-21</v>
      </c>
      <c r="AL35" s="47">
        <f>-66-AK35</f>
        <v>-45</v>
      </c>
      <c r="AM35" s="47">
        <f>-49-AL35-AK35</f>
        <v>17</v>
      </c>
      <c r="AN35" s="71">
        <f t="shared" si="32"/>
        <v>-82</v>
      </c>
      <c r="AO35" s="82">
        <v>-131</v>
      </c>
      <c r="AP35" s="47">
        <v>-13</v>
      </c>
      <c r="AQ35" s="47">
        <v>13</v>
      </c>
      <c r="AR35" s="47">
        <f>86-AQ35-AP35</f>
        <v>86</v>
      </c>
      <c r="AS35" s="47">
        <f t="shared" si="28"/>
        <v>-32</v>
      </c>
      <c r="AT35" s="78">
        <v>54</v>
      </c>
      <c r="AU35" s="78">
        <v>72</v>
      </c>
      <c r="AV35" s="71">
        <f>20-AU35</f>
        <v>-52</v>
      </c>
      <c r="AW35" s="71">
        <f>69-AV35-AU35</f>
        <v>49</v>
      </c>
      <c r="AX35" s="71">
        <f>AY35-AW35-AV35-AU35</f>
        <v>-59</v>
      </c>
      <c r="AY35" s="133">
        <v>10</v>
      </c>
      <c r="AZ35" s="78">
        <v>53</v>
      </c>
      <c r="BA35" s="71">
        <f>24-AZ35</f>
        <v>-29</v>
      </c>
      <c r="BB35" s="71">
        <f>82-BA35-AZ35</f>
        <v>58</v>
      </c>
      <c r="BC35" s="71">
        <f>BD35-BB35-BA35-AZ35</f>
        <v>-12</v>
      </c>
      <c r="BD35" s="133">
        <v>70</v>
      </c>
      <c r="BE35" s="78">
        <v>30</v>
      </c>
      <c r="BF35" s="71">
        <f>-19-BE35</f>
        <v>-49</v>
      </c>
      <c r="BG35" s="71">
        <f>24-BF35-BE35</f>
        <v>43</v>
      </c>
      <c r="BH35" s="71">
        <f>BI35-BG35-BF35-BE35</f>
        <v>21</v>
      </c>
      <c r="BI35" s="133">
        <v>45</v>
      </c>
      <c r="BJ35" s="78">
        <v>-1</v>
      </c>
      <c r="BK35" s="71">
        <f>15-BJ35</f>
        <v>16</v>
      </c>
      <c r="BL35" s="71">
        <f>-87-BK35-BJ35</f>
        <v>-102</v>
      </c>
      <c r="BM35" s="71">
        <f>BN35-BL35-BK35-BJ35</f>
        <v>-8</v>
      </c>
      <c r="BN35" s="574">
        <v>-95</v>
      </c>
      <c r="BO35" s="71">
        <v>26</v>
      </c>
      <c r="BP35" s="71">
        <f>54-BO35</f>
        <v>28</v>
      </c>
      <c r="BQ35" s="71">
        <f>118-BP35-BO35</f>
        <v>64</v>
      </c>
      <c r="BR35" s="71">
        <f>BS35-BQ35-BP35-BO35</f>
        <v>-14</v>
      </c>
      <c r="BS35" s="133">
        <v>104</v>
      </c>
      <c r="BT35" s="78">
        <v>85</v>
      </c>
      <c r="BU35" s="71">
        <f>72-BT35</f>
        <v>-13</v>
      </c>
      <c r="BV35" s="71">
        <f>55-BU35-BT35</f>
        <v>-17</v>
      </c>
      <c r="BW35" s="71">
        <f>BX35-BV35-BU35-BT35</f>
        <v>54</v>
      </c>
      <c r="BX35" s="133">
        <v>109</v>
      </c>
      <c r="BY35" s="78">
        <v>70</v>
      </c>
      <c r="BZ35" s="71">
        <f>70-BY35</f>
        <v>0</v>
      </c>
      <c r="CA35" s="71">
        <f>86-SUM(BY35:BZ35)</f>
        <v>16</v>
      </c>
      <c r="CB35" s="71">
        <f>CC35-SUM(BY35:CA35)</f>
        <v>40</v>
      </c>
      <c r="CC35" s="574">
        <v>126</v>
      </c>
      <c r="CD35" s="71">
        <v>18</v>
      </c>
      <c r="CE35" s="71">
        <f>62-CD35</f>
        <v>44</v>
      </c>
      <c r="CF35" s="71">
        <f>115-SUM(CD35:CE35)</f>
        <v>53</v>
      </c>
      <c r="CG35" s="71">
        <f>CH35-SUM(CD35:CF35)</f>
        <v>-34</v>
      </c>
      <c r="CH35" s="133">
        <v>81</v>
      </c>
      <c r="CI35" s="1012">
        <v>53</v>
      </c>
      <c r="CJ35" s="1012">
        <f>96-CI35</f>
        <v>43</v>
      </c>
      <c r="CK35" s="1012">
        <f>-24-CJ35-CI35</f>
        <v>-120</v>
      </c>
      <c r="CL35" s="1012">
        <f>CM35-CK35-CJ35-CI35</f>
        <v>-119</v>
      </c>
      <c r="CM35" s="996">
        <v>-143</v>
      </c>
      <c r="CN35" s="860"/>
      <c r="CO35" s="71"/>
      <c r="CP35" s="71"/>
      <c r="CQ35" s="71"/>
      <c r="CR35" s="1081">
        <v>34</v>
      </c>
      <c r="CS35" s="1007">
        <f>-(BS!CU33-BS!CS33)</f>
        <v>-48</v>
      </c>
      <c r="CT35" s="1007">
        <f>-(BS!CU33-BS!CV33)</f>
        <v>-28</v>
      </c>
      <c r="CU35" s="1007">
        <f>-(BS!CV33-BS!CW33)</f>
        <v>-60</v>
      </c>
      <c r="CV35" s="71">
        <f t="shared" si="33"/>
        <v>190</v>
      </c>
      <c r="CW35" s="1231">
        <v>54</v>
      </c>
      <c r="CX35" s="71">
        <v>12</v>
      </c>
      <c r="CY35" s="71">
        <f>-83-CX35</f>
        <v>-95</v>
      </c>
      <c r="CZ35" s="71">
        <f>-125-CY35-CX35</f>
        <v>-42</v>
      </c>
      <c r="DA35" s="71">
        <f>-55-SUM(CX35:CZ35)</f>
        <v>70</v>
      </c>
      <c r="DB35" s="133">
        <f t="shared" si="34"/>
        <v>-55</v>
      </c>
      <c r="DC35" s="79">
        <f>-(BS!DE33-BS!DC33)</f>
        <v>0</v>
      </c>
      <c r="DD35" s="79">
        <f>-(BS!DE33-BS!DF33)</f>
        <v>0</v>
      </c>
      <c r="DE35" s="79">
        <f>-(BS!DF33-BS!DG33)</f>
        <v>0</v>
      </c>
      <c r="DF35" s="79">
        <f>-(BS!DG33-BS!DH33)</f>
        <v>0</v>
      </c>
      <c r="DG35" s="139">
        <f t="shared" si="35"/>
        <v>0</v>
      </c>
      <c r="DH35" s="79">
        <f>-(BS!DJ33-BS!DH33)</f>
        <v>0</v>
      </c>
      <c r="DI35" s="79">
        <f>-(BS!DJ33-BS!DK33)</f>
        <v>0</v>
      </c>
      <c r="DJ35" s="79">
        <f>-(BS!DK33-BS!DL33)</f>
        <v>0</v>
      </c>
      <c r="DK35" s="79">
        <f>-(BS!DL33-BS!DM33)</f>
        <v>0</v>
      </c>
      <c r="DL35" s="139">
        <f t="shared" si="36"/>
        <v>0</v>
      </c>
      <c r="DM35" s="79">
        <f>-(BS!DO33-BS!DM33)</f>
        <v>0</v>
      </c>
      <c r="DN35" s="79">
        <f>-(BS!DO33-BS!DP33)</f>
        <v>0</v>
      </c>
      <c r="DO35" s="79">
        <f>-(BS!DP33-BS!DQ33)</f>
        <v>0</v>
      </c>
      <c r="DP35" s="79">
        <f>-(BS!DQ33-BS!DR33)</f>
        <v>0</v>
      </c>
      <c r="DQ35" s="139">
        <f t="shared" si="37"/>
        <v>0</v>
      </c>
      <c r="DR35" s="79">
        <f>-(BS!DT33-BS!DR33)</f>
        <v>0</v>
      </c>
      <c r="DS35" s="79">
        <f>-(BS!DT33-BS!DU33)</f>
        <v>0</v>
      </c>
      <c r="DT35" s="79">
        <f>-(BS!DU33-BS!DV33)</f>
        <v>0</v>
      </c>
      <c r="DU35" s="79">
        <f>-(BS!DV33-BS!DW33)</f>
        <v>0</v>
      </c>
      <c r="DV35" s="139">
        <f t="shared" si="38"/>
        <v>0</v>
      </c>
      <c r="DW35" s="79">
        <f>-(BS!DY33-BS!DW33)</f>
        <v>0</v>
      </c>
      <c r="DX35" s="79">
        <f>-(BS!DY33-BS!DZ33)</f>
        <v>0</v>
      </c>
      <c r="DY35" s="79">
        <f>-(BS!DZ33-BS!EA33)</f>
        <v>0</v>
      </c>
      <c r="DZ35" s="79">
        <f>-(BS!EA33-BS!EB33)</f>
        <v>0</v>
      </c>
      <c r="EA35" s="139">
        <f t="shared" si="39"/>
        <v>0</v>
      </c>
      <c r="EB35" s="1010"/>
      <c r="EC35" s="1010"/>
      <c r="ED35" s="1010"/>
      <c r="EE35" s="1010"/>
      <c r="EF35" s="1010"/>
      <c r="EG35" s="1243"/>
    </row>
    <row r="36" spans="1:137" x14ac:dyDescent="0.2">
      <c r="A36" s="446" t="s">
        <v>29</v>
      </c>
      <c r="B36" s="71"/>
      <c r="C36" s="71"/>
      <c r="D36" s="71"/>
      <c r="E36" s="71"/>
      <c r="F36" s="60"/>
      <c r="G36" s="71"/>
      <c r="H36" s="71"/>
      <c r="I36" s="155"/>
      <c r="J36" s="155"/>
      <c r="K36" s="60"/>
      <c r="L36" s="71">
        <f>SUM(L31:L35)</f>
        <v>-168</v>
      </c>
      <c r="M36" s="71">
        <f>SUM(M31:M35)</f>
        <v>40</v>
      </c>
      <c r="N36" s="71">
        <f>SUM(N31:N35)</f>
        <v>113</v>
      </c>
      <c r="O36" s="71">
        <f>SUM(O31:O35)</f>
        <v>-212</v>
      </c>
      <c r="P36" s="82">
        <f>SUM(L36:O36)</f>
        <v>-227</v>
      </c>
      <c r="Q36" s="71">
        <f>SUM(Q31:Q35)</f>
        <v>-141</v>
      </c>
      <c r="R36" s="71">
        <f>SUM(R31:R35)</f>
        <v>-81</v>
      </c>
      <c r="S36" s="71">
        <f>SUM(S31:S35)</f>
        <v>7</v>
      </c>
      <c r="T36" s="71">
        <f>SUM(T31:T35)</f>
        <v>8</v>
      </c>
      <c r="U36" s="82">
        <f>SUM(Q36:T36)</f>
        <v>-207</v>
      </c>
      <c r="V36" s="78">
        <f>SUM(V31:V35)</f>
        <v>-3</v>
      </c>
      <c r="W36" s="71">
        <f>SUM(W31:W35)</f>
        <v>16</v>
      </c>
      <c r="X36" s="71">
        <f>SUM(X31:X35)</f>
        <v>99</v>
      </c>
      <c r="Y36" s="71">
        <f>SUM(Y31:Y35)</f>
        <v>-53</v>
      </c>
      <c r="Z36" s="82">
        <f>SUM(V36:Y36)</f>
        <v>59</v>
      </c>
      <c r="AA36" s="71">
        <f>SUM(AA31:AA35)</f>
        <v>-30</v>
      </c>
      <c r="AB36" s="71">
        <f>19-AA36</f>
        <v>49</v>
      </c>
      <c r="AC36" s="71">
        <f>SUM(AC31:AC35)</f>
        <v>99</v>
      </c>
      <c r="AD36" s="71">
        <f t="shared" si="30"/>
        <v>-34</v>
      </c>
      <c r="AE36" s="82">
        <v>84</v>
      </c>
      <c r="AF36" s="71">
        <f>SUM(AF31:AF35)</f>
        <v>-96</v>
      </c>
      <c r="AG36" s="71">
        <f>SUM(AG31:AG35)</f>
        <v>-11</v>
      </c>
      <c r="AH36" s="71">
        <f>SUM(AH31:AH35)</f>
        <v>128</v>
      </c>
      <c r="AI36" s="71">
        <f>SUM(AI31:AI35)</f>
        <v>44</v>
      </c>
      <c r="AJ36" s="82">
        <f t="shared" si="31"/>
        <v>65</v>
      </c>
      <c r="AK36" s="71">
        <f>SUM(AK31:AK35)</f>
        <v>-57</v>
      </c>
      <c r="AL36" s="71">
        <f>SUM(AL31:AL35)</f>
        <v>-105</v>
      </c>
      <c r="AM36" s="71">
        <f>SUM(AM31:AM35)</f>
        <v>104</v>
      </c>
      <c r="AN36" s="71">
        <f t="shared" si="32"/>
        <v>-144</v>
      </c>
      <c r="AO36" s="82">
        <f t="shared" ref="AO36:AX36" si="40">SUM(AO31:AO35)</f>
        <v>-202</v>
      </c>
      <c r="AP36" s="71">
        <f t="shared" si="40"/>
        <v>-32</v>
      </c>
      <c r="AQ36" s="71">
        <f t="shared" si="40"/>
        <v>89</v>
      </c>
      <c r="AR36" s="71">
        <f t="shared" si="40"/>
        <v>138</v>
      </c>
      <c r="AS36" s="71">
        <f t="shared" si="40"/>
        <v>-74</v>
      </c>
      <c r="AT36" s="78">
        <f t="shared" si="40"/>
        <v>121</v>
      </c>
      <c r="AU36" s="78">
        <f t="shared" si="40"/>
        <v>41</v>
      </c>
      <c r="AV36" s="71">
        <f t="shared" si="40"/>
        <v>-85</v>
      </c>
      <c r="AW36" s="71">
        <f t="shared" si="40"/>
        <v>85</v>
      </c>
      <c r="AX36" s="71">
        <f t="shared" si="40"/>
        <v>-89</v>
      </c>
      <c r="AY36" s="133">
        <f>SUM(AU36:AX36)</f>
        <v>-48</v>
      </c>
      <c r="AZ36" s="78">
        <f t="shared" ref="AZ36:BR36" si="41">SUM(AZ31:AZ35)</f>
        <v>-4</v>
      </c>
      <c r="BA36" s="71">
        <f t="shared" si="41"/>
        <v>-55</v>
      </c>
      <c r="BB36" s="71">
        <f t="shared" si="41"/>
        <v>164</v>
      </c>
      <c r="BC36" s="71">
        <f t="shared" si="41"/>
        <v>42</v>
      </c>
      <c r="BD36" s="133">
        <f t="shared" si="41"/>
        <v>147</v>
      </c>
      <c r="BE36" s="78">
        <f t="shared" si="41"/>
        <v>-25</v>
      </c>
      <c r="BF36" s="71">
        <f t="shared" si="41"/>
        <v>-99</v>
      </c>
      <c r="BG36" s="71">
        <f t="shared" si="41"/>
        <v>98</v>
      </c>
      <c r="BH36" s="71">
        <f t="shared" si="41"/>
        <v>27</v>
      </c>
      <c r="BI36" s="133">
        <f t="shared" si="41"/>
        <v>1</v>
      </c>
      <c r="BJ36" s="78">
        <f t="shared" si="41"/>
        <v>-65</v>
      </c>
      <c r="BK36" s="71">
        <f t="shared" si="41"/>
        <v>-82</v>
      </c>
      <c r="BL36" s="71">
        <f t="shared" si="41"/>
        <v>71</v>
      </c>
      <c r="BM36" s="71">
        <f t="shared" si="41"/>
        <v>-58</v>
      </c>
      <c r="BN36" s="574">
        <f t="shared" si="41"/>
        <v>-134</v>
      </c>
      <c r="BO36" s="71">
        <f t="shared" si="41"/>
        <v>17</v>
      </c>
      <c r="BP36" s="71">
        <f t="shared" si="41"/>
        <v>77</v>
      </c>
      <c r="BQ36" s="71">
        <f t="shared" si="41"/>
        <v>97</v>
      </c>
      <c r="BR36" s="71">
        <f t="shared" si="41"/>
        <v>-39</v>
      </c>
      <c r="BS36" s="133">
        <f>SUM(BO36:BR36)</f>
        <v>152</v>
      </c>
      <c r="BT36" s="78">
        <f t="shared" ref="BT36:CB36" si="42">SUM(BT31:BT35)</f>
        <v>91</v>
      </c>
      <c r="BU36" s="71">
        <f t="shared" si="42"/>
        <v>-84</v>
      </c>
      <c r="BV36" s="71">
        <f t="shared" si="42"/>
        <v>151</v>
      </c>
      <c r="BW36" s="71">
        <f t="shared" si="42"/>
        <v>-44</v>
      </c>
      <c r="BX36" s="133">
        <f t="shared" si="42"/>
        <v>114</v>
      </c>
      <c r="BY36" s="78">
        <f t="shared" si="42"/>
        <v>-13</v>
      </c>
      <c r="BZ36" s="71">
        <f t="shared" si="42"/>
        <v>-14</v>
      </c>
      <c r="CA36" s="71">
        <f t="shared" si="42"/>
        <v>161</v>
      </c>
      <c r="CB36" s="71">
        <f t="shared" si="42"/>
        <v>-22</v>
      </c>
      <c r="CC36" s="574">
        <f>SUM(BY36:CB36)</f>
        <v>112</v>
      </c>
      <c r="CD36" s="71">
        <f t="shared" ref="CD36:CM36" si="43">SUM(CD31:CD35)</f>
        <v>-36</v>
      </c>
      <c r="CE36" s="71">
        <f t="shared" si="43"/>
        <v>-134</v>
      </c>
      <c r="CF36" s="71">
        <f t="shared" si="43"/>
        <v>264</v>
      </c>
      <c r="CG36" s="71">
        <f t="shared" si="43"/>
        <v>-130</v>
      </c>
      <c r="CH36" s="133">
        <f t="shared" si="43"/>
        <v>-36</v>
      </c>
      <c r="CI36" s="1012">
        <f t="shared" si="43"/>
        <v>87</v>
      </c>
      <c r="CJ36" s="1012">
        <f t="shared" si="43"/>
        <v>-12</v>
      </c>
      <c r="CK36" s="1012">
        <f t="shared" si="43"/>
        <v>-44</v>
      </c>
      <c r="CL36" s="1012">
        <f t="shared" si="43"/>
        <v>-167</v>
      </c>
      <c r="CM36" s="996">
        <f t="shared" si="43"/>
        <v>-136</v>
      </c>
      <c r="CN36" s="860"/>
      <c r="CO36" s="71"/>
      <c r="CP36" s="71"/>
      <c r="CQ36" s="71"/>
      <c r="CR36" s="1081">
        <v>109</v>
      </c>
      <c r="CS36" s="1007">
        <f t="shared" ref="CS36:CY36" si="44">SUM(CS31:CS35)</f>
        <v>33</v>
      </c>
      <c r="CT36" s="1007">
        <f t="shared" si="44"/>
        <v>-97</v>
      </c>
      <c r="CU36" s="1007">
        <f t="shared" si="44"/>
        <v>-45</v>
      </c>
      <c r="CV36" s="71">
        <f t="shared" si="33"/>
        <v>140</v>
      </c>
      <c r="CW36" s="1929">
        <f>SUM(CW31:CW35)</f>
        <v>31</v>
      </c>
      <c r="CX36" s="71">
        <f t="shared" si="44"/>
        <v>-19</v>
      </c>
      <c r="CY36" s="71">
        <f t="shared" si="44"/>
        <v>-168</v>
      </c>
      <c r="CZ36" s="71">
        <f>SUM(CZ31:CZ35)</f>
        <v>-96</v>
      </c>
      <c r="DA36" s="71">
        <f>SUM(DA31:DA35)</f>
        <v>26</v>
      </c>
      <c r="DB36" s="133">
        <f t="shared" si="34"/>
        <v>-257</v>
      </c>
      <c r="DC36" s="79">
        <f>SUM(DC31:DC35)</f>
        <v>134.93729063127324</v>
      </c>
      <c r="DD36" s="79">
        <f>SUM(DD31:DD35)</f>
        <v>-20.968103516449411</v>
      </c>
      <c r="DE36" s="79">
        <f>SUM(DE31:DE35)</f>
        <v>-17.913613506670131</v>
      </c>
      <c r="DF36" s="79">
        <f>SUM(DF31:DF35)</f>
        <v>167.25021074250111</v>
      </c>
      <c r="DG36" s="139">
        <f t="shared" si="35"/>
        <v>263.30578435065479</v>
      </c>
      <c r="DH36" s="79">
        <f>SUM(DH31:DH35)</f>
        <v>-256.04093861429857</v>
      </c>
      <c r="DI36" s="79">
        <f>SUM(DI31:DI35)</f>
        <v>-6.8847882864237668</v>
      </c>
      <c r="DJ36" s="79">
        <f>SUM(DJ31:DJ35)</f>
        <v>-12.154469007334219</v>
      </c>
      <c r="DK36" s="79">
        <f>SUM(DK31:DK35)</f>
        <v>316.82724577852548</v>
      </c>
      <c r="DL36" s="139">
        <f t="shared" si="36"/>
        <v>41.747049870468913</v>
      </c>
      <c r="DM36" s="79">
        <f>SUM(DM31:DM35)</f>
        <v>-318.03377407801003</v>
      </c>
      <c r="DN36" s="79">
        <f>SUM(DN31:DN35)</f>
        <v>17.77027256955239</v>
      </c>
      <c r="DO36" s="79">
        <f>SUM(DO31:DO35)</f>
        <v>12.19262189200812</v>
      </c>
      <c r="DP36" s="79">
        <f>SUM(DP31:DP35)</f>
        <v>389.02109235467782</v>
      </c>
      <c r="DQ36" s="139">
        <f t="shared" si="37"/>
        <v>100.95021273822829</v>
      </c>
      <c r="DR36" s="79">
        <f>SUM(DR31:DR35)</f>
        <v>-343.79123589031337</v>
      </c>
      <c r="DS36" s="79">
        <f>SUM(DS31:DS35)</f>
        <v>22.697644263746042</v>
      </c>
      <c r="DT36" s="79">
        <f>SUM(DT31:DT35)</f>
        <v>13.243071381399004</v>
      </c>
      <c r="DU36" s="79">
        <f>SUM(DU31:DU35)</f>
        <v>451.80659519351195</v>
      </c>
      <c r="DV36" s="139">
        <f t="shared" si="38"/>
        <v>143.9560749483436</v>
      </c>
      <c r="DW36" s="79">
        <f>SUM(DW31:DW35)</f>
        <v>-396.269020018692</v>
      </c>
      <c r="DX36" s="79">
        <f>SUM(DX31:DX35)</f>
        <v>32.374296932692502</v>
      </c>
      <c r="DY36" s="79">
        <f>SUM(DY31:DY35)</f>
        <v>18.437699886692975</v>
      </c>
      <c r="DZ36" s="79">
        <f>SUM(DZ31:DZ35)</f>
        <v>539.54272500482273</v>
      </c>
      <c r="EA36" s="139">
        <f t="shared" si="39"/>
        <v>194.08570180551624</v>
      </c>
      <c r="EB36" s="1010"/>
      <c r="EC36" s="1010"/>
      <c r="ED36" s="1010"/>
      <c r="EE36" s="1010"/>
      <c r="EF36" s="1010"/>
      <c r="EG36" s="1243"/>
    </row>
    <row r="37" spans="1:137" x14ac:dyDescent="0.2">
      <c r="A37" s="447" t="s">
        <v>30</v>
      </c>
      <c r="B37" s="387"/>
      <c r="C37" s="387"/>
      <c r="D37" s="387"/>
      <c r="E37" s="387"/>
      <c r="F37" s="380"/>
      <c r="G37" s="387"/>
      <c r="H37" s="387"/>
      <c r="I37" s="388"/>
      <c r="J37" s="388"/>
      <c r="K37" s="141"/>
      <c r="L37" s="389">
        <f t="shared" ref="L37:AD37" si="45">L11+L14+L17+L21+L22+L23+L28+L36</f>
        <v>24</v>
      </c>
      <c r="M37" s="389">
        <f t="shared" si="45"/>
        <v>163</v>
      </c>
      <c r="N37" s="389">
        <f t="shared" si="45"/>
        <v>267</v>
      </c>
      <c r="O37" s="389">
        <f t="shared" si="45"/>
        <v>111</v>
      </c>
      <c r="P37" s="390">
        <f t="shared" si="45"/>
        <v>565</v>
      </c>
      <c r="Q37" s="389">
        <f t="shared" si="45"/>
        <v>-18</v>
      </c>
      <c r="R37" s="389">
        <f t="shared" si="45"/>
        <v>133</v>
      </c>
      <c r="S37" s="389">
        <f t="shared" si="45"/>
        <v>233</v>
      </c>
      <c r="T37" s="389">
        <f t="shared" si="45"/>
        <v>143</v>
      </c>
      <c r="U37" s="390">
        <f t="shared" si="45"/>
        <v>491</v>
      </c>
      <c r="V37" s="391">
        <f t="shared" si="45"/>
        <v>145</v>
      </c>
      <c r="W37" s="389">
        <f t="shared" si="45"/>
        <v>157</v>
      </c>
      <c r="X37" s="389">
        <f t="shared" si="45"/>
        <v>332</v>
      </c>
      <c r="Y37" s="389">
        <f t="shared" si="45"/>
        <v>198</v>
      </c>
      <c r="Z37" s="390">
        <f t="shared" si="45"/>
        <v>832</v>
      </c>
      <c r="AA37" s="389">
        <f t="shared" si="45"/>
        <v>187</v>
      </c>
      <c r="AB37" s="389">
        <f t="shared" si="45"/>
        <v>311</v>
      </c>
      <c r="AC37" s="389">
        <f t="shared" si="45"/>
        <v>337</v>
      </c>
      <c r="AD37" s="389">
        <f t="shared" si="45"/>
        <v>253</v>
      </c>
      <c r="AE37" s="390">
        <f>SUM(AA37:AD37)</f>
        <v>1088</v>
      </c>
      <c r="AF37" s="389">
        <f>SUM(AF11:AF28)+AF36</f>
        <v>129</v>
      </c>
      <c r="AG37" s="389">
        <f>SUM(AG11:AG28)+AG36</f>
        <v>270</v>
      </c>
      <c r="AH37" s="389">
        <f>SUM(AH11:AH28)+AH36</f>
        <v>370</v>
      </c>
      <c r="AI37" s="389">
        <f>SUM(AI11:AI28)+AI36</f>
        <v>284</v>
      </c>
      <c r="AJ37" s="390">
        <f t="shared" si="31"/>
        <v>1053</v>
      </c>
      <c r="AK37" s="389">
        <f>SUM(AK11:AK28)+AK36</f>
        <v>189</v>
      </c>
      <c r="AL37" s="389">
        <f>SUM(AL11:AL28)+AL36</f>
        <v>210</v>
      </c>
      <c r="AM37" s="389">
        <f>SUM(AM11:AM28)+AM36</f>
        <v>392</v>
      </c>
      <c r="AN37" s="389">
        <f>SUM(AN11:AN28)+AN36</f>
        <v>340</v>
      </c>
      <c r="AO37" s="390">
        <f>SUM(AK37:AN37)</f>
        <v>1131</v>
      </c>
      <c r="AP37" s="389">
        <f>SUM(AP11:AP28)+AP36</f>
        <v>255</v>
      </c>
      <c r="AQ37" s="389">
        <f>SUM(AQ11:AQ28)+AQ36</f>
        <v>350</v>
      </c>
      <c r="AR37" s="389">
        <f>SUM(AR11:AR28)+AR36</f>
        <v>436</v>
      </c>
      <c r="AS37" s="389">
        <f>SUM(AS11:AS28)+AS36</f>
        <v>197</v>
      </c>
      <c r="AT37" s="391">
        <f>SUM(AT11:AT28)+AT36</f>
        <v>1238</v>
      </c>
      <c r="AU37" s="391">
        <f>AU11+AU14+AU17+AU18+AU19+AU20+AU21+AU22+AU23+AU24+AU25+AU26+AU27+AU28+AU36</f>
        <v>287</v>
      </c>
      <c r="AV37" s="389">
        <f>AV11+AV14+AV17+AV18+AV19+AV20+AV21+AV22+AV23+AV24+AV25+AV26+AV27+AV28+AV36</f>
        <v>258</v>
      </c>
      <c r="AW37" s="389">
        <f>AW11+AW14+AW17+AW18+AW19+AW20+AW21+AW22+AW23+AW24+AW25+AW26+AW27+AW28+AW36</f>
        <v>444</v>
      </c>
      <c r="AX37" s="389">
        <f>SUM(AX11:AX28)+AX36</f>
        <v>295</v>
      </c>
      <c r="AY37" s="390">
        <f>AY11+AY14+AY17+AY18+AY19+AY20+AY21+AY22+AY23+AY24+AY25+AY26+AY27+AY28+AY36+AY16+AY15</f>
        <v>1302</v>
      </c>
      <c r="AZ37" s="391">
        <f t="shared" ref="AZ37:BR37" si="46">SUM(AZ11:AZ28)+AZ36</f>
        <v>341</v>
      </c>
      <c r="BA37" s="389">
        <f t="shared" si="46"/>
        <v>252</v>
      </c>
      <c r="BB37" s="389">
        <f t="shared" si="46"/>
        <v>576</v>
      </c>
      <c r="BC37" s="389">
        <f t="shared" si="46"/>
        <v>396</v>
      </c>
      <c r="BD37" s="390">
        <f t="shared" si="46"/>
        <v>1565</v>
      </c>
      <c r="BE37" s="391">
        <f t="shared" si="46"/>
        <v>348</v>
      </c>
      <c r="BF37" s="389">
        <f t="shared" si="46"/>
        <v>265</v>
      </c>
      <c r="BG37" s="389">
        <f t="shared" si="46"/>
        <v>527</v>
      </c>
      <c r="BH37" s="389">
        <f t="shared" si="46"/>
        <v>329</v>
      </c>
      <c r="BI37" s="390">
        <f t="shared" si="46"/>
        <v>1469</v>
      </c>
      <c r="BJ37" s="391">
        <f t="shared" si="46"/>
        <v>297</v>
      </c>
      <c r="BK37" s="389">
        <f t="shared" si="46"/>
        <v>198</v>
      </c>
      <c r="BL37" s="389">
        <f t="shared" si="46"/>
        <v>640</v>
      </c>
      <c r="BM37" s="389">
        <f t="shared" si="46"/>
        <v>269</v>
      </c>
      <c r="BN37" s="576">
        <f t="shared" si="46"/>
        <v>1404</v>
      </c>
      <c r="BO37" s="389">
        <f t="shared" si="46"/>
        <v>392</v>
      </c>
      <c r="BP37" s="389">
        <f t="shared" si="46"/>
        <v>441</v>
      </c>
      <c r="BQ37" s="389">
        <f t="shared" si="46"/>
        <v>664</v>
      </c>
      <c r="BR37" s="389">
        <f t="shared" si="46"/>
        <v>471</v>
      </c>
      <c r="BS37" s="390">
        <f>SUM(BO37:BR37)</f>
        <v>1968</v>
      </c>
      <c r="BT37" s="391">
        <f t="shared" ref="BT37:CB37" si="47">SUM(BT11:BT28)+BT36</f>
        <v>508</v>
      </c>
      <c r="BU37" s="389">
        <f t="shared" si="47"/>
        <v>415</v>
      </c>
      <c r="BV37" s="389">
        <f t="shared" si="47"/>
        <v>780</v>
      </c>
      <c r="BW37" s="389">
        <f t="shared" si="47"/>
        <v>467</v>
      </c>
      <c r="BX37" s="390">
        <f t="shared" si="47"/>
        <v>2170</v>
      </c>
      <c r="BY37" s="391">
        <f t="shared" si="47"/>
        <v>484</v>
      </c>
      <c r="BZ37" s="389">
        <f t="shared" si="47"/>
        <v>440</v>
      </c>
      <c r="CA37" s="389">
        <f t="shared" si="47"/>
        <v>894</v>
      </c>
      <c r="CB37" s="389">
        <f t="shared" si="47"/>
        <v>476</v>
      </c>
      <c r="CC37" s="576">
        <f>SUM(BY37:CB37)</f>
        <v>2294</v>
      </c>
      <c r="CD37" s="389">
        <f>SUM(CD11:CD28)+CD36</f>
        <v>401</v>
      </c>
      <c r="CE37" s="389">
        <f>SUM(CE11:CE28)+CE36</f>
        <v>328</v>
      </c>
      <c r="CF37" s="389">
        <f>SUM(CF11:CF28)+CF36</f>
        <v>824</v>
      </c>
      <c r="CG37" s="389">
        <f>SUM(CG11:CG28)+CG36</f>
        <v>586</v>
      </c>
      <c r="CH37" s="390">
        <f>SUM(CD37:CG37)</f>
        <v>2139</v>
      </c>
      <c r="CI37" s="976">
        <f t="shared" ref="CI37:CQ37" si="48">SUM(CI11:CI28)+CI36</f>
        <v>570</v>
      </c>
      <c r="CJ37" s="976">
        <f t="shared" si="48"/>
        <v>514</v>
      </c>
      <c r="CK37" s="976">
        <f t="shared" si="48"/>
        <v>528</v>
      </c>
      <c r="CL37" s="976">
        <f t="shared" si="48"/>
        <v>437</v>
      </c>
      <c r="CM37" s="976">
        <f t="shared" si="48"/>
        <v>2049</v>
      </c>
      <c r="CN37" s="910">
        <f t="shared" si="48"/>
        <v>59.917001338688095</v>
      </c>
      <c r="CO37" s="389">
        <f t="shared" si="48"/>
        <v>80.607764390896932</v>
      </c>
      <c r="CP37" s="389">
        <f t="shared" si="48"/>
        <v>77.159303882195459</v>
      </c>
      <c r="CQ37" s="389">
        <f t="shared" si="48"/>
        <v>104.31593038821956</v>
      </c>
      <c r="CR37" s="1256">
        <f t="shared" ref="CR37:DA37" si="49">SUM(CR11:CR28)+CR36</f>
        <v>1294</v>
      </c>
      <c r="CS37" s="1256">
        <f t="shared" si="49"/>
        <v>248.34730062237662</v>
      </c>
      <c r="CT37" s="1256">
        <f t="shared" si="49"/>
        <v>166.65269937762338</v>
      </c>
      <c r="CU37" s="1256">
        <f t="shared" si="49"/>
        <v>144.16919959473148</v>
      </c>
      <c r="CV37" s="1256">
        <f t="shared" si="49"/>
        <v>644.83080040526852</v>
      </c>
      <c r="CW37" s="390">
        <f>SUM(CW11:CW28)+CW36</f>
        <v>1204</v>
      </c>
      <c r="CX37" s="389">
        <f t="shared" si="49"/>
        <v>288</v>
      </c>
      <c r="CY37" s="389">
        <f t="shared" si="49"/>
        <v>151</v>
      </c>
      <c r="CZ37" s="389">
        <f t="shared" si="49"/>
        <v>279</v>
      </c>
      <c r="DA37" s="389">
        <f t="shared" si="49"/>
        <v>312</v>
      </c>
      <c r="DB37" s="390">
        <f t="shared" si="34"/>
        <v>1030</v>
      </c>
      <c r="DC37" s="392">
        <f>SUM(DC11:DC28)+DC36</f>
        <v>424.6984534910473</v>
      </c>
      <c r="DD37" s="392">
        <f>SUM(DD11:DD28)+DD36</f>
        <v>290.11507722363359</v>
      </c>
      <c r="DE37" s="392">
        <f>SUM(DE11:DE28)+DE36</f>
        <v>303.23103241941033</v>
      </c>
      <c r="DF37" s="392">
        <f>SUM(DF11:DF28)+DF36</f>
        <v>549.83562302281064</v>
      </c>
      <c r="DG37" s="393">
        <f t="shared" si="35"/>
        <v>1567.8801861569018</v>
      </c>
      <c r="DH37" s="392">
        <f>SUM(DH11:DH28)+DH36</f>
        <v>45.754319534193144</v>
      </c>
      <c r="DI37" s="392">
        <f>SUM(DI11:DI28)+DI36</f>
        <v>311.27102683027334</v>
      </c>
      <c r="DJ37" s="392">
        <f>SUM(DJ11:DJ28)+DJ36</f>
        <v>336.4087824556774</v>
      </c>
      <c r="DK37" s="392">
        <f>SUM(DK11:DK28)+DK36</f>
        <v>729.26549042737304</v>
      </c>
      <c r="DL37" s="393">
        <f t="shared" si="36"/>
        <v>1422.6996192475169</v>
      </c>
      <c r="DM37" s="392">
        <f>SUM(DM11:DM28)+DM36</f>
        <v>-10.785885851406249</v>
      </c>
      <c r="DN37" s="392">
        <f>SUM(DN11:DN28)+DN36</f>
        <v>348.61491583715451</v>
      </c>
      <c r="DO37" s="392">
        <f>SUM(DO11:DO28)+DO36</f>
        <v>369.56010559285573</v>
      </c>
      <c r="DP37" s="392">
        <f>SUM(DP11:DP28)+DP36</f>
        <v>829.51975987369678</v>
      </c>
      <c r="DQ37" s="393">
        <f t="shared" si="37"/>
        <v>1536.9088954523008</v>
      </c>
      <c r="DR37" s="392">
        <f>SUM(DR11:DR28)+DR36</f>
        <v>-5.6234315064754696</v>
      </c>
      <c r="DS37" s="392">
        <f>SUM(DS11:DS28)+DS36</f>
        <v>385.70500060904402</v>
      </c>
      <c r="DT37" s="392">
        <f>SUM(DT11:DT28)+DT36</f>
        <v>405.75790779495156</v>
      </c>
      <c r="DU37" s="392">
        <f>SUM(DU11:DU28)+DU36</f>
        <v>935.52612559745671</v>
      </c>
      <c r="DV37" s="393">
        <f t="shared" si="38"/>
        <v>1721.3656024949769</v>
      </c>
      <c r="DW37" s="392">
        <f>SUM(DW11:DW28)+DW36</f>
        <v>-26.504401791993473</v>
      </c>
      <c r="DX37" s="392">
        <f>SUM(DX11:DX28)+DX36</f>
        <v>428.9792884017341</v>
      </c>
      <c r="DY37" s="392">
        <f>SUM(DY11:DY28)+DY36</f>
        <v>448.43541704684156</v>
      </c>
      <c r="DZ37" s="392">
        <f>SUM(DZ11:DZ28)+DZ36</f>
        <v>1069.9495805075985</v>
      </c>
      <c r="EA37" s="393">
        <f t="shared" si="39"/>
        <v>1920.8598841641806</v>
      </c>
      <c r="EB37" s="1010"/>
      <c r="EC37" s="1010"/>
      <c r="ED37" s="1010"/>
      <c r="EE37" s="1010"/>
      <c r="EF37" s="1010"/>
      <c r="EG37" s="1243"/>
    </row>
    <row r="38" spans="1:137" x14ac:dyDescent="0.2">
      <c r="A38" s="445"/>
      <c r="B38" s="71"/>
      <c r="C38" s="71"/>
      <c r="D38" s="71"/>
      <c r="E38" s="71"/>
      <c r="F38" s="60"/>
      <c r="G38" s="71"/>
      <c r="H38" s="71"/>
      <c r="I38" s="155"/>
      <c r="J38" s="155"/>
      <c r="K38" s="60"/>
      <c r="L38" s="71"/>
      <c r="M38" s="286"/>
      <c r="N38" s="71"/>
      <c r="O38" s="71"/>
      <c r="P38" s="82"/>
      <c r="Q38" s="71"/>
      <c r="R38" s="286"/>
      <c r="S38" s="71"/>
      <c r="T38" s="71"/>
      <c r="U38" s="82"/>
      <c r="V38" s="78"/>
      <c r="W38" s="286"/>
      <c r="X38" s="71"/>
      <c r="Y38" s="71"/>
      <c r="Z38" s="82"/>
      <c r="AA38" s="71"/>
      <c r="AB38" s="286"/>
      <c r="AC38" s="71"/>
      <c r="AD38" s="71"/>
      <c r="AE38" s="82"/>
      <c r="AF38" s="71"/>
      <c r="AG38" s="71"/>
      <c r="AH38" s="71"/>
      <c r="AI38" s="71"/>
      <c r="AJ38" s="82"/>
      <c r="AK38" s="71"/>
      <c r="AL38" s="71"/>
      <c r="AM38" s="71"/>
      <c r="AN38" s="71"/>
      <c r="AO38" s="82"/>
      <c r="AP38" s="71"/>
      <c r="AQ38" s="79"/>
      <c r="AR38" s="79"/>
      <c r="AS38" s="71"/>
      <c r="AT38" s="78"/>
      <c r="AU38" s="14"/>
      <c r="AV38" s="15"/>
      <c r="AW38" s="15"/>
      <c r="AX38" s="15"/>
      <c r="AY38" s="133"/>
      <c r="AZ38" s="14"/>
      <c r="BA38" s="15"/>
      <c r="BB38" s="15"/>
      <c r="BC38" s="15"/>
      <c r="BD38" s="133"/>
      <c r="BE38" s="14"/>
      <c r="BF38" s="15"/>
      <c r="BG38" s="15"/>
      <c r="BH38" s="15"/>
      <c r="BI38" s="139"/>
      <c r="BJ38" s="14"/>
      <c r="BK38" s="15"/>
      <c r="BL38" s="15"/>
      <c r="BM38" s="15"/>
      <c r="BN38" s="574"/>
      <c r="BO38" s="15"/>
      <c r="BP38" s="15"/>
      <c r="BQ38" s="15"/>
      <c r="BR38" s="15"/>
      <c r="BS38" s="133"/>
      <c r="BT38" s="14"/>
      <c r="BU38" s="15"/>
      <c r="BV38" s="15"/>
      <c r="BW38" s="15"/>
      <c r="BX38" s="133"/>
      <c r="BY38" s="14"/>
      <c r="BZ38" s="62"/>
      <c r="CA38" s="15"/>
      <c r="CB38" s="15"/>
      <c r="CC38" s="574"/>
      <c r="CD38" s="15"/>
      <c r="CE38" s="62"/>
      <c r="CF38" s="62"/>
      <c r="CG38" s="15"/>
      <c r="CH38" s="139"/>
      <c r="CI38" s="1010"/>
      <c r="CJ38" s="1015"/>
      <c r="CK38" s="1010"/>
      <c r="CL38" s="1010"/>
      <c r="CM38" s="996"/>
      <c r="CN38" s="851"/>
      <c r="CO38" s="15"/>
      <c r="CP38" s="15"/>
      <c r="CQ38" s="15"/>
      <c r="CR38" s="1079"/>
      <c r="CS38" s="1017"/>
      <c r="CT38" s="1017"/>
      <c r="CU38" s="1017"/>
      <c r="CV38" s="1017"/>
      <c r="CW38" s="133"/>
      <c r="CX38" s="62"/>
      <c r="CY38" s="62"/>
      <c r="CZ38" s="62"/>
      <c r="DA38" s="62"/>
      <c r="DB38" s="133"/>
      <c r="DC38" s="15"/>
      <c r="DD38" s="15"/>
      <c r="DE38" s="15"/>
      <c r="DF38" s="15"/>
      <c r="DG38" s="139"/>
      <c r="DH38" s="15"/>
      <c r="DI38" s="15"/>
      <c r="DJ38" s="15"/>
      <c r="DK38" s="15"/>
      <c r="DL38" s="139"/>
      <c r="DM38" s="15"/>
      <c r="DN38" s="15"/>
      <c r="DO38" s="15"/>
      <c r="DP38" s="15"/>
      <c r="DQ38" s="139"/>
      <c r="DR38" s="15"/>
      <c r="DS38" s="15"/>
      <c r="DT38" s="15"/>
      <c r="DU38" s="15"/>
      <c r="DV38" s="139"/>
      <c r="DW38" s="15"/>
      <c r="DX38" s="15"/>
      <c r="DY38" s="15"/>
      <c r="DZ38" s="15"/>
      <c r="EA38" s="139"/>
      <c r="EB38" s="1010"/>
      <c r="EC38" s="1010"/>
      <c r="ED38" s="1010"/>
      <c r="EE38" s="1010"/>
      <c r="EF38" s="1010"/>
      <c r="EG38" s="1243"/>
    </row>
    <row r="39" spans="1:137" x14ac:dyDescent="0.2">
      <c r="A39" s="445" t="s">
        <v>584</v>
      </c>
      <c r="B39" s="71"/>
      <c r="C39" s="71"/>
      <c r="D39" s="71"/>
      <c r="E39" s="71"/>
      <c r="F39" s="60"/>
      <c r="G39" s="71"/>
      <c r="H39" s="71"/>
      <c r="I39" s="155"/>
      <c r="J39" s="155"/>
      <c r="K39" s="60"/>
      <c r="L39" s="71"/>
      <c r="M39" s="71"/>
      <c r="N39" s="71"/>
      <c r="O39" s="71"/>
      <c r="P39" s="82"/>
      <c r="Q39" s="71"/>
      <c r="R39" s="71"/>
      <c r="S39" s="71"/>
      <c r="T39" s="71"/>
      <c r="U39" s="82"/>
      <c r="V39" s="78"/>
      <c r="W39" s="71"/>
      <c r="X39" s="71"/>
      <c r="Y39" s="71"/>
      <c r="Z39" s="82"/>
      <c r="AA39" s="71"/>
      <c r="AB39" s="71"/>
      <c r="AC39" s="71"/>
      <c r="AD39" s="71"/>
      <c r="AE39" s="82"/>
      <c r="AF39" s="71"/>
      <c r="AG39" s="71"/>
      <c r="AH39" s="71"/>
      <c r="AI39" s="71"/>
      <c r="AJ39" s="82"/>
      <c r="AK39" s="71"/>
      <c r="AL39" s="71"/>
      <c r="AM39" s="71"/>
      <c r="AN39" s="71"/>
      <c r="AO39" s="82"/>
      <c r="AP39" s="71"/>
      <c r="AQ39" s="79"/>
      <c r="AR39" s="79"/>
      <c r="AS39" s="71"/>
      <c r="AT39" s="78"/>
      <c r="AU39" s="14"/>
      <c r="AV39" s="15"/>
      <c r="AW39" s="15"/>
      <c r="AX39" s="15"/>
      <c r="AY39" s="133"/>
      <c r="AZ39" s="14"/>
      <c r="BA39" s="15"/>
      <c r="BB39" s="15"/>
      <c r="BC39" s="15"/>
      <c r="BD39" s="133"/>
      <c r="BE39" s="14"/>
      <c r="BF39" s="15"/>
      <c r="BG39" s="15"/>
      <c r="BH39" s="15"/>
      <c r="BI39" s="139"/>
      <c r="BJ39" s="14"/>
      <c r="BK39" s="15"/>
      <c r="BL39" s="15"/>
      <c r="BM39" s="15"/>
      <c r="BN39" s="574"/>
      <c r="BO39" s="15"/>
      <c r="BP39" s="15"/>
      <c r="BQ39" s="15"/>
      <c r="BR39" s="15"/>
      <c r="BS39" s="133"/>
      <c r="BT39" s="14"/>
      <c r="BU39" s="15"/>
      <c r="BV39" s="15"/>
      <c r="BW39" s="15"/>
      <c r="BX39" s="133"/>
      <c r="BY39" s="14"/>
      <c r="BZ39" s="15"/>
      <c r="CA39" s="15"/>
      <c r="CB39" s="15"/>
      <c r="CC39" s="574"/>
      <c r="CD39" s="15"/>
      <c r="CE39" s="15"/>
      <c r="CF39" s="15"/>
      <c r="CG39" s="15"/>
      <c r="CH39" s="139"/>
      <c r="CI39" s="1010"/>
      <c r="CJ39" s="1010"/>
      <c r="CK39" s="1010"/>
      <c r="CL39" s="1010"/>
      <c r="CM39" s="996"/>
      <c r="CN39" s="851"/>
      <c r="CO39" s="15"/>
      <c r="CP39" s="15"/>
      <c r="CQ39" s="15"/>
      <c r="CR39" s="1079"/>
      <c r="CS39" s="1017"/>
      <c r="CT39" s="1017"/>
      <c r="CU39" s="1017"/>
      <c r="CV39" s="1017"/>
      <c r="CW39" s="133"/>
      <c r="CX39" s="15"/>
      <c r="CY39" s="15"/>
      <c r="CZ39" s="15"/>
      <c r="DA39" s="15"/>
      <c r="DB39" s="133"/>
      <c r="DC39" s="15"/>
      <c r="DD39" s="15"/>
      <c r="DE39" s="15"/>
      <c r="DF39" s="15"/>
      <c r="DG39" s="139"/>
      <c r="DH39" s="15"/>
      <c r="DI39" s="15"/>
      <c r="DJ39" s="15"/>
      <c r="DK39" s="15"/>
      <c r="DL39" s="139"/>
      <c r="DM39" s="15"/>
      <c r="DN39" s="15"/>
      <c r="DO39" s="15"/>
      <c r="DP39" s="15"/>
      <c r="DQ39" s="139"/>
      <c r="DR39" s="15"/>
      <c r="DS39" s="15"/>
      <c r="DT39" s="15"/>
      <c r="DU39" s="15"/>
      <c r="DV39" s="139"/>
      <c r="DW39" s="15"/>
      <c r="DX39" s="15"/>
      <c r="DY39" s="15"/>
      <c r="DZ39" s="15"/>
      <c r="EA39" s="139"/>
      <c r="EB39" s="1010"/>
      <c r="EC39" s="1010"/>
      <c r="ED39" s="1010"/>
      <c r="EE39" s="1010"/>
      <c r="EF39" s="1010"/>
      <c r="EG39" s="1243"/>
    </row>
    <row r="40" spans="1:137" x14ac:dyDescent="0.2">
      <c r="A40" s="445" t="s">
        <v>546</v>
      </c>
      <c r="B40" s="65"/>
      <c r="C40" s="65"/>
      <c r="D40" s="65"/>
      <c r="E40" s="65"/>
      <c r="F40" s="66"/>
      <c r="G40" s="65"/>
      <c r="H40" s="65"/>
      <c r="I40" s="287"/>
      <c r="J40" s="287"/>
      <c r="K40" s="66"/>
      <c r="L40" s="65">
        <v>-66</v>
      </c>
      <c r="M40" s="65">
        <f>-152-L40</f>
        <v>-86</v>
      </c>
      <c r="N40" s="65">
        <f>-267-M40-L40</f>
        <v>-115</v>
      </c>
      <c r="O40" s="65">
        <f t="shared" ref="O40:O45" si="50">P40-N40-M40-L40</f>
        <v>-203</v>
      </c>
      <c r="P40" s="81">
        <v>-470</v>
      </c>
      <c r="Q40" s="65">
        <v>-68</v>
      </c>
      <c r="R40" s="65">
        <f>-186-Q40</f>
        <v>-118</v>
      </c>
      <c r="S40" s="65">
        <f>-313-R40-Q40</f>
        <v>-127</v>
      </c>
      <c r="T40" s="65">
        <f t="shared" ref="T40:T45" si="51">U40-S40-R40-Q40</f>
        <v>-259</v>
      </c>
      <c r="U40" s="81">
        <v>-572</v>
      </c>
      <c r="V40" s="67">
        <v>-94</v>
      </c>
      <c r="W40" s="65">
        <f>-203-V40</f>
        <v>-109</v>
      </c>
      <c r="X40" s="65">
        <f>-360-W40-V40</f>
        <v>-157</v>
      </c>
      <c r="Y40" s="65">
        <f t="shared" ref="Y40:Y45" si="52">Z40-X40-W40-V40</f>
        <v>-276</v>
      </c>
      <c r="Z40" s="81">
        <v>-636</v>
      </c>
      <c r="AA40" s="65">
        <v>-113</v>
      </c>
      <c r="AB40" s="65">
        <f>-273-AA40</f>
        <v>-160</v>
      </c>
      <c r="AC40" s="65">
        <f>-461-AB40-AA40</f>
        <v>-188</v>
      </c>
      <c r="AD40" s="65">
        <f t="shared" ref="AD40:AD45" si="53">AE40-AC40-AB40-AA40</f>
        <v>-299</v>
      </c>
      <c r="AE40" s="81">
        <v>-760</v>
      </c>
      <c r="AF40" s="65">
        <v>-112</v>
      </c>
      <c r="AG40" s="65">
        <f>-221-AF40</f>
        <v>-109</v>
      </c>
      <c r="AH40" s="65">
        <f>-358-AG40-AF40</f>
        <v>-137</v>
      </c>
      <c r="AI40" s="65">
        <f>-663-AH40-AG40-AF40</f>
        <v>-305</v>
      </c>
      <c r="AJ40" s="81">
        <f t="shared" ref="AJ40:AJ45" si="54">SUM(AF40:AI40)</f>
        <v>-663</v>
      </c>
      <c r="AK40" s="65">
        <v>-103</v>
      </c>
      <c r="AL40" s="65">
        <f>-221-AK40</f>
        <v>-118</v>
      </c>
      <c r="AM40" s="65">
        <f>-383-AL40-AK40</f>
        <v>-162</v>
      </c>
      <c r="AN40" s="65">
        <f t="shared" ref="AN40:AN45" si="55">AO40-AM40-AL40-AK40</f>
        <v>-262</v>
      </c>
      <c r="AO40" s="81">
        <v>-645</v>
      </c>
      <c r="AP40" s="65">
        <v>-94</v>
      </c>
      <c r="AQ40" s="65">
        <f>-210-AP40</f>
        <v>-116</v>
      </c>
      <c r="AR40" s="65">
        <f>-362-AQ40-AP40</f>
        <v>-152</v>
      </c>
      <c r="AS40" s="65">
        <f t="shared" ref="AS40:AS45" si="56">AT40-SUM(AP40:AR40)</f>
        <v>-247</v>
      </c>
      <c r="AT40" s="67">
        <v>-609</v>
      </c>
      <c r="AU40" s="67">
        <v>-72</v>
      </c>
      <c r="AV40" s="65">
        <f>-186-AU40</f>
        <v>-114</v>
      </c>
      <c r="AW40" s="65">
        <f>-323-AV40-AU40</f>
        <v>-137</v>
      </c>
      <c r="AX40" s="65">
        <f t="shared" ref="AX40:AX45" si="57">AY40-AW40-AV40-AU40</f>
        <v>-291</v>
      </c>
      <c r="AY40" s="126">
        <v>-614</v>
      </c>
      <c r="AZ40" s="67">
        <v>-93</v>
      </c>
      <c r="BA40" s="65">
        <f>-217-AZ40</f>
        <v>-124</v>
      </c>
      <c r="BB40" s="65">
        <f>-391-BA40-AZ40</f>
        <v>-174</v>
      </c>
      <c r="BC40" s="65">
        <f t="shared" ref="BC40:BC45" si="58">BD40-BB40-BA40-AZ40</f>
        <v>-351</v>
      </c>
      <c r="BD40" s="126">
        <v>-742</v>
      </c>
      <c r="BE40" s="67">
        <v>-113</v>
      </c>
      <c r="BF40" s="65">
        <f>-335-BE40</f>
        <v>-222</v>
      </c>
      <c r="BG40" s="65">
        <f>-571-BF40-BE40</f>
        <v>-236</v>
      </c>
      <c r="BH40" s="65">
        <f t="shared" ref="BH40:BH45" si="59">BI40-BG40-BF40-BE40</f>
        <v>-364</v>
      </c>
      <c r="BI40" s="126">
        <v>-935</v>
      </c>
      <c r="BJ40" s="67">
        <v>-143</v>
      </c>
      <c r="BK40" s="65">
        <f>-342-BJ40</f>
        <v>-199</v>
      </c>
      <c r="BL40" s="65">
        <f>-505-BK40-BJ40</f>
        <v>-163</v>
      </c>
      <c r="BM40" s="65">
        <f t="shared" ref="BM40:BM45" si="60">BN40-BL40-BK40-BJ40</f>
        <v>-292</v>
      </c>
      <c r="BN40" s="575">
        <v>-797</v>
      </c>
      <c r="BO40" s="65">
        <v>-163</v>
      </c>
      <c r="BP40" s="65">
        <f>-327-BO40</f>
        <v>-164</v>
      </c>
      <c r="BQ40" s="65">
        <f>-490-BP40-BO40</f>
        <v>-163</v>
      </c>
      <c r="BR40" s="65">
        <f t="shared" ref="BR40:BR45" si="61">BS40-BQ40-BP40-BO40</f>
        <v>-306</v>
      </c>
      <c r="BS40" s="126">
        <v>-796</v>
      </c>
      <c r="BT40" s="67">
        <v>-173</v>
      </c>
      <c r="BU40" s="65">
        <f>-330-BT40</f>
        <v>-157</v>
      </c>
      <c r="BV40" s="65">
        <f>-553-BU40-BT40</f>
        <v>-223</v>
      </c>
      <c r="BW40" s="65">
        <f t="shared" ref="BW40:BW47" si="62">BX40-BV40-BU40-BT40</f>
        <v>-387</v>
      </c>
      <c r="BX40" s="126">
        <v>-940</v>
      </c>
      <c r="BY40" s="67">
        <v>-184</v>
      </c>
      <c r="BZ40" s="65">
        <f>-406-BY40</f>
        <v>-222</v>
      </c>
      <c r="CA40" s="65">
        <f>-678-SUM(BY40:BZ40)</f>
        <v>-272</v>
      </c>
      <c r="CB40" s="65">
        <f t="shared" ref="CB40:CB47" si="63">CC40-SUM(BY40:CA40)</f>
        <v>-421</v>
      </c>
      <c r="CC40" s="575">
        <v>-1099</v>
      </c>
      <c r="CD40" s="65">
        <v>-237</v>
      </c>
      <c r="CE40" s="65">
        <f>-472-CD40</f>
        <v>-235</v>
      </c>
      <c r="CF40" s="65">
        <f>-699-SUM(CD40:CE40)</f>
        <v>-227</v>
      </c>
      <c r="CG40" s="65">
        <f t="shared" ref="CG40:CG47" si="64">CH40-SUM(CD40:CF40)</f>
        <v>-350</v>
      </c>
      <c r="CH40" s="126">
        <v>-1049</v>
      </c>
      <c r="CI40" s="1013">
        <v>-172</v>
      </c>
      <c r="CJ40" s="1013">
        <f>-408-CI40</f>
        <v>-236</v>
      </c>
      <c r="CK40" s="1013">
        <f>-655-CJ40-CI40</f>
        <v>-247</v>
      </c>
      <c r="CL40" s="1013">
        <f>CM40-CK40-CJ40-CI40</f>
        <v>-378</v>
      </c>
      <c r="CM40" s="998">
        <v>-1033</v>
      </c>
      <c r="CN40" s="863"/>
      <c r="CO40" s="65"/>
      <c r="CP40" s="65"/>
      <c r="CQ40" s="65"/>
      <c r="CR40" s="1081">
        <v>-461</v>
      </c>
      <c r="CS40" s="1007">
        <v>-74</v>
      </c>
      <c r="CT40" s="1007">
        <v>-97</v>
      </c>
      <c r="CU40" s="1007">
        <v>-18.199999999999989</v>
      </c>
      <c r="CV40" s="65">
        <f>CW40-CU40-CT40-CS40</f>
        <v>-232.8</v>
      </c>
      <c r="CW40" s="126">
        <v>-422</v>
      </c>
      <c r="CX40" s="65">
        <v>-76</v>
      </c>
      <c r="CY40" s="65">
        <f>-150-CX40</f>
        <v>-74</v>
      </c>
      <c r="CZ40" s="65">
        <f>-228-CY40-CX40</f>
        <v>-78</v>
      </c>
      <c r="DA40" s="65">
        <f>-318-SUM(CX40:CZ40)</f>
        <v>-90</v>
      </c>
      <c r="DB40" s="126">
        <f t="shared" ref="DB40:DB45" si="65">SUM(CX40:DA40)</f>
        <v>-318</v>
      </c>
      <c r="DC40" s="288">
        <f>-DC129+DC121</f>
        <v>-63.837593873612349</v>
      </c>
      <c r="DD40" s="288">
        <f>-DD129+DD121</f>
        <v>-59.258617426330453</v>
      </c>
      <c r="DE40" s="288">
        <f>-DE129+DE121</f>
        <v>-54.365697248746137</v>
      </c>
      <c r="DF40" s="288">
        <f>-DF129+DF121</f>
        <v>-65.785586499352902</v>
      </c>
      <c r="DG40" s="127">
        <f t="shared" ref="DG40:DG45" si="66">SUM(DC40:DF40)</f>
        <v>-243.24749504804186</v>
      </c>
      <c r="DH40" s="288">
        <f>-DH129+DH121</f>
        <v>-26.759253210644687</v>
      </c>
      <c r="DI40" s="288">
        <f>-DI129+DI121</f>
        <v>-25.821129914408026</v>
      </c>
      <c r="DJ40" s="288">
        <f>-DJ129+DJ121</f>
        <v>-24.282909321848159</v>
      </c>
      <c r="DK40" s="288">
        <f>-DK129+DK121</f>
        <v>-28.57175356769077</v>
      </c>
      <c r="DL40" s="127">
        <f t="shared" ref="DL40:DL45" si="67">SUM(DH40:DK40)</f>
        <v>-105.43504601459165</v>
      </c>
      <c r="DM40" s="288">
        <f>-DM129+DM121</f>
        <v>-20.759806816027691</v>
      </c>
      <c r="DN40" s="288">
        <f>-DN129+DN121</f>
        <v>-22.062336139361278</v>
      </c>
      <c r="DO40" s="288">
        <f>-DO129+DO121</f>
        <v>-22.848335694069309</v>
      </c>
      <c r="DP40" s="288">
        <f>-DP129+DP121</f>
        <v>-30.078738541951815</v>
      </c>
      <c r="DQ40" s="127">
        <f t="shared" ref="DQ40:DQ45" si="68">SUM(DM40:DP40)</f>
        <v>-95.749217191410082</v>
      </c>
      <c r="DR40" s="288">
        <f>-DR129+DR121</f>
        <v>-21.031070580496252</v>
      </c>
      <c r="DS40" s="288">
        <f>-DS129+DS121</f>
        <v>-22.312349562177566</v>
      </c>
      <c r="DT40" s="288">
        <f>-DT129+DT121</f>
        <v>-23.565868229600081</v>
      </c>
      <c r="DU40" s="288">
        <f>-DU129+DU121</f>
        <v>-32.71250851866224</v>
      </c>
      <c r="DV40" s="127">
        <f t="shared" ref="DV40:DV45" si="69">SUM(DR40:DU40)</f>
        <v>-99.621796890936139</v>
      </c>
      <c r="DW40" s="288">
        <f>-DW129+DW121</f>
        <v>-23.292155708397782</v>
      </c>
      <c r="DX40" s="288">
        <f>-DX129+DX121</f>
        <v>-24.902175178453412</v>
      </c>
      <c r="DY40" s="288">
        <f>-DY129+DY121</f>
        <v>-25.586573037688606</v>
      </c>
      <c r="DZ40" s="288">
        <f>-DZ129+DZ121</f>
        <v>-33.89259010333943</v>
      </c>
      <c r="EA40" s="127">
        <f t="shared" ref="EA40:EA45" si="70">SUM(DW40:DZ40)</f>
        <v>-107.67349402787923</v>
      </c>
      <c r="EB40" s="942"/>
      <c r="EC40" s="942"/>
      <c r="ED40" s="942"/>
      <c r="EE40" s="942"/>
      <c r="EF40" s="942"/>
      <c r="EG40" s="1243"/>
    </row>
    <row r="41" spans="1:137" x14ac:dyDescent="0.2">
      <c r="A41" s="446" t="s">
        <v>38</v>
      </c>
      <c r="B41" s="71"/>
      <c r="C41" s="71"/>
      <c r="D41" s="71"/>
      <c r="E41" s="71"/>
      <c r="F41" s="60"/>
      <c r="G41" s="71"/>
      <c r="H41" s="71"/>
      <c r="I41" s="155"/>
      <c r="J41" s="155"/>
      <c r="K41" s="60"/>
      <c r="L41" s="71">
        <v>121</v>
      </c>
      <c r="M41" s="71">
        <f>397-L41</f>
        <v>276</v>
      </c>
      <c r="N41" s="71">
        <f>724-M41-L41</f>
        <v>327</v>
      </c>
      <c r="O41" s="71">
        <f t="shared" si="50"/>
        <v>192</v>
      </c>
      <c r="P41" s="82">
        <v>916</v>
      </c>
      <c r="Q41" s="71">
        <v>83</v>
      </c>
      <c r="R41" s="71">
        <f>210-Q41</f>
        <v>127</v>
      </c>
      <c r="S41" s="71">
        <f>240-R41-Q41</f>
        <v>30</v>
      </c>
      <c r="T41" s="71">
        <f t="shared" si="51"/>
        <v>141</v>
      </c>
      <c r="U41" s="82">
        <v>381</v>
      </c>
      <c r="V41" s="78">
        <v>14</v>
      </c>
      <c r="W41" s="71">
        <f>62-V41</f>
        <v>48</v>
      </c>
      <c r="X41" s="71">
        <f>73-W41-V41</f>
        <v>11</v>
      </c>
      <c r="Y41" s="71">
        <f t="shared" si="52"/>
        <v>38</v>
      </c>
      <c r="Z41" s="82">
        <v>111</v>
      </c>
      <c r="AA41" s="71">
        <v>19</v>
      </c>
      <c r="AB41" s="71">
        <f>24-AA41</f>
        <v>5</v>
      </c>
      <c r="AC41" s="71">
        <f>67-AB41-AA41</f>
        <v>43</v>
      </c>
      <c r="AD41" s="71">
        <f t="shared" si="53"/>
        <v>14</v>
      </c>
      <c r="AE41" s="82">
        <v>81</v>
      </c>
      <c r="AF41" s="71">
        <v>2</v>
      </c>
      <c r="AG41" s="71">
        <f>11-AF41</f>
        <v>9</v>
      </c>
      <c r="AH41" s="71">
        <f>11-AG41-AF41</f>
        <v>0</v>
      </c>
      <c r="AI41" s="71">
        <f>92-AH41-AG41-AF41</f>
        <v>81</v>
      </c>
      <c r="AJ41" s="82">
        <f t="shared" si="54"/>
        <v>92</v>
      </c>
      <c r="AK41" s="71">
        <v>2</v>
      </c>
      <c r="AL41" s="71">
        <f>8-AK41</f>
        <v>6</v>
      </c>
      <c r="AM41" s="71">
        <f>14-AL41-AK41</f>
        <v>6</v>
      </c>
      <c r="AN41" s="71">
        <f t="shared" si="55"/>
        <v>126</v>
      </c>
      <c r="AO41" s="82">
        <v>140</v>
      </c>
      <c r="AP41" s="71">
        <v>4</v>
      </c>
      <c r="AQ41" s="71">
        <f>41-AP41</f>
        <v>37</v>
      </c>
      <c r="AR41" s="71">
        <f>79-AQ41-AP41</f>
        <v>38</v>
      </c>
      <c r="AS41" s="71">
        <f t="shared" si="56"/>
        <v>66</v>
      </c>
      <c r="AT41" s="78">
        <v>145</v>
      </c>
      <c r="AU41" s="78">
        <v>22</v>
      </c>
      <c r="AV41" s="71">
        <f>48-AU41</f>
        <v>26</v>
      </c>
      <c r="AW41" s="71">
        <f>96-AV41-AU41</f>
        <v>48</v>
      </c>
      <c r="AX41" s="71">
        <f t="shared" si="57"/>
        <v>161</v>
      </c>
      <c r="AY41" s="133">
        <v>257</v>
      </c>
      <c r="AZ41" s="78">
        <v>34</v>
      </c>
      <c r="BA41" s="71">
        <f>65-AZ41</f>
        <v>31</v>
      </c>
      <c r="BB41" s="71">
        <f>83-BA41-AZ41</f>
        <v>18</v>
      </c>
      <c r="BC41" s="71">
        <f t="shared" si="58"/>
        <v>34</v>
      </c>
      <c r="BD41" s="133">
        <v>117</v>
      </c>
      <c r="BE41" s="78">
        <v>19</v>
      </c>
      <c r="BF41" s="71">
        <f>66-BE41</f>
        <v>47</v>
      </c>
      <c r="BG41" s="71">
        <f>142-BF41-BE41</f>
        <v>76</v>
      </c>
      <c r="BH41" s="71">
        <f t="shared" si="59"/>
        <v>124</v>
      </c>
      <c r="BI41" s="133">
        <v>266</v>
      </c>
      <c r="BJ41" s="78">
        <v>36</v>
      </c>
      <c r="BK41" s="71">
        <f>63-BJ41</f>
        <v>27</v>
      </c>
      <c r="BL41" s="71">
        <f>91-BK41-BJ41</f>
        <v>28</v>
      </c>
      <c r="BM41" s="71">
        <f t="shared" si="60"/>
        <v>103</v>
      </c>
      <c r="BN41" s="574">
        <v>194</v>
      </c>
      <c r="BO41" s="71">
        <v>42</v>
      </c>
      <c r="BP41" s="71">
        <f>83-BO41</f>
        <v>41</v>
      </c>
      <c r="BQ41" s="71">
        <f>106-BP41-BO41</f>
        <v>23</v>
      </c>
      <c r="BR41" s="71">
        <f t="shared" si="61"/>
        <v>159</v>
      </c>
      <c r="BS41" s="133">
        <v>265</v>
      </c>
      <c r="BT41" s="78">
        <v>14</v>
      </c>
      <c r="BU41" s="71">
        <f>49-BT41</f>
        <v>35</v>
      </c>
      <c r="BV41" s="71">
        <f>119-BU41-BT41</f>
        <v>70</v>
      </c>
      <c r="BW41" s="71">
        <f t="shared" si="62"/>
        <v>127</v>
      </c>
      <c r="BX41" s="133">
        <v>246</v>
      </c>
      <c r="BY41" s="78">
        <v>102</v>
      </c>
      <c r="BZ41" s="71">
        <f>132-BY41</f>
        <v>30</v>
      </c>
      <c r="CA41" s="71">
        <f>187-SUM(BY41:BZ41)</f>
        <v>55</v>
      </c>
      <c r="CB41" s="71">
        <f t="shared" si="63"/>
        <v>177</v>
      </c>
      <c r="CC41" s="574">
        <v>364</v>
      </c>
      <c r="CD41" s="71">
        <v>81</v>
      </c>
      <c r="CE41" s="71">
        <f>155-CD41</f>
        <v>74</v>
      </c>
      <c r="CF41" s="71">
        <f>218-SUM(CD41:CE41)</f>
        <v>63</v>
      </c>
      <c r="CG41" s="71">
        <f t="shared" si="64"/>
        <v>42</v>
      </c>
      <c r="CH41" s="133">
        <v>260</v>
      </c>
      <c r="CI41" s="1012">
        <v>2</v>
      </c>
      <c r="CJ41" s="1012">
        <f>17-CI41</f>
        <v>15</v>
      </c>
      <c r="CK41" s="1012">
        <f>66-CJ41-CI41</f>
        <v>49</v>
      </c>
      <c r="CL41" s="1013">
        <f>CM41-CK41-CJ41-CI41</f>
        <v>48</v>
      </c>
      <c r="CM41" s="996">
        <v>114</v>
      </c>
      <c r="CN41" s="860"/>
      <c r="CO41" s="71"/>
      <c r="CP41" s="71"/>
      <c r="CQ41" s="71"/>
      <c r="CR41" s="1081">
        <v>219</v>
      </c>
      <c r="CS41" s="1007">
        <v>2.5</v>
      </c>
      <c r="CT41" s="1007">
        <v>82.5</v>
      </c>
      <c r="CU41" s="1007">
        <v>67</v>
      </c>
      <c r="CV41" s="71">
        <f>CW41-CU41-CT41-CS41</f>
        <v>194</v>
      </c>
      <c r="CW41" s="133">
        <v>346</v>
      </c>
      <c r="CX41" s="71">
        <v>185</v>
      </c>
      <c r="CY41" s="71">
        <f>321-CX41</f>
        <v>136</v>
      </c>
      <c r="CZ41" s="71">
        <f>716-CY41-CX41</f>
        <v>395</v>
      </c>
      <c r="DA41" s="71">
        <f>1773-SUM(CX41:CZ41)</f>
        <v>1057</v>
      </c>
      <c r="DB41" s="133">
        <f t="shared" si="65"/>
        <v>1773</v>
      </c>
      <c r="DC41" s="79">
        <f>DC151</f>
        <v>200</v>
      </c>
      <c r="DD41" s="79">
        <f>DD151</f>
        <v>200</v>
      </c>
      <c r="DE41" s="79">
        <f>DE151</f>
        <v>110</v>
      </c>
      <c r="DF41" s="79">
        <f>DF151</f>
        <v>60</v>
      </c>
      <c r="DG41" s="139">
        <f t="shared" si="66"/>
        <v>570</v>
      </c>
      <c r="DH41" s="79">
        <f>DH151</f>
        <v>85</v>
      </c>
      <c r="DI41" s="79">
        <f>DI151</f>
        <v>85</v>
      </c>
      <c r="DJ41" s="79">
        <f>DJ151</f>
        <v>85</v>
      </c>
      <c r="DK41" s="79">
        <f>DK151</f>
        <v>85</v>
      </c>
      <c r="DL41" s="139">
        <f t="shared" si="67"/>
        <v>340</v>
      </c>
      <c r="DM41" s="79">
        <f>DM151</f>
        <v>0</v>
      </c>
      <c r="DN41" s="79">
        <f>DN151</f>
        <v>0</v>
      </c>
      <c r="DO41" s="79">
        <f>DO151</f>
        <v>0</v>
      </c>
      <c r="DP41" s="79">
        <f>DP151</f>
        <v>0</v>
      </c>
      <c r="DQ41" s="139">
        <f t="shared" si="68"/>
        <v>0</v>
      </c>
      <c r="DR41" s="79">
        <f>DR151</f>
        <v>0</v>
      </c>
      <c r="DS41" s="79">
        <f>DS151</f>
        <v>0</v>
      </c>
      <c r="DT41" s="79">
        <f>DT151</f>
        <v>0</v>
      </c>
      <c r="DU41" s="79">
        <f>DU151</f>
        <v>0</v>
      </c>
      <c r="DV41" s="139">
        <f t="shared" si="69"/>
        <v>0</v>
      </c>
      <c r="DW41" s="79">
        <f>DW151</f>
        <v>0</v>
      </c>
      <c r="DX41" s="79">
        <f>DX151</f>
        <v>0</v>
      </c>
      <c r="DY41" s="79">
        <f>DY151</f>
        <v>0</v>
      </c>
      <c r="DZ41" s="79">
        <f>DZ151</f>
        <v>0</v>
      </c>
      <c r="EA41" s="139">
        <f t="shared" si="70"/>
        <v>0</v>
      </c>
      <c r="EB41" s="1010"/>
      <c r="EC41" s="1010"/>
      <c r="ED41" s="1010"/>
      <c r="EE41" s="1010"/>
      <c r="EF41" s="1010"/>
      <c r="EG41" s="1243"/>
    </row>
    <row r="42" spans="1:137" x14ac:dyDescent="0.2">
      <c r="A42" s="446" t="s">
        <v>415</v>
      </c>
      <c r="B42" s="71"/>
      <c r="C42" s="71"/>
      <c r="D42" s="71"/>
      <c r="E42" s="71"/>
      <c r="F42" s="60"/>
      <c r="G42" s="71"/>
      <c r="H42" s="71"/>
      <c r="I42" s="155"/>
      <c r="J42" s="155"/>
      <c r="K42" s="60"/>
      <c r="L42" s="71">
        <v>0</v>
      </c>
      <c r="M42" s="71">
        <v>0</v>
      </c>
      <c r="N42" s="71">
        <v>0</v>
      </c>
      <c r="O42" s="71">
        <f t="shared" si="50"/>
        <v>0</v>
      </c>
      <c r="P42" s="82">
        <v>0</v>
      </c>
      <c r="Q42" s="71">
        <v>0</v>
      </c>
      <c r="R42" s="71">
        <v>0</v>
      </c>
      <c r="S42" s="71">
        <v>0</v>
      </c>
      <c r="T42" s="71">
        <f t="shared" si="51"/>
        <v>0</v>
      </c>
      <c r="U42" s="82">
        <v>0</v>
      </c>
      <c r="V42" s="78">
        <v>0</v>
      </c>
      <c r="W42" s="71">
        <v>0</v>
      </c>
      <c r="X42" s="71">
        <v>0</v>
      </c>
      <c r="Y42" s="71">
        <f t="shared" si="52"/>
        <v>0</v>
      </c>
      <c r="Z42" s="82">
        <v>0</v>
      </c>
      <c r="AA42" s="71">
        <v>0</v>
      </c>
      <c r="AB42" s="71">
        <v>-271</v>
      </c>
      <c r="AC42" s="71">
        <f>-275-AB42-AA42</f>
        <v>-4</v>
      </c>
      <c r="AD42" s="71">
        <f t="shared" si="53"/>
        <v>0</v>
      </c>
      <c r="AE42" s="82">
        <v>-275</v>
      </c>
      <c r="AF42" s="71">
        <v>0</v>
      </c>
      <c r="AG42" s="71">
        <v>0</v>
      </c>
      <c r="AH42" s="71">
        <v>0</v>
      </c>
      <c r="AI42" s="71">
        <v>0</v>
      </c>
      <c r="AJ42" s="82">
        <f t="shared" si="54"/>
        <v>0</v>
      </c>
      <c r="AK42" s="71">
        <v>0</v>
      </c>
      <c r="AL42" s="71">
        <v>0</v>
      </c>
      <c r="AM42" s="71">
        <v>0</v>
      </c>
      <c r="AN42" s="71">
        <f t="shared" si="55"/>
        <v>0</v>
      </c>
      <c r="AO42" s="82">
        <v>0</v>
      </c>
      <c r="AP42" s="71">
        <v>0</v>
      </c>
      <c r="AQ42" s="71">
        <v>0</v>
      </c>
      <c r="AR42" s="71">
        <v>0</v>
      </c>
      <c r="AS42" s="71">
        <f t="shared" si="56"/>
        <v>0</v>
      </c>
      <c r="AT42" s="78">
        <v>0</v>
      </c>
      <c r="AU42" s="78">
        <v>0</v>
      </c>
      <c r="AV42" s="71">
        <v>0</v>
      </c>
      <c r="AW42" s="71">
        <f>AV42</f>
        <v>0</v>
      </c>
      <c r="AX42" s="71">
        <f t="shared" si="57"/>
        <v>0</v>
      </c>
      <c r="AY42" s="133">
        <v>0</v>
      </c>
      <c r="AZ42" s="78">
        <f>AX42</f>
        <v>0</v>
      </c>
      <c r="BA42" s="71">
        <v>0</v>
      </c>
      <c r="BB42" s="71">
        <v>0</v>
      </c>
      <c r="BC42" s="71">
        <f t="shared" si="58"/>
        <v>0</v>
      </c>
      <c r="BD42" s="133">
        <v>0</v>
      </c>
      <c r="BE42" s="78">
        <v>0</v>
      </c>
      <c r="BF42" s="71">
        <v>0</v>
      </c>
      <c r="BG42" s="71">
        <v>0</v>
      </c>
      <c r="BH42" s="71">
        <f t="shared" si="59"/>
        <v>0</v>
      </c>
      <c r="BI42" s="133">
        <v>0</v>
      </c>
      <c r="BJ42" s="78">
        <f>BH42</f>
        <v>0</v>
      </c>
      <c r="BK42" s="71">
        <f>-56-BJ42</f>
        <v>-56</v>
      </c>
      <c r="BL42" s="71">
        <f>-75-BK42-BJ42</f>
        <v>-19</v>
      </c>
      <c r="BM42" s="71">
        <f t="shared" si="60"/>
        <v>-40</v>
      </c>
      <c r="BN42" s="574">
        <v>-115</v>
      </c>
      <c r="BO42" s="71">
        <v>0</v>
      </c>
      <c r="BP42" s="71">
        <v>0</v>
      </c>
      <c r="BQ42" s="71">
        <v>0</v>
      </c>
      <c r="BR42" s="71">
        <f t="shared" si="61"/>
        <v>0</v>
      </c>
      <c r="BS42" s="133">
        <v>0</v>
      </c>
      <c r="BT42" s="78">
        <f>BR42</f>
        <v>0</v>
      </c>
      <c r="BU42" s="71">
        <v>0</v>
      </c>
      <c r="BV42" s="71">
        <v>0</v>
      </c>
      <c r="BW42" s="71">
        <f t="shared" si="62"/>
        <v>0</v>
      </c>
      <c r="BX42" s="133">
        <v>0</v>
      </c>
      <c r="BY42" s="78">
        <v>0</v>
      </c>
      <c r="BZ42" s="71">
        <f>0-BY42</f>
        <v>0</v>
      </c>
      <c r="CA42" s="71">
        <f>0-SUM(BY42:BZ42)</f>
        <v>0</v>
      </c>
      <c r="CB42" s="71">
        <f t="shared" si="63"/>
        <v>0</v>
      </c>
      <c r="CC42" s="574">
        <v>0</v>
      </c>
      <c r="CD42" s="71">
        <v>0</v>
      </c>
      <c r="CE42" s="71">
        <f>CD42</f>
        <v>0</v>
      </c>
      <c r="CF42" s="71">
        <f>CE42</f>
        <v>0</v>
      </c>
      <c r="CG42" s="71">
        <f t="shared" si="64"/>
        <v>0</v>
      </c>
      <c r="CH42" s="133">
        <v>0</v>
      </c>
      <c r="CI42" s="1012">
        <v>0</v>
      </c>
      <c r="CJ42" s="1012">
        <v>0</v>
      </c>
      <c r="CK42" s="1012">
        <f>CJ42</f>
        <v>0</v>
      </c>
      <c r="CL42" s="1012">
        <f>CK42</f>
        <v>0</v>
      </c>
      <c r="CM42" s="996">
        <f>SUM(CI42:CL42)</f>
        <v>0</v>
      </c>
      <c r="CN42" s="860"/>
      <c r="CO42" s="71"/>
      <c r="CP42" s="71"/>
      <c r="CQ42" s="71"/>
      <c r="CR42" s="1081">
        <v>0</v>
      </c>
      <c r="CS42" s="1007">
        <v>0</v>
      </c>
      <c r="CT42" s="1007">
        <v>0</v>
      </c>
      <c r="CU42" s="1007">
        <v>0</v>
      </c>
      <c r="CV42" s="71">
        <f>CU42</f>
        <v>0</v>
      </c>
      <c r="CW42" s="133">
        <f t="shared" ref="CW42:CW45" si="71">SUM(CS42:CV42)</f>
        <v>0</v>
      </c>
      <c r="CX42" s="71">
        <f>CV42</f>
        <v>0</v>
      </c>
      <c r="CY42" s="71">
        <v>0</v>
      </c>
      <c r="CZ42" s="71">
        <f t="shared" ref="CZ42:DA44" si="72">CY42</f>
        <v>0</v>
      </c>
      <c r="DA42" s="71">
        <f t="shared" si="72"/>
        <v>0</v>
      </c>
      <c r="DB42" s="133">
        <f t="shared" si="65"/>
        <v>0</v>
      </c>
      <c r="DC42" s="79">
        <f>DA42</f>
        <v>0</v>
      </c>
      <c r="DD42" s="79">
        <f t="shared" ref="DD42:DF44" si="73">DC42</f>
        <v>0</v>
      </c>
      <c r="DE42" s="79">
        <f t="shared" si="73"/>
        <v>0</v>
      </c>
      <c r="DF42" s="79">
        <f t="shared" si="73"/>
        <v>0</v>
      </c>
      <c r="DG42" s="139">
        <f t="shared" si="66"/>
        <v>0</v>
      </c>
      <c r="DH42" s="79">
        <f>DF42</f>
        <v>0</v>
      </c>
      <c r="DI42" s="79">
        <f t="shared" ref="DI42:DK44" si="74">DH42</f>
        <v>0</v>
      </c>
      <c r="DJ42" s="79">
        <f t="shared" si="74"/>
        <v>0</v>
      </c>
      <c r="DK42" s="79">
        <f t="shared" si="74"/>
        <v>0</v>
      </c>
      <c r="DL42" s="139">
        <f t="shared" si="67"/>
        <v>0</v>
      </c>
      <c r="DM42" s="79">
        <f>DK42</f>
        <v>0</v>
      </c>
      <c r="DN42" s="79">
        <f t="shared" ref="DN42:DP44" si="75">DM42</f>
        <v>0</v>
      </c>
      <c r="DO42" s="79">
        <f t="shared" si="75"/>
        <v>0</v>
      </c>
      <c r="DP42" s="79">
        <f t="shared" si="75"/>
        <v>0</v>
      </c>
      <c r="DQ42" s="139">
        <f t="shared" si="68"/>
        <v>0</v>
      </c>
      <c r="DR42" s="79">
        <f>DP42</f>
        <v>0</v>
      </c>
      <c r="DS42" s="79">
        <f t="shared" ref="DS42:DS44" si="76">DR42</f>
        <v>0</v>
      </c>
      <c r="DT42" s="79">
        <f t="shared" ref="DT42:DT44" si="77">DS42</f>
        <v>0</v>
      </c>
      <c r="DU42" s="79">
        <f t="shared" ref="DU42:DU44" si="78">DT42</f>
        <v>0</v>
      </c>
      <c r="DV42" s="139">
        <f t="shared" si="69"/>
        <v>0</v>
      </c>
      <c r="DW42" s="79">
        <f>DU42</f>
        <v>0</v>
      </c>
      <c r="DX42" s="79">
        <f t="shared" ref="DX42:DX44" si="79">DW42</f>
        <v>0</v>
      </c>
      <c r="DY42" s="79">
        <f t="shared" ref="DY42:DY44" si="80">DX42</f>
        <v>0</v>
      </c>
      <c r="DZ42" s="79">
        <f t="shared" ref="DZ42:DZ44" si="81">DY42</f>
        <v>0</v>
      </c>
      <c r="EA42" s="139">
        <f t="shared" si="70"/>
        <v>0</v>
      </c>
      <c r="EB42" s="1010"/>
      <c r="EC42" s="1010"/>
      <c r="ED42" s="1010"/>
      <c r="EE42" s="1010"/>
      <c r="EF42" s="1010"/>
      <c r="EG42" s="1243"/>
    </row>
    <row r="43" spans="1:137" x14ac:dyDescent="0.2">
      <c r="A43" s="446" t="s">
        <v>39</v>
      </c>
      <c r="B43" s="71"/>
      <c r="C43" s="71"/>
      <c r="D43" s="71"/>
      <c r="E43" s="71"/>
      <c r="F43" s="60"/>
      <c r="G43" s="71"/>
      <c r="H43" s="71"/>
      <c r="I43" s="155"/>
      <c r="J43" s="155"/>
      <c r="K43" s="60"/>
      <c r="L43" s="71">
        <v>-6</v>
      </c>
      <c r="M43" s="71">
        <f>-6-L43</f>
        <v>0</v>
      </c>
      <c r="N43" s="71">
        <f>-6-M43-L43</f>
        <v>0</v>
      </c>
      <c r="O43" s="71">
        <f t="shared" si="50"/>
        <v>0</v>
      </c>
      <c r="P43" s="82">
        <v>-6</v>
      </c>
      <c r="Q43" s="71">
        <v>0</v>
      </c>
      <c r="R43" s="71">
        <v>0</v>
      </c>
      <c r="S43" s="71">
        <f>-27-R43-Q43</f>
        <v>-27</v>
      </c>
      <c r="T43" s="71">
        <f t="shared" si="51"/>
        <v>3</v>
      </c>
      <c r="U43" s="82">
        <v>-24</v>
      </c>
      <c r="V43" s="78">
        <v>-49</v>
      </c>
      <c r="W43" s="71">
        <f>-102-V43</f>
        <v>-53</v>
      </c>
      <c r="X43" s="71">
        <f>-102-W43-V43</f>
        <v>0</v>
      </c>
      <c r="Y43" s="71">
        <f t="shared" si="52"/>
        <v>-6</v>
      </c>
      <c r="Z43" s="82">
        <v>-108</v>
      </c>
      <c r="AA43" s="71">
        <v>-1</v>
      </c>
      <c r="AB43" s="71">
        <f>-11-AA43</f>
        <v>-10</v>
      </c>
      <c r="AC43" s="71">
        <f>-13-AB43-AA43</f>
        <v>-2</v>
      </c>
      <c r="AD43" s="71">
        <f t="shared" si="53"/>
        <v>0</v>
      </c>
      <c r="AE43" s="82">
        <v>-13</v>
      </c>
      <c r="AF43" s="71">
        <v>0</v>
      </c>
      <c r="AG43" s="71">
        <f>-22-AF43</f>
        <v>-22</v>
      </c>
      <c r="AH43" s="71">
        <f>-30-AG43-AF43</f>
        <v>-8</v>
      </c>
      <c r="AI43" s="71">
        <f>-41-AH43-AG43-AF43</f>
        <v>-11</v>
      </c>
      <c r="AJ43" s="82">
        <f t="shared" si="54"/>
        <v>-41</v>
      </c>
      <c r="AK43" s="71">
        <v>-4</v>
      </c>
      <c r="AL43" s="71">
        <f>-5-AK43</f>
        <v>-1</v>
      </c>
      <c r="AM43" s="71">
        <f>-38-AL43-AK43</f>
        <v>-33</v>
      </c>
      <c r="AN43" s="71">
        <f t="shared" si="55"/>
        <v>0</v>
      </c>
      <c r="AO43" s="82">
        <v>-38</v>
      </c>
      <c r="AP43" s="71">
        <v>0</v>
      </c>
      <c r="AQ43" s="71">
        <v>0</v>
      </c>
      <c r="AR43" s="71">
        <v>0</v>
      </c>
      <c r="AS43" s="71">
        <f t="shared" si="56"/>
        <v>-2</v>
      </c>
      <c r="AT43" s="78">
        <v>-2</v>
      </c>
      <c r="AU43" s="78">
        <v>0</v>
      </c>
      <c r="AV43" s="71">
        <v>0</v>
      </c>
      <c r="AW43" s="71">
        <v>-11</v>
      </c>
      <c r="AX43" s="71">
        <f t="shared" si="57"/>
        <v>-174</v>
      </c>
      <c r="AY43" s="133">
        <f>-178-7</f>
        <v>-185</v>
      </c>
      <c r="AZ43" s="78">
        <v>0</v>
      </c>
      <c r="BA43" s="71">
        <v>0</v>
      </c>
      <c r="BB43" s="71">
        <f>BA43</f>
        <v>0</v>
      </c>
      <c r="BC43" s="71">
        <f t="shared" si="58"/>
        <v>-4</v>
      </c>
      <c r="BD43" s="133">
        <v>-4</v>
      </c>
      <c r="BE43" s="78">
        <v>0</v>
      </c>
      <c r="BF43" s="71">
        <f>-3-BE43</f>
        <v>-3</v>
      </c>
      <c r="BG43" s="71">
        <f>-9-BF43-BE43</f>
        <v>-6</v>
      </c>
      <c r="BH43" s="71">
        <f t="shared" si="59"/>
        <v>-26</v>
      </c>
      <c r="BI43" s="133">
        <v>-35</v>
      </c>
      <c r="BJ43" s="78">
        <v>-20</v>
      </c>
      <c r="BK43" s="71">
        <f>-22-BJ43</f>
        <v>-2</v>
      </c>
      <c r="BL43" s="71">
        <f>-24-BK43-BJ43</f>
        <v>-2</v>
      </c>
      <c r="BM43" s="71">
        <f t="shared" si="60"/>
        <v>0</v>
      </c>
      <c r="BN43" s="574">
        <v>-24</v>
      </c>
      <c r="BO43" s="71">
        <v>0</v>
      </c>
      <c r="BP43" s="71">
        <f>-2-BO43</f>
        <v>-2</v>
      </c>
      <c r="BQ43" s="71">
        <f>-62-BP43-BO43</f>
        <v>-60</v>
      </c>
      <c r="BR43" s="71">
        <f t="shared" si="61"/>
        <v>0</v>
      </c>
      <c r="BS43" s="133">
        <v>-62</v>
      </c>
      <c r="BT43" s="78">
        <v>-1</v>
      </c>
      <c r="BU43" s="71">
        <f>-1-BT43</f>
        <v>0</v>
      </c>
      <c r="BV43" s="71">
        <f>-1-BU43-BT43</f>
        <v>0</v>
      </c>
      <c r="BW43" s="71">
        <f t="shared" si="62"/>
        <v>-80</v>
      </c>
      <c r="BX43" s="133">
        <v>-81</v>
      </c>
      <c r="BY43" s="78">
        <v>-540</v>
      </c>
      <c r="BZ43" s="71">
        <f>-542-BY43</f>
        <v>-2</v>
      </c>
      <c r="CA43" s="71">
        <f>-542-SUM(BY43:BZ43)</f>
        <v>0</v>
      </c>
      <c r="CB43" s="71">
        <f t="shared" si="63"/>
        <v>-1</v>
      </c>
      <c r="CC43" s="574">
        <v>-543</v>
      </c>
      <c r="CD43" s="78">
        <v>0</v>
      </c>
      <c r="CE43" s="71">
        <f>-89-CD43</f>
        <v>-89</v>
      </c>
      <c r="CF43" s="71">
        <f>-98-SUM(CD43:CE43)</f>
        <v>-9</v>
      </c>
      <c r="CG43" s="71">
        <f t="shared" si="64"/>
        <v>-1</v>
      </c>
      <c r="CH43" s="574">
        <v>-99</v>
      </c>
      <c r="CI43" s="943">
        <v>-2</v>
      </c>
      <c r="CJ43" s="1012">
        <f>-3-CI43</f>
        <v>-1</v>
      </c>
      <c r="CK43" s="1012">
        <f>-26-CJ43-CI43</f>
        <v>-23</v>
      </c>
      <c r="CL43" s="1013">
        <f>CM43-CK43-CJ43-CI43</f>
        <v>-2</v>
      </c>
      <c r="CM43" s="997">
        <v>-28</v>
      </c>
      <c r="CN43" s="911"/>
      <c r="CO43" s="71"/>
      <c r="CP43" s="71"/>
      <c r="CQ43" s="71"/>
      <c r="CR43" s="1081">
        <v>-9</v>
      </c>
      <c r="CS43" s="1007">
        <v>0</v>
      </c>
      <c r="CT43" s="1007">
        <v>0</v>
      </c>
      <c r="CU43" s="1007">
        <v>0</v>
      </c>
      <c r="CV43" s="71">
        <f>CU43</f>
        <v>0</v>
      </c>
      <c r="CW43" s="133">
        <f t="shared" si="71"/>
        <v>0</v>
      </c>
      <c r="CX43" s="71">
        <f>CV43</f>
        <v>0</v>
      </c>
      <c r="CY43" s="71">
        <v>0</v>
      </c>
      <c r="CZ43" s="71">
        <f t="shared" si="72"/>
        <v>0</v>
      </c>
      <c r="DA43" s="71">
        <f t="shared" si="72"/>
        <v>0</v>
      </c>
      <c r="DB43" s="133">
        <f t="shared" si="65"/>
        <v>0</v>
      </c>
      <c r="DC43" s="79">
        <f>DA43</f>
        <v>0</v>
      </c>
      <c r="DD43" s="79">
        <f t="shared" si="73"/>
        <v>0</v>
      </c>
      <c r="DE43" s="79">
        <f t="shared" si="73"/>
        <v>0</v>
      </c>
      <c r="DF43" s="79">
        <f t="shared" si="73"/>
        <v>0</v>
      </c>
      <c r="DG43" s="139">
        <f t="shared" si="66"/>
        <v>0</v>
      </c>
      <c r="DH43" s="79">
        <f>DF43</f>
        <v>0</v>
      </c>
      <c r="DI43" s="79">
        <f t="shared" si="74"/>
        <v>0</v>
      </c>
      <c r="DJ43" s="79">
        <f t="shared" si="74"/>
        <v>0</v>
      </c>
      <c r="DK43" s="79">
        <f t="shared" si="74"/>
        <v>0</v>
      </c>
      <c r="DL43" s="139">
        <f t="shared" si="67"/>
        <v>0</v>
      </c>
      <c r="DM43" s="79">
        <f>DK43</f>
        <v>0</v>
      </c>
      <c r="DN43" s="79">
        <f t="shared" si="75"/>
        <v>0</v>
      </c>
      <c r="DO43" s="79">
        <f t="shared" si="75"/>
        <v>0</v>
      </c>
      <c r="DP43" s="79">
        <f t="shared" si="75"/>
        <v>0</v>
      </c>
      <c r="DQ43" s="139">
        <f t="shared" si="68"/>
        <v>0</v>
      </c>
      <c r="DR43" s="79">
        <f>DP43</f>
        <v>0</v>
      </c>
      <c r="DS43" s="79">
        <f t="shared" si="76"/>
        <v>0</v>
      </c>
      <c r="DT43" s="79">
        <f t="shared" si="77"/>
        <v>0</v>
      </c>
      <c r="DU43" s="79">
        <f t="shared" si="78"/>
        <v>0</v>
      </c>
      <c r="DV43" s="139">
        <f t="shared" si="69"/>
        <v>0</v>
      </c>
      <c r="DW43" s="79">
        <f>DU43</f>
        <v>0</v>
      </c>
      <c r="DX43" s="79">
        <f t="shared" si="79"/>
        <v>0</v>
      </c>
      <c r="DY43" s="79">
        <f t="shared" si="80"/>
        <v>0</v>
      </c>
      <c r="DZ43" s="79">
        <f t="shared" si="81"/>
        <v>0</v>
      </c>
      <c r="EA43" s="139">
        <f t="shared" si="70"/>
        <v>0</v>
      </c>
      <c r="EB43" s="1010"/>
      <c r="EC43" s="1010"/>
      <c r="ED43" s="1010"/>
      <c r="EE43" s="1010"/>
      <c r="EF43" s="1010"/>
      <c r="EG43" s="1243"/>
    </row>
    <row r="44" spans="1:137" x14ac:dyDescent="0.2">
      <c r="A44" s="446" t="s">
        <v>534</v>
      </c>
      <c r="B44" s="71"/>
      <c r="C44" s="71"/>
      <c r="D44" s="71"/>
      <c r="E44" s="71"/>
      <c r="F44" s="60"/>
      <c r="G44" s="71"/>
      <c r="H44" s="71"/>
      <c r="I44" s="71"/>
      <c r="J44" s="71"/>
      <c r="K44" s="60"/>
      <c r="L44" s="71">
        <v>0</v>
      </c>
      <c r="M44" s="71">
        <v>0</v>
      </c>
      <c r="N44" s="71"/>
      <c r="O44" s="71">
        <f t="shared" si="50"/>
        <v>0</v>
      </c>
      <c r="P44" s="82">
        <v>0</v>
      </c>
      <c r="Q44" s="71">
        <v>-75</v>
      </c>
      <c r="R44" s="71">
        <f>-15-Q44</f>
        <v>60</v>
      </c>
      <c r="S44" s="71">
        <f>-17-R44-Q44</f>
        <v>-2</v>
      </c>
      <c r="T44" s="71">
        <f t="shared" si="51"/>
        <v>-4</v>
      </c>
      <c r="U44" s="82">
        <v>-21</v>
      </c>
      <c r="V44" s="78">
        <v>-15</v>
      </c>
      <c r="W44" s="71">
        <f>-11-V44</f>
        <v>4</v>
      </c>
      <c r="X44" s="71">
        <f>-2-W44-V44</f>
        <v>9</v>
      </c>
      <c r="Y44" s="71">
        <f t="shared" si="52"/>
        <v>29</v>
      </c>
      <c r="Z44" s="82">
        <v>27</v>
      </c>
      <c r="AA44" s="71">
        <v>-7</v>
      </c>
      <c r="AB44" s="71">
        <f>5-AA44</f>
        <v>12</v>
      </c>
      <c r="AC44" s="71">
        <f>-3-AB44-AA44</f>
        <v>-8</v>
      </c>
      <c r="AD44" s="71">
        <f t="shared" si="53"/>
        <v>12</v>
      </c>
      <c r="AE44" s="82">
        <v>9</v>
      </c>
      <c r="AF44" s="71">
        <v>-11</v>
      </c>
      <c r="AG44" s="71">
        <f>2-AF44</f>
        <v>13</v>
      </c>
      <c r="AH44" s="71">
        <f>3-AG44-AF44</f>
        <v>1</v>
      </c>
      <c r="AI44" s="71">
        <f>13-AH44-AG44-AF44</f>
        <v>10</v>
      </c>
      <c r="AJ44" s="82">
        <f t="shared" si="54"/>
        <v>13</v>
      </c>
      <c r="AK44" s="71">
        <v>-10</v>
      </c>
      <c r="AL44" s="71">
        <f>-27-AK44</f>
        <v>-17</v>
      </c>
      <c r="AM44" s="71">
        <f>-46-AL44-AK44</f>
        <v>-19</v>
      </c>
      <c r="AN44" s="71">
        <f t="shared" si="55"/>
        <v>10</v>
      </c>
      <c r="AO44" s="82">
        <v>-36</v>
      </c>
      <c r="AP44" s="71">
        <v>-18</v>
      </c>
      <c r="AQ44" s="71">
        <f>-31-AP44</f>
        <v>-13</v>
      </c>
      <c r="AR44" s="71">
        <f>-32-AQ44-AP44</f>
        <v>-1</v>
      </c>
      <c r="AS44" s="71">
        <f t="shared" si="56"/>
        <v>44</v>
      </c>
      <c r="AT44" s="78">
        <v>12</v>
      </c>
      <c r="AU44" s="78">
        <v>-17</v>
      </c>
      <c r="AV44" s="71">
        <f>-31-AU44</f>
        <v>-14</v>
      </c>
      <c r="AW44" s="71">
        <f>-79-AV44-AU44</f>
        <v>-48</v>
      </c>
      <c r="AX44" s="71">
        <f t="shared" si="57"/>
        <v>118</v>
      </c>
      <c r="AY44" s="133">
        <v>39</v>
      </c>
      <c r="AZ44" s="78">
        <v>5</v>
      </c>
      <c r="BA44" s="71">
        <f>5-AZ44</f>
        <v>0</v>
      </c>
      <c r="BB44" s="71">
        <f>5-BA44-AZ44</f>
        <v>0</v>
      </c>
      <c r="BC44" s="71">
        <f t="shared" si="58"/>
        <v>1</v>
      </c>
      <c r="BD44" s="133">
        <v>6</v>
      </c>
      <c r="BE44" s="78">
        <v>0</v>
      </c>
      <c r="BF44" s="71">
        <v>0</v>
      </c>
      <c r="BG44" s="71">
        <v>0</v>
      </c>
      <c r="BH44" s="71">
        <f t="shared" si="59"/>
        <v>0</v>
      </c>
      <c r="BI44" s="133">
        <v>0</v>
      </c>
      <c r="BJ44" s="78">
        <f>BH44</f>
        <v>0</v>
      </c>
      <c r="BK44" s="71">
        <f>BJ44</f>
        <v>0</v>
      </c>
      <c r="BL44" s="71">
        <f>BK44</f>
        <v>0</v>
      </c>
      <c r="BM44" s="71">
        <f t="shared" si="60"/>
        <v>0</v>
      </c>
      <c r="BN44" s="574">
        <v>0</v>
      </c>
      <c r="BO44" s="71">
        <v>0</v>
      </c>
      <c r="BP44" s="71">
        <v>0</v>
      </c>
      <c r="BQ44" s="71">
        <v>0</v>
      </c>
      <c r="BR44" s="71">
        <f t="shared" si="61"/>
        <v>0</v>
      </c>
      <c r="BS44" s="133">
        <v>0</v>
      </c>
      <c r="BT44" s="78">
        <v>0</v>
      </c>
      <c r="BU44" s="71">
        <f>BT44</f>
        <v>0</v>
      </c>
      <c r="BV44" s="71">
        <v>0</v>
      </c>
      <c r="BW44" s="71">
        <f t="shared" si="62"/>
        <v>0</v>
      </c>
      <c r="BX44" s="133">
        <v>0</v>
      </c>
      <c r="BY44" s="78">
        <v>0</v>
      </c>
      <c r="BZ44" s="71">
        <f>-82-BY44</f>
        <v>-82</v>
      </c>
      <c r="CA44" s="71">
        <f>0-SUM(BY44:BZ44)</f>
        <v>82</v>
      </c>
      <c r="CB44" s="71">
        <f t="shared" si="63"/>
        <v>0</v>
      </c>
      <c r="CC44" s="574">
        <v>0</v>
      </c>
      <c r="CD44" s="71">
        <v>0</v>
      </c>
      <c r="CE44" s="71">
        <v>2</v>
      </c>
      <c r="CF44" s="71">
        <f>0-SUM(CD44:CE44)</f>
        <v>-2</v>
      </c>
      <c r="CG44" s="71">
        <f t="shared" si="64"/>
        <v>0</v>
      </c>
      <c r="CH44" s="133">
        <v>0</v>
      </c>
      <c r="CI44" s="1012">
        <v>0</v>
      </c>
      <c r="CJ44" s="1012">
        <v>-227</v>
      </c>
      <c r="CK44" s="1012">
        <f>-315-CJ44-CI44</f>
        <v>-88</v>
      </c>
      <c r="CL44" s="1013">
        <f>CM44-CK44-CJ44-CI44</f>
        <v>315</v>
      </c>
      <c r="CM44" s="996">
        <v>0</v>
      </c>
      <c r="CN44" s="860"/>
      <c r="CO44" s="71"/>
      <c r="CP44" s="71"/>
      <c r="CQ44" s="71"/>
      <c r="CR44" s="1081">
        <v>0</v>
      </c>
      <c r="CS44" s="1007">
        <v>-51</v>
      </c>
      <c r="CT44" s="1007">
        <v>0</v>
      </c>
      <c r="CU44" s="1007">
        <v>51</v>
      </c>
      <c r="CV44" s="71">
        <v>0</v>
      </c>
      <c r="CW44" s="133">
        <f t="shared" si="71"/>
        <v>0</v>
      </c>
      <c r="CX44" s="71">
        <f>CV44</f>
        <v>0</v>
      </c>
      <c r="CY44" s="71">
        <v>0</v>
      </c>
      <c r="CZ44" s="71">
        <f t="shared" si="72"/>
        <v>0</v>
      </c>
      <c r="DA44" s="71">
        <f t="shared" si="72"/>
        <v>0</v>
      </c>
      <c r="DB44" s="133">
        <f t="shared" si="65"/>
        <v>0</v>
      </c>
      <c r="DC44" s="79">
        <f>DA44</f>
        <v>0</v>
      </c>
      <c r="DD44" s="79">
        <f t="shared" si="73"/>
        <v>0</v>
      </c>
      <c r="DE44" s="79">
        <f t="shared" si="73"/>
        <v>0</v>
      </c>
      <c r="DF44" s="79">
        <f t="shared" si="73"/>
        <v>0</v>
      </c>
      <c r="DG44" s="139">
        <f t="shared" si="66"/>
        <v>0</v>
      </c>
      <c r="DH44" s="79">
        <f>DF44</f>
        <v>0</v>
      </c>
      <c r="DI44" s="79">
        <f t="shared" si="74"/>
        <v>0</v>
      </c>
      <c r="DJ44" s="79">
        <f t="shared" si="74"/>
        <v>0</v>
      </c>
      <c r="DK44" s="79">
        <f t="shared" si="74"/>
        <v>0</v>
      </c>
      <c r="DL44" s="139">
        <f t="shared" si="67"/>
        <v>0</v>
      </c>
      <c r="DM44" s="79">
        <f>DK44</f>
        <v>0</v>
      </c>
      <c r="DN44" s="79">
        <f t="shared" si="75"/>
        <v>0</v>
      </c>
      <c r="DO44" s="79">
        <f t="shared" si="75"/>
        <v>0</v>
      </c>
      <c r="DP44" s="79">
        <f t="shared" si="75"/>
        <v>0</v>
      </c>
      <c r="DQ44" s="139">
        <f t="shared" si="68"/>
        <v>0</v>
      </c>
      <c r="DR44" s="79">
        <f>DP44</f>
        <v>0</v>
      </c>
      <c r="DS44" s="79">
        <f t="shared" si="76"/>
        <v>0</v>
      </c>
      <c r="DT44" s="79">
        <f t="shared" si="77"/>
        <v>0</v>
      </c>
      <c r="DU44" s="79">
        <f t="shared" si="78"/>
        <v>0</v>
      </c>
      <c r="DV44" s="139">
        <f t="shared" si="69"/>
        <v>0</v>
      </c>
      <c r="DW44" s="79">
        <f>DU44</f>
        <v>0</v>
      </c>
      <c r="DX44" s="79">
        <f t="shared" si="79"/>
        <v>0</v>
      </c>
      <c r="DY44" s="79">
        <f t="shared" si="80"/>
        <v>0</v>
      </c>
      <c r="DZ44" s="79">
        <f t="shared" si="81"/>
        <v>0</v>
      </c>
      <c r="EA44" s="139">
        <f t="shared" si="70"/>
        <v>0</v>
      </c>
      <c r="EB44" s="1010"/>
      <c r="EC44" s="1010"/>
      <c r="ED44" s="1010"/>
      <c r="EE44" s="1010"/>
      <c r="EF44" s="1010"/>
      <c r="EG44" s="1243"/>
    </row>
    <row r="45" spans="1:137" x14ac:dyDescent="0.2">
      <c r="A45" s="446" t="s">
        <v>345</v>
      </c>
      <c r="B45" s="71"/>
      <c r="C45" s="71"/>
      <c r="D45" s="71"/>
      <c r="E45" s="71"/>
      <c r="F45" s="60"/>
      <c r="G45" s="71"/>
      <c r="H45" s="71"/>
      <c r="I45" s="71"/>
      <c r="J45" s="71"/>
      <c r="K45" s="60"/>
      <c r="L45" s="71">
        <v>3</v>
      </c>
      <c r="M45" s="71">
        <f>18-L45</f>
        <v>15</v>
      </c>
      <c r="N45" s="71">
        <f>15-M45-L45</f>
        <v>-3</v>
      </c>
      <c r="O45" s="71">
        <f t="shared" si="50"/>
        <v>36</v>
      </c>
      <c r="P45" s="82">
        <v>51</v>
      </c>
      <c r="Q45" s="71">
        <v>6</v>
      </c>
      <c r="R45" s="71">
        <f>27-Q45</f>
        <v>21</v>
      </c>
      <c r="S45" s="71">
        <f>35-R45-Q45</f>
        <v>8</v>
      </c>
      <c r="T45" s="71">
        <f t="shared" si="51"/>
        <v>29</v>
      </c>
      <c r="U45" s="82">
        <v>64</v>
      </c>
      <c r="V45" s="78">
        <v>15</v>
      </c>
      <c r="W45" s="71">
        <f>16-V45</f>
        <v>1</v>
      </c>
      <c r="X45" s="71">
        <f>15-W45-V45</f>
        <v>-1</v>
      </c>
      <c r="Y45" s="71">
        <f t="shared" si="52"/>
        <v>42</v>
      </c>
      <c r="Z45" s="82">
        <v>57</v>
      </c>
      <c r="AA45" s="71">
        <v>11</v>
      </c>
      <c r="AB45" s="71">
        <f>19-AA45</f>
        <v>8</v>
      </c>
      <c r="AC45" s="71">
        <f>33-AB45-AA45</f>
        <v>14</v>
      </c>
      <c r="AD45" s="71">
        <f t="shared" si="53"/>
        <v>25</v>
      </c>
      <c r="AE45" s="82">
        <v>58</v>
      </c>
      <c r="AF45" s="71">
        <v>11</v>
      </c>
      <c r="AG45" s="71">
        <f>20-AF45</f>
        <v>9</v>
      </c>
      <c r="AH45" s="71">
        <f>29-AG45-AF45</f>
        <v>9</v>
      </c>
      <c r="AI45" s="71">
        <f>46-AH45-AG45-AF45</f>
        <v>17</v>
      </c>
      <c r="AJ45" s="82">
        <f t="shared" si="54"/>
        <v>46</v>
      </c>
      <c r="AK45" s="71">
        <v>9</v>
      </c>
      <c r="AL45" s="71">
        <f>24-AK45</f>
        <v>15</v>
      </c>
      <c r="AM45" s="71">
        <f>32-AL45-AK45</f>
        <v>8</v>
      </c>
      <c r="AN45" s="71">
        <f t="shared" si="55"/>
        <v>20</v>
      </c>
      <c r="AO45" s="82">
        <v>52</v>
      </c>
      <c r="AP45" s="71">
        <v>3</v>
      </c>
      <c r="AQ45" s="71">
        <f>22-AP45</f>
        <v>19</v>
      </c>
      <c r="AR45" s="71">
        <f>25-AQ45-AP45</f>
        <v>3</v>
      </c>
      <c r="AS45" s="71">
        <f t="shared" si="56"/>
        <v>56</v>
      </c>
      <c r="AT45" s="78">
        <v>81</v>
      </c>
      <c r="AU45" s="78">
        <v>8</v>
      </c>
      <c r="AV45" s="71">
        <f>26-AU45</f>
        <v>18</v>
      </c>
      <c r="AW45" s="71">
        <f>33-AV45-AU45</f>
        <v>7</v>
      </c>
      <c r="AX45" s="71">
        <f t="shared" si="57"/>
        <v>24</v>
      </c>
      <c r="AY45" s="133">
        <v>57</v>
      </c>
      <c r="AZ45" s="78">
        <v>12</v>
      </c>
      <c r="BA45" s="71">
        <f>25-AZ45</f>
        <v>13</v>
      </c>
      <c r="BB45" s="71">
        <f>42-BA45-AZ45</f>
        <v>17</v>
      </c>
      <c r="BC45" s="71">
        <f t="shared" si="58"/>
        <v>14</v>
      </c>
      <c r="BD45" s="133">
        <v>56</v>
      </c>
      <c r="BE45" s="78">
        <v>7</v>
      </c>
      <c r="BF45" s="71">
        <f>34-BE45</f>
        <v>27</v>
      </c>
      <c r="BG45" s="71">
        <f>58-BF45-BE45</f>
        <v>24</v>
      </c>
      <c r="BH45" s="71">
        <f t="shared" si="59"/>
        <v>14</v>
      </c>
      <c r="BI45" s="133">
        <v>72</v>
      </c>
      <c r="BJ45" s="78">
        <v>1</v>
      </c>
      <c r="BK45" s="71">
        <f>8-BJ45</f>
        <v>7</v>
      </c>
      <c r="BL45" s="71">
        <f>16-BK45-BJ45</f>
        <v>8</v>
      </c>
      <c r="BM45" s="71">
        <f t="shared" si="60"/>
        <v>18</v>
      </c>
      <c r="BN45" s="574">
        <v>34</v>
      </c>
      <c r="BO45" s="71">
        <v>9</v>
      </c>
      <c r="BP45" s="71">
        <f>13-BO45</f>
        <v>4</v>
      </c>
      <c r="BQ45" s="71">
        <f>21-BP45-BO45</f>
        <v>8</v>
      </c>
      <c r="BR45" s="71">
        <f t="shared" si="61"/>
        <v>12</v>
      </c>
      <c r="BS45" s="133">
        <v>33</v>
      </c>
      <c r="BT45" s="78">
        <v>0</v>
      </c>
      <c r="BU45" s="71">
        <f>9-BT45</f>
        <v>9</v>
      </c>
      <c r="BV45" s="71">
        <f>15-BU45-BT45</f>
        <v>6</v>
      </c>
      <c r="BW45" s="71">
        <f t="shared" si="62"/>
        <v>15</v>
      </c>
      <c r="BX45" s="133">
        <v>30</v>
      </c>
      <c r="BY45" s="78">
        <v>4</v>
      </c>
      <c r="BZ45" s="71">
        <f>0-BY45</f>
        <v>-4</v>
      </c>
      <c r="CA45" s="71">
        <f>0-SUM(BY45:BZ45)</f>
        <v>0</v>
      </c>
      <c r="CB45" s="71">
        <f t="shared" si="63"/>
        <v>0</v>
      </c>
      <c r="CC45" s="574">
        <v>0</v>
      </c>
      <c r="CD45" s="71">
        <v>0</v>
      </c>
      <c r="CE45" s="71">
        <v>0</v>
      </c>
      <c r="CF45" s="71">
        <v>0</v>
      </c>
      <c r="CG45" s="71">
        <f t="shared" si="64"/>
        <v>0</v>
      </c>
      <c r="CH45" s="133">
        <v>0</v>
      </c>
      <c r="CI45" s="1012">
        <v>0</v>
      </c>
      <c r="CJ45" s="1012">
        <v>0</v>
      </c>
      <c r="CK45" s="1012">
        <v>0</v>
      </c>
      <c r="CL45" s="1012">
        <v>0</v>
      </c>
      <c r="CM45" s="996">
        <f>SUM(CI45:CL45)</f>
        <v>0</v>
      </c>
      <c r="CN45" s="911"/>
      <c r="CO45" s="71"/>
      <c r="CP45" s="71"/>
      <c r="CQ45" s="71"/>
      <c r="CR45" s="1081">
        <v>0</v>
      </c>
      <c r="CS45" s="1007">
        <v>0</v>
      </c>
      <c r="CT45" s="1007">
        <v>0</v>
      </c>
      <c r="CU45" s="1007">
        <v>0</v>
      </c>
      <c r="CV45" s="71">
        <v>0</v>
      </c>
      <c r="CW45" s="133">
        <f t="shared" si="71"/>
        <v>0</v>
      </c>
      <c r="CX45" s="71">
        <v>0</v>
      </c>
      <c r="CY45" s="71">
        <v>0</v>
      </c>
      <c r="CZ45" s="71">
        <v>0</v>
      </c>
      <c r="DA45" s="71">
        <v>0</v>
      </c>
      <c r="DB45" s="133">
        <f t="shared" si="65"/>
        <v>0</v>
      </c>
      <c r="DC45" s="79">
        <v>0</v>
      </c>
      <c r="DD45" s="79">
        <v>0</v>
      </c>
      <c r="DE45" s="79">
        <v>0</v>
      </c>
      <c r="DF45" s="79">
        <v>0</v>
      </c>
      <c r="DG45" s="139">
        <f t="shared" si="66"/>
        <v>0</v>
      </c>
      <c r="DH45" s="79">
        <v>0</v>
      </c>
      <c r="DI45" s="79">
        <v>0</v>
      </c>
      <c r="DJ45" s="79">
        <v>0</v>
      </c>
      <c r="DK45" s="79">
        <v>0</v>
      </c>
      <c r="DL45" s="139">
        <f t="shared" si="67"/>
        <v>0</v>
      </c>
      <c r="DM45" s="79">
        <v>0</v>
      </c>
      <c r="DN45" s="79">
        <v>0</v>
      </c>
      <c r="DO45" s="79">
        <v>0</v>
      </c>
      <c r="DP45" s="79">
        <v>0</v>
      </c>
      <c r="DQ45" s="139">
        <f t="shared" si="68"/>
        <v>0</v>
      </c>
      <c r="DR45" s="79">
        <v>0</v>
      </c>
      <c r="DS45" s="79">
        <v>0</v>
      </c>
      <c r="DT45" s="79">
        <v>0</v>
      </c>
      <c r="DU45" s="79">
        <v>0</v>
      </c>
      <c r="DV45" s="139">
        <f t="shared" si="69"/>
        <v>0</v>
      </c>
      <c r="DW45" s="79">
        <v>0</v>
      </c>
      <c r="DX45" s="79">
        <v>0</v>
      </c>
      <c r="DY45" s="79">
        <v>0</v>
      </c>
      <c r="DZ45" s="79">
        <v>0</v>
      </c>
      <c r="EA45" s="139">
        <f t="shared" si="70"/>
        <v>0</v>
      </c>
      <c r="EB45" s="1010"/>
      <c r="EC45" s="1010"/>
      <c r="ED45" s="1010"/>
      <c r="EE45" s="1010"/>
      <c r="EF45" s="1010"/>
      <c r="EG45" s="1243"/>
    </row>
    <row r="46" spans="1:137" x14ac:dyDescent="0.2">
      <c r="A46" s="446" t="s">
        <v>260</v>
      </c>
      <c r="B46" s="71"/>
      <c r="C46" s="71"/>
      <c r="D46" s="71"/>
      <c r="E46" s="71"/>
      <c r="F46" s="60"/>
      <c r="G46" s="71"/>
      <c r="H46" s="71"/>
      <c r="I46" s="71"/>
      <c r="J46" s="71"/>
      <c r="K46" s="60"/>
      <c r="L46" s="71"/>
      <c r="M46" s="71"/>
      <c r="N46" s="71"/>
      <c r="O46" s="71"/>
      <c r="P46" s="82"/>
      <c r="Q46" s="71"/>
      <c r="R46" s="71"/>
      <c r="S46" s="71"/>
      <c r="T46" s="71"/>
      <c r="U46" s="82"/>
      <c r="V46" s="78"/>
      <c r="W46" s="71"/>
      <c r="X46" s="71"/>
      <c r="Y46" s="71"/>
      <c r="Z46" s="82"/>
      <c r="AA46" s="71"/>
      <c r="AB46" s="71"/>
      <c r="AC46" s="71"/>
      <c r="AD46" s="71"/>
      <c r="AE46" s="82"/>
      <c r="AF46" s="71"/>
      <c r="AG46" s="71"/>
      <c r="AH46" s="71"/>
      <c r="AI46" s="71"/>
      <c r="AJ46" s="82"/>
      <c r="AK46" s="71"/>
      <c r="AL46" s="71"/>
      <c r="AM46" s="71"/>
      <c r="AN46" s="71"/>
      <c r="AO46" s="82"/>
      <c r="AP46" s="71"/>
      <c r="AQ46" s="71"/>
      <c r="AR46" s="71"/>
      <c r="AS46" s="71"/>
      <c r="AT46" s="78"/>
      <c r="AU46" s="78"/>
      <c r="AV46" s="71"/>
      <c r="AW46" s="71"/>
      <c r="AX46" s="71"/>
      <c r="AY46" s="133"/>
      <c r="AZ46" s="78"/>
      <c r="BA46" s="71"/>
      <c r="BB46" s="71"/>
      <c r="BC46" s="71"/>
      <c r="BD46" s="133"/>
      <c r="BE46" s="78"/>
      <c r="BF46" s="71"/>
      <c r="BG46" s="71"/>
      <c r="BH46" s="71"/>
      <c r="BI46" s="133"/>
      <c r="BJ46" s="78"/>
      <c r="BK46" s="71"/>
      <c r="BL46" s="71"/>
      <c r="BM46" s="71"/>
      <c r="BN46" s="574"/>
      <c r="BO46" s="71"/>
      <c r="BP46" s="71"/>
      <c r="BQ46" s="71"/>
      <c r="BR46" s="71"/>
      <c r="BS46" s="133"/>
      <c r="BT46" s="78"/>
      <c r="BU46" s="71">
        <v>-300</v>
      </c>
      <c r="BV46" s="71">
        <f>-300-BU46-BT46</f>
        <v>0</v>
      </c>
      <c r="BW46" s="71">
        <f t="shared" si="62"/>
        <v>0</v>
      </c>
      <c r="BX46" s="133">
        <v>-300</v>
      </c>
      <c r="BY46" s="78">
        <v>300</v>
      </c>
      <c r="BZ46" s="71">
        <f>300-BY46</f>
        <v>0</v>
      </c>
      <c r="CA46" s="71">
        <f>300-SUM(BY46:BZ46)</f>
        <v>0</v>
      </c>
      <c r="CB46" s="71">
        <f t="shared" si="63"/>
        <v>0</v>
      </c>
      <c r="CC46" s="574">
        <v>300</v>
      </c>
      <c r="CD46" s="78">
        <v>0</v>
      </c>
      <c r="CE46" s="71">
        <v>0</v>
      </c>
      <c r="CF46" s="71">
        <v>0</v>
      </c>
      <c r="CG46" s="71">
        <f t="shared" si="64"/>
        <v>0</v>
      </c>
      <c r="CH46" s="574">
        <v>0</v>
      </c>
      <c r="CI46" s="943">
        <v>0</v>
      </c>
      <c r="CJ46" s="1012">
        <v>0</v>
      </c>
      <c r="CK46" s="1012">
        <v>0</v>
      </c>
      <c r="CL46" s="1012">
        <v>0</v>
      </c>
      <c r="CM46" s="997">
        <f>SUM(CI46:CL46)</f>
        <v>0</v>
      </c>
      <c r="CN46" s="911"/>
      <c r="CO46" s="71"/>
      <c r="CP46" s="71"/>
      <c r="CQ46" s="71"/>
      <c r="CR46" s="1081">
        <v>0</v>
      </c>
      <c r="CS46" s="1007">
        <v>0</v>
      </c>
      <c r="CT46" s="1007">
        <v>0</v>
      </c>
      <c r="CU46" s="1007">
        <v>0</v>
      </c>
      <c r="CV46" s="71"/>
      <c r="CW46" s="133"/>
      <c r="CX46" s="71"/>
      <c r="CY46" s="71"/>
      <c r="CZ46" s="71"/>
      <c r="DA46" s="71"/>
      <c r="DB46" s="133"/>
      <c r="DC46" s="79"/>
      <c r="DD46" s="79"/>
      <c r="DE46" s="79"/>
      <c r="DF46" s="79"/>
      <c r="DG46" s="139"/>
      <c r="DH46" s="79"/>
      <c r="DI46" s="79"/>
      <c r="DJ46" s="79"/>
      <c r="DK46" s="79"/>
      <c r="DL46" s="139"/>
      <c r="DM46" s="79"/>
      <c r="DN46" s="79"/>
      <c r="DO46" s="79"/>
      <c r="DP46" s="79"/>
      <c r="DQ46" s="139"/>
      <c r="DR46" s="79"/>
      <c r="DS46" s="79"/>
      <c r="DT46" s="79"/>
      <c r="DU46" s="79"/>
      <c r="DV46" s="139"/>
      <c r="DW46" s="79"/>
      <c r="DX46" s="79"/>
      <c r="DY46" s="79"/>
      <c r="DZ46" s="79"/>
      <c r="EA46" s="139"/>
      <c r="EB46" s="1010"/>
      <c r="EC46" s="1010"/>
      <c r="ED46" s="1010"/>
      <c r="EE46" s="1010"/>
      <c r="EF46" s="1010"/>
      <c r="EG46" s="1243"/>
    </row>
    <row r="47" spans="1:137" x14ac:dyDescent="0.2">
      <c r="A47" s="446" t="s">
        <v>346</v>
      </c>
      <c r="B47" s="71"/>
      <c r="C47" s="71"/>
      <c r="D47" s="71"/>
      <c r="E47" s="71"/>
      <c r="F47" s="60"/>
      <c r="G47" s="71"/>
      <c r="H47" s="71"/>
      <c r="I47" s="155"/>
      <c r="J47" s="155"/>
      <c r="K47" s="60"/>
      <c r="L47" s="71">
        <v>-10</v>
      </c>
      <c r="M47" s="71">
        <f>-12-L47</f>
        <v>-2</v>
      </c>
      <c r="N47" s="71">
        <f>-80-M47-L47</f>
        <v>-68</v>
      </c>
      <c r="O47" s="71">
        <f>P47-N47-M47-L47</f>
        <v>111</v>
      </c>
      <c r="P47" s="82">
        <v>31</v>
      </c>
      <c r="Q47" s="71">
        <f>-31+-15</f>
        <v>-46</v>
      </c>
      <c r="R47" s="71">
        <f>-15-9-Q47</f>
        <v>22</v>
      </c>
      <c r="S47" s="71">
        <f>-21-8-R47-Q47</f>
        <v>-5</v>
      </c>
      <c r="T47" s="71">
        <f>U47-S47-R47-Q47</f>
        <v>-36</v>
      </c>
      <c r="U47" s="82">
        <f>-70+5</f>
        <v>-65</v>
      </c>
      <c r="V47" s="78">
        <v>-11</v>
      </c>
      <c r="W47" s="71">
        <f>28-V47</f>
        <v>39</v>
      </c>
      <c r="X47" s="71">
        <f>35-W47-V47</f>
        <v>7</v>
      </c>
      <c r="Y47" s="71">
        <f>Z47-X47-W47-V47</f>
        <v>11</v>
      </c>
      <c r="Z47" s="82">
        <v>46</v>
      </c>
      <c r="AA47" s="71">
        <v>2</v>
      </c>
      <c r="AB47" s="71">
        <f>-22-AA47</f>
        <v>-24</v>
      </c>
      <c r="AC47" s="71">
        <f>2-AB47-AA47</f>
        <v>24</v>
      </c>
      <c r="AD47" s="71">
        <f>AE47-AC47-AB47-AA47</f>
        <v>13</v>
      </c>
      <c r="AE47" s="82">
        <v>15</v>
      </c>
      <c r="AF47" s="71">
        <v>-9</v>
      </c>
      <c r="AG47" s="71">
        <f>2-AF47</f>
        <v>11</v>
      </c>
      <c r="AH47" s="71">
        <f>9-AG47-AF47</f>
        <v>7</v>
      </c>
      <c r="AI47" s="71">
        <f>34-AH47-AG47-AF47</f>
        <v>25</v>
      </c>
      <c r="AJ47" s="82">
        <f>SUM(AF47:AI47)</f>
        <v>34</v>
      </c>
      <c r="AK47" s="71">
        <v>3</v>
      </c>
      <c r="AL47" s="71">
        <f>23-AK47</f>
        <v>20</v>
      </c>
      <c r="AM47" s="71">
        <f>30-AL47-AK47</f>
        <v>7</v>
      </c>
      <c r="AN47" s="71">
        <f>AO47-AM47-AL47-AK47</f>
        <v>11</v>
      </c>
      <c r="AO47" s="82">
        <v>41</v>
      </c>
      <c r="AP47" s="71">
        <v>0</v>
      </c>
      <c r="AQ47" s="71">
        <f>38-AP47</f>
        <v>38</v>
      </c>
      <c r="AR47" s="71">
        <f>41-AQ47-AP47</f>
        <v>3</v>
      </c>
      <c r="AS47" s="71">
        <f>AT47-SUM(AP47:AR47)</f>
        <v>-13</v>
      </c>
      <c r="AT47" s="78">
        <v>28</v>
      </c>
      <c r="AU47" s="78">
        <v>-2</v>
      </c>
      <c r="AV47" s="71">
        <f>-16-AU47</f>
        <v>-14</v>
      </c>
      <c r="AW47" s="71">
        <f>-16-AV47-AU47</f>
        <v>0</v>
      </c>
      <c r="AX47" s="71">
        <f>AY47-AW47-AV47-AU47</f>
        <v>-14</v>
      </c>
      <c r="AY47" s="133">
        <v>-30</v>
      </c>
      <c r="AZ47" s="78">
        <v>0</v>
      </c>
      <c r="BA47" s="71">
        <f>6-AZ47</f>
        <v>6</v>
      </c>
      <c r="BB47" s="71">
        <f>5-BA47-AZ47</f>
        <v>-1</v>
      </c>
      <c r="BC47" s="71">
        <f>BD47-BB47-BA47-AZ47</f>
        <v>130</v>
      </c>
      <c r="BD47" s="133">
        <f>7+128</f>
        <v>135</v>
      </c>
      <c r="BE47" s="78">
        <v>3</v>
      </c>
      <c r="BF47" s="71">
        <f>-4-BE47</f>
        <v>-7</v>
      </c>
      <c r="BG47" s="71">
        <f>-8-BF47-BE47</f>
        <v>-4</v>
      </c>
      <c r="BH47" s="71">
        <f>BI47-BG47-BF47-BE47</f>
        <v>-1</v>
      </c>
      <c r="BI47" s="133">
        <v>-9</v>
      </c>
      <c r="BJ47" s="78">
        <v>-2</v>
      </c>
      <c r="BK47" s="71">
        <f>-7-BJ47</f>
        <v>-5</v>
      </c>
      <c r="BL47" s="71">
        <f>-8-BK47-BJ47</f>
        <v>-1</v>
      </c>
      <c r="BM47" s="71">
        <f>BN47-BL47-BK47-BJ47</f>
        <v>-11</v>
      </c>
      <c r="BN47" s="574">
        <v>-19</v>
      </c>
      <c r="BO47" s="71">
        <v>-4</v>
      </c>
      <c r="BP47" s="71">
        <f>-6-BO47</f>
        <v>-2</v>
      </c>
      <c r="BQ47" s="71">
        <f>-10-BP47-BO47</f>
        <v>-4</v>
      </c>
      <c r="BR47" s="71">
        <f>BS47-BQ47-BP47-BO47</f>
        <v>-9</v>
      </c>
      <c r="BS47" s="133">
        <v>-19</v>
      </c>
      <c r="BT47" s="78">
        <v>4</v>
      </c>
      <c r="BU47" s="71">
        <f>-6-BT47</f>
        <v>-10</v>
      </c>
      <c r="BV47" s="71">
        <f>-20-BU47-BT47</f>
        <v>-14</v>
      </c>
      <c r="BW47" s="71">
        <f t="shared" si="62"/>
        <v>59</v>
      </c>
      <c r="BX47" s="133">
        <v>39</v>
      </c>
      <c r="BY47" s="78">
        <f>-79-5</f>
        <v>-84</v>
      </c>
      <c r="BZ47" s="71">
        <f>2-BY47</f>
        <v>86</v>
      </c>
      <c r="CA47" s="71">
        <f>-14-SUM(BY47:BZ47)</f>
        <v>-16</v>
      </c>
      <c r="CB47" s="71">
        <f t="shared" si="63"/>
        <v>-13</v>
      </c>
      <c r="CC47" s="574">
        <v>-27</v>
      </c>
      <c r="CD47" s="78">
        <v>3</v>
      </c>
      <c r="CE47" s="71">
        <f>-6-CD47</f>
        <v>-9</v>
      </c>
      <c r="CF47" s="71">
        <f>-8-SUM(CD47:CE47)</f>
        <v>-2</v>
      </c>
      <c r="CG47" s="71">
        <f t="shared" si="64"/>
        <v>10</v>
      </c>
      <c r="CH47" s="574">
        <v>2</v>
      </c>
      <c r="CI47" s="943">
        <v>4</v>
      </c>
      <c r="CJ47" s="1012">
        <f>7-CI47</f>
        <v>3</v>
      </c>
      <c r="CK47" s="1012">
        <f>10-CJ47-CI47</f>
        <v>3</v>
      </c>
      <c r="CL47" s="1013">
        <f>CM47-CK47-CJ47-CI47</f>
        <v>1</v>
      </c>
      <c r="CM47" s="997">
        <v>11</v>
      </c>
      <c r="CN47" s="911"/>
      <c r="CO47" s="71"/>
      <c r="CP47" s="71"/>
      <c r="CQ47" s="71"/>
      <c r="CR47" s="1081">
        <v>62</v>
      </c>
      <c r="CS47" s="1072">
        <v>1</v>
      </c>
      <c r="CT47" s="1072">
        <v>7</v>
      </c>
      <c r="CU47" s="1007">
        <v>27.5</v>
      </c>
      <c r="CV47" s="71">
        <f>CW47-CU47-CT47-CS47</f>
        <v>16.5</v>
      </c>
      <c r="CW47" s="133">
        <v>52</v>
      </c>
      <c r="CX47" s="71">
        <v>-5</v>
      </c>
      <c r="CY47" s="71">
        <f>2-CX47</f>
        <v>7</v>
      </c>
      <c r="CZ47" s="71">
        <f>1-CY47-CX47</f>
        <v>-1</v>
      </c>
      <c r="DA47" s="71">
        <f>17-SUM(CX47:CZ47)</f>
        <v>16</v>
      </c>
      <c r="DB47" s="133">
        <f>SUM(CX47:DA47)</f>
        <v>17</v>
      </c>
      <c r="DC47" s="79">
        <f>DA47</f>
        <v>16</v>
      </c>
      <c r="DD47" s="79">
        <f>DC47</f>
        <v>16</v>
      </c>
      <c r="DE47" s="79">
        <f>DD47</f>
        <v>16</v>
      </c>
      <c r="DF47" s="79">
        <f>DE47</f>
        <v>16</v>
      </c>
      <c r="DG47" s="139">
        <f>SUM(DC47:DF47)</f>
        <v>64</v>
      </c>
      <c r="DH47" s="79">
        <f>DF47</f>
        <v>16</v>
      </c>
      <c r="DI47" s="79">
        <f>DH47</f>
        <v>16</v>
      </c>
      <c r="DJ47" s="79">
        <f>DI47</f>
        <v>16</v>
      </c>
      <c r="DK47" s="79">
        <f>DJ47</f>
        <v>16</v>
      </c>
      <c r="DL47" s="139">
        <f>SUM(DH47:DK47)</f>
        <v>64</v>
      </c>
      <c r="DM47" s="79">
        <f>DK47</f>
        <v>16</v>
      </c>
      <c r="DN47" s="79">
        <f>DM47</f>
        <v>16</v>
      </c>
      <c r="DO47" s="79">
        <f>DN47</f>
        <v>16</v>
      </c>
      <c r="DP47" s="79">
        <f>DO47</f>
        <v>16</v>
      </c>
      <c r="DQ47" s="139">
        <f>SUM(DM47:DP47)</f>
        <v>64</v>
      </c>
      <c r="DR47" s="79">
        <f>DP47</f>
        <v>16</v>
      </c>
      <c r="DS47" s="79">
        <f>DR47</f>
        <v>16</v>
      </c>
      <c r="DT47" s="79">
        <f>DS47</f>
        <v>16</v>
      </c>
      <c r="DU47" s="79">
        <f>DT47</f>
        <v>16</v>
      </c>
      <c r="DV47" s="139">
        <f>SUM(DR47:DU47)</f>
        <v>64</v>
      </c>
      <c r="DW47" s="79">
        <f>DU47</f>
        <v>16</v>
      </c>
      <c r="DX47" s="79">
        <f>DW47</f>
        <v>16</v>
      </c>
      <c r="DY47" s="79">
        <f>DX47</f>
        <v>16</v>
      </c>
      <c r="DZ47" s="79">
        <f>DY47</f>
        <v>16</v>
      </c>
      <c r="EA47" s="139">
        <f>SUM(DW47:DZ47)</f>
        <v>64</v>
      </c>
      <c r="EB47" s="1010"/>
      <c r="EC47" s="1010"/>
      <c r="ED47" s="1010"/>
      <c r="EE47" s="1010"/>
      <c r="EF47" s="1010"/>
      <c r="EG47" s="1243"/>
    </row>
    <row r="48" spans="1:137" x14ac:dyDescent="0.2">
      <c r="A48" s="447" t="s">
        <v>347</v>
      </c>
      <c r="B48" s="387"/>
      <c r="C48" s="387"/>
      <c r="D48" s="387"/>
      <c r="E48" s="387"/>
      <c r="F48" s="380"/>
      <c r="G48" s="387"/>
      <c r="H48" s="387"/>
      <c r="I48" s="387"/>
      <c r="J48" s="388"/>
      <c r="K48" s="141"/>
      <c r="L48" s="389">
        <f>SUM(L40:L47)</f>
        <v>42</v>
      </c>
      <c r="M48" s="389">
        <f>SUM(M40:M47)</f>
        <v>203</v>
      </c>
      <c r="N48" s="389">
        <f>SUM(N40:N47)</f>
        <v>141</v>
      </c>
      <c r="O48" s="389">
        <f>SUM(O40:O47)</f>
        <v>136</v>
      </c>
      <c r="P48" s="390">
        <f>SUM(L48:O48)</f>
        <v>522</v>
      </c>
      <c r="Q48" s="389">
        <f>SUM(Q40:Q47)</f>
        <v>-100</v>
      </c>
      <c r="R48" s="389">
        <f>SUM(R40:R47)</f>
        <v>112</v>
      </c>
      <c r="S48" s="389">
        <f>SUM(S40:S47)</f>
        <v>-123</v>
      </c>
      <c r="T48" s="389">
        <f>SUM(T40:T47)</f>
        <v>-126</v>
      </c>
      <c r="U48" s="390">
        <f>SUM(Q48:T48)</f>
        <v>-237</v>
      </c>
      <c r="V48" s="391">
        <f>SUM(V40:V47)</f>
        <v>-140</v>
      </c>
      <c r="W48" s="389">
        <f>SUM(W40:W47)</f>
        <v>-70</v>
      </c>
      <c r="X48" s="389">
        <f>SUM(X40:X47)</f>
        <v>-131</v>
      </c>
      <c r="Y48" s="389">
        <f>SUM(Y40:Y47)</f>
        <v>-162</v>
      </c>
      <c r="Z48" s="390">
        <f>SUM(V48:Y48)</f>
        <v>-503</v>
      </c>
      <c r="AA48" s="389">
        <f>SUM(AA40:AA47)</f>
        <v>-89</v>
      </c>
      <c r="AB48" s="389">
        <f>SUM(AB40:AB47)</f>
        <v>-440</v>
      </c>
      <c r="AC48" s="389">
        <f>SUM(AC40:AC47)</f>
        <v>-121</v>
      </c>
      <c r="AD48" s="389">
        <f>SUM(AD40:AD47)</f>
        <v>-235</v>
      </c>
      <c r="AE48" s="390">
        <f>SUM(AA48:AD48)</f>
        <v>-885</v>
      </c>
      <c r="AF48" s="389">
        <f>SUM(AF40:AF47)</f>
        <v>-119</v>
      </c>
      <c r="AG48" s="389">
        <f>SUM(AG40:AG47)</f>
        <v>-89</v>
      </c>
      <c r="AH48" s="389">
        <f>SUM(AH40:AH47)</f>
        <v>-128</v>
      </c>
      <c r="AI48" s="389">
        <f>SUM(AI40:AI47)</f>
        <v>-183</v>
      </c>
      <c r="AJ48" s="390">
        <f>SUM(AF48:AI48)</f>
        <v>-519</v>
      </c>
      <c r="AK48" s="389">
        <f>SUM(AK40:AK47)</f>
        <v>-103</v>
      </c>
      <c r="AL48" s="389">
        <f>SUM(AL40:AL47)</f>
        <v>-95</v>
      </c>
      <c r="AM48" s="389">
        <f>SUM(AM40:AM47)</f>
        <v>-193</v>
      </c>
      <c r="AN48" s="389">
        <f>SUM(AN40:AN47)</f>
        <v>-95</v>
      </c>
      <c r="AO48" s="390">
        <f>SUM(AK48:AN48)</f>
        <v>-486</v>
      </c>
      <c r="AP48" s="389">
        <f t="shared" ref="AP48:AX48" si="82">SUM(AP40:AP47)</f>
        <v>-105</v>
      </c>
      <c r="AQ48" s="389">
        <f t="shared" si="82"/>
        <v>-35</v>
      </c>
      <c r="AR48" s="389">
        <f t="shared" si="82"/>
        <v>-109</v>
      </c>
      <c r="AS48" s="389">
        <f t="shared" si="82"/>
        <v>-96</v>
      </c>
      <c r="AT48" s="391">
        <f t="shared" si="82"/>
        <v>-345</v>
      </c>
      <c r="AU48" s="394">
        <f t="shared" si="82"/>
        <v>-61</v>
      </c>
      <c r="AV48" s="387">
        <f t="shared" si="82"/>
        <v>-98</v>
      </c>
      <c r="AW48" s="387">
        <f t="shared" si="82"/>
        <v>-141</v>
      </c>
      <c r="AX48" s="387">
        <f t="shared" si="82"/>
        <v>-176</v>
      </c>
      <c r="AY48" s="395">
        <f>SUM(AU48:AX48)</f>
        <v>-476</v>
      </c>
      <c r="AZ48" s="394">
        <f t="shared" ref="AZ48:BR48" si="83">SUM(AZ40:AZ47)</f>
        <v>-42</v>
      </c>
      <c r="BA48" s="387">
        <f t="shared" si="83"/>
        <v>-74</v>
      </c>
      <c r="BB48" s="387">
        <f t="shared" si="83"/>
        <v>-140</v>
      </c>
      <c r="BC48" s="387">
        <f t="shared" si="83"/>
        <v>-176</v>
      </c>
      <c r="BD48" s="395">
        <f t="shared" si="83"/>
        <v>-432</v>
      </c>
      <c r="BE48" s="394">
        <f t="shared" si="83"/>
        <v>-84</v>
      </c>
      <c r="BF48" s="387">
        <f t="shared" si="83"/>
        <v>-158</v>
      </c>
      <c r="BG48" s="387">
        <f t="shared" si="83"/>
        <v>-146</v>
      </c>
      <c r="BH48" s="387">
        <f t="shared" si="83"/>
        <v>-253</v>
      </c>
      <c r="BI48" s="395">
        <f t="shared" si="83"/>
        <v>-641</v>
      </c>
      <c r="BJ48" s="394">
        <f t="shared" si="83"/>
        <v>-128</v>
      </c>
      <c r="BK48" s="387">
        <f t="shared" si="83"/>
        <v>-228</v>
      </c>
      <c r="BL48" s="387">
        <f t="shared" si="83"/>
        <v>-149</v>
      </c>
      <c r="BM48" s="387">
        <f t="shared" si="83"/>
        <v>-222</v>
      </c>
      <c r="BN48" s="577">
        <f t="shared" si="83"/>
        <v>-727</v>
      </c>
      <c r="BO48" s="387">
        <f t="shared" si="83"/>
        <v>-116</v>
      </c>
      <c r="BP48" s="387">
        <f t="shared" si="83"/>
        <v>-123</v>
      </c>
      <c r="BQ48" s="387">
        <f t="shared" si="83"/>
        <v>-196</v>
      </c>
      <c r="BR48" s="387">
        <f t="shared" si="83"/>
        <v>-144</v>
      </c>
      <c r="BS48" s="395">
        <f>SUM(BO48:BR48)</f>
        <v>-579</v>
      </c>
      <c r="BT48" s="394">
        <f t="shared" ref="BT48:CB48" si="84">SUM(BT40:BT47)</f>
        <v>-156</v>
      </c>
      <c r="BU48" s="387">
        <f t="shared" si="84"/>
        <v>-423</v>
      </c>
      <c r="BV48" s="387">
        <f t="shared" si="84"/>
        <v>-161</v>
      </c>
      <c r="BW48" s="387">
        <f t="shared" si="84"/>
        <v>-266</v>
      </c>
      <c r="BX48" s="395">
        <f t="shared" si="84"/>
        <v>-1006</v>
      </c>
      <c r="BY48" s="394">
        <f t="shared" si="84"/>
        <v>-402</v>
      </c>
      <c r="BZ48" s="387">
        <f t="shared" si="84"/>
        <v>-194</v>
      </c>
      <c r="CA48" s="387">
        <f t="shared" si="84"/>
        <v>-151</v>
      </c>
      <c r="CB48" s="387">
        <f t="shared" si="84"/>
        <v>-258</v>
      </c>
      <c r="CC48" s="577">
        <f>SUM(BY48:CB48)</f>
        <v>-1005</v>
      </c>
      <c r="CD48" s="387">
        <f>SUM(CD40:CD47)</f>
        <v>-153</v>
      </c>
      <c r="CE48" s="387">
        <f>SUM(CE40:CE47)</f>
        <v>-257</v>
      </c>
      <c r="CF48" s="387">
        <f>SUM(CF40:CF47)</f>
        <v>-177</v>
      </c>
      <c r="CG48" s="387">
        <f>SUM(CG40:CG47)</f>
        <v>-299</v>
      </c>
      <c r="CH48" s="395">
        <f>SUM(CD48:CG48)</f>
        <v>-886</v>
      </c>
      <c r="CI48" s="999">
        <f>SUM(CI40:CI47)</f>
        <v>-168</v>
      </c>
      <c r="CJ48" s="999">
        <f>SUM(CJ40:CJ47)</f>
        <v>-446</v>
      </c>
      <c r="CK48" s="999">
        <f>SUM(CK40:CK47)</f>
        <v>-306</v>
      </c>
      <c r="CL48" s="999">
        <f>SUM(CL40:CL47)</f>
        <v>-16</v>
      </c>
      <c r="CM48" s="1000">
        <f>SUM(CI48:CL48)</f>
        <v>-936</v>
      </c>
      <c r="CN48" s="912">
        <f t="shared" ref="CN48:CW48" si="85">SUM(CN40:CN47)</f>
        <v>0</v>
      </c>
      <c r="CO48" s="387">
        <f t="shared" si="85"/>
        <v>0</v>
      </c>
      <c r="CP48" s="387">
        <f t="shared" si="85"/>
        <v>0</v>
      </c>
      <c r="CQ48" s="387">
        <f t="shared" si="85"/>
        <v>0</v>
      </c>
      <c r="CR48" s="397">
        <f t="shared" si="85"/>
        <v>-189</v>
      </c>
      <c r="CS48" s="2046">
        <f t="shared" si="85"/>
        <v>-121.5</v>
      </c>
      <c r="CT48" s="2046">
        <f t="shared" si="85"/>
        <v>-7.5</v>
      </c>
      <c r="CU48" s="2046">
        <f t="shared" si="85"/>
        <v>127.30000000000001</v>
      </c>
      <c r="CV48" s="387">
        <f t="shared" si="85"/>
        <v>-22.300000000000011</v>
      </c>
      <c r="CW48" s="2046">
        <f t="shared" si="85"/>
        <v>-24</v>
      </c>
      <c r="CX48" s="387">
        <f>SUM(CX40:CX47)</f>
        <v>104</v>
      </c>
      <c r="CY48" s="387">
        <f>SUM(CY40:CY47)</f>
        <v>69</v>
      </c>
      <c r="CZ48" s="387">
        <f>SUM(CZ40:CZ47)</f>
        <v>316</v>
      </c>
      <c r="DA48" s="387">
        <f>SUM(DA40:DA47)</f>
        <v>983</v>
      </c>
      <c r="DB48" s="395">
        <f>SUM(CX48:DA48)</f>
        <v>1472</v>
      </c>
      <c r="DC48" s="396">
        <f>SUM(DC40:DC47)</f>
        <v>152.16240612638765</v>
      </c>
      <c r="DD48" s="396">
        <f>SUM(DD40:DD47)</f>
        <v>156.74138257366954</v>
      </c>
      <c r="DE48" s="396">
        <f>SUM(DE40:DE47)</f>
        <v>71.63430275125387</v>
      </c>
      <c r="DF48" s="396">
        <f>SUM(DF40:DF47)</f>
        <v>10.214413500647098</v>
      </c>
      <c r="DG48" s="397">
        <f>SUM(DC48:DF48)</f>
        <v>390.75250495195814</v>
      </c>
      <c r="DH48" s="396">
        <f>SUM(DH40:DH47)</f>
        <v>74.240746789355313</v>
      </c>
      <c r="DI48" s="396">
        <f>SUM(DI40:DI47)</f>
        <v>75.178870085591967</v>
      </c>
      <c r="DJ48" s="396">
        <f>SUM(DJ40:DJ47)</f>
        <v>76.717090678151834</v>
      </c>
      <c r="DK48" s="396">
        <f>SUM(DK40:DK47)</f>
        <v>72.428246432309237</v>
      </c>
      <c r="DL48" s="397">
        <f>SUM(DH48:DK48)</f>
        <v>298.56495398540835</v>
      </c>
      <c r="DM48" s="396">
        <f>SUM(DM40:DM47)</f>
        <v>-4.759806816027691</v>
      </c>
      <c r="DN48" s="396">
        <f>SUM(DN40:DN47)</f>
        <v>-6.0623361393612782</v>
      </c>
      <c r="DO48" s="396">
        <f>SUM(DO40:DO47)</f>
        <v>-6.8483356940693092</v>
      </c>
      <c r="DP48" s="396">
        <f>SUM(DP40:DP47)</f>
        <v>-14.078738541951815</v>
      </c>
      <c r="DQ48" s="397">
        <f>SUM(DM48:DP48)</f>
        <v>-31.749217191410093</v>
      </c>
      <c r="DR48" s="396">
        <f>SUM(DR40:DR47)</f>
        <v>-5.0310705804962517</v>
      </c>
      <c r="DS48" s="396">
        <f>SUM(DS40:DS47)</f>
        <v>-6.312349562177566</v>
      </c>
      <c r="DT48" s="396">
        <f>SUM(DT40:DT47)</f>
        <v>-7.5658682296000812</v>
      </c>
      <c r="DU48" s="396">
        <f>SUM(DU40:DU47)</f>
        <v>-16.71250851866224</v>
      </c>
      <c r="DV48" s="397">
        <f>SUM(DR48:DU48)</f>
        <v>-35.621796890936139</v>
      </c>
      <c r="DW48" s="396">
        <f>SUM(DW40:DW47)</f>
        <v>-7.2921557083977824</v>
      </c>
      <c r="DX48" s="396">
        <f>SUM(DX40:DX47)</f>
        <v>-8.9021751784534118</v>
      </c>
      <c r="DY48" s="396">
        <f>SUM(DY40:DY47)</f>
        <v>-9.5865730376886056</v>
      </c>
      <c r="DZ48" s="396">
        <f>SUM(DZ40:DZ47)</f>
        <v>-17.89259010333943</v>
      </c>
      <c r="EA48" s="397">
        <f>SUM(DW48:DZ48)</f>
        <v>-43.673494027879229</v>
      </c>
      <c r="EB48" s="1010"/>
      <c r="EC48" s="1010"/>
      <c r="ED48" s="1010"/>
      <c r="EE48" s="1010"/>
      <c r="EF48" s="1010"/>
      <c r="EG48" s="1243"/>
    </row>
    <row r="49" spans="1:147" x14ac:dyDescent="0.2">
      <c r="A49" s="445"/>
      <c r="B49" s="71"/>
      <c r="C49" s="71"/>
      <c r="D49" s="71"/>
      <c r="E49" s="71"/>
      <c r="F49" s="60"/>
      <c r="G49" s="71"/>
      <c r="H49" s="71"/>
      <c r="I49" s="71"/>
      <c r="J49" s="155"/>
      <c r="K49" s="60"/>
      <c r="L49" s="71"/>
      <c r="M49" s="71"/>
      <c r="N49" s="71"/>
      <c r="O49" s="71"/>
      <c r="P49" s="82"/>
      <c r="Q49" s="71"/>
      <c r="R49" s="71"/>
      <c r="S49" s="71"/>
      <c r="T49" s="71"/>
      <c r="U49" s="82"/>
      <c r="V49" s="78"/>
      <c r="W49" s="71"/>
      <c r="X49" s="71"/>
      <c r="Y49" s="71"/>
      <c r="Z49" s="82"/>
      <c r="AA49" s="71"/>
      <c r="AB49" s="71"/>
      <c r="AC49" s="71"/>
      <c r="AD49" s="71"/>
      <c r="AE49" s="82"/>
      <c r="AF49" s="71"/>
      <c r="AG49" s="71"/>
      <c r="AH49" s="71"/>
      <c r="AI49" s="71"/>
      <c r="AJ49" s="82"/>
      <c r="AK49" s="71"/>
      <c r="AL49" s="71"/>
      <c r="AM49" s="71"/>
      <c r="AN49" s="71"/>
      <c r="AO49" s="82"/>
      <c r="AP49" s="71"/>
      <c r="AQ49" s="79"/>
      <c r="AR49" s="79"/>
      <c r="AS49" s="71"/>
      <c r="AT49" s="78"/>
      <c r="AU49" s="14"/>
      <c r="AV49" s="15"/>
      <c r="AW49" s="15"/>
      <c r="AX49" s="15"/>
      <c r="AY49" s="133"/>
      <c r="AZ49" s="14"/>
      <c r="BA49" s="15"/>
      <c r="BB49" s="15"/>
      <c r="BC49" s="15"/>
      <c r="BD49" s="133"/>
      <c r="BE49" s="14"/>
      <c r="BF49" s="15"/>
      <c r="BG49" s="15"/>
      <c r="BH49" s="15"/>
      <c r="BI49" s="139"/>
      <c r="BJ49" s="14"/>
      <c r="BK49" s="15"/>
      <c r="BL49" s="15"/>
      <c r="BM49" s="15"/>
      <c r="BN49" s="574"/>
      <c r="BO49" s="15"/>
      <c r="BP49" s="15"/>
      <c r="BQ49" s="15"/>
      <c r="BR49" s="15"/>
      <c r="BS49" s="133"/>
      <c r="BT49" s="14"/>
      <c r="BU49" s="15"/>
      <c r="BV49" s="15"/>
      <c r="BW49" s="15"/>
      <c r="BX49" s="133"/>
      <c r="BY49" s="14"/>
      <c r="BZ49" s="15"/>
      <c r="CA49" s="15"/>
      <c r="CB49" s="15"/>
      <c r="CC49" s="574"/>
      <c r="CD49" s="15"/>
      <c r="CE49" s="15"/>
      <c r="CF49" s="15"/>
      <c r="CG49" s="15"/>
      <c r="CH49" s="139"/>
      <c r="CI49" s="1010"/>
      <c r="CJ49" s="1010"/>
      <c r="CK49" s="1010"/>
      <c r="CL49" s="1010"/>
      <c r="CM49" s="996"/>
      <c r="CN49" s="851"/>
      <c r="CO49" s="15"/>
      <c r="CP49" s="15"/>
      <c r="CQ49" s="15"/>
      <c r="CR49" s="1079"/>
      <c r="CS49" s="1017"/>
      <c r="CT49" s="1017"/>
      <c r="CU49" s="1017"/>
      <c r="CV49" s="15"/>
      <c r="CW49" s="133"/>
      <c r="CX49" s="15"/>
      <c r="CY49" s="15"/>
      <c r="CZ49" s="15"/>
      <c r="DA49" s="15"/>
      <c r="DB49" s="133"/>
      <c r="DC49" s="15"/>
      <c r="DD49" s="15"/>
      <c r="DE49" s="15"/>
      <c r="DF49" s="15"/>
      <c r="DG49" s="139"/>
      <c r="DH49" s="15"/>
      <c r="DI49" s="15"/>
      <c r="DJ49" s="15"/>
      <c r="DK49" s="15"/>
      <c r="DL49" s="139"/>
      <c r="DM49" s="15"/>
      <c r="DN49" s="15"/>
      <c r="DO49" s="15"/>
      <c r="DP49" s="15"/>
      <c r="DQ49" s="139"/>
      <c r="DR49" s="15"/>
      <c r="DS49" s="15"/>
      <c r="DT49" s="15"/>
      <c r="DU49" s="15"/>
      <c r="DV49" s="139"/>
      <c r="DW49" s="15"/>
      <c r="DX49" s="15"/>
      <c r="DY49" s="15"/>
      <c r="DZ49" s="15"/>
      <c r="EA49" s="139"/>
      <c r="EB49" s="1010"/>
      <c r="EC49" s="1010"/>
      <c r="ED49" s="1010"/>
      <c r="EE49" s="1010"/>
      <c r="EF49" s="1010"/>
      <c r="EG49" s="1243"/>
    </row>
    <row r="50" spans="1:147" x14ac:dyDescent="0.2">
      <c r="A50" s="445" t="s">
        <v>348</v>
      </c>
      <c r="B50" s="71"/>
      <c r="C50" s="71"/>
      <c r="D50" s="71"/>
      <c r="E50" s="71"/>
      <c r="F50" s="60"/>
      <c r="G50" s="71"/>
      <c r="H50" s="71"/>
      <c r="I50" s="71"/>
      <c r="J50" s="155"/>
      <c r="K50" s="60"/>
      <c r="L50" s="71"/>
      <c r="M50" s="71"/>
      <c r="N50" s="71"/>
      <c r="O50" s="71"/>
      <c r="P50" s="82"/>
      <c r="Q50" s="71"/>
      <c r="R50" s="71"/>
      <c r="S50" s="71"/>
      <c r="T50" s="71"/>
      <c r="U50" s="82"/>
      <c r="V50" s="78"/>
      <c r="W50" s="71"/>
      <c r="X50" s="71"/>
      <c r="Y50" s="71"/>
      <c r="Z50" s="82"/>
      <c r="AA50" s="71"/>
      <c r="AB50" s="71"/>
      <c r="AC50" s="71"/>
      <c r="AD50" s="71"/>
      <c r="AE50" s="82"/>
      <c r="AF50" s="71"/>
      <c r="AG50" s="71"/>
      <c r="AH50" s="71"/>
      <c r="AI50" s="71"/>
      <c r="AJ50" s="82"/>
      <c r="AK50" s="71"/>
      <c r="AL50" s="71"/>
      <c r="AM50" s="71"/>
      <c r="AN50" s="71"/>
      <c r="AO50" s="82"/>
      <c r="AP50" s="71"/>
      <c r="AQ50" s="79"/>
      <c r="AR50" s="71"/>
      <c r="AS50" s="71"/>
      <c r="AT50" s="78"/>
      <c r="AU50" s="14"/>
      <c r="AV50" s="15"/>
      <c r="AW50" s="15"/>
      <c r="AX50" s="15"/>
      <c r="AY50" s="133"/>
      <c r="AZ50" s="14"/>
      <c r="BA50" s="15"/>
      <c r="BB50" s="15"/>
      <c r="BC50" s="15"/>
      <c r="BD50" s="133"/>
      <c r="BE50" s="14"/>
      <c r="BF50" s="15"/>
      <c r="BG50" s="15"/>
      <c r="BH50" s="15"/>
      <c r="BI50" s="139"/>
      <c r="BJ50" s="14"/>
      <c r="BK50" s="15"/>
      <c r="BL50" s="15"/>
      <c r="BM50" s="15"/>
      <c r="BN50" s="574"/>
      <c r="BO50" s="15"/>
      <c r="BP50" s="15"/>
      <c r="BQ50" s="15"/>
      <c r="BR50" s="15"/>
      <c r="BS50" s="133"/>
      <c r="BT50" s="14"/>
      <c r="BU50" s="15"/>
      <c r="BV50" s="15"/>
      <c r="BW50" s="15"/>
      <c r="BX50" s="133"/>
      <c r="BY50" s="77"/>
      <c r="BZ50" s="15"/>
      <c r="CA50" s="15"/>
      <c r="CB50" s="15"/>
      <c r="CC50" s="574"/>
      <c r="CD50" s="15"/>
      <c r="CE50" s="62"/>
      <c r="CF50" s="62"/>
      <c r="CG50" s="15"/>
      <c r="CH50" s="139"/>
      <c r="CI50" s="1010"/>
      <c r="CJ50" s="1015"/>
      <c r="CK50" s="1010"/>
      <c r="CL50" s="1010"/>
      <c r="CM50" s="996"/>
      <c r="CN50" s="851"/>
      <c r="CO50" s="15"/>
      <c r="CP50" s="15"/>
      <c r="CQ50" s="15"/>
      <c r="CR50" s="1079"/>
      <c r="CS50" s="1017"/>
      <c r="CT50" s="1017"/>
      <c r="CU50" s="1017"/>
      <c r="CV50" s="15"/>
      <c r="CW50" s="133"/>
      <c r="CX50" s="15"/>
      <c r="CY50" s="15"/>
      <c r="CZ50" s="15"/>
      <c r="DA50" s="15"/>
      <c r="DB50" s="133"/>
      <c r="DC50" s="15"/>
      <c r="DD50" s="15"/>
      <c r="DE50" s="15"/>
      <c r="DF50" s="15"/>
      <c r="DG50" s="139"/>
      <c r="DH50" s="15"/>
      <c r="DI50" s="15"/>
      <c r="DJ50" s="15"/>
      <c r="DK50" s="15"/>
      <c r="DL50" s="139"/>
      <c r="DM50" s="15"/>
      <c r="DN50" s="15"/>
      <c r="DO50" s="15"/>
      <c r="DP50" s="15"/>
      <c r="DQ50" s="139"/>
      <c r="DR50" s="15"/>
      <c r="DS50" s="15"/>
      <c r="DT50" s="15"/>
      <c r="DU50" s="15"/>
      <c r="DV50" s="139"/>
      <c r="DW50" s="15"/>
      <c r="DX50" s="15"/>
      <c r="DY50" s="15"/>
      <c r="DZ50" s="15"/>
      <c r="EA50" s="139"/>
      <c r="EB50" s="1010"/>
      <c r="EC50" s="1010"/>
      <c r="ED50" s="1010"/>
      <c r="EE50" s="1010"/>
      <c r="EF50" s="1010"/>
      <c r="EG50" s="1243"/>
    </row>
    <row r="51" spans="1:147" s="1021" customFormat="1" x14ac:dyDescent="0.2">
      <c r="A51" s="1274" t="s">
        <v>644</v>
      </c>
      <c r="B51" s="1007"/>
      <c r="C51" s="1007"/>
      <c r="D51" s="1007"/>
      <c r="E51" s="1007"/>
      <c r="F51" s="1047"/>
      <c r="G51" s="1007"/>
      <c r="H51" s="1007"/>
      <c r="I51" s="1007"/>
      <c r="J51" s="1074"/>
      <c r="K51" s="1047"/>
      <c r="L51" s="1007"/>
      <c r="M51" s="1007"/>
      <c r="N51" s="1007"/>
      <c r="O51" s="1007"/>
      <c r="P51" s="970"/>
      <c r="Q51" s="1007"/>
      <c r="R51" s="1007"/>
      <c r="S51" s="1007"/>
      <c r="T51" s="1007"/>
      <c r="U51" s="970"/>
      <c r="V51" s="1055"/>
      <c r="W51" s="1007"/>
      <c r="X51" s="1007"/>
      <c r="Y51" s="1007"/>
      <c r="Z51" s="970"/>
      <c r="AA51" s="1007"/>
      <c r="AB51" s="1007"/>
      <c r="AC51" s="1007"/>
      <c r="AD51" s="1007"/>
      <c r="AE51" s="970"/>
      <c r="AF51" s="1007"/>
      <c r="AG51" s="1007"/>
      <c r="AH51" s="1007"/>
      <c r="AI51" s="1007"/>
      <c r="AJ51" s="970"/>
      <c r="AK51" s="1007"/>
      <c r="AL51" s="1007"/>
      <c r="AM51" s="1007"/>
      <c r="AN51" s="1007"/>
      <c r="AO51" s="970"/>
      <c r="AP51" s="1007"/>
      <c r="AQ51" s="1254"/>
      <c r="AR51" s="1007"/>
      <c r="AS51" s="1007"/>
      <c r="AT51" s="1055"/>
      <c r="AU51" s="1057"/>
      <c r="AV51" s="1017"/>
      <c r="AW51" s="1017"/>
      <c r="AX51" s="1017"/>
      <c r="AY51" s="1079"/>
      <c r="AZ51" s="1057"/>
      <c r="BA51" s="1017"/>
      <c r="BB51" s="1017"/>
      <c r="BC51" s="1017"/>
      <c r="BD51" s="1079"/>
      <c r="BE51" s="1057"/>
      <c r="BF51" s="1017"/>
      <c r="BG51" s="1017"/>
      <c r="BH51" s="1017"/>
      <c r="BI51" s="1275"/>
      <c r="BJ51" s="1057"/>
      <c r="BK51" s="1017"/>
      <c r="BL51" s="1017"/>
      <c r="BM51" s="1017"/>
      <c r="BN51" s="1257"/>
      <c r="BO51" s="1017"/>
      <c r="BP51" s="1017"/>
      <c r="BQ51" s="1017"/>
      <c r="BR51" s="1017"/>
      <c r="BS51" s="1079"/>
      <c r="BT51" s="1057"/>
      <c r="BU51" s="1017"/>
      <c r="BV51" s="1017"/>
      <c r="BW51" s="1017"/>
      <c r="BX51" s="1079"/>
      <c r="BY51" s="1048"/>
      <c r="BZ51" s="1017"/>
      <c r="CA51" s="1017"/>
      <c r="CB51" s="1017"/>
      <c r="CC51" s="1257"/>
      <c r="CD51" s="1017"/>
      <c r="CE51" s="1046"/>
      <c r="CF51" s="1046"/>
      <c r="CG51" s="1017"/>
      <c r="CH51" s="1257">
        <v>-105</v>
      </c>
      <c r="CI51" s="1058"/>
      <c r="CJ51" s="1060"/>
      <c r="CK51" s="1058"/>
      <c r="CL51" s="1058"/>
      <c r="CM51" s="1276"/>
      <c r="CN51" s="1277"/>
      <c r="CO51" s="1017"/>
      <c r="CP51" s="1017"/>
      <c r="CQ51" s="1017"/>
      <c r="CR51" s="1257">
        <v>214</v>
      </c>
      <c r="CS51" s="1007">
        <v>59</v>
      </c>
      <c r="CT51" s="1007">
        <v>59</v>
      </c>
      <c r="CU51" s="1007">
        <v>59</v>
      </c>
      <c r="CV51" s="1017">
        <f>CW51-CU51-CT51-CS51</f>
        <v>-177</v>
      </c>
      <c r="CW51" s="1079">
        <v>0</v>
      </c>
      <c r="CX51" s="1017"/>
      <c r="CY51" s="1017"/>
      <c r="CZ51" s="1017"/>
      <c r="DA51" s="1017"/>
      <c r="DB51" s="1079"/>
      <c r="DC51" s="1017"/>
      <c r="DD51" s="1017"/>
      <c r="DE51" s="1017"/>
      <c r="DF51" s="1017"/>
      <c r="DG51" s="1275"/>
      <c r="DH51" s="1017"/>
      <c r="DI51" s="1017"/>
      <c r="DJ51" s="1017"/>
      <c r="DK51" s="1017"/>
      <c r="DL51" s="1275"/>
      <c r="DM51" s="1017"/>
      <c r="DN51" s="1017"/>
      <c r="DO51" s="1017"/>
      <c r="DP51" s="1017"/>
      <c r="DQ51" s="1275"/>
      <c r="DR51" s="1017"/>
      <c r="DS51" s="1017"/>
      <c r="DT51" s="1017"/>
      <c r="DU51" s="1017"/>
      <c r="DV51" s="1275"/>
      <c r="DW51" s="1017"/>
      <c r="DX51" s="1017"/>
      <c r="DY51" s="1017"/>
      <c r="DZ51" s="1017"/>
      <c r="EA51" s="1275"/>
      <c r="EB51" s="1058"/>
      <c r="EC51" s="1058"/>
      <c r="ED51" s="1058"/>
      <c r="EE51" s="1058"/>
      <c r="EF51" s="1058"/>
      <c r="EI51"/>
      <c r="EJ51"/>
      <c r="EK51"/>
      <c r="EL51"/>
      <c r="EM51"/>
      <c r="EN51"/>
    </row>
    <row r="52" spans="1:147" s="1021" customFormat="1" x14ac:dyDescent="0.2">
      <c r="A52" s="1274" t="s">
        <v>643</v>
      </c>
      <c r="B52" s="1007"/>
      <c r="C52" s="1007"/>
      <c r="D52" s="1007"/>
      <c r="E52" s="1007"/>
      <c r="F52" s="1047"/>
      <c r="G52" s="1007"/>
      <c r="H52" s="1007"/>
      <c r="I52" s="1007"/>
      <c r="J52" s="1074"/>
      <c r="K52" s="1047"/>
      <c r="L52" s="1007"/>
      <c r="M52" s="1007"/>
      <c r="N52" s="1007"/>
      <c r="O52" s="1007"/>
      <c r="P52" s="970"/>
      <c r="Q52" s="1007"/>
      <c r="R52" s="1007"/>
      <c r="S52" s="1007"/>
      <c r="T52" s="1007"/>
      <c r="U52" s="970"/>
      <c r="V52" s="1055"/>
      <c r="W52" s="1007"/>
      <c r="X52" s="1007"/>
      <c r="Y52" s="1007"/>
      <c r="Z52" s="970"/>
      <c r="AA52" s="1007"/>
      <c r="AB52" s="1007"/>
      <c r="AC52" s="1007"/>
      <c r="AD52" s="1007"/>
      <c r="AE52" s="970"/>
      <c r="AF52" s="1007"/>
      <c r="AG52" s="1007"/>
      <c r="AH52" s="1007"/>
      <c r="AI52" s="1007"/>
      <c r="AJ52" s="970"/>
      <c r="AK52" s="1007"/>
      <c r="AL52" s="1007"/>
      <c r="AM52" s="1007"/>
      <c r="AN52" s="1007"/>
      <c r="AO52" s="970"/>
      <c r="AP52" s="1007"/>
      <c r="AQ52" s="1254"/>
      <c r="AR52" s="1007"/>
      <c r="AS52" s="1007"/>
      <c r="AT52" s="1055"/>
      <c r="AU52" s="1057"/>
      <c r="AV52" s="1017"/>
      <c r="AW52" s="1017"/>
      <c r="AX52" s="1017"/>
      <c r="AY52" s="1079"/>
      <c r="AZ52" s="1057"/>
      <c r="BA52" s="1017"/>
      <c r="BB52" s="1017"/>
      <c r="BC52" s="1017"/>
      <c r="BD52" s="1079"/>
      <c r="BE52" s="1057"/>
      <c r="BF52" s="1017"/>
      <c r="BG52" s="1017"/>
      <c r="BH52" s="1017"/>
      <c r="BI52" s="1275"/>
      <c r="BJ52" s="1057"/>
      <c r="BK52" s="1017"/>
      <c r="BL52" s="1017"/>
      <c r="BM52" s="1017"/>
      <c r="BN52" s="1257"/>
      <c r="BO52" s="1017"/>
      <c r="BP52" s="1017"/>
      <c r="BQ52" s="1017"/>
      <c r="BR52" s="1017"/>
      <c r="BS52" s="1079"/>
      <c r="BT52" s="1057"/>
      <c r="BU52" s="1017"/>
      <c r="BV52" s="1017"/>
      <c r="BW52" s="1017"/>
      <c r="BX52" s="1079"/>
      <c r="BY52" s="1048"/>
      <c r="BZ52" s="1017"/>
      <c r="CA52" s="1017"/>
      <c r="CB52" s="1017"/>
      <c r="CC52" s="1257"/>
      <c r="CD52" s="1017"/>
      <c r="CE52" s="1046"/>
      <c r="CF52" s="1046"/>
      <c r="CG52" s="1017"/>
      <c r="CH52" s="1257">
        <v>-1</v>
      </c>
      <c r="CI52" s="1058"/>
      <c r="CJ52" s="1060"/>
      <c r="CK52" s="1058"/>
      <c r="CL52" s="1058"/>
      <c r="CM52" s="1276"/>
      <c r="CN52" s="1277"/>
      <c r="CO52" s="1017"/>
      <c r="CP52" s="1017"/>
      <c r="CQ52" s="1017"/>
      <c r="CR52" s="1257">
        <v>2</v>
      </c>
      <c r="CS52" s="1007">
        <v>0.5</v>
      </c>
      <c r="CT52" s="1007">
        <v>0.5</v>
      </c>
      <c r="CU52" s="1007">
        <v>0.5</v>
      </c>
      <c r="CV52" s="2275">
        <f>CW52-CU52-CT52-CS52</f>
        <v>-1.5</v>
      </c>
      <c r="CW52" s="1079">
        <v>0</v>
      </c>
      <c r="CX52" s="1017"/>
      <c r="CY52" s="1017"/>
      <c r="CZ52" s="1017"/>
      <c r="DA52" s="1017"/>
      <c r="DB52" s="1079"/>
      <c r="DC52" s="1017"/>
      <c r="DD52" s="1017"/>
      <c r="DE52" s="1017"/>
      <c r="DF52" s="1017"/>
      <c r="DG52" s="1275"/>
      <c r="DH52" s="1017"/>
      <c r="DI52" s="1017"/>
      <c r="DJ52" s="1017"/>
      <c r="DK52" s="1017"/>
      <c r="DL52" s="1275"/>
      <c r="DM52" s="1017"/>
      <c r="DN52" s="1017"/>
      <c r="DO52" s="1017"/>
      <c r="DP52" s="1017"/>
      <c r="DQ52" s="1275"/>
      <c r="DR52" s="1017"/>
      <c r="DS52" s="1017"/>
      <c r="DT52" s="1017"/>
      <c r="DU52" s="1017"/>
      <c r="DV52" s="1275"/>
      <c r="DW52" s="1017"/>
      <c r="DX52" s="1017"/>
      <c r="DY52" s="1017"/>
      <c r="DZ52" s="1017"/>
      <c r="EA52" s="1275"/>
      <c r="EB52" s="1058"/>
      <c r="EC52" s="1058"/>
      <c r="ED52" s="1058"/>
      <c r="EE52" s="1058"/>
      <c r="EF52" s="1058"/>
      <c r="EI52"/>
      <c r="EJ52"/>
      <c r="EK52"/>
      <c r="EL52"/>
      <c r="EM52"/>
      <c r="EN52"/>
    </row>
    <row r="53" spans="1:147" x14ac:dyDescent="0.2">
      <c r="A53" s="446" t="s">
        <v>55</v>
      </c>
      <c r="B53" s="71"/>
      <c r="C53" s="71"/>
      <c r="D53" s="71"/>
      <c r="E53" s="71"/>
      <c r="F53" s="60"/>
      <c r="G53" s="71"/>
      <c r="H53" s="71"/>
      <c r="I53" s="71"/>
      <c r="J53" s="71"/>
      <c r="K53" s="60"/>
      <c r="L53" s="71">
        <v>0</v>
      </c>
      <c r="M53" s="71">
        <v>0</v>
      </c>
      <c r="N53" s="71">
        <v>0</v>
      </c>
      <c r="O53" s="71">
        <f>P53-N53-M53-L53</f>
        <v>0</v>
      </c>
      <c r="P53" s="82">
        <v>0</v>
      </c>
      <c r="Q53" s="71">
        <v>0</v>
      </c>
      <c r="R53" s="71">
        <v>0</v>
      </c>
      <c r="S53" s="71">
        <v>0</v>
      </c>
      <c r="T53" s="71">
        <f>U53-S53-R53-Q53</f>
        <v>0</v>
      </c>
      <c r="U53" s="82">
        <v>0</v>
      </c>
      <c r="V53" s="78">
        <v>0</v>
      </c>
      <c r="W53" s="71">
        <v>842</v>
      </c>
      <c r="X53" s="71">
        <f>842-W53-V53</f>
        <v>0</v>
      </c>
      <c r="Y53" s="71">
        <f>Z53-X53-W53-V53</f>
        <v>0</v>
      </c>
      <c r="Z53" s="82">
        <v>842</v>
      </c>
      <c r="AA53" s="71">
        <v>0</v>
      </c>
      <c r="AB53" s="71">
        <v>0</v>
      </c>
      <c r="AC53" s="71">
        <v>398</v>
      </c>
      <c r="AD53" s="79">
        <f t="shared" ref="AD53:AD59" si="86">AE53-AC53-AB53-AA53</f>
        <v>0</v>
      </c>
      <c r="AE53" s="82">
        <v>398</v>
      </c>
      <c r="AF53" s="71">
        <v>0</v>
      </c>
      <c r="AG53" s="71">
        <v>0</v>
      </c>
      <c r="AH53" s="71">
        <v>0</v>
      </c>
      <c r="AI53" s="71">
        <v>0</v>
      </c>
      <c r="AJ53" s="82">
        <f>SUM(AF53:AI53)</f>
        <v>0</v>
      </c>
      <c r="AK53" s="71">
        <v>0</v>
      </c>
      <c r="AL53" s="71">
        <v>0</v>
      </c>
      <c r="AM53" s="71">
        <v>0</v>
      </c>
      <c r="AN53" s="71">
        <v>0</v>
      </c>
      <c r="AO53" s="82">
        <f>SUM(AK53:AN53)</f>
        <v>0</v>
      </c>
      <c r="AP53" s="71">
        <v>0</v>
      </c>
      <c r="AQ53" s="79">
        <v>0</v>
      </c>
      <c r="AR53" s="71">
        <v>0</v>
      </c>
      <c r="AS53" s="71">
        <v>0</v>
      </c>
      <c r="AT53" s="78">
        <f>SUM(AP53:AS53)</f>
        <v>0</v>
      </c>
      <c r="AU53" s="78">
        <v>0</v>
      </c>
      <c r="AV53" s="71">
        <f>300-AU53</f>
        <v>300</v>
      </c>
      <c r="AW53" s="71">
        <f>300-AV53</f>
        <v>0</v>
      </c>
      <c r="AX53" s="71">
        <f t="shared" ref="AX53:AX63" si="87">AY53-AW53-AV53-AU53</f>
        <v>0</v>
      </c>
      <c r="AY53" s="133">
        <v>300</v>
      </c>
      <c r="AZ53" s="78">
        <f>AX53</f>
        <v>0</v>
      </c>
      <c r="BA53" s="71">
        <f>AZ53</f>
        <v>0</v>
      </c>
      <c r="BB53" s="79">
        <f>BA53</f>
        <v>0</v>
      </c>
      <c r="BC53" s="71">
        <f>BD53-BB53-BA53-AZ53</f>
        <v>0</v>
      </c>
      <c r="BD53" s="133">
        <v>0</v>
      </c>
      <c r="BE53" s="78">
        <v>0</v>
      </c>
      <c r="BF53" s="71">
        <f>BE53</f>
        <v>0</v>
      </c>
      <c r="BG53" s="71">
        <f>BF53</f>
        <v>0</v>
      </c>
      <c r="BH53" s="79">
        <f>BI53-BG53-BF53-BE53</f>
        <v>0</v>
      </c>
      <c r="BI53" s="139">
        <v>0</v>
      </c>
      <c r="BJ53" s="78">
        <f>BH53</f>
        <v>0</v>
      </c>
      <c r="BK53" s="71">
        <f>BJ53</f>
        <v>0</v>
      </c>
      <c r="BL53" s="79">
        <f>BK53</f>
        <v>0</v>
      </c>
      <c r="BM53" s="71">
        <f>BN53-BL53-BK53-BJ53</f>
        <v>0</v>
      </c>
      <c r="BN53" s="574">
        <v>0</v>
      </c>
      <c r="BO53" s="71">
        <v>0</v>
      </c>
      <c r="BP53" s="71">
        <f>BO53</f>
        <v>0</v>
      </c>
      <c r="BQ53" s="71">
        <v>0</v>
      </c>
      <c r="BR53" s="71">
        <f t="shared" ref="BR53:BR63" si="88">BS53-BQ53-BP53-BO53</f>
        <v>0</v>
      </c>
      <c r="BS53" s="133">
        <v>0</v>
      </c>
      <c r="BT53" s="78">
        <v>0</v>
      </c>
      <c r="BU53" s="71">
        <f>BT53</f>
        <v>0</v>
      </c>
      <c r="BV53" s="71">
        <v>0</v>
      </c>
      <c r="BW53" s="71">
        <f t="shared" ref="BW53:BW63" si="89">BX53-BV53-BU53-BT53</f>
        <v>0</v>
      </c>
      <c r="BX53" s="133">
        <v>0</v>
      </c>
      <c r="BY53" s="78">
        <v>0</v>
      </c>
      <c r="BZ53" s="71">
        <f>0-BY53</f>
        <v>0</v>
      </c>
      <c r="CA53" s="71">
        <f>0-SUM(BY53:BZ53)</f>
        <v>0</v>
      </c>
      <c r="CB53" s="71">
        <f>CC53-SUM(BY53:CA53)</f>
        <v>0</v>
      </c>
      <c r="CC53" s="574">
        <v>0</v>
      </c>
      <c r="CD53" s="71">
        <f>CB53</f>
        <v>0</v>
      </c>
      <c r="CE53" s="71">
        <v>0</v>
      </c>
      <c r="CF53" s="71">
        <f>CE53</f>
        <v>0</v>
      </c>
      <c r="CG53" s="71">
        <f t="shared" ref="CG53:CG63" si="90">CH53-SUM(CD53:CF53)</f>
        <v>0</v>
      </c>
      <c r="CH53" s="133">
        <v>0</v>
      </c>
      <c r="CI53" s="1012">
        <v>0</v>
      </c>
      <c r="CJ53" s="1012">
        <v>0</v>
      </c>
      <c r="CK53" s="1012">
        <f>CJ53</f>
        <v>0</v>
      </c>
      <c r="CL53" s="1012">
        <f>CK53</f>
        <v>0</v>
      </c>
      <c r="CM53" s="996">
        <f>SUM(CI53:CL53)</f>
        <v>0</v>
      </c>
      <c r="CN53" s="860">
        <f>CL53</f>
        <v>0</v>
      </c>
      <c r="CO53" s="71">
        <f>CN53</f>
        <v>0</v>
      </c>
      <c r="CP53" s="71">
        <f>CO53</f>
        <v>0</v>
      </c>
      <c r="CQ53" s="71">
        <f>CP53</f>
        <v>0</v>
      </c>
      <c r="CR53" s="1081">
        <v>0</v>
      </c>
      <c r="CS53" s="1007">
        <v>0</v>
      </c>
      <c r="CT53" s="1007">
        <v>0</v>
      </c>
      <c r="CU53" s="1007">
        <v>0</v>
      </c>
      <c r="CV53" s="71">
        <f>CU53</f>
        <v>0</v>
      </c>
      <c r="CW53" s="133">
        <f>SUM(CS53:CV53)</f>
        <v>0</v>
      </c>
      <c r="CX53" s="71">
        <f>CV53</f>
        <v>0</v>
      </c>
      <c r="CY53" s="71"/>
      <c r="CZ53" s="71">
        <v>0</v>
      </c>
      <c r="DA53" s="71">
        <f>CZ53</f>
        <v>0</v>
      </c>
      <c r="DB53" s="133">
        <f t="shared" ref="DB53:DB55" si="91">SUM(CX53:DA53)</f>
        <v>0</v>
      </c>
      <c r="DC53" s="79">
        <f>DA53</f>
        <v>0</v>
      </c>
      <c r="DD53" s="79">
        <f>DC53</f>
        <v>0</v>
      </c>
      <c r="DE53" s="79">
        <f>DD53</f>
        <v>0</v>
      </c>
      <c r="DF53" s="79">
        <f>DE53</f>
        <v>0</v>
      </c>
      <c r="DG53" s="139">
        <f>SUM(DC53:DF53)</f>
        <v>0</v>
      </c>
      <c r="DH53" s="79">
        <f>DF53</f>
        <v>0</v>
      </c>
      <c r="DI53" s="79">
        <f>DH53</f>
        <v>0</v>
      </c>
      <c r="DJ53" s="79">
        <f>DI53</f>
        <v>0</v>
      </c>
      <c r="DK53" s="79">
        <f>DJ53</f>
        <v>0</v>
      </c>
      <c r="DL53" s="139">
        <f>SUM(DH53:DK53)</f>
        <v>0</v>
      </c>
      <c r="DM53" s="79">
        <f>DK53</f>
        <v>0</v>
      </c>
      <c r="DN53" s="79">
        <f>DM53</f>
        <v>0</v>
      </c>
      <c r="DO53" s="79">
        <f>DN53</f>
        <v>0</v>
      </c>
      <c r="DP53" s="79">
        <f>DO53</f>
        <v>0</v>
      </c>
      <c r="DQ53" s="139">
        <f>SUM(DM53:DP53)</f>
        <v>0</v>
      </c>
      <c r="DR53" s="79">
        <f>DP53</f>
        <v>0</v>
      </c>
      <c r="DS53" s="79">
        <f>DR53</f>
        <v>0</v>
      </c>
      <c r="DT53" s="79">
        <f>DS53</f>
        <v>0</v>
      </c>
      <c r="DU53" s="79">
        <f>DT53</f>
        <v>0</v>
      </c>
      <c r="DV53" s="139">
        <f>SUM(DR53:DU53)</f>
        <v>0</v>
      </c>
      <c r="DW53" s="79">
        <f>DU53</f>
        <v>0</v>
      </c>
      <c r="DX53" s="79">
        <f>DW53</f>
        <v>0</v>
      </c>
      <c r="DY53" s="79">
        <f>DX53</f>
        <v>0</v>
      </c>
      <c r="DZ53" s="79">
        <f>DY53</f>
        <v>0</v>
      </c>
      <c r="EA53" s="139">
        <f>SUM(DW53:DZ53)</f>
        <v>0</v>
      </c>
      <c r="EB53" s="1058"/>
      <c r="EC53" s="1058"/>
      <c r="ED53" s="1058"/>
      <c r="EE53" s="1058"/>
      <c r="EF53" s="1010"/>
      <c r="EG53" s="1243"/>
    </row>
    <row r="54" spans="1:147" x14ac:dyDescent="0.2">
      <c r="A54" s="446" t="s">
        <v>462</v>
      </c>
      <c r="B54" s="71"/>
      <c r="C54" s="71"/>
      <c r="D54" s="71"/>
      <c r="E54" s="71"/>
      <c r="F54" s="60"/>
      <c r="G54" s="71"/>
      <c r="H54" s="71"/>
      <c r="I54" s="71"/>
      <c r="J54" s="155"/>
      <c r="K54" s="60"/>
      <c r="L54" s="15"/>
      <c r="M54" s="71"/>
      <c r="N54" s="71"/>
      <c r="O54" s="71"/>
      <c r="P54" s="82"/>
      <c r="Q54" s="15"/>
      <c r="R54" s="71"/>
      <c r="S54" s="71"/>
      <c r="T54" s="71"/>
      <c r="U54" s="82"/>
      <c r="V54" s="14"/>
      <c r="W54" s="71"/>
      <c r="X54" s="71"/>
      <c r="Y54" s="71"/>
      <c r="Z54" s="82"/>
      <c r="AA54" s="15"/>
      <c r="AB54" s="71">
        <v>0</v>
      </c>
      <c r="AC54" s="71">
        <v>0</v>
      </c>
      <c r="AD54" s="79">
        <f t="shared" si="86"/>
        <v>0</v>
      </c>
      <c r="AE54" s="82">
        <v>0</v>
      </c>
      <c r="AF54" s="71">
        <v>0</v>
      </c>
      <c r="AG54" s="71">
        <v>0</v>
      </c>
      <c r="AH54" s="71">
        <v>0</v>
      </c>
      <c r="AI54" s="71">
        <v>0</v>
      </c>
      <c r="AJ54" s="82">
        <v>0</v>
      </c>
      <c r="AK54" s="71">
        <v>0</v>
      </c>
      <c r="AL54" s="71">
        <v>0</v>
      </c>
      <c r="AM54" s="71">
        <v>0</v>
      </c>
      <c r="AN54" s="71">
        <v>0</v>
      </c>
      <c r="AO54" s="82">
        <v>0</v>
      </c>
      <c r="AP54" s="71">
        <v>0</v>
      </c>
      <c r="AQ54" s="79">
        <v>0</v>
      </c>
      <c r="AR54" s="71">
        <v>0</v>
      </c>
      <c r="AS54" s="71">
        <v>0</v>
      </c>
      <c r="AT54" s="78">
        <v>0</v>
      </c>
      <c r="AU54" s="78"/>
      <c r="AV54" s="71"/>
      <c r="AW54" s="71"/>
      <c r="AX54" s="71">
        <f t="shared" si="87"/>
        <v>0</v>
      </c>
      <c r="AY54" s="133">
        <v>0</v>
      </c>
      <c r="AZ54" s="78"/>
      <c r="BA54" s="71"/>
      <c r="BB54" s="79"/>
      <c r="BC54" s="71"/>
      <c r="BD54" s="133"/>
      <c r="BE54" s="78"/>
      <c r="BF54" s="71"/>
      <c r="BG54" s="71"/>
      <c r="BH54" s="79"/>
      <c r="BI54" s="139"/>
      <c r="BJ54" s="78"/>
      <c r="BK54" s="71"/>
      <c r="BL54" s="79"/>
      <c r="BM54" s="71"/>
      <c r="BN54" s="574"/>
      <c r="BO54" s="71"/>
      <c r="BP54" s="71"/>
      <c r="BQ54" s="71"/>
      <c r="BR54" s="71">
        <f t="shared" si="88"/>
        <v>0</v>
      </c>
      <c r="BS54" s="133">
        <v>0</v>
      </c>
      <c r="BT54" s="78">
        <v>0</v>
      </c>
      <c r="BU54" s="71"/>
      <c r="BV54" s="71"/>
      <c r="BW54" s="71">
        <f t="shared" si="89"/>
        <v>0</v>
      </c>
      <c r="BX54" s="133">
        <v>0</v>
      </c>
      <c r="BY54" s="78"/>
      <c r="BZ54" s="71"/>
      <c r="CA54" s="71"/>
      <c r="CB54" s="71"/>
      <c r="CC54" s="574">
        <v>0</v>
      </c>
      <c r="CD54" s="71"/>
      <c r="CE54" s="71">
        <v>0</v>
      </c>
      <c r="CF54" s="71">
        <v>0</v>
      </c>
      <c r="CG54" s="71">
        <f t="shared" si="90"/>
        <v>0</v>
      </c>
      <c r="CH54" s="133">
        <v>0</v>
      </c>
      <c r="CI54" s="1012">
        <v>0</v>
      </c>
      <c r="CJ54" s="1012">
        <v>0</v>
      </c>
      <c r="CK54" s="1012"/>
      <c r="CL54" s="1012"/>
      <c r="CM54" s="996"/>
      <c r="CN54" s="860"/>
      <c r="CO54" s="71"/>
      <c r="CP54" s="71"/>
      <c r="CQ54" s="71"/>
      <c r="CR54" s="1081">
        <v>2</v>
      </c>
      <c r="CS54" s="1007">
        <v>0</v>
      </c>
      <c r="CT54" s="1007">
        <v>0</v>
      </c>
      <c r="CU54" s="1007">
        <v>0</v>
      </c>
      <c r="CV54" s="71"/>
      <c r="CW54" s="133"/>
      <c r="CX54" s="71"/>
      <c r="CY54" s="71">
        <v>0</v>
      </c>
      <c r="CZ54" s="71"/>
      <c r="DA54" s="71"/>
      <c r="DB54" s="133">
        <f t="shared" si="91"/>
        <v>0</v>
      </c>
      <c r="DC54" s="79"/>
      <c r="DD54" s="79"/>
      <c r="DE54" s="79"/>
      <c r="DF54" s="79"/>
      <c r="DG54" s="139"/>
      <c r="DH54" s="79"/>
      <c r="DI54" s="79"/>
      <c r="DJ54" s="79"/>
      <c r="DK54" s="79"/>
      <c r="DL54" s="139"/>
      <c r="DM54" s="79"/>
      <c r="DN54" s="79"/>
      <c r="DO54" s="79"/>
      <c r="DP54" s="79"/>
      <c r="DQ54" s="139"/>
      <c r="DR54" s="79"/>
      <c r="DS54" s="79"/>
      <c r="DT54" s="79"/>
      <c r="DU54" s="79"/>
      <c r="DV54" s="139"/>
      <c r="DW54" s="79"/>
      <c r="DX54" s="79"/>
      <c r="DY54" s="79"/>
      <c r="DZ54" s="79"/>
      <c r="EA54" s="139"/>
      <c r="EB54" s="1010"/>
      <c r="EC54" s="1010"/>
      <c r="ED54" s="1010"/>
      <c r="EE54" s="1010"/>
      <c r="EF54" s="1010"/>
      <c r="EG54" s="1243"/>
    </row>
    <row r="55" spans="1:147" s="1324" customFormat="1" x14ac:dyDescent="0.2">
      <c r="A55" s="446" t="s">
        <v>56</v>
      </c>
      <c r="B55" s="71"/>
      <c r="C55" s="71"/>
      <c r="D55" s="71"/>
      <c r="E55" s="71"/>
      <c r="F55" s="60"/>
      <c r="G55" s="71"/>
      <c r="H55" s="71"/>
      <c r="I55" s="71"/>
      <c r="J55" s="71"/>
      <c r="K55" s="60"/>
      <c r="L55" s="71">
        <f>2738-2818</f>
        <v>-80</v>
      </c>
      <c r="M55" s="71">
        <f>-314-L55</f>
        <v>-234</v>
      </c>
      <c r="N55" s="71">
        <f>-685-M55-L55</f>
        <v>-371</v>
      </c>
      <c r="O55" s="71">
        <f>P55-N55-M55-L55</f>
        <v>-175</v>
      </c>
      <c r="P55" s="82">
        <v>-860</v>
      </c>
      <c r="Q55" s="71">
        <v>200</v>
      </c>
      <c r="R55" s="71">
        <f>185-Q55</f>
        <v>-15</v>
      </c>
      <c r="S55" s="71">
        <f>45-R55-Q55</f>
        <v>-140</v>
      </c>
      <c r="T55" s="71">
        <f>U55-S55-R55-Q55</f>
        <v>37</v>
      </c>
      <c r="U55" s="82">
        <v>82</v>
      </c>
      <c r="V55" s="78">
        <v>3</v>
      </c>
      <c r="W55" s="71">
        <f>-682-V55</f>
        <v>-685</v>
      </c>
      <c r="X55" s="71">
        <f>-872-W55-V55</f>
        <v>-190</v>
      </c>
      <c r="Y55" s="71">
        <f>Z55-X55-W55-V55</f>
        <v>-71</v>
      </c>
      <c r="Z55" s="82">
        <v>-943</v>
      </c>
      <c r="AA55" s="71">
        <v>-94</v>
      </c>
      <c r="AB55" s="71">
        <f>126-AA55</f>
        <v>220</v>
      </c>
      <c r="AC55" s="71">
        <f>79-AB55-AA55</f>
        <v>-47</v>
      </c>
      <c r="AD55" s="79">
        <f t="shared" si="86"/>
        <v>-20</v>
      </c>
      <c r="AE55" s="82">
        <v>59</v>
      </c>
      <c r="AF55" s="71">
        <v>97</v>
      </c>
      <c r="AG55" s="71">
        <f>-27-AF55</f>
        <v>-124</v>
      </c>
      <c r="AH55" s="71">
        <f>-153-AG55-AF55</f>
        <v>-126</v>
      </c>
      <c r="AI55" s="71">
        <f>-153-AH55-AG55-AF55</f>
        <v>0</v>
      </c>
      <c r="AJ55" s="82">
        <f>SUM(AF55:AI55)</f>
        <v>-153</v>
      </c>
      <c r="AK55" s="71">
        <v>0</v>
      </c>
      <c r="AL55" s="71">
        <v>0</v>
      </c>
      <c r="AM55" s="71">
        <v>0</v>
      </c>
      <c r="AN55" s="71">
        <f>AO55-AM55-AL55-AK55</f>
        <v>19</v>
      </c>
      <c r="AO55" s="82">
        <v>19</v>
      </c>
      <c r="AP55" s="71">
        <v>3</v>
      </c>
      <c r="AQ55" s="79">
        <f>46-AP55</f>
        <v>43</v>
      </c>
      <c r="AR55" s="71">
        <f>78-AQ55-AP55</f>
        <v>32</v>
      </c>
      <c r="AS55" s="71">
        <f t="shared" ref="AS55:AS63" si="92">AT55-SUM(AP55:AR55)</f>
        <v>82</v>
      </c>
      <c r="AT55" s="78">
        <v>160</v>
      </c>
      <c r="AU55" s="78">
        <v>71</v>
      </c>
      <c r="AV55" s="71">
        <f>77-AU55</f>
        <v>6</v>
      </c>
      <c r="AW55" s="71">
        <f>-26-AV55-AU55</f>
        <v>-103</v>
      </c>
      <c r="AX55" s="71">
        <f t="shared" si="87"/>
        <v>3</v>
      </c>
      <c r="AY55" s="133">
        <v>-23</v>
      </c>
      <c r="AZ55" s="78">
        <v>165</v>
      </c>
      <c r="BA55" s="71">
        <f>315-AZ55</f>
        <v>150</v>
      </c>
      <c r="BB55" s="79">
        <f>315-BA55-AZ55</f>
        <v>0</v>
      </c>
      <c r="BC55" s="71">
        <f t="shared" ref="BC55:BC63" si="93">BD55-BB55-BA55-AZ55</f>
        <v>-464</v>
      </c>
      <c r="BD55" s="133">
        <v>-149</v>
      </c>
      <c r="BE55" s="78">
        <v>433</v>
      </c>
      <c r="BF55" s="71">
        <f>475-BE55</f>
        <v>42</v>
      </c>
      <c r="BG55" s="71">
        <f>305-BF55-BE55</f>
        <v>-170</v>
      </c>
      <c r="BH55" s="79">
        <f t="shared" ref="BH55:BH63" si="94">BI55-BG55-BF55-BE55</f>
        <v>-26</v>
      </c>
      <c r="BI55" s="139">
        <v>279</v>
      </c>
      <c r="BJ55" s="78">
        <v>-43</v>
      </c>
      <c r="BK55" s="71">
        <f>108-BJ55</f>
        <v>151</v>
      </c>
      <c r="BL55" s="79">
        <f>-289-BK55-BJ55</f>
        <v>-397</v>
      </c>
      <c r="BM55" s="71">
        <f t="shared" ref="BM55:BM63" si="95">BN55-BL55-BK55-BJ55</f>
        <v>-6</v>
      </c>
      <c r="BN55" s="574">
        <v>-295</v>
      </c>
      <c r="BO55" s="71">
        <v>23</v>
      </c>
      <c r="BP55" s="71">
        <f>-5-BO55</f>
        <v>-28</v>
      </c>
      <c r="BQ55" s="71">
        <f>12-BP55-BO55</f>
        <v>17</v>
      </c>
      <c r="BR55" s="71">
        <f t="shared" si="88"/>
        <v>-17</v>
      </c>
      <c r="BS55" s="133">
        <v>-5</v>
      </c>
      <c r="BT55" s="78">
        <v>0</v>
      </c>
      <c r="BU55" s="71">
        <v>0</v>
      </c>
      <c r="BV55" s="71">
        <v>0</v>
      </c>
      <c r="BW55" s="71">
        <f t="shared" si="89"/>
        <v>0</v>
      </c>
      <c r="BX55" s="133">
        <v>0</v>
      </c>
      <c r="BY55" s="78">
        <v>0</v>
      </c>
      <c r="BZ55" s="71">
        <f>0-BY55</f>
        <v>0</v>
      </c>
      <c r="CA55" s="71">
        <f>10-SUM(BY55:BZ55)</f>
        <v>10</v>
      </c>
      <c r="CB55" s="71">
        <f t="shared" ref="CB55:CB63" si="96">CC55-SUM(BY55:CA55)</f>
        <v>-10</v>
      </c>
      <c r="CC55" s="574">
        <v>0</v>
      </c>
      <c r="CD55" s="71">
        <v>0</v>
      </c>
      <c r="CE55" s="71">
        <v>0</v>
      </c>
      <c r="CF55" s="71">
        <v>0</v>
      </c>
      <c r="CG55" s="71">
        <f t="shared" si="90"/>
        <v>0</v>
      </c>
      <c r="CH55" s="133">
        <v>0</v>
      </c>
      <c r="CI55" s="1012">
        <v>35</v>
      </c>
      <c r="CJ55" s="1012">
        <f>178-CI55</f>
        <v>143</v>
      </c>
      <c r="CK55" s="1012">
        <f>397-CJ55-CI55</f>
        <v>219</v>
      </c>
      <c r="CL55" s="1012">
        <f>CM55-CK55-CJ55-CI55</f>
        <v>19</v>
      </c>
      <c r="CM55" s="996">
        <v>416</v>
      </c>
      <c r="CN55" s="860"/>
      <c r="CO55" s="71"/>
      <c r="CP55" s="71"/>
      <c r="CQ55" s="71"/>
      <c r="CR55" s="1081">
        <v>609</v>
      </c>
      <c r="CS55" s="1007">
        <v>-524</v>
      </c>
      <c r="CT55" s="1007">
        <v>561</v>
      </c>
      <c r="CU55" s="1007">
        <v>-738</v>
      </c>
      <c r="CV55" s="71">
        <f t="shared" ref="CV55:CV62" si="97">CW55-CU55-CT55-CS55</f>
        <v>101</v>
      </c>
      <c r="CW55" s="133">
        <f>1400-2000</f>
        <v>-600</v>
      </c>
      <c r="CX55" s="71">
        <v>0</v>
      </c>
      <c r="CY55" s="71">
        <v>0</v>
      </c>
      <c r="CZ55" s="71">
        <v>0</v>
      </c>
      <c r="DA55" s="71">
        <v>0</v>
      </c>
      <c r="DB55" s="133">
        <f t="shared" si="91"/>
        <v>0</v>
      </c>
      <c r="DC55" s="79">
        <v>0</v>
      </c>
      <c r="DD55" s="79">
        <v>0</v>
      </c>
      <c r="DE55" s="79">
        <v>0</v>
      </c>
      <c r="DF55" s="79">
        <v>0</v>
      </c>
      <c r="DG55" s="139">
        <f>SUM(DC55:DF55)</f>
        <v>0</v>
      </c>
      <c r="DH55" s="79">
        <v>0</v>
      </c>
      <c r="DI55" s="79">
        <v>0</v>
      </c>
      <c r="DJ55" s="79">
        <v>0</v>
      </c>
      <c r="DK55" s="79">
        <v>0</v>
      </c>
      <c r="DL55" s="139">
        <f>SUM(DH55:DK55)</f>
        <v>0</v>
      </c>
      <c r="DM55" s="79">
        <v>0</v>
      </c>
      <c r="DN55" s="79">
        <v>0</v>
      </c>
      <c r="DO55" s="79">
        <v>0</v>
      </c>
      <c r="DP55" s="79">
        <v>0</v>
      </c>
      <c r="DQ55" s="139">
        <f>SUM(DM55:DP55)</f>
        <v>0</v>
      </c>
      <c r="DR55" s="79">
        <v>0</v>
      </c>
      <c r="DS55" s="79">
        <v>0</v>
      </c>
      <c r="DT55" s="79">
        <v>0</v>
      </c>
      <c r="DU55" s="79">
        <v>0</v>
      </c>
      <c r="DV55" s="139">
        <f>SUM(DR55:DU55)</f>
        <v>0</v>
      </c>
      <c r="DW55" s="79">
        <v>0</v>
      </c>
      <c r="DX55" s="79">
        <v>0</v>
      </c>
      <c r="DY55" s="79">
        <v>0</v>
      </c>
      <c r="DZ55" s="79">
        <v>0</v>
      </c>
      <c r="EA55" s="139">
        <f>SUM(DW55:DZ55)</f>
        <v>0</v>
      </c>
      <c r="EB55" s="1058"/>
      <c r="EC55" s="1058"/>
      <c r="ED55" s="1058"/>
      <c r="EE55" s="1058"/>
      <c r="EF55" s="1010"/>
      <c r="EI55"/>
      <c r="EJ55"/>
      <c r="EK55"/>
      <c r="EL55"/>
      <c r="EM55"/>
      <c r="EN55"/>
    </row>
    <row r="56" spans="1:147" s="1324" customFormat="1" x14ac:dyDescent="0.2">
      <c r="A56" s="446" t="s">
        <v>40</v>
      </c>
      <c r="B56" s="71"/>
      <c r="C56" s="71"/>
      <c r="D56" s="71"/>
      <c r="E56" s="71"/>
      <c r="F56" s="60"/>
      <c r="G56" s="71"/>
      <c r="H56" s="71"/>
      <c r="I56" s="71"/>
      <c r="J56" s="155"/>
      <c r="K56" s="60"/>
      <c r="L56" s="15">
        <v>1</v>
      </c>
      <c r="M56" s="71">
        <f>3-L56</f>
        <v>2</v>
      </c>
      <c r="N56" s="71">
        <f>3-M56-L56</f>
        <v>0</v>
      </c>
      <c r="O56" s="71">
        <f>P56-N56-M56-L56</f>
        <v>1</v>
      </c>
      <c r="P56" s="82">
        <v>4</v>
      </c>
      <c r="Q56" s="15">
        <v>1</v>
      </c>
      <c r="R56" s="71">
        <f>2-Q56</f>
        <v>1</v>
      </c>
      <c r="S56" s="71">
        <f>3-R56-Q56</f>
        <v>1</v>
      </c>
      <c r="T56" s="71">
        <f>U56-S56-R56-Q56</f>
        <v>-3</v>
      </c>
      <c r="U56" s="82">
        <v>0</v>
      </c>
      <c r="V56" s="14">
        <v>0</v>
      </c>
      <c r="W56" s="71">
        <f>1-V56</f>
        <v>1</v>
      </c>
      <c r="X56" s="71">
        <f>1-W56-V56</f>
        <v>0</v>
      </c>
      <c r="Y56" s="71">
        <f>Z56-X56-W56-V56</f>
        <v>0</v>
      </c>
      <c r="Z56" s="82">
        <v>1</v>
      </c>
      <c r="AA56" s="15">
        <v>0</v>
      </c>
      <c r="AB56" s="71">
        <f>0-AA56</f>
        <v>0</v>
      </c>
      <c r="AC56" s="71">
        <v>0</v>
      </c>
      <c r="AD56" s="79">
        <f t="shared" si="86"/>
        <v>0</v>
      </c>
      <c r="AE56" s="82">
        <v>0</v>
      </c>
      <c r="AF56" s="71">
        <v>0</v>
      </c>
      <c r="AG56" s="71">
        <v>0</v>
      </c>
      <c r="AH56" s="71">
        <v>0</v>
      </c>
      <c r="AI56" s="71">
        <v>0</v>
      </c>
      <c r="AJ56" s="82">
        <f>SUM(AF56:AI56)</f>
        <v>0</v>
      </c>
      <c r="AK56" s="71">
        <v>0</v>
      </c>
      <c r="AL56" s="71">
        <v>0</v>
      </c>
      <c r="AM56" s="71">
        <v>0</v>
      </c>
      <c r="AN56" s="71">
        <v>0</v>
      </c>
      <c r="AO56" s="82">
        <f>SUM(AK56:AN56)</f>
        <v>0</v>
      </c>
      <c r="AP56" s="71">
        <v>0</v>
      </c>
      <c r="AQ56" s="79">
        <v>0</v>
      </c>
      <c r="AR56" s="71">
        <v>0</v>
      </c>
      <c r="AS56" s="71">
        <f t="shared" si="92"/>
        <v>0</v>
      </c>
      <c r="AT56" s="78"/>
      <c r="AU56" s="78">
        <v>0</v>
      </c>
      <c r="AV56" s="71">
        <f>AU56</f>
        <v>0</v>
      </c>
      <c r="AW56" s="71">
        <f>AV56</f>
        <v>0</v>
      </c>
      <c r="AX56" s="71">
        <f t="shared" si="87"/>
        <v>0</v>
      </c>
      <c r="AY56" s="133">
        <v>0</v>
      </c>
      <c r="AZ56" s="78">
        <f>AX56</f>
        <v>0</v>
      </c>
      <c r="BA56" s="71">
        <v>0</v>
      </c>
      <c r="BB56" s="79">
        <f>BA56</f>
        <v>0</v>
      </c>
      <c r="BC56" s="71">
        <f t="shared" si="93"/>
        <v>1195</v>
      </c>
      <c r="BD56" s="133">
        <v>1195</v>
      </c>
      <c r="BE56" s="78">
        <v>0</v>
      </c>
      <c r="BF56" s="71">
        <v>0</v>
      </c>
      <c r="BG56" s="71">
        <f>375-BF56-BE56</f>
        <v>375</v>
      </c>
      <c r="BH56" s="79">
        <f t="shared" si="94"/>
        <v>0</v>
      </c>
      <c r="BI56" s="139">
        <v>375</v>
      </c>
      <c r="BJ56" s="78">
        <v>0</v>
      </c>
      <c r="BK56" s="71">
        <v>0</v>
      </c>
      <c r="BL56" s="79">
        <f>499-BK56-BJ56</f>
        <v>499</v>
      </c>
      <c r="BM56" s="71">
        <f t="shared" si="95"/>
        <v>0</v>
      </c>
      <c r="BN56" s="574">
        <v>499</v>
      </c>
      <c r="BO56" s="71">
        <v>0</v>
      </c>
      <c r="BP56" s="71">
        <v>0</v>
      </c>
      <c r="BQ56" s="71">
        <f>350-BP56-BO56</f>
        <v>350</v>
      </c>
      <c r="BR56" s="71">
        <f t="shared" si="88"/>
        <v>0</v>
      </c>
      <c r="BS56" s="133">
        <v>350</v>
      </c>
      <c r="BT56" s="78">
        <v>0</v>
      </c>
      <c r="BU56" s="71">
        <f>350-BT56</f>
        <v>350</v>
      </c>
      <c r="BV56" s="71">
        <f>349-BU56-BT56</f>
        <v>-1</v>
      </c>
      <c r="BW56" s="71">
        <f t="shared" si="89"/>
        <v>55</v>
      </c>
      <c r="BX56" s="133">
        <v>404</v>
      </c>
      <c r="BY56" s="78">
        <v>0</v>
      </c>
      <c r="BZ56" s="71">
        <f>0-BY56</f>
        <v>0</v>
      </c>
      <c r="CA56" s="71">
        <f>0-SUM(BY56:BZ56)</f>
        <v>0</v>
      </c>
      <c r="CB56" s="71">
        <f t="shared" si="96"/>
        <v>0</v>
      </c>
      <c r="CC56" s="574">
        <v>0</v>
      </c>
      <c r="CD56" s="71">
        <v>0</v>
      </c>
      <c r="CE56" s="71">
        <v>0</v>
      </c>
      <c r="CF56" s="71">
        <v>0</v>
      </c>
      <c r="CG56" s="71">
        <f t="shared" si="90"/>
        <v>599</v>
      </c>
      <c r="CH56" s="133">
        <v>599</v>
      </c>
      <c r="CI56" s="1012">
        <v>0</v>
      </c>
      <c r="CJ56" s="1012">
        <v>0</v>
      </c>
      <c r="CK56" s="1012">
        <v>0</v>
      </c>
      <c r="CL56" s="1012">
        <v>0</v>
      </c>
      <c r="CM56" s="996">
        <f>SUM(CI56:CL56)</f>
        <v>0</v>
      </c>
      <c r="CN56" s="860"/>
      <c r="CO56" s="71"/>
      <c r="CP56" s="71"/>
      <c r="CQ56" s="71"/>
      <c r="CR56" s="1081">
        <v>0</v>
      </c>
      <c r="CS56" s="1007">
        <v>0</v>
      </c>
      <c r="CT56" s="1007">
        <v>2300</v>
      </c>
      <c r="CU56" s="1007">
        <v>4600</v>
      </c>
      <c r="CV56" s="71">
        <f t="shared" si="97"/>
        <v>0</v>
      </c>
      <c r="CW56" s="133">
        <v>6900</v>
      </c>
      <c r="CX56" s="71">
        <v>192</v>
      </c>
      <c r="CY56" s="71">
        <f>1088-CX56</f>
        <v>896</v>
      </c>
      <c r="CZ56" s="71">
        <f>1088-CY56-CX56</f>
        <v>0</v>
      </c>
      <c r="DA56" s="71">
        <f>1088-SUM(CX56:CZ56)</f>
        <v>0</v>
      </c>
      <c r="DB56" s="133">
        <f>SUM(CX56:DA56)</f>
        <v>1088</v>
      </c>
      <c r="DC56" s="79">
        <v>0</v>
      </c>
      <c r="DD56" s="79">
        <v>325</v>
      </c>
      <c r="DE56" s="79">
        <v>0</v>
      </c>
      <c r="DF56" s="79">
        <v>0</v>
      </c>
      <c r="DG56" s="139">
        <f>SUM(DC56:DF56)</f>
        <v>325</v>
      </c>
      <c r="DH56" s="79">
        <v>0</v>
      </c>
      <c r="DI56" s="79">
        <v>0</v>
      </c>
      <c r="DJ56" s="79">
        <v>0</v>
      </c>
      <c r="DK56" s="79">
        <v>250</v>
      </c>
      <c r="DL56" s="139">
        <f>SUM(DH56:DK56)</f>
        <v>250</v>
      </c>
      <c r="DM56" s="79">
        <v>0</v>
      </c>
      <c r="DN56" s="79">
        <v>0</v>
      </c>
      <c r="DO56" s="79">
        <v>800</v>
      </c>
      <c r="DP56" s="79">
        <v>0</v>
      </c>
      <c r="DQ56" s="139">
        <v>0</v>
      </c>
      <c r="DR56" s="79">
        <v>0</v>
      </c>
      <c r="DS56" s="79">
        <v>0</v>
      </c>
      <c r="DT56" s="79">
        <v>0</v>
      </c>
      <c r="DU56" s="79">
        <v>0</v>
      </c>
      <c r="DV56" s="139">
        <v>0</v>
      </c>
      <c r="DW56" s="79">
        <v>0</v>
      </c>
      <c r="DX56" s="79">
        <v>0</v>
      </c>
      <c r="DY56" s="79">
        <v>0</v>
      </c>
      <c r="DZ56" s="79">
        <v>0</v>
      </c>
      <c r="EA56" s="139">
        <v>0</v>
      </c>
      <c r="EB56" s="1010"/>
      <c r="EC56" s="1010"/>
      <c r="ED56" s="1010"/>
      <c r="EE56" s="1010"/>
      <c r="EF56" s="1010"/>
      <c r="EI56"/>
      <c r="EJ56"/>
      <c r="EK56"/>
      <c r="EL56"/>
      <c r="EM56"/>
      <c r="EN56"/>
    </row>
    <row r="57" spans="1:147" x14ac:dyDescent="0.2">
      <c r="A57" s="446" t="s">
        <v>41</v>
      </c>
      <c r="B57" s="15"/>
      <c r="C57" s="15"/>
      <c r="D57" s="15"/>
      <c r="E57" s="15"/>
      <c r="F57" s="59"/>
      <c r="G57" s="15"/>
      <c r="H57" s="15"/>
      <c r="I57" s="15"/>
      <c r="J57" s="15"/>
      <c r="K57" s="59"/>
      <c r="L57" s="62">
        <v>-13</v>
      </c>
      <c r="M57" s="62">
        <f>-84-L57</f>
        <v>-71</v>
      </c>
      <c r="N57" s="62">
        <f>-138-M57-L57</f>
        <v>-54</v>
      </c>
      <c r="O57" s="71">
        <f>P57-N57-M57-L57</f>
        <v>-42</v>
      </c>
      <c r="P57" s="82">
        <v>-180</v>
      </c>
      <c r="Q57" s="62">
        <v>-36</v>
      </c>
      <c r="R57" s="62">
        <f>-39-Q57</f>
        <v>-3</v>
      </c>
      <c r="S57" s="62">
        <f>-72-R57-Q57</f>
        <v>-33</v>
      </c>
      <c r="T57" s="71">
        <f>U57-S57-R57-Q57</f>
        <v>-27</v>
      </c>
      <c r="U57" s="82">
        <v>-99</v>
      </c>
      <c r="V57" s="77">
        <v>-2</v>
      </c>
      <c r="W57" s="62">
        <f>-252-V57</f>
        <v>-250</v>
      </c>
      <c r="X57" s="62">
        <f>-256-W57-V57</f>
        <v>-4</v>
      </c>
      <c r="Y57" s="71">
        <f>Z57-X57-W57-V57</f>
        <v>-2</v>
      </c>
      <c r="Z57" s="82">
        <v>-258</v>
      </c>
      <c r="AA57" s="62">
        <v>-22</v>
      </c>
      <c r="AB57" s="62">
        <f>-74-AA57</f>
        <v>-52</v>
      </c>
      <c r="AC57" s="62">
        <f>-498-AB57-AA57</f>
        <v>-424</v>
      </c>
      <c r="AD57" s="71">
        <f t="shared" si="86"/>
        <v>-13</v>
      </c>
      <c r="AE57" s="82">
        <v>-511</v>
      </c>
      <c r="AF57" s="71">
        <v>-2</v>
      </c>
      <c r="AG57" s="71">
        <f>-6-AF57</f>
        <v>-4</v>
      </c>
      <c r="AH57" s="71">
        <f>-15-AG57-AF57</f>
        <v>-9</v>
      </c>
      <c r="AI57" s="71">
        <f>-17-AH57-AG57-AF57</f>
        <v>-2</v>
      </c>
      <c r="AJ57" s="82">
        <f>SUM(AF57:AI57)</f>
        <v>-17</v>
      </c>
      <c r="AK57" s="71">
        <v>-3</v>
      </c>
      <c r="AL57" s="71">
        <f>-7-AK57</f>
        <v>-4</v>
      </c>
      <c r="AM57" s="71">
        <f>-9-AL57-AK57</f>
        <v>-2</v>
      </c>
      <c r="AN57" s="71">
        <f>AO57-AM57-AL57-AK57</f>
        <v>-362</v>
      </c>
      <c r="AO57" s="82">
        <v>-371</v>
      </c>
      <c r="AP57" s="71">
        <v>-3</v>
      </c>
      <c r="AQ57" s="71">
        <f>-9-AP57</f>
        <v>-6</v>
      </c>
      <c r="AR57" s="71">
        <f>-11-AQ57-AP57</f>
        <v>-2</v>
      </c>
      <c r="AS57" s="71">
        <f t="shared" si="92"/>
        <v>-3</v>
      </c>
      <c r="AT57" s="78">
        <v>-14</v>
      </c>
      <c r="AU57" s="78">
        <v>-4</v>
      </c>
      <c r="AV57" s="71">
        <f>-203-AU57</f>
        <v>-199</v>
      </c>
      <c r="AW57" s="71">
        <f>-207-AV57-AU57</f>
        <v>-4</v>
      </c>
      <c r="AX57" s="71">
        <f t="shared" si="87"/>
        <v>-4</v>
      </c>
      <c r="AY57" s="133">
        <v>-211</v>
      </c>
      <c r="AZ57" s="78">
        <v>-2</v>
      </c>
      <c r="BA57" s="71">
        <f>-7-AZ57</f>
        <v>-5</v>
      </c>
      <c r="BB57" s="71">
        <f>-11-BA57-AZ57</f>
        <v>-4</v>
      </c>
      <c r="BC57" s="71">
        <f t="shared" si="93"/>
        <v>-13</v>
      </c>
      <c r="BD57" s="133">
        <v>-24</v>
      </c>
      <c r="BE57" s="78">
        <v>-4</v>
      </c>
      <c r="BF57" s="71">
        <f>-257-BE57</f>
        <v>-253</v>
      </c>
      <c r="BG57" s="71">
        <f>-260-BF57-BE57</f>
        <v>-3</v>
      </c>
      <c r="BH57" s="71">
        <f t="shared" si="94"/>
        <v>-8</v>
      </c>
      <c r="BI57" s="133">
        <v>-268</v>
      </c>
      <c r="BJ57" s="78">
        <v>-2</v>
      </c>
      <c r="BK57" s="71">
        <f>-144-BJ57</f>
        <v>-142</v>
      </c>
      <c r="BL57" s="71">
        <f>-522-BK57-BJ57</f>
        <v>-378</v>
      </c>
      <c r="BM57" s="71">
        <f t="shared" si="95"/>
        <v>-6</v>
      </c>
      <c r="BN57" s="574">
        <v>-528</v>
      </c>
      <c r="BO57" s="71">
        <v>-3</v>
      </c>
      <c r="BP57" s="71">
        <f>-8-BO57</f>
        <v>-5</v>
      </c>
      <c r="BQ57" s="71">
        <f>-20-BP57-BO57</f>
        <v>-12</v>
      </c>
      <c r="BR57" s="71">
        <f t="shared" si="88"/>
        <v>-9</v>
      </c>
      <c r="BS57" s="133">
        <v>-29</v>
      </c>
      <c r="BT57" s="78">
        <v>-4</v>
      </c>
      <c r="BU57" s="71">
        <f>-658-BT57</f>
        <v>-654</v>
      </c>
      <c r="BV57" s="71">
        <f>-662-BU57-BT57</f>
        <v>-4</v>
      </c>
      <c r="BW57" s="71">
        <f t="shared" si="89"/>
        <v>-4</v>
      </c>
      <c r="BX57" s="133">
        <v>-666</v>
      </c>
      <c r="BY57" s="78">
        <v>-3</v>
      </c>
      <c r="BZ57" s="71">
        <f>-15-BY57</f>
        <v>-12</v>
      </c>
      <c r="CA57" s="71">
        <f>-280-SUM(BY57:BZ57)</f>
        <v>-265</v>
      </c>
      <c r="CB57" s="71">
        <f t="shared" si="96"/>
        <v>-2</v>
      </c>
      <c r="CC57" s="574">
        <v>-282</v>
      </c>
      <c r="CD57" s="71">
        <v>-1</v>
      </c>
      <c r="CE57" s="71">
        <f>-4-CD57</f>
        <v>-3</v>
      </c>
      <c r="CF57" s="71">
        <f>-5-SUM(CD57:CE57)</f>
        <v>-1</v>
      </c>
      <c r="CG57" s="71">
        <f t="shared" si="90"/>
        <v>-661</v>
      </c>
      <c r="CH57" s="133">
        <v>-666</v>
      </c>
      <c r="CI57" s="1012">
        <v>-2</v>
      </c>
      <c r="CJ57" s="1012">
        <f>-5-CI57</f>
        <v>-3</v>
      </c>
      <c r="CK57" s="1012">
        <f>-7-CJ57-CI57</f>
        <v>-2</v>
      </c>
      <c r="CL57" s="1013">
        <f t="shared" ref="CL57:CL63" si="98">CM57-CK57-CJ57-CI57</f>
        <v>-59</v>
      </c>
      <c r="CM57" s="996">
        <v>-66</v>
      </c>
      <c r="CN57" s="860"/>
      <c r="CO57" s="71"/>
      <c r="CP57" s="71"/>
      <c r="CQ57" s="71"/>
      <c r="CR57" s="1081">
        <v>-263</v>
      </c>
      <c r="CS57" s="1007">
        <v>-2</v>
      </c>
      <c r="CT57" s="1007">
        <v>-302</v>
      </c>
      <c r="CU57" s="1072">
        <v>0</v>
      </c>
      <c r="CV57" s="1040">
        <f t="shared" si="97"/>
        <v>-20</v>
      </c>
      <c r="CW57" s="133">
        <v>-324</v>
      </c>
      <c r="CX57" s="1040">
        <v>-200</v>
      </c>
      <c r="CY57" s="1040">
        <f>-360-CX57</f>
        <v>-160</v>
      </c>
      <c r="CZ57" s="1040">
        <f>-372-CY57-CX57</f>
        <v>-12</v>
      </c>
      <c r="DA57" s="1040">
        <f>-385-SUM(CX57:CZ57)</f>
        <v>-13</v>
      </c>
      <c r="DB57" s="133">
        <f>SUM(CX57:DA57)</f>
        <v>-385</v>
      </c>
      <c r="DC57" s="1041">
        <v>0</v>
      </c>
      <c r="DD57" s="1041">
        <v>-325</v>
      </c>
      <c r="DE57" s="1041">
        <v>0</v>
      </c>
      <c r="DF57" s="1041">
        <v>0</v>
      </c>
      <c r="DG57" s="139">
        <f>SUM(DC57:DF57)</f>
        <v>-325</v>
      </c>
      <c r="DH57" s="1041">
        <v>0</v>
      </c>
      <c r="DI57" s="1041">
        <v>0</v>
      </c>
      <c r="DJ57" s="1041">
        <v>0</v>
      </c>
      <c r="DK57" s="1041">
        <v>-250</v>
      </c>
      <c r="DL57" s="139">
        <f>SUM(DH57:DK57)</f>
        <v>-250</v>
      </c>
      <c r="DM57" s="1041">
        <v>0</v>
      </c>
      <c r="DN57" s="1041">
        <v>0</v>
      </c>
      <c r="DO57" s="1041">
        <v>-800</v>
      </c>
      <c r="DP57" s="1041">
        <v>0</v>
      </c>
      <c r="DQ57" s="139">
        <f>SUM(DM57:DP57)</f>
        <v>-800</v>
      </c>
      <c r="DR57" s="1041">
        <v>0</v>
      </c>
      <c r="DS57" s="1041">
        <v>0</v>
      </c>
      <c r="DT57" s="1041">
        <v>0</v>
      </c>
      <c r="DU57" s="1041">
        <v>0</v>
      </c>
      <c r="DV57" s="139">
        <f>SUM(DR57:DU57)</f>
        <v>0</v>
      </c>
      <c r="DW57" s="1041">
        <v>0</v>
      </c>
      <c r="DX57" s="1041">
        <v>0</v>
      </c>
      <c r="DY57" s="1041">
        <v>0</v>
      </c>
      <c r="DZ57" s="1041">
        <v>0</v>
      </c>
      <c r="EA57" s="139">
        <f>SUM(DW57:DZ57)</f>
        <v>0</v>
      </c>
      <c r="EB57" s="1010"/>
      <c r="EC57" s="1010"/>
      <c r="ED57" s="1010"/>
      <c r="EE57" s="1010"/>
      <c r="EF57" s="1008"/>
      <c r="EG57" s="1243"/>
    </row>
    <row r="58" spans="1:147" x14ac:dyDescent="0.2">
      <c r="A58" s="446" t="s">
        <v>140</v>
      </c>
      <c r="B58" s="15"/>
      <c r="C58" s="15"/>
      <c r="D58" s="15"/>
      <c r="E58" s="15"/>
      <c r="F58" s="59"/>
      <c r="G58" s="15"/>
      <c r="H58" s="15"/>
      <c r="I58" s="15"/>
      <c r="J58" s="15"/>
      <c r="K58" s="59"/>
      <c r="L58" s="15">
        <v>9</v>
      </c>
      <c r="M58" s="62">
        <f>1-L58</f>
        <v>-8</v>
      </c>
      <c r="N58" s="62">
        <f>-6-M58-L58</f>
        <v>-7</v>
      </c>
      <c r="O58" s="71">
        <f>P58-N58-M58-L58</f>
        <v>27</v>
      </c>
      <c r="P58" s="82">
        <v>21</v>
      </c>
      <c r="Q58" s="15">
        <v>90</v>
      </c>
      <c r="R58" s="62">
        <f>-9-Q58</f>
        <v>-99</v>
      </c>
      <c r="S58" s="62">
        <f>7-R58-Q58</f>
        <v>16</v>
      </c>
      <c r="T58" s="71">
        <f>U58-S58-R58-Q58</f>
        <v>-18</v>
      </c>
      <c r="U58" s="82">
        <v>-11</v>
      </c>
      <c r="V58" s="14">
        <v>19</v>
      </c>
      <c r="W58" s="62">
        <f>60-V58</f>
        <v>41</v>
      </c>
      <c r="X58" s="62">
        <f>119-W58-V58</f>
        <v>59</v>
      </c>
      <c r="Y58" s="71">
        <f>Z58-X58-W58-V58</f>
        <v>-61</v>
      </c>
      <c r="Z58" s="82">
        <v>58</v>
      </c>
      <c r="AA58" s="15">
        <v>7</v>
      </c>
      <c r="AB58" s="62">
        <f>6-AA58</f>
        <v>-1</v>
      </c>
      <c r="AC58" s="62">
        <f>-25-AB58-AA58</f>
        <v>-31</v>
      </c>
      <c r="AD58" s="71">
        <f t="shared" si="86"/>
        <v>10</v>
      </c>
      <c r="AE58" s="82">
        <v>-15</v>
      </c>
      <c r="AF58" s="71">
        <v>-23</v>
      </c>
      <c r="AG58" s="71">
        <f>-48-AF58</f>
        <v>-25</v>
      </c>
      <c r="AH58" s="71">
        <f>-50-AG58-AF58</f>
        <v>-2</v>
      </c>
      <c r="AI58" s="71">
        <f>-137-AH58-AG58-AF58</f>
        <v>-87</v>
      </c>
      <c r="AJ58" s="82">
        <f>SUM(AF58:AI58)</f>
        <v>-137</v>
      </c>
      <c r="AK58" s="71">
        <v>7</v>
      </c>
      <c r="AL58" s="71">
        <f>0-AK58</f>
        <v>-7</v>
      </c>
      <c r="AM58" s="71">
        <v>0</v>
      </c>
      <c r="AN58" s="71">
        <v>0</v>
      </c>
      <c r="AO58" s="82">
        <v>0</v>
      </c>
      <c r="AP58" s="71">
        <v>-29</v>
      </c>
      <c r="AQ58" s="71">
        <f>-23-AP58</f>
        <v>6</v>
      </c>
      <c r="AR58" s="71">
        <f>-32-AQ58-AP58</f>
        <v>-9</v>
      </c>
      <c r="AS58" s="71">
        <f t="shared" si="92"/>
        <v>-2</v>
      </c>
      <c r="AT58" s="78">
        <v>-34</v>
      </c>
      <c r="AU58" s="78">
        <v>11</v>
      </c>
      <c r="AV58" s="71">
        <f>4-AU58</f>
        <v>-7</v>
      </c>
      <c r="AW58" s="71">
        <f>162-AV58-AU58</f>
        <v>158</v>
      </c>
      <c r="AX58" s="71">
        <f t="shared" si="87"/>
        <v>24</v>
      </c>
      <c r="AY58" s="133">
        <f>236-54+4</f>
        <v>186</v>
      </c>
      <c r="AZ58" s="78">
        <f>1-183-11</f>
        <v>-193</v>
      </c>
      <c r="BA58" s="71">
        <f>1-183+11-AZ58</f>
        <v>22</v>
      </c>
      <c r="BB58" s="71">
        <f>-3-BA58-AZ58-184+1</f>
        <v>-15</v>
      </c>
      <c r="BC58" s="71">
        <f t="shared" si="93"/>
        <v>-5</v>
      </c>
      <c r="BD58" s="133">
        <f>1-184-8</f>
        <v>-191</v>
      </c>
      <c r="BE58" s="78">
        <v>24</v>
      </c>
      <c r="BF58" s="71">
        <f>-9-BE58</f>
        <v>-33</v>
      </c>
      <c r="BG58" s="71">
        <f>-15-BF58-BE58</f>
        <v>-6</v>
      </c>
      <c r="BH58" s="71">
        <f t="shared" si="94"/>
        <v>4</v>
      </c>
      <c r="BI58" s="133">
        <v>-11</v>
      </c>
      <c r="BJ58" s="78">
        <v>4</v>
      </c>
      <c r="BK58" s="71">
        <f>4-BJ58</f>
        <v>0</v>
      </c>
      <c r="BL58" s="71">
        <f>5-BK58-BJ58</f>
        <v>1</v>
      </c>
      <c r="BM58" s="71">
        <f t="shared" si="95"/>
        <v>-13</v>
      </c>
      <c r="BN58" s="574">
        <v>-8</v>
      </c>
      <c r="BO58" s="71">
        <v>-3</v>
      </c>
      <c r="BP58" s="71">
        <f>-3-BO58</f>
        <v>0</v>
      </c>
      <c r="BQ58" s="71">
        <f>5-BP58-BO58</f>
        <v>8</v>
      </c>
      <c r="BR58" s="71">
        <f t="shared" si="88"/>
        <v>-8</v>
      </c>
      <c r="BS58" s="133">
        <v>-3</v>
      </c>
      <c r="BT58" s="78">
        <v>0</v>
      </c>
      <c r="BU58" s="71">
        <v>0</v>
      </c>
      <c r="BV58" s="71">
        <v>0</v>
      </c>
      <c r="BW58" s="71">
        <f t="shared" si="89"/>
        <v>0</v>
      </c>
      <c r="BX58" s="133">
        <v>0</v>
      </c>
      <c r="BY58" s="78">
        <v>0</v>
      </c>
      <c r="BZ58" s="71">
        <f>0-BY58</f>
        <v>0</v>
      </c>
      <c r="CA58" s="71">
        <f>2-SUM(BY58:BZ58)</f>
        <v>2</v>
      </c>
      <c r="CB58" s="71">
        <f t="shared" si="96"/>
        <v>-2</v>
      </c>
      <c r="CC58" s="574">
        <v>0</v>
      </c>
      <c r="CD58" s="71">
        <v>9</v>
      </c>
      <c r="CE58" s="71">
        <f>55-CD58</f>
        <v>46</v>
      </c>
      <c r="CF58" s="71">
        <f>2-SUM(CD58:CE58)</f>
        <v>-53</v>
      </c>
      <c r="CG58" s="71">
        <f t="shared" si="90"/>
        <v>-2</v>
      </c>
      <c r="CH58" s="133">
        <v>0</v>
      </c>
      <c r="CI58" s="1012">
        <v>0</v>
      </c>
      <c r="CJ58" s="1012">
        <v>0</v>
      </c>
      <c r="CK58" s="1012">
        <f>2-CJ58-CI58</f>
        <v>2</v>
      </c>
      <c r="CL58" s="1013">
        <f t="shared" si="98"/>
        <v>-2</v>
      </c>
      <c r="CM58" s="996">
        <v>0</v>
      </c>
      <c r="CN58" s="860"/>
      <c r="CO58" s="71"/>
      <c r="CP58" s="71"/>
      <c r="CQ58" s="71"/>
      <c r="CR58" s="1081">
        <v>285</v>
      </c>
      <c r="CS58" s="1007">
        <v>1400</v>
      </c>
      <c r="CT58" s="1007">
        <v>-2000</v>
      </c>
      <c r="CU58" s="1072">
        <v>0</v>
      </c>
      <c r="CV58" s="1040">
        <f t="shared" si="97"/>
        <v>-101</v>
      </c>
      <c r="CW58" s="133">
        <v>-701</v>
      </c>
      <c r="CX58" s="1040">
        <v>0</v>
      </c>
      <c r="CY58" s="1040">
        <v>0</v>
      </c>
      <c r="CZ58" s="1040">
        <f>35-CY58-CX58</f>
        <v>35</v>
      </c>
      <c r="DA58" s="1040">
        <f>0-SUM(CX58:CZ58)</f>
        <v>-35</v>
      </c>
      <c r="DB58" s="133">
        <f>SUM(CX58:DA58)</f>
        <v>0</v>
      </c>
      <c r="DC58" s="1041">
        <f>BS!DE35-BS!DD35</f>
        <v>0</v>
      </c>
      <c r="DD58" s="1041">
        <f>BS!DF35-BS!DE35</f>
        <v>0</v>
      </c>
      <c r="DE58" s="1041">
        <f>BS!DG35-BS!DF35</f>
        <v>0</v>
      </c>
      <c r="DF58" s="1041">
        <f>BS!DH35-BS!DG35</f>
        <v>0</v>
      </c>
      <c r="DG58" s="139">
        <f>SUM(DC58:DF58)</f>
        <v>0</v>
      </c>
      <c r="DH58" s="1041">
        <f>BS!DJ35-BS!DI35</f>
        <v>0</v>
      </c>
      <c r="DI58" s="1041">
        <f>BS!DK35-BS!DJ35</f>
        <v>0</v>
      </c>
      <c r="DJ58" s="1041">
        <f>BS!DL35-BS!DK35</f>
        <v>0</v>
      </c>
      <c r="DK58" s="1041">
        <f>BS!DM35-BS!DL35</f>
        <v>0</v>
      </c>
      <c r="DL58" s="139">
        <f>SUM(DH58:DK58)</f>
        <v>0</v>
      </c>
      <c r="DM58" s="1041">
        <f>BS!DO35-BS!DN35</f>
        <v>0</v>
      </c>
      <c r="DN58" s="1041">
        <f>BS!DP35-BS!DO35</f>
        <v>0</v>
      </c>
      <c r="DO58" s="1041">
        <f>BS!DQ35-BS!DP35</f>
        <v>0</v>
      </c>
      <c r="DP58" s="1041">
        <f>BS!DR35-BS!DQ35</f>
        <v>0</v>
      </c>
      <c r="DQ58" s="139">
        <f>SUM(DM58:DP58)</f>
        <v>0</v>
      </c>
      <c r="DR58" s="1041">
        <f>BS!DT35-BS!DS35</f>
        <v>0</v>
      </c>
      <c r="DS58" s="1041">
        <f>BS!DU35-BS!DT35</f>
        <v>0</v>
      </c>
      <c r="DT58" s="1041">
        <f>BS!DV35-BS!DU35</f>
        <v>0</v>
      </c>
      <c r="DU58" s="1041">
        <f>BS!DW35-BS!DV35</f>
        <v>0</v>
      </c>
      <c r="DV58" s="139">
        <f>SUM(DR58:DU58)</f>
        <v>0</v>
      </c>
      <c r="DW58" s="1041">
        <f>BS!DY35-BS!DX35</f>
        <v>0</v>
      </c>
      <c r="DX58" s="1041">
        <f>BS!DZ35-BS!DY35</f>
        <v>0</v>
      </c>
      <c r="DY58" s="1041">
        <f>BS!EA35-BS!DZ35</f>
        <v>0</v>
      </c>
      <c r="DZ58" s="1041">
        <f>BS!EB35-BS!EA35</f>
        <v>0</v>
      </c>
      <c r="EA58" s="139">
        <f>SUM(DW58:DZ58)</f>
        <v>0</v>
      </c>
      <c r="EB58" s="1008"/>
      <c r="EC58" s="1008"/>
      <c r="ED58" s="1008"/>
      <c r="EE58" s="1008"/>
      <c r="EF58" s="1008"/>
      <c r="EG58" s="1243"/>
    </row>
    <row r="59" spans="1:147" x14ac:dyDescent="0.2">
      <c r="A59" s="446" t="s">
        <v>141</v>
      </c>
      <c r="B59" s="15"/>
      <c r="C59" s="15"/>
      <c r="D59" s="15"/>
      <c r="E59" s="15"/>
      <c r="F59" s="59"/>
      <c r="G59" s="15"/>
      <c r="H59" s="15"/>
      <c r="I59" s="15"/>
      <c r="J59" s="15"/>
      <c r="K59" s="59"/>
      <c r="L59" s="71">
        <v>0</v>
      </c>
      <c r="M59" s="71">
        <v>0</v>
      </c>
      <c r="N59" s="71">
        <v>0</v>
      </c>
      <c r="O59" s="71">
        <f>P59-N59-M59-L59</f>
        <v>-134</v>
      </c>
      <c r="P59" s="82">
        <v>-134</v>
      </c>
      <c r="Q59" s="71">
        <v>-138</v>
      </c>
      <c r="R59" s="71">
        <f>-216-Q59</f>
        <v>-78</v>
      </c>
      <c r="S59" s="71">
        <f>-216-R59-Q59</f>
        <v>0</v>
      </c>
      <c r="T59" s="71">
        <f>U59-S59-R59-Q59</f>
        <v>0</v>
      </c>
      <c r="U59" s="82">
        <v>-216</v>
      </c>
      <c r="V59" s="78">
        <v>-10</v>
      </c>
      <c r="W59" s="71">
        <f>-21-V59</f>
        <v>-11</v>
      </c>
      <c r="X59" s="71">
        <f>-98-W59-V59</f>
        <v>-77</v>
      </c>
      <c r="Y59" s="71">
        <f>Z59-X59-W59-V59</f>
        <v>-2</v>
      </c>
      <c r="Z59" s="82">
        <v>-100</v>
      </c>
      <c r="AA59" s="71">
        <v>-8</v>
      </c>
      <c r="AB59" s="71">
        <f>-68-AA59</f>
        <v>-60</v>
      </c>
      <c r="AC59" s="71">
        <f>-161-AB59-AA59</f>
        <v>-93</v>
      </c>
      <c r="AD59" s="71">
        <f t="shared" si="86"/>
        <v>-67</v>
      </c>
      <c r="AE59" s="82">
        <v>-228</v>
      </c>
      <c r="AF59" s="71">
        <v>-48</v>
      </c>
      <c r="AG59" s="71">
        <f>-82-AF59</f>
        <v>-34</v>
      </c>
      <c r="AH59" s="71">
        <f>-121-AG59-AF59</f>
        <v>-39</v>
      </c>
      <c r="AI59" s="71">
        <f>-278-AH59-AG59-AF59</f>
        <v>-157</v>
      </c>
      <c r="AJ59" s="82">
        <f>SUM(AF59:AI59)</f>
        <v>-278</v>
      </c>
      <c r="AK59" s="71">
        <v>-216</v>
      </c>
      <c r="AL59" s="71">
        <f>-294-AK59</f>
        <v>-78</v>
      </c>
      <c r="AM59" s="71">
        <f>-294-AL59-AK59</f>
        <v>0</v>
      </c>
      <c r="AN59" s="71">
        <f>AO59-AM59-AL59-AK59</f>
        <v>-275</v>
      </c>
      <c r="AO59" s="82">
        <v>-569</v>
      </c>
      <c r="AP59" s="71">
        <v>-116</v>
      </c>
      <c r="AQ59" s="71">
        <f>-489-AP59</f>
        <v>-373</v>
      </c>
      <c r="AR59" s="71">
        <f>-678-AQ59-AP59</f>
        <v>-189</v>
      </c>
      <c r="AS59" s="71">
        <f t="shared" si="92"/>
        <v>-378</v>
      </c>
      <c r="AT59" s="78">
        <v>-1056</v>
      </c>
      <c r="AU59" s="78">
        <v>-371</v>
      </c>
      <c r="AV59" s="71">
        <f>-529-AU59</f>
        <v>-158</v>
      </c>
      <c r="AW59" s="71">
        <f>-853-AV59-AU59</f>
        <v>-324</v>
      </c>
      <c r="AX59" s="71">
        <f t="shared" si="87"/>
        <v>-130</v>
      </c>
      <c r="AY59" s="133">
        <v>-983</v>
      </c>
      <c r="AZ59" s="78">
        <v>-246</v>
      </c>
      <c r="BA59" s="71">
        <f>-477-AZ59</f>
        <v>-231</v>
      </c>
      <c r="BB59" s="71">
        <f>-774-BA59-AZ59</f>
        <v>-297</v>
      </c>
      <c r="BC59" s="71">
        <f t="shared" si="93"/>
        <v>-636</v>
      </c>
      <c r="BD59" s="133">
        <v>-1410</v>
      </c>
      <c r="BE59" s="78">
        <v>-994</v>
      </c>
      <c r="BF59" s="71">
        <f>-994-BE59</f>
        <v>0</v>
      </c>
      <c r="BG59" s="71">
        <f>-1513-BF59-BE59</f>
        <v>-519</v>
      </c>
      <c r="BH59" s="71">
        <f t="shared" si="94"/>
        <v>-115</v>
      </c>
      <c r="BI59" s="133">
        <v>-1628</v>
      </c>
      <c r="BJ59" s="78">
        <v>0</v>
      </c>
      <c r="BK59" s="71">
        <v>0</v>
      </c>
      <c r="BL59" s="71">
        <v>0</v>
      </c>
      <c r="BM59" s="71">
        <f t="shared" si="95"/>
        <v>0</v>
      </c>
      <c r="BN59" s="574">
        <v>0</v>
      </c>
      <c r="BO59" s="71">
        <v>-132</v>
      </c>
      <c r="BP59" s="71">
        <f>-247-BO59</f>
        <v>-115</v>
      </c>
      <c r="BQ59" s="71">
        <f>-283-BP59-BO59</f>
        <v>-36</v>
      </c>
      <c r="BR59" s="71">
        <f t="shared" si="88"/>
        <v>-88</v>
      </c>
      <c r="BS59" s="133">
        <v>-371</v>
      </c>
      <c r="BT59" s="78">
        <v>-152</v>
      </c>
      <c r="BU59" s="71">
        <f>-319-BT59</f>
        <v>-167</v>
      </c>
      <c r="BV59" s="71">
        <f>-562-BU59-BT59</f>
        <v>-243</v>
      </c>
      <c r="BW59" s="71">
        <f t="shared" si="89"/>
        <v>-190</v>
      </c>
      <c r="BX59" s="133">
        <v>-752</v>
      </c>
      <c r="BY59" s="78">
        <v>-78</v>
      </c>
      <c r="BZ59" s="71">
        <f>-289-BY59</f>
        <v>-211</v>
      </c>
      <c r="CA59" s="71">
        <f>-688-SUM(BY59:BZ59)</f>
        <v>-399</v>
      </c>
      <c r="CB59" s="71">
        <f t="shared" si="96"/>
        <v>-277</v>
      </c>
      <c r="CC59" s="574">
        <v>-965</v>
      </c>
      <c r="CD59" s="71">
        <v>-98</v>
      </c>
      <c r="CE59" s="71">
        <f>-329-CD59</f>
        <v>-231</v>
      </c>
      <c r="CF59" s="71">
        <f>-510-SUM(CD59:CE59)</f>
        <v>-181</v>
      </c>
      <c r="CG59" s="71">
        <f t="shared" si="90"/>
        <v>-260</v>
      </c>
      <c r="CH59" s="133">
        <v>-770</v>
      </c>
      <c r="CI59" s="1012">
        <v>-124</v>
      </c>
      <c r="CJ59" s="1012">
        <f>-300-CI59</f>
        <v>-176</v>
      </c>
      <c r="CK59" s="1012">
        <f>-510-CJ59-CI59</f>
        <v>-210</v>
      </c>
      <c r="CL59" s="1013">
        <f t="shared" si="98"/>
        <v>-310</v>
      </c>
      <c r="CM59" s="996">
        <v>-820</v>
      </c>
      <c r="CN59" s="860"/>
      <c r="CO59" s="71"/>
      <c r="CP59" s="71"/>
      <c r="CQ59" s="1012">
        <v>-830</v>
      </c>
      <c r="CR59" s="1081">
        <v>-1200</v>
      </c>
      <c r="CS59" s="1007">
        <v>-925</v>
      </c>
      <c r="CT59" s="1007">
        <v>-634</v>
      </c>
      <c r="CU59" s="1072">
        <v>-2093</v>
      </c>
      <c r="CV59" s="71">
        <f t="shared" si="97"/>
        <v>-1750</v>
      </c>
      <c r="CW59" s="133">
        <v>-5402</v>
      </c>
      <c r="CX59" s="71">
        <v>-461</v>
      </c>
      <c r="CY59" s="71">
        <f>-856-CX59</f>
        <v>-395</v>
      </c>
      <c r="CZ59" s="71">
        <f>-1348-CY59-CX59</f>
        <v>-492</v>
      </c>
      <c r="DA59" s="71">
        <f>-1960-SUM(CX59:CZ59)</f>
        <v>-612</v>
      </c>
      <c r="DB59" s="133">
        <f>SUM(CX59:DA59)</f>
        <v>-1960</v>
      </c>
      <c r="DC59" s="79">
        <v>-550</v>
      </c>
      <c r="DD59" s="79">
        <v>-550</v>
      </c>
      <c r="DE59" s="79">
        <v>-550</v>
      </c>
      <c r="DF59" s="79">
        <v>-550</v>
      </c>
      <c r="DG59" s="139">
        <f>SUM(DC59:DF59)</f>
        <v>-2200</v>
      </c>
      <c r="DH59" s="79">
        <v>-375</v>
      </c>
      <c r="DI59" s="79">
        <v>-375</v>
      </c>
      <c r="DJ59" s="79">
        <v>-375</v>
      </c>
      <c r="DK59" s="79">
        <v>-375</v>
      </c>
      <c r="DL59" s="139">
        <f>SUM(DH59:DK59)</f>
        <v>-1500</v>
      </c>
      <c r="DM59" s="79">
        <v>-200</v>
      </c>
      <c r="DN59" s="79">
        <v>-200</v>
      </c>
      <c r="DO59" s="79">
        <v>-200</v>
      </c>
      <c r="DP59" s="79">
        <v>-200</v>
      </c>
      <c r="DQ59" s="139">
        <f>SUM(DM59:DP59)</f>
        <v>-800</v>
      </c>
      <c r="DR59" s="79">
        <v>-200</v>
      </c>
      <c r="DS59" s="79">
        <v>-200</v>
      </c>
      <c r="DT59" s="79">
        <v>-200</v>
      </c>
      <c r="DU59" s="79">
        <v>-200</v>
      </c>
      <c r="DV59" s="139">
        <f>SUM(DR59:DU59)</f>
        <v>-800</v>
      </c>
      <c r="DW59" s="79">
        <v>-200</v>
      </c>
      <c r="DX59" s="79">
        <v>-200</v>
      </c>
      <c r="DY59" s="79">
        <v>-200</v>
      </c>
      <c r="DZ59" s="79">
        <v>-200</v>
      </c>
      <c r="EA59" s="139">
        <f>SUM(DW59:DZ59)</f>
        <v>-800</v>
      </c>
      <c r="EB59" s="1008"/>
      <c r="EC59" s="1008"/>
      <c r="ED59" s="1008"/>
      <c r="EE59" s="1008"/>
      <c r="EF59" s="1008"/>
      <c r="EG59" s="1243"/>
    </row>
    <row r="60" spans="1:147" x14ac:dyDescent="0.2">
      <c r="A60" s="446" t="s">
        <v>252</v>
      </c>
      <c r="B60" s="15"/>
      <c r="C60" s="15"/>
      <c r="D60" s="15"/>
      <c r="E60" s="15"/>
      <c r="F60" s="59"/>
      <c r="G60" s="15"/>
      <c r="H60" s="15"/>
      <c r="I60" s="15"/>
      <c r="J60" s="15"/>
      <c r="K60" s="59"/>
      <c r="L60" s="71"/>
      <c r="M60" s="71"/>
      <c r="N60" s="71"/>
      <c r="O60" s="71"/>
      <c r="P60" s="82"/>
      <c r="Q60" s="71"/>
      <c r="R60" s="71"/>
      <c r="S60" s="71"/>
      <c r="T60" s="71"/>
      <c r="U60" s="82"/>
      <c r="V60" s="78"/>
      <c r="W60" s="71"/>
      <c r="X60" s="71"/>
      <c r="Y60" s="71"/>
      <c r="Z60" s="82"/>
      <c r="AA60" s="71"/>
      <c r="AB60" s="71"/>
      <c r="AC60" s="71"/>
      <c r="AD60" s="71"/>
      <c r="AE60" s="82"/>
      <c r="AF60" s="71"/>
      <c r="AG60" s="71"/>
      <c r="AH60" s="71"/>
      <c r="AI60" s="71"/>
      <c r="AJ60" s="82"/>
      <c r="AK60" s="71"/>
      <c r="AL60" s="71"/>
      <c r="AM60" s="71"/>
      <c r="AN60" s="71"/>
      <c r="AO60" s="82"/>
      <c r="AP60" s="71"/>
      <c r="AQ60" s="71"/>
      <c r="AR60" s="71"/>
      <c r="AS60" s="71">
        <f t="shared" si="92"/>
        <v>87</v>
      </c>
      <c r="AT60" s="78">
        <v>87</v>
      </c>
      <c r="AU60" s="78">
        <v>20</v>
      </c>
      <c r="AV60" s="71">
        <f>37-AU60</f>
        <v>17</v>
      </c>
      <c r="AW60" s="71">
        <f>40-AV60-AU60</f>
        <v>3</v>
      </c>
      <c r="AX60" s="71">
        <f t="shared" si="87"/>
        <v>22</v>
      </c>
      <c r="AY60" s="133">
        <v>62</v>
      </c>
      <c r="AZ60" s="78">
        <v>11</v>
      </c>
      <c r="BA60" s="71">
        <f>30-AZ60</f>
        <v>19</v>
      </c>
      <c r="BB60" s="71">
        <f>40-BA60-AZ60</f>
        <v>10</v>
      </c>
      <c r="BC60" s="71">
        <f t="shared" si="93"/>
        <v>36</v>
      </c>
      <c r="BD60" s="133">
        <v>76</v>
      </c>
      <c r="BE60" s="78">
        <v>9</v>
      </c>
      <c r="BF60" s="71">
        <f>31-BE60</f>
        <v>22</v>
      </c>
      <c r="BG60" s="71">
        <f>27-BF60-BE60</f>
        <v>-4</v>
      </c>
      <c r="BH60" s="71">
        <f t="shared" si="94"/>
        <v>17</v>
      </c>
      <c r="BI60" s="133">
        <v>44</v>
      </c>
      <c r="BJ60" s="78">
        <v>8</v>
      </c>
      <c r="BK60" s="71">
        <f>43-BJ60</f>
        <v>35</v>
      </c>
      <c r="BL60" s="71">
        <f>48-BK60-BJ60</f>
        <v>5</v>
      </c>
      <c r="BM60" s="71">
        <f t="shared" si="95"/>
        <v>11</v>
      </c>
      <c r="BN60" s="574">
        <v>59</v>
      </c>
      <c r="BO60" s="71">
        <v>9</v>
      </c>
      <c r="BP60" s="71">
        <f>23-BO60</f>
        <v>14</v>
      </c>
      <c r="BQ60" s="71">
        <f>46-BP60-BO60</f>
        <v>23</v>
      </c>
      <c r="BR60" s="71">
        <f t="shared" si="88"/>
        <v>23</v>
      </c>
      <c r="BS60" s="133">
        <v>69</v>
      </c>
      <c r="BT60" s="78">
        <v>8</v>
      </c>
      <c r="BU60" s="71">
        <f>22-BT60</f>
        <v>14</v>
      </c>
      <c r="BV60" s="71">
        <f>33-BU60-BT60</f>
        <v>11</v>
      </c>
      <c r="BW60" s="71">
        <f t="shared" si="89"/>
        <v>33</v>
      </c>
      <c r="BX60" s="133">
        <v>66</v>
      </c>
      <c r="BY60" s="78">
        <v>28</v>
      </c>
      <c r="BZ60" s="71">
        <f>46-BY60</f>
        <v>18</v>
      </c>
      <c r="CA60" s="71">
        <f>52-SUM(BY60:BZ60)</f>
        <v>6</v>
      </c>
      <c r="CB60" s="71">
        <f t="shared" si="96"/>
        <v>46</v>
      </c>
      <c r="CC60" s="574">
        <v>98</v>
      </c>
      <c r="CD60" s="71">
        <v>11</v>
      </c>
      <c r="CE60" s="71">
        <f>24-CD60</f>
        <v>13</v>
      </c>
      <c r="CF60" s="71">
        <f>27-SUM(CD60:CE60)</f>
        <v>3</v>
      </c>
      <c r="CG60" s="71">
        <f t="shared" si="90"/>
        <v>17</v>
      </c>
      <c r="CH60" s="133">
        <v>44</v>
      </c>
      <c r="CI60" s="1012">
        <v>13</v>
      </c>
      <c r="CJ60" s="1012">
        <f>25-CI60</f>
        <v>12</v>
      </c>
      <c r="CK60" s="1012">
        <f>29-CJ60-CI60</f>
        <v>4</v>
      </c>
      <c r="CL60" s="1013">
        <f t="shared" si="98"/>
        <v>13</v>
      </c>
      <c r="CM60" s="996">
        <v>42</v>
      </c>
      <c r="CN60" s="860"/>
      <c r="CO60" s="71"/>
      <c r="CP60" s="71"/>
      <c r="CQ60" s="71"/>
      <c r="CR60" s="1081">
        <v>50</v>
      </c>
      <c r="CS60" s="1007">
        <v>11</v>
      </c>
      <c r="CT60" s="1007">
        <v>15</v>
      </c>
      <c r="CU60" s="1072">
        <v>14</v>
      </c>
      <c r="CV60" s="71">
        <f t="shared" si="97"/>
        <v>43</v>
      </c>
      <c r="CW60" s="133">
        <v>83</v>
      </c>
      <c r="CX60" s="71"/>
      <c r="CY60" s="71"/>
      <c r="CZ60" s="71"/>
      <c r="DA60" s="71"/>
      <c r="DB60" s="133"/>
      <c r="DC60" s="79"/>
      <c r="DD60" s="79"/>
      <c r="DE60" s="79"/>
      <c r="DF60" s="79"/>
      <c r="DG60" s="139"/>
      <c r="DH60" s="79"/>
      <c r="DI60" s="79"/>
      <c r="DJ60" s="79"/>
      <c r="DK60" s="79"/>
      <c r="DL60" s="139"/>
      <c r="DM60" s="79"/>
      <c r="DN60" s="79"/>
      <c r="DO60" s="79"/>
      <c r="DP60" s="79"/>
      <c r="DQ60" s="139"/>
      <c r="DR60" s="79"/>
      <c r="DS60" s="79"/>
      <c r="DT60" s="79"/>
      <c r="DU60" s="79"/>
      <c r="DV60" s="139"/>
      <c r="DW60" s="79"/>
      <c r="DX60" s="79"/>
      <c r="DY60" s="79"/>
      <c r="DZ60" s="79"/>
      <c r="EA60" s="139"/>
      <c r="EB60" s="1008"/>
      <c r="EC60" s="1008"/>
      <c r="ED60" s="1008"/>
      <c r="EE60" s="1008"/>
      <c r="EF60" s="1008"/>
      <c r="EG60" s="1243"/>
    </row>
    <row r="61" spans="1:147" x14ac:dyDescent="0.2">
      <c r="A61" s="445" t="s">
        <v>568</v>
      </c>
      <c r="B61" s="55"/>
      <c r="C61" s="55"/>
      <c r="D61" s="55"/>
      <c r="E61" s="55"/>
      <c r="F61" s="56"/>
      <c r="G61" s="55"/>
      <c r="H61" s="55"/>
      <c r="I61" s="55"/>
      <c r="J61" s="55"/>
      <c r="K61" s="56"/>
      <c r="L61" s="65"/>
      <c r="M61" s="65"/>
      <c r="N61" s="65"/>
      <c r="O61" s="65"/>
      <c r="P61" s="81"/>
      <c r="Q61" s="65"/>
      <c r="R61" s="65"/>
      <c r="S61" s="65"/>
      <c r="T61" s="65"/>
      <c r="U61" s="81"/>
      <c r="V61" s="67"/>
      <c r="W61" s="65"/>
      <c r="X61" s="65"/>
      <c r="Y61" s="65"/>
      <c r="Z61" s="81"/>
      <c r="AA61" s="65"/>
      <c r="AB61" s="65"/>
      <c r="AC61" s="65"/>
      <c r="AD61" s="65"/>
      <c r="AE61" s="81"/>
      <c r="AF61" s="65"/>
      <c r="AG61" s="65"/>
      <c r="AH61" s="65"/>
      <c r="AI61" s="65"/>
      <c r="AJ61" s="81"/>
      <c r="AK61" s="65">
        <v>0</v>
      </c>
      <c r="AL61" s="65">
        <v>0</v>
      </c>
      <c r="AM61" s="65">
        <v>-29</v>
      </c>
      <c r="AN61" s="65">
        <f>AO61-AM61</f>
        <v>-29</v>
      </c>
      <c r="AO61" s="81">
        <v>-58</v>
      </c>
      <c r="AP61" s="65">
        <v>-29</v>
      </c>
      <c r="AQ61" s="65">
        <f>-58-AP61</f>
        <v>-29</v>
      </c>
      <c r="AR61" s="65">
        <f>-91-AQ61-AP61</f>
        <v>-33</v>
      </c>
      <c r="AS61" s="65">
        <f t="shared" si="92"/>
        <v>-32</v>
      </c>
      <c r="AT61" s="67">
        <v>-123</v>
      </c>
      <c r="AU61" s="67">
        <v>-32</v>
      </c>
      <c r="AV61" s="65">
        <f>-63-AU61</f>
        <v>-31</v>
      </c>
      <c r="AW61" s="65">
        <f>-104-AV61-AU61</f>
        <v>-41</v>
      </c>
      <c r="AX61" s="65">
        <f t="shared" si="87"/>
        <v>-40</v>
      </c>
      <c r="AY61" s="126">
        <v>-144</v>
      </c>
      <c r="AZ61" s="67">
        <v>-40</v>
      </c>
      <c r="BA61" s="65">
        <f>-119-AZ61</f>
        <v>-79</v>
      </c>
      <c r="BB61" s="65">
        <f>-196-BA61-AZ61</f>
        <v>-77</v>
      </c>
      <c r="BC61" s="65">
        <f t="shared" si="93"/>
        <v>-77</v>
      </c>
      <c r="BD61" s="126">
        <v>-273</v>
      </c>
      <c r="BE61" s="67">
        <v>-75</v>
      </c>
      <c r="BF61" s="65">
        <f>-146-BE61</f>
        <v>-71</v>
      </c>
      <c r="BG61" s="65">
        <f>-234-BF61-BE61</f>
        <v>-88</v>
      </c>
      <c r="BH61" s="65">
        <f t="shared" si="94"/>
        <v>-88</v>
      </c>
      <c r="BI61" s="126">
        <v>-322</v>
      </c>
      <c r="BJ61" s="67">
        <v>-87</v>
      </c>
      <c r="BK61" s="65">
        <f>-175-BJ61</f>
        <v>-88</v>
      </c>
      <c r="BL61" s="65">
        <f>-263-BK61-BJ61</f>
        <v>-88</v>
      </c>
      <c r="BM61" s="65">
        <f t="shared" si="95"/>
        <v>-99</v>
      </c>
      <c r="BN61" s="575">
        <v>-362</v>
      </c>
      <c r="BO61" s="65">
        <v>-99</v>
      </c>
      <c r="BP61" s="65">
        <f>-197-BO61</f>
        <v>-98</v>
      </c>
      <c r="BQ61" s="65">
        <f>-295-BP61-BO61</f>
        <v>-98</v>
      </c>
      <c r="BR61" s="65">
        <f t="shared" si="88"/>
        <v>-117</v>
      </c>
      <c r="BS61" s="126">
        <v>-412</v>
      </c>
      <c r="BT61" s="67">
        <v>-118</v>
      </c>
      <c r="BU61" s="65">
        <f>-234-BT61</f>
        <v>-116</v>
      </c>
      <c r="BV61" s="65">
        <f>-350-BU61-BT61</f>
        <v>-116</v>
      </c>
      <c r="BW61" s="65">
        <f t="shared" si="89"/>
        <v>-131</v>
      </c>
      <c r="BX61" s="126">
        <v>-481</v>
      </c>
      <c r="BY61" s="67">
        <v>-131</v>
      </c>
      <c r="BZ61" s="65">
        <f>-262-BY61</f>
        <v>-131</v>
      </c>
      <c r="CA61" s="65">
        <f>-393-SUM(BY61:BZ61)</f>
        <v>-131</v>
      </c>
      <c r="CB61" s="65">
        <f t="shared" si="96"/>
        <v>-151</v>
      </c>
      <c r="CC61" s="575">
        <v>-544</v>
      </c>
      <c r="CD61" s="65">
        <v>-151</v>
      </c>
      <c r="CE61" s="65">
        <f>-301-CD61</f>
        <v>-150</v>
      </c>
      <c r="CF61" s="65">
        <f>-451-SUM(CD61:CE61)</f>
        <v>-150</v>
      </c>
      <c r="CG61" s="65">
        <f t="shared" si="90"/>
        <v>-164</v>
      </c>
      <c r="CH61" s="126">
        <v>-615</v>
      </c>
      <c r="CI61" s="1013">
        <v>-164</v>
      </c>
      <c r="CJ61" s="1013">
        <f>-327-CI61</f>
        <v>-163</v>
      </c>
      <c r="CK61" s="1013">
        <f>-490-CJ61-CI61</f>
        <v>-163</v>
      </c>
      <c r="CL61" s="1013">
        <f t="shared" si="98"/>
        <v>-179</v>
      </c>
      <c r="CM61" s="998">
        <v>-669</v>
      </c>
      <c r="CN61" s="863"/>
      <c r="CO61" s="65"/>
      <c r="CP61" s="65"/>
      <c r="CQ61" s="65"/>
      <c r="CR61" s="1081">
        <v>-730</v>
      </c>
      <c r="CS61" s="1056">
        <v>-137.15</v>
      </c>
      <c r="CT61" s="1056">
        <v>-135.52500000000001</v>
      </c>
      <c r="CU61" s="1056">
        <v>-129.35</v>
      </c>
      <c r="CV61" s="65">
        <f t="shared" si="97"/>
        <v>-341.97500000000002</v>
      </c>
      <c r="CW61" s="126">
        <v>-744</v>
      </c>
      <c r="CX61" s="65">
        <v>-106</v>
      </c>
      <c r="CY61" s="65">
        <f>-211-CX61</f>
        <v>-105</v>
      </c>
      <c r="CZ61" s="65">
        <f>-315-CY61-CX61</f>
        <v>-104</v>
      </c>
      <c r="DA61" s="65">
        <f>-416-SUM(CX61:CZ61)</f>
        <v>-101</v>
      </c>
      <c r="DB61" s="126">
        <f>SUM(CX61:DA61)</f>
        <v>-416</v>
      </c>
      <c r="DC61" s="288">
        <f>-'IS '!DC192</f>
        <v>-122.82266624086863</v>
      </c>
      <c r="DD61" s="288">
        <f>-'IS '!DD192</f>
        <v>-120.48627028569037</v>
      </c>
      <c r="DE61" s="288">
        <f>-'IS '!DE192</f>
        <v>-118.22881081722376</v>
      </c>
      <c r="DF61" s="288">
        <f>-'IS '!DF192</f>
        <v>-116.46625956227325</v>
      </c>
      <c r="DG61" s="127">
        <f>SUM(DC61:DF61)</f>
        <v>-478.00400690605602</v>
      </c>
      <c r="DH61" s="288">
        <f>-'IS '!DH192</f>
        <v>-126.60416386645656</v>
      </c>
      <c r="DI61" s="288">
        <f>-'IS '!DI192</f>
        <v>-125.05116974522379</v>
      </c>
      <c r="DJ61" s="288">
        <f>-'IS '!DJ192</f>
        <v>-123.55192060676028</v>
      </c>
      <c r="DK61" s="288">
        <f>-'IS '!DK192</f>
        <v>-122.57406347436479</v>
      </c>
      <c r="DL61" s="127">
        <f>SUM(DH61:DK61)</f>
        <v>-497.78131769280543</v>
      </c>
      <c r="DM61" s="288">
        <f>-'IS '!DM192</f>
        <v>-134.18054082957195</v>
      </c>
      <c r="DN61" s="288">
        <f>-'IS '!DN192</f>
        <v>-133.43042703699319</v>
      </c>
      <c r="DO61" s="288">
        <f>-'IS '!DO192</f>
        <v>-132.72064488740622</v>
      </c>
      <c r="DP61" s="288">
        <f>-'IS '!DP192</f>
        <v>-132.56943177454013</v>
      </c>
      <c r="DQ61" s="127">
        <f>SUM(DM61:DP61)</f>
        <v>-532.90104452851153</v>
      </c>
      <c r="DR61" s="288">
        <f>-'IS '!DR192</f>
        <v>-145.65125501842283</v>
      </c>
      <c r="DS61" s="288">
        <f>-'IS '!DS192</f>
        <v>-144.89659080903917</v>
      </c>
      <c r="DT61" s="288">
        <f>-'IS '!DT192</f>
        <v>-144.18490981944737</v>
      </c>
      <c r="DU61" s="288">
        <f>-'IS '!DU192</f>
        <v>-144.08627120795222</v>
      </c>
      <c r="DV61" s="127">
        <f>SUM(DR61:DU61)</f>
        <v>-578.81902685486159</v>
      </c>
      <c r="DW61" s="288">
        <f>-'IS '!DW192</f>
        <v>-158.37523971875609</v>
      </c>
      <c r="DX61" s="288">
        <f>-'IS '!DX192</f>
        <v>-157.61665155601949</v>
      </c>
      <c r="DY61" s="288">
        <f>-'IS '!DY192</f>
        <v>-156.90394214157186</v>
      </c>
      <c r="DZ61" s="288">
        <f>-'IS '!DZ192</f>
        <v>-156.86422171799484</v>
      </c>
      <c r="EA61" s="127">
        <f>SUM(DW61:DZ61)</f>
        <v>-629.76005513434234</v>
      </c>
      <c r="EB61" s="1008"/>
      <c r="EC61" s="1008"/>
      <c r="ED61" s="1008"/>
      <c r="EE61" s="1008"/>
      <c r="EF61" s="935"/>
      <c r="EG61" s="1243"/>
    </row>
    <row r="62" spans="1:147" x14ac:dyDescent="0.2">
      <c r="A62" s="446" t="s">
        <v>142</v>
      </c>
      <c r="B62" s="15"/>
      <c r="C62" s="15"/>
      <c r="D62" s="15"/>
      <c r="E62" s="15"/>
      <c r="F62" s="59"/>
      <c r="G62" s="15"/>
      <c r="H62" s="15"/>
      <c r="I62" s="15"/>
      <c r="J62" s="15"/>
      <c r="K62" s="59"/>
      <c r="L62" s="71">
        <v>0</v>
      </c>
      <c r="M62" s="71">
        <v>0</v>
      </c>
      <c r="N62" s="71">
        <v>0</v>
      </c>
      <c r="O62" s="71">
        <f>P62-N62-M62-L62</f>
        <v>0</v>
      </c>
      <c r="P62" s="82">
        <v>0</v>
      </c>
      <c r="Q62" s="71">
        <v>0</v>
      </c>
      <c r="R62" s="71">
        <v>0</v>
      </c>
      <c r="S62" s="71">
        <v>0</v>
      </c>
      <c r="T62" s="71">
        <f>U62-S62-R62-Q62</f>
        <v>0</v>
      </c>
      <c r="U62" s="82">
        <v>0</v>
      </c>
      <c r="V62" s="78">
        <v>0</v>
      </c>
      <c r="W62" s="71">
        <v>0</v>
      </c>
      <c r="X62" s="71">
        <v>0</v>
      </c>
      <c r="Y62" s="71">
        <f>Z62-X62-W62-V62</f>
        <v>0</v>
      </c>
      <c r="Z62" s="82">
        <v>0</v>
      </c>
      <c r="AA62" s="71">
        <v>46</v>
      </c>
      <c r="AB62" s="71">
        <f>99-AA62</f>
        <v>53</v>
      </c>
      <c r="AC62" s="71">
        <f>110-AB62-AA62</f>
        <v>11</v>
      </c>
      <c r="AD62" s="71">
        <f>AE62-AC62-AB62-AA62</f>
        <v>15</v>
      </c>
      <c r="AE62" s="82">
        <v>125</v>
      </c>
      <c r="AF62" s="71">
        <v>10</v>
      </c>
      <c r="AG62" s="71">
        <f>34-AF62</f>
        <v>24</v>
      </c>
      <c r="AH62" s="71">
        <f>70-AG62-AF62</f>
        <v>36</v>
      </c>
      <c r="AI62" s="71">
        <f>110-AH62-AG62-AF62</f>
        <v>40</v>
      </c>
      <c r="AJ62" s="82">
        <f>SUM(AF62:AI62)</f>
        <v>110</v>
      </c>
      <c r="AK62" s="71">
        <v>63</v>
      </c>
      <c r="AL62" s="71">
        <f>102-AK62</f>
        <v>39</v>
      </c>
      <c r="AM62" s="71">
        <f>127-AL62-AK62</f>
        <v>25</v>
      </c>
      <c r="AN62" s="71">
        <f>AO62-AM62-AL62-AK62</f>
        <v>73</v>
      </c>
      <c r="AO62" s="82">
        <v>200</v>
      </c>
      <c r="AP62" s="71">
        <v>46</v>
      </c>
      <c r="AQ62" s="71">
        <f>89-AP62</f>
        <v>43</v>
      </c>
      <c r="AR62" s="71">
        <f>113-AQ62-AP62</f>
        <v>24</v>
      </c>
      <c r="AS62" s="71">
        <f t="shared" si="92"/>
        <v>35</v>
      </c>
      <c r="AT62" s="78">
        <v>148</v>
      </c>
      <c r="AU62" s="78">
        <v>44</v>
      </c>
      <c r="AV62" s="71">
        <f>84-AU62</f>
        <v>40</v>
      </c>
      <c r="AW62" s="71">
        <f>93-AV62-AU62</f>
        <v>9</v>
      </c>
      <c r="AX62" s="71">
        <f t="shared" si="87"/>
        <v>49</v>
      </c>
      <c r="AY62" s="133">
        <v>142</v>
      </c>
      <c r="AZ62" s="78">
        <v>28</v>
      </c>
      <c r="BA62" s="71">
        <f>63-AZ62</f>
        <v>35</v>
      </c>
      <c r="BB62" s="71">
        <f>78-BA62-AZ62</f>
        <v>15</v>
      </c>
      <c r="BC62" s="71">
        <f t="shared" si="93"/>
        <v>34</v>
      </c>
      <c r="BD62" s="133">
        <v>112</v>
      </c>
      <c r="BE62" s="78">
        <v>12</v>
      </c>
      <c r="BF62" s="71">
        <f>40-BE62</f>
        <v>28</v>
      </c>
      <c r="BG62" s="71">
        <f>51-BF62-BE62</f>
        <v>11</v>
      </c>
      <c r="BH62" s="71">
        <f t="shared" si="94"/>
        <v>21</v>
      </c>
      <c r="BI62" s="133">
        <v>72</v>
      </c>
      <c r="BJ62" s="78">
        <v>21</v>
      </c>
      <c r="BK62" s="71">
        <f>77-BJ62</f>
        <v>56</v>
      </c>
      <c r="BL62" s="71">
        <f>91-BK62-BJ62</f>
        <v>14</v>
      </c>
      <c r="BM62" s="71">
        <f t="shared" si="95"/>
        <v>22</v>
      </c>
      <c r="BN62" s="574">
        <v>113</v>
      </c>
      <c r="BO62" s="71">
        <v>17</v>
      </c>
      <c r="BP62" s="71">
        <f>44-BO62</f>
        <v>27</v>
      </c>
      <c r="BQ62" s="71">
        <f>64-BP62-BO62</f>
        <v>20</v>
      </c>
      <c r="BR62" s="71">
        <f t="shared" si="88"/>
        <v>38</v>
      </c>
      <c r="BS62" s="133">
        <v>102</v>
      </c>
      <c r="BT62" s="78">
        <v>9</v>
      </c>
      <c r="BU62" s="71">
        <f>22-BT62</f>
        <v>13</v>
      </c>
      <c r="BV62" s="71">
        <f>30-BU62-BT62</f>
        <v>8</v>
      </c>
      <c r="BW62" s="71">
        <f t="shared" si="89"/>
        <v>29</v>
      </c>
      <c r="BX62" s="133">
        <v>59</v>
      </c>
      <c r="BY62" s="78">
        <v>16</v>
      </c>
      <c r="BZ62" s="71">
        <f>22-BY62</f>
        <v>6</v>
      </c>
      <c r="CA62" s="71">
        <f>27-SUM(BY62:BZ62)</f>
        <v>5</v>
      </c>
      <c r="CB62" s="71">
        <f t="shared" si="96"/>
        <v>35</v>
      </c>
      <c r="CC62" s="574">
        <v>62</v>
      </c>
      <c r="CD62" s="78">
        <v>5</v>
      </c>
      <c r="CE62" s="71">
        <f>11-CD62</f>
        <v>6</v>
      </c>
      <c r="CF62" s="71">
        <f>17-SUM(CD62:CE62)</f>
        <v>6</v>
      </c>
      <c r="CG62" s="71">
        <f t="shared" si="90"/>
        <v>20</v>
      </c>
      <c r="CH62" s="574">
        <v>37</v>
      </c>
      <c r="CI62" s="943">
        <v>11</v>
      </c>
      <c r="CJ62" s="1012">
        <f>16-CI62</f>
        <v>5</v>
      </c>
      <c r="CK62" s="1012">
        <f>21-CJ62-CI62</f>
        <v>5</v>
      </c>
      <c r="CL62" s="1013">
        <f t="shared" si="98"/>
        <v>8</v>
      </c>
      <c r="CM62" s="997">
        <v>29</v>
      </c>
      <c r="CN62" s="911"/>
      <c r="CO62" s="71"/>
      <c r="CP62" s="71"/>
      <c r="CQ62" s="71"/>
      <c r="CR62" s="1081">
        <v>9</v>
      </c>
      <c r="CS62" s="1007">
        <v>1</v>
      </c>
      <c r="CT62" s="1007">
        <v>1</v>
      </c>
      <c r="CU62" s="1007">
        <v>1</v>
      </c>
      <c r="CV62" s="71">
        <f t="shared" si="97"/>
        <v>-3</v>
      </c>
      <c r="CW62" s="133">
        <v>0</v>
      </c>
      <c r="CX62" s="71">
        <v>10</v>
      </c>
      <c r="CY62" s="71">
        <f>0-CX62</f>
        <v>-10</v>
      </c>
      <c r="CZ62" s="71">
        <f>0-CY62-CX62</f>
        <v>0</v>
      </c>
      <c r="DA62" s="71">
        <f t="shared" ref="DA62" si="99">CZ62</f>
        <v>0</v>
      </c>
      <c r="DB62" s="133">
        <f>SUM(CX62:DA62)</f>
        <v>0</v>
      </c>
      <c r="DC62" s="79">
        <f>DA62</f>
        <v>0</v>
      </c>
      <c r="DD62" s="79">
        <f t="shared" ref="DD62:DF63" si="100">DC62</f>
        <v>0</v>
      </c>
      <c r="DE62" s="79">
        <f t="shared" si="100"/>
        <v>0</v>
      </c>
      <c r="DF62" s="79">
        <f t="shared" si="100"/>
        <v>0</v>
      </c>
      <c r="DG62" s="139">
        <f>SUM(DC62:DF62)</f>
        <v>0</v>
      </c>
      <c r="DH62" s="79">
        <f>DF62</f>
        <v>0</v>
      </c>
      <c r="DI62" s="79">
        <f t="shared" ref="DI62:DK63" si="101">DH62</f>
        <v>0</v>
      </c>
      <c r="DJ62" s="79">
        <f t="shared" si="101"/>
        <v>0</v>
      </c>
      <c r="DK62" s="79">
        <f t="shared" si="101"/>
        <v>0</v>
      </c>
      <c r="DL62" s="139">
        <f>SUM(DH62:DK62)</f>
        <v>0</v>
      </c>
      <c r="DM62" s="79">
        <f>DK62</f>
        <v>0</v>
      </c>
      <c r="DN62" s="79">
        <f t="shared" ref="DN62:DP63" si="102">DM62</f>
        <v>0</v>
      </c>
      <c r="DO62" s="79">
        <f t="shared" si="102"/>
        <v>0</v>
      </c>
      <c r="DP62" s="79">
        <f t="shared" si="102"/>
        <v>0</v>
      </c>
      <c r="DQ62" s="139">
        <f>SUM(DM62:DP62)</f>
        <v>0</v>
      </c>
      <c r="DR62" s="79">
        <f>DP62</f>
        <v>0</v>
      </c>
      <c r="DS62" s="79">
        <f t="shared" ref="DS62:DS63" si="103">DR62</f>
        <v>0</v>
      </c>
      <c r="DT62" s="79">
        <f t="shared" ref="DT62:DT63" si="104">DS62</f>
        <v>0</v>
      </c>
      <c r="DU62" s="79">
        <f t="shared" ref="DU62:DU63" si="105">DT62</f>
        <v>0</v>
      </c>
      <c r="DV62" s="139">
        <f>SUM(DR62:DU62)</f>
        <v>0</v>
      </c>
      <c r="DW62" s="79">
        <f>DU62</f>
        <v>0</v>
      </c>
      <c r="DX62" s="79">
        <f t="shared" ref="DX62:DX63" si="106">DW62</f>
        <v>0</v>
      </c>
      <c r="DY62" s="79">
        <f t="shared" ref="DY62:DY63" si="107">DX62</f>
        <v>0</v>
      </c>
      <c r="DZ62" s="79">
        <f t="shared" ref="DZ62:DZ63" si="108">DY62</f>
        <v>0</v>
      </c>
      <c r="EA62" s="139">
        <f>SUM(DW62:DZ62)</f>
        <v>0</v>
      </c>
      <c r="EB62" s="1008"/>
      <c r="EC62" s="1008"/>
      <c r="ED62" s="1008"/>
      <c r="EE62" s="1008"/>
      <c r="EF62" s="1008"/>
      <c r="EG62" s="1021"/>
      <c r="EH62" s="555"/>
      <c r="EO62" s="555"/>
      <c r="EP62" s="555"/>
      <c r="EQ62" s="555"/>
    </row>
    <row r="63" spans="1:147" x14ac:dyDescent="0.2">
      <c r="A63" s="446" t="s">
        <v>346</v>
      </c>
      <c r="B63" s="15"/>
      <c r="C63" s="15"/>
      <c r="D63" s="15"/>
      <c r="E63" s="15"/>
      <c r="F63" s="59"/>
      <c r="G63" s="15"/>
      <c r="H63" s="15"/>
      <c r="I63" s="15"/>
      <c r="J63" s="15"/>
      <c r="K63" s="59"/>
      <c r="L63" s="15">
        <v>6</v>
      </c>
      <c r="M63" s="71">
        <f>-L63</f>
        <v>-6</v>
      </c>
      <c r="N63" s="71">
        <f>15-M63-L63</f>
        <v>15</v>
      </c>
      <c r="O63" s="71">
        <f>P63-N63-M63-L63</f>
        <v>15</v>
      </c>
      <c r="P63" s="59">
        <v>30</v>
      </c>
      <c r="Q63" s="15">
        <v>14</v>
      </c>
      <c r="R63" s="71">
        <f>20-Q63</f>
        <v>6</v>
      </c>
      <c r="S63" s="71">
        <f>24-R63-Q63</f>
        <v>4</v>
      </c>
      <c r="T63" s="71">
        <f>U63-S63-R63-Q63</f>
        <v>13</v>
      </c>
      <c r="U63" s="59">
        <v>37</v>
      </c>
      <c r="V63" s="14">
        <v>10</v>
      </c>
      <c r="W63" s="71">
        <f>10-V63</f>
        <v>0</v>
      </c>
      <c r="X63" s="71">
        <f>22-W63-V63</f>
        <v>12</v>
      </c>
      <c r="Y63" s="71">
        <f>Z63-X63-W63-V63</f>
        <v>26</v>
      </c>
      <c r="Z63" s="59">
        <v>48</v>
      </c>
      <c r="AA63" s="62">
        <v>-2</v>
      </c>
      <c r="AB63" s="71">
        <f>-2-AA63</f>
        <v>0</v>
      </c>
      <c r="AC63" s="71">
        <f>-15-AB63-AA63</f>
        <v>-13</v>
      </c>
      <c r="AD63" s="79">
        <f>AE63-AC63-AB63-AA63</f>
        <v>0</v>
      </c>
      <c r="AE63" s="82">
        <v>-15</v>
      </c>
      <c r="AF63" s="71">
        <v>0</v>
      </c>
      <c r="AG63" s="71">
        <v>0</v>
      </c>
      <c r="AH63" s="71">
        <v>0</v>
      </c>
      <c r="AI63" s="71">
        <v>0</v>
      </c>
      <c r="AJ63" s="82">
        <f>SUM(AF63:AI63)</f>
        <v>0</v>
      </c>
      <c r="AK63" s="71">
        <v>0</v>
      </c>
      <c r="AL63" s="71">
        <v>0</v>
      </c>
      <c r="AM63" s="71">
        <v>0</v>
      </c>
      <c r="AN63" s="71">
        <v>0</v>
      </c>
      <c r="AO63" s="82">
        <f>SUM(AK63:AN63)</f>
        <v>0</v>
      </c>
      <c r="AP63" s="71">
        <v>0</v>
      </c>
      <c r="AQ63" s="71">
        <v>0</v>
      </c>
      <c r="AR63" s="71">
        <v>0</v>
      </c>
      <c r="AS63" s="71">
        <f t="shared" si="92"/>
        <v>0</v>
      </c>
      <c r="AT63" s="78">
        <v>0</v>
      </c>
      <c r="AU63" s="78">
        <v>0</v>
      </c>
      <c r="AV63" s="71">
        <f>AU63</f>
        <v>0</v>
      </c>
      <c r="AW63" s="71">
        <v>-2</v>
      </c>
      <c r="AX63" s="71">
        <f t="shared" si="87"/>
        <v>0</v>
      </c>
      <c r="AY63" s="133">
        <v>-2</v>
      </c>
      <c r="AZ63" s="78">
        <f>AX63</f>
        <v>0</v>
      </c>
      <c r="BA63" s="71">
        <f>AZ63</f>
        <v>0</v>
      </c>
      <c r="BB63" s="71">
        <v>0</v>
      </c>
      <c r="BC63" s="71">
        <f t="shared" si="93"/>
        <v>-12</v>
      </c>
      <c r="BD63" s="133">
        <v>-12</v>
      </c>
      <c r="BE63" s="78">
        <v>0</v>
      </c>
      <c r="BF63" s="71">
        <f>0</f>
        <v>0</v>
      </c>
      <c r="BG63" s="71">
        <v>0</v>
      </c>
      <c r="BH63" s="71">
        <f t="shared" si="94"/>
        <v>0</v>
      </c>
      <c r="BI63" s="133">
        <v>0</v>
      </c>
      <c r="BJ63" s="78">
        <f>BH63</f>
        <v>0</v>
      </c>
      <c r="BK63" s="71">
        <f>5-BJ63</f>
        <v>5</v>
      </c>
      <c r="BL63" s="71">
        <f>-8-BK63-BJ63</f>
        <v>-13</v>
      </c>
      <c r="BM63" s="71">
        <f t="shared" si="95"/>
        <v>-12</v>
      </c>
      <c r="BN63" s="574">
        <v>-20</v>
      </c>
      <c r="BO63" s="71">
        <v>-2</v>
      </c>
      <c r="BP63" s="71">
        <f>-19-BO63</f>
        <v>-17</v>
      </c>
      <c r="BQ63" s="71">
        <f>-30-BP63-BO63</f>
        <v>-11</v>
      </c>
      <c r="BR63" s="71">
        <f t="shared" si="88"/>
        <v>-8</v>
      </c>
      <c r="BS63" s="133">
        <v>-38</v>
      </c>
      <c r="BT63" s="78">
        <v>-4</v>
      </c>
      <c r="BU63" s="71">
        <f>-23-BT63</f>
        <v>-19</v>
      </c>
      <c r="BV63" s="71">
        <f>-33-BU63-BT63</f>
        <v>-10</v>
      </c>
      <c r="BW63" s="71">
        <f t="shared" si="89"/>
        <v>-10</v>
      </c>
      <c r="BX63" s="133">
        <v>-43</v>
      </c>
      <c r="BY63" s="78">
        <v>-20</v>
      </c>
      <c r="BZ63" s="71">
        <f>-41-BY63</f>
        <v>-21</v>
      </c>
      <c r="CA63" s="71">
        <f>-52-SUM(BY63:BZ63)</f>
        <v>-11</v>
      </c>
      <c r="CB63" s="71">
        <f t="shared" si="96"/>
        <v>-33</v>
      </c>
      <c r="CC63" s="574">
        <v>-85</v>
      </c>
      <c r="CD63" s="78">
        <v>-34</v>
      </c>
      <c r="CE63" s="71">
        <f>-43-CD63</f>
        <v>-9</v>
      </c>
      <c r="CF63" s="71">
        <f>-55-SUM(CD63:CE63)</f>
        <v>-12</v>
      </c>
      <c r="CG63" s="71">
        <f t="shared" si="90"/>
        <v>-25</v>
      </c>
      <c r="CH63" s="574">
        <v>-80</v>
      </c>
      <c r="CI63" s="943">
        <v>-6</v>
      </c>
      <c r="CJ63" s="1012">
        <f>-20-CI63</f>
        <v>-14</v>
      </c>
      <c r="CK63" s="1012">
        <f>-28-CJ63-CI63</f>
        <v>-8</v>
      </c>
      <c r="CL63" s="1013">
        <f t="shared" si="98"/>
        <v>-18</v>
      </c>
      <c r="CM63" s="997">
        <v>-46</v>
      </c>
      <c r="CN63" s="911"/>
      <c r="CO63" s="71"/>
      <c r="CP63" s="71"/>
      <c r="CQ63" s="71"/>
      <c r="CR63" s="1081">
        <f>-55-67+74+312</f>
        <v>264</v>
      </c>
      <c r="CS63" s="1007">
        <v>-12</v>
      </c>
      <c r="CT63" s="1007">
        <v>-49</v>
      </c>
      <c r="CU63" s="1007">
        <v>-102</v>
      </c>
      <c r="CV63" s="71">
        <f>CW63-CU63-CT63-CS63</f>
        <v>188</v>
      </c>
      <c r="CW63" s="133">
        <f>-86+289-92-86</f>
        <v>25</v>
      </c>
      <c r="CX63" s="71">
        <f>-46-18</f>
        <v>-64</v>
      </c>
      <c r="CY63" s="71">
        <f>-32-39-CX63</f>
        <v>-7</v>
      </c>
      <c r="CZ63" s="71">
        <f>-32+-85-CY63-CX63</f>
        <v>-46</v>
      </c>
      <c r="DA63" s="71">
        <f>-32+-90-SUM(CX63:CZ63)</f>
        <v>-5</v>
      </c>
      <c r="DB63" s="133">
        <f>SUM(CX63:DA63)</f>
        <v>-122</v>
      </c>
      <c r="DC63" s="79">
        <f>DA63</f>
        <v>-5</v>
      </c>
      <c r="DD63" s="79">
        <f t="shared" si="100"/>
        <v>-5</v>
      </c>
      <c r="DE63" s="79">
        <f t="shared" si="100"/>
        <v>-5</v>
      </c>
      <c r="DF63" s="79">
        <f t="shared" si="100"/>
        <v>-5</v>
      </c>
      <c r="DG63" s="139">
        <f>SUM(DC63:DF63)</f>
        <v>-20</v>
      </c>
      <c r="DH63" s="79">
        <v>0</v>
      </c>
      <c r="DI63" s="79">
        <f t="shared" si="101"/>
        <v>0</v>
      </c>
      <c r="DJ63" s="79">
        <f t="shared" si="101"/>
        <v>0</v>
      </c>
      <c r="DK63" s="79">
        <f t="shared" si="101"/>
        <v>0</v>
      </c>
      <c r="DL63" s="139">
        <f>SUM(DH63:DK63)</f>
        <v>0</v>
      </c>
      <c r="DM63" s="79">
        <f>DK63</f>
        <v>0</v>
      </c>
      <c r="DN63" s="79">
        <f t="shared" si="102"/>
        <v>0</v>
      </c>
      <c r="DO63" s="79">
        <f t="shared" si="102"/>
        <v>0</v>
      </c>
      <c r="DP63" s="79">
        <f t="shared" si="102"/>
        <v>0</v>
      </c>
      <c r="DQ63" s="139">
        <f>SUM(DM63:DP63)</f>
        <v>0</v>
      </c>
      <c r="DR63" s="79">
        <f>DP63</f>
        <v>0</v>
      </c>
      <c r="DS63" s="79">
        <f t="shared" si="103"/>
        <v>0</v>
      </c>
      <c r="DT63" s="79">
        <f t="shared" si="104"/>
        <v>0</v>
      </c>
      <c r="DU63" s="79">
        <f t="shared" si="105"/>
        <v>0</v>
      </c>
      <c r="DV63" s="139">
        <f>SUM(DR63:DU63)</f>
        <v>0</v>
      </c>
      <c r="DW63" s="79">
        <f>DU63</f>
        <v>0</v>
      </c>
      <c r="DX63" s="79">
        <f t="shared" si="106"/>
        <v>0</v>
      </c>
      <c r="DY63" s="79">
        <f t="shared" si="107"/>
        <v>0</v>
      </c>
      <c r="DZ63" s="79">
        <f t="shared" si="108"/>
        <v>0</v>
      </c>
      <c r="EA63" s="139">
        <f>SUM(DW63:DZ63)</f>
        <v>0</v>
      </c>
      <c r="EB63" s="935"/>
      <c r="EC63" s="935"/>
      <c r="ED63" s="935"/>
      <c r="EE63" s="935"/>
      <c r="EF63" s="1008"/>
      <c r="EG63" s="1021"/>
    </row>
    <row r="64" spans="1:147" x14ac:dyDescent="0.2">
      <c r="A64" s="447" t="s">
        <v>143</v>
      </c>
      <c r="B64" s="25"/>
      <c r="C64" s="25"/>
      <c r="D64" s="25"/>
      <c r="E64" s="25"/>
      <c r="F64" s="98"/>
      <c r="G64" s="25"/>
      <c r="H64" s="25"/>
      <c r="I64" s="25"/>
      <c r="J64" s="25"/>
      <c r="K64" s="86"/>
      <c r="L64" s="147">
        <f>L53+L55+L56+L57+L58+L59+L62+L63</f>
        <v>-77</v>
      </c>
      <c r="M64" s="147">
        <f>M53+M55+M56+M57+M58+M59+M62+M63</f>
        <v>-317</v>
      </c>
      <c r="N64" s="147">
        <f>N53+N55+N56+N57+N58+N59+N62+N63</f>
        <v>-417</v>
      </c>
      <c r="O64" s="389">
        <f>P64-N64-M64-L64</f>
        <v>-308</v>
      </c>
      <c r="P64" s="141">
        <f>SUM(P53:P63)</f>
        <v>-1119</v>
      </c>
      <c r="Q64" s="147">
        <f>Q53+Q55+Q56+Q57+Q58+Q59+Q62+Q63</f>
        <v>131</v>
      </c>
      <c r="R64" s="147">
        <f>R53+R55+R56+R57+R58+R59+R62+R63</f>
        <v>-188</v>
      </c>
      <c r="S64" s="147">
        <f>S53+S55+S56+S57+S58+S59+S62+S63</f>
        <v>-152</v>
      </c>
      <c r="T64" s="389">
        <f>U64-S64-R64-Q64</f>
        <v>2</v>
      </c>
      <c r="U64" s="141">
        <f>SUM(U53:U63)</f>
        <v>-207</v>
      </c>
      <c r="V64" s="361">
        <f>V53+V55+V56+V57+V58+V59+V62+V63</f>
        <v>20</v>
      </c>
      <c r="W64" s="147">
        <f>W53+W55+W56+W57+W58+W59+W62+W63</f>
        <v>-62</v>
      </c>
      <c r="X64" s="147">
        <f>X53+X55+X56+X57+X58+X59+X62+X63</f>
        <v>-200</v>
      </c>
      <c r="Y64" s="389">
        <f>Z64-X64-W64-V64</f>
        <v>-110</v>
      </c>
      <c r="Z64" s="141">
        <f>SUM(Z53:Z63)</f>
        <v>-352</v>
      </c>
      <c r="AA64" s="147">
        <f>AA53+AA55+AA56+AA57+AA58+AA59+AA62+AA63</f>
        <v>-73</v>
      </c>
      <c r="AB64" s="147">
        <f>AB53+AB55+AB56+AB57+AB58+AB59+AB62+AB63</f>
        <v>160</v>
      </c>
      <c r="AC64" s="147">
        <f>AC53+AC55+AC56+AC57+AC58+AC59+AC62+AC63</f>
        <v>-199</v>
      </c>
      <c r="AD64" s="147">
        <f>AD53+AD55+AD56+AD57+AD58+AD59+AD62+AD63</f>
        <v>-75</v>
      </c>
      <c r="AE64" s="390">
        <f>SUM(AA64:AD64)</f>
        <v>-187</v>
      </c>
      <c r="AF64" s="147">
        <f>AF53+AF55+AF56+AF57+AF58+AF59+AF62+AF63</f>
        <v>34</v>
      </c>
      <c r="AG64" s="147">
        <f>AG53+AG55+AG56+AG57+AG58+AG59+AG62+AG63</f>
        <v>-163</v>
      </c>
      <c r="AH64" s="147">
        <f>AH53+AH55+AH56+AH57+AH58+AH59+AH62+AH63</f>
        <v>-140</v>
      </c>
      <c r="AI64" s="147">
        <f>AI53+AI55+AI56+AI57+AI58+AI59+AI62+AI63</f>
        <v>-206</v>
      </c>
      <c r="AJ64" s="390">
        <f>SUM(AF64:AI64)</f>
        <v>-475</v>
      </c>
      <c r="AK64" s="147">
        <f>SUM(AK53:AK63)</f>
        <v>-149</v>
      </c>
      <c r="AL64" s="147">
        <f>SUM(AL53:AL63)</f>
        <v>-50</v>
      </c>
      <c r="AM64" s="147">
        <f>SUM(AM53:AM63)</f>
        <v>-6</v>
      </c>
      <c r="AN64" s="147">
        <f>SUM(AN53:AN63)</f>
        <v>-574</v>
      </c>
      <c r="AO64" s="390">
        <f>SUM(AK64:AN64)</f>
        <v>-779</v>
      </c>
      <c r="AP64" s="160">
        <f t="shared" ref="AP64:AX64" si="109">SUM(AP53:AP63)</f>
        <v>-128</v>
      </c>
      <c r="AQ64" s="147">
        <f t="shared" si="109"/>
        <v>-316</v>
      </c>
      <c r="AR64" s="147">
        <f t="shared" si="109"/>
        <v>-177</v>
      </c>
      <c r="AS64" s="147">
        <f t="shared" si="109"/>
        <v>-211</v>
      </c>
      <c r="AT64" s="391">
        <f t="shared" si="109"/>
        <v>-832</v>
      </c>
      <c r="AU64" s="391">
        <f t="shared" si="109"/>
        <v>-261</v>
      </c>
      <c r="AV64" s="389">
        <f t="shared" si="109"/>
        <v>-32</v>
      </c>
      <c r="AW64" s="389">
        <f t="shared" si="109"/>
        <v>-304</v>
      </c>
      <c r="AX64" s="389">
        <f t="shared" si="109"/>
        <v>-76</v>
      </c>
      <c r="AY64" s="395">
        <f>SUM(AU64:AX64)</f>
        <v>-673</v>
      </c>
      <c r="AZ64" s="391">
        <f t="shared" ref="AZ64:BW64" si="110">SUM(AZ53:AZ63)</f>
        <v>-277</v>
      </c>
      <c r="BA64" s="389">
        <f t="shared" si="110"/>
        <v>-89</v>
      </c>
      <c r="BB64" s="389">
        <f t="shared" si="110"/>
        <v>-368</v>
      </c>
      <c r="BC64" s="389">
        <f t="shared" si="110"/>
        <v>58</v>
      </c>
      <c r="BD64" s="395">
        <f t="shared" si="110"/>
        <v>-676</v>
      </c>
      <c r="BE64" s="391">
        <f t="shared" si="110"/>
        <v>-595</v>
      </c>
      <c r="BF64" s="389">
        <f t="shared" si="110"/>
        <v>-265</v>
      </c>
      <c r="BG64" s="389">
        <f t="shared" si="110"/>
        <v>-404</v>
      </c>
      <c r="BH64" s="389">
        <f t="shared" si="110"/>
        <v>-195</v>
      </c>
      <c r="BI64" s="395">
        <f t="shared" si="110"/>
        <v>-1459</v>
      </c>
      <c r="BJ64" s="391">
        <f t="shared" si="110"/>
        <v>-99</v>
      </c>
      <c r="BK64" s="389">
        <f t="shared" si="110"/>
        <v>17</v>
      </c>
      <c r="BL64" s="389">
        <f t="shared" si="110"/>
        <v>-357</v>
      </c>
      <c r="BM64" s="389">
        <f t="shared" si="110"/>
        <v>-103</v>
      </c>
      <c r="BN64" s="577">
        <f t="shared" si="110"/>
        <v>-542</v>
      </c>
      <c r="BO64" s="389">
        <f t="shared" si="110"/>
        <v>-190</v>
      </c>
      <c r="BP64" s="389">
        <f t="shared" si="110"/>
        <v>-222</v>
      </c>
      <c r="BQ64" s="389">
        <f t="shared" si="110"/>
        <v>261</v>
      </c>
      <c r="BR64" s="389">
        <f t="shared" si="110"/>
        <v>-186</v>
      </c>
      <c r="BS64" s="395">
        <f t="shared" si="110"/>
        <v>-337</v>
      </c>
      <c r="BT64" s="391">
        <f t="shared" si="110"/>
        <v>-261</v>
      </c>
      <c r="BU64" s="389">
        <f t="shared" si="110"/>
        <v>-579</v>
      </c>
      <c r="BV64" s="389">
        <f t="shared" si="110"/>
        <v>-355</v>
      </c>
      <c r="BW64" s="389">
        <f t="shared" si="110"/>
        <v>-218</v>
      </c>
      <c r="BX64" s="395">
        <f>SUM(BT64:BW64)</f>
        <v>-1413</v>
      </c>
      <c r="BY64" s="391">
        <f>SUM(BY53:BY63)</f>
        <v>-188</v>
      </c>
      <c r="BZ64" s="389">
        <f>SUM(BZ53:BZ63)</f>
        <v>-351</v>
      </c>
      <c r="CA64" s="389">
        <f>SUM(CA53:CA63)</f>
        <v>-783</v>
      </c>
      <c r="CB64" s="389">
        <f>SUM(CB53:CB63)</f>
        <v>-394</v>
      </c>
      <c r="CC64" s="577">
        <f>SUM(BY64:CB64)</f>
        <v>-1716</v>
      </c>
      <c r="CD64" s="389">
        <f>SUM(CD53:CD63)</f>
        <v>-259</v>
      </c>
      <c r="CE64" s="389">
        <f>SUM(CE53:CE63)</f>
        <v>-328</v>
      </c>
      <c r="CF64" s="389">
        <f>SUM(CF53:CF63)</f>
        <v>-388</v>
      </c>
      <c r="CG64" s="389">
        <f>SUM(CG53:CG63)</f>
        <v>-476</v>
      </c>
      <c r="CH64" s="395">
        <f>SUM(CD64:CG64)</f>
        <v>-1451</v>
      </c>
      <c r="CI64" s="976">
        <f>SUM(CI53:CI63)</f>
        <v>-237</v>
      </c>
      <c r="CJ64" s="976">
        <f>SUM(CJ53:CJ63)</f>
        <v>-196</v>
      </c>
      <c r="CK64" s="976">
        <f>SUM(CK53:CK63)</f>
        <v>-153</v>
      </c>
      <c r="CL64" s="976">
        <f>SUM(CL53:CL63)</f>
        <v>-528</v>
      </c>
      <c r="CM64" s="1000">
        <f>SUM(CI64:CL64)</f>
        <v>-1114</v>
      </c>
      <c r="CN64" s="910">
        <f>SUM(CN53:CN63)</f>
        <v>0</v>
      </c>
      <c r="CO64" s="389">
        <f>SUM(CO53:CO63)</f>
        <v>0</v>
      </c>
      <c r="CP64" s="389">
        <f>SUM(CP53:CP63)</f>
        <v>0</v>
      </c>
      <c r="CQ64" s="389">
        <f>SUM(CQ53:CQ63)</f>
        <v>-830</v>
      </c>
      <c r="CR64" s="1246">
        <f t="shared" ref="CR64:DA64" si="111">SUM(CR51:CR63)</f>
        <v>-758</v>
      </c>
      <c r="CS64" s="1258">
        <f t="shared" si="111"/>
        <v>-128.65</v>
      </c>
      <c r="CT64" s="1259">
        <f t="shared" si="111"/>
        <v>-184.02500000000001</v>
      </c>
      <c r="CU64" s="1259">
        <f t="shared" si="111"/>
        <v>1612.15</v>
      </c>
      <c r="CV64" s="389">
        <f t="shared" si="111"/>
        <v>-2062.4749999999999</v>
      </c>
      <c r="CW64" s="1969">
        <f>SUM(CW51:CW63)</f>
        <v>-763</v>
      </c>
      <c r="CX64" s="389">
        <f t="shared" si="111"/>
        <v>-629</v>
      </c>
      <c r="CY64" s="389">
        <f t="shared" si="111"/>
        <v>219</v>
      </c>
      <c r="CZ64" s="389">
        <f t="shared" si="111"/>
        <v>-619</v>
      </c>
      <c r="DA64" s="389">
        <f t="shared" si="111"/>
        <v>-766</v>
      </c>
      <c r="DB64" s="390">
        <f>SUM(DB51:DB63)</f>
        <v>-1795</v>
      </c>
      <c r="DC64" s="392">
        <f>SUM(DC53:DC63)</f>
        <v>-677.82266624086867</v>
      </c>
      <c r="DD64" s="392">
        <f>SUM(DD53:DD63)</f>
        <v>-675.48627028569035</v>
      </c>
      <c r="DE64" s="392">
        <f>SUM(DE53:DE63)</f>
        <v>-673.2288108172238</v>
      </c>
      <c r="DF64" s="392">
        <f>SUM(DF53:DF63)</f>
        <v>-671.46625956227331</v>
      </c>
      <c r="DG64" s="397">
        <f>SUM(DC64:DF64)</f>
        <v>-2698.004006906056</v>
      </c>
      <c r="DH64" s="392">
        <f>SUM(DH53:DH63)</f>
        <v>-501.60416386645659</v>
      </c>
      <c r="DI64" s="392">
        <f>SUM(DI53:DI63)</f>
        <v>-500.05116974522377</v>
      </c>
      <c r="DJ64" s="392">
        <f>SUM(DJ53:DJ63)</f>
        <v>-498.55192060676029</v>
      </c>
      <c r="DK64" s="392">
        <f>SUM(DK53:DK63)</f>
        <v>-497.57406347436478</v>
      </c>
      <c r="DL64" s="397">
        <f>SUM(DH64:DK64)</f>
        <v>-1997.7813176928053</v>
      </c>
      <c r="DM64" s="392">
        <f>SUM(DM53:DM63)</f>
        <v>-334.18054082957195</v>
      </c>
      <c r="DN64" s="392">
        <f>SUM(DN53:DN63)</f>
        <v>-333.43042703699319</v>
      </c>
      <c r="DO64" s="392">
        <f>SUM(DO53:DO63)</f>
        <v>-332.72064488740625</v>
      </c>
      <c r="DP64" s="392">
        <f>SUM(DP53:DP63)</f>
        <v>-332.56943177454013</v>
      </c>
      <c r="DQ64" s="397">
        <f>SUM(DM64:DP64)</f>
        <v>-1332.9010445285116</v>
      </c>
      <c r="DR64" s="392">
        <f>SUM(DR53:DR63)</f>
        <v>-345.65125501842283</v>
      </c>
      <c r="DS64" s="392">
        <f>SUM(DS53:DS63)</f>
        <v>-344.89659080903914</v>
      </c>
      <c r="DT64" s="392">
        <f>SUM(DT53:DT63)</f>
        <v>-344.1849098194474</v>
      </c>
      <c r="DU64" s="392">
        <f>SUM(DU53:DU63)</f>
        <v>-344.08627120795222</v>
      </c>
      <c r="DV64" s="397">
        <f>SUM(DR64:DU64)</f>
        <v>-1378.8190268548617</v>
      </c>
      <c r="DW64" s="392">
        <f>SUM(DW53:DW63)</f>
        <v>-358.37523971875612</v>
      </c>
      <c r="DX64" s="392">
        <f>SUM(DX53:DX63)</f>
        <v>-357.61665155601952</v>
      </c>
      <c r="DY64" s="392">
        <f>SUM(DY53:DY63)</f>
        <v>-356.90394214157186</v>
      </c>
      <c r="DZ64" s="392">
        <f>SUM(DZ53:DZ63)</f>
        <v>-356.86422171799484</v>
      </c>
      <c r="EA64" s="397">
        <f>SUM(DW64:DZ64)</f>
        <v>-1429.7600551343426</v>
      </c>
      <c r="EB64" s="1008"/>
      <c r="EC64" s="1008"/>
      <c r="ED64" s="1008"/>
      <c r="EE64" s="1008"/>
      <c r="EF64" s="1008"/>
      <c r="EG64" s="931"/>
    </row>
    <row r="65" spans="1:147" x14ac:dyDescent="0.2">
      <c r="A65" s="445"/>
      <c r="B65" s="15"/>
      <c r="C65" s="15"/>
      <c r="D65" s="15"/>
      <c r="E65" s="15"/>
      <c r="F65" s="59"/>
      <c r="G65" s="15"/>
      <c r="H65" s="15"/>
      <c r="I65" s="15"/>
      <c r="J65" s="15"/>
      <c r="K65" s="59"/>
      <c r="L65" s="15"/>
      <c r="M65" s="15"/>
      <c r="N65" s="15"/>
      <c r="O65" s="15"/>
      <c r="P65" s="59"/>
      <c r="Q65" s="15"/>
      <c r="R65" s="15"/>
      <c r="S65" s="15"/>
      <c r="T65" s="15"/>
      <c r="U65" s="59"/>
      <c r="V65" s="14"/>
      <c r="W65" s="15"/>
      <c r="X65" s="15"/>
      <c r="Y65" s="15"/>
      <c r="Z65" s="59"/>
      <c r="AA65" s="15"/>
      <c r="AB65" s="15"/>
      <c r="AC65" s="15"/>
      <c r="AD65" s="15"/>
      <c r="AE65" s="59"/>
      <c r="AF65" s="71"/>
      <c r="AG65" s="71"/>
      <c r="AH65" s="71"/>
      <c r="AI65" s="15"/>
      <c r="AJ65" s="59"/>
      <c r="AK65" s="71"/>
      <c r="AL65" s="71"/>
      <c r="AM65" s="71"/>
      <c r="AN65" s="15"/>
      <c r="AO65" s="59"/>
      <c r="AP65" s="71"/>
      <c r="AQ65" s="79"/>
      <c r="AR65" s="79"/>
      <c r="AS65" s="15"/>
      <c r="AT65" s="14"/>
      <c r="AU65" s="78"/>
      <c r="AV65" s="71"/>
      <c r="AW65" s="71"/>
      <c r="AX65" s="71"/>
      <c r="AY65" s="373"/>
      <c r="AZ65" s="78"/>
      <c r="BA65" s="71"/>
      <c r="BB65" s="71"/>
      <c r="BC65" s="71"/>
      <c r="BD65" s="373"/>
      <c r="BE65" s="78"/>
      <c r="BF65" s="71"/>
      <c r="BG65" s="71"/>
      <c r="BH65" s="71"/>
      <c r="BI65" s="373"/>
      <c r="BJ65" s="78"/>
      <c r="BK65" s="71"/>
      <c r="BL65" s="71"/>
      <c r="BM65" s="71"/>
      <c r="BN65" s="578"/>
      <c r="BO65" s="71"/>
      <c r="BP65" s="71"/>
      <c r="BQ65" s="71"/>
      <c r="BR65" s="71"/>
      <c r="BS65" s="373"/>
      <c r="BT65" s="78"/>
      <c r="BU65" s="71"/>
      <c r="BV65" s="71"/>
      <c r="BW65" s="71"/>
      <c r="BX65" s="373"/>
      <c r="BY65" s="77"/>
      <c r="BZ65" s="71"/>
      <c r="CA65" s="71"/>
      <c r="CB65" s="71"/>
      <c r="CC65" s="578"/>
      <c r="CD65" s="71"/>
      <c r="CE65" s="79"/>
      <c r="CF65" s="71"/>
      <c r="CG65" s="71"/>
      <c r="CH65" s="373"/>
      <c r="CI65" s="1012"/>
      <c r="CJ65" s="1012"/>
      <c r="CK65" s="1012"/>
      <c r="CL65" s="1012"/>
      <c r="CM65" s="1001"/>
      <c r="CN65" s="860"/>
      <c r="CO65" s="71"/>
      <c r="CP65" s="71"/>
      <c r="CQ65" s="71"/>
      <c r="CR65" s="1260"/>
      <c r="CS65" s="1007"/>
      <c r="CT65" s="1007"/>
      <c r="CU65" s="1007"/>
      <c r="CV65" s="1007"/>
      <c r="CW65" s="373"/>
      <c r="CX65" s="71"/>
      <c r="CY65" s="71"/>
      <c r="CZ65" s="71"/>
      <c r="DA65" s="71"/>
      <c r="DB65" s="373"/>
      <c r="DC65" s="79"/>
      <c r="DD65" s="79"/>
      <c r="DE65" s="79"/>
      <c r="DF65" s="79"/>
      <c r="DG65" s="289"/>
      <c r="DH65" s="79"/>
      <c r="DI65" s="79"/>
      <c r="DJ65" s="79"/>
      <c r="DK65" s="79"/>
      <c r="DL65" s="289"/>
      <c r="DM65" s="79"/>
      <c r="DN65" s="79"/>
      <c r="DO65" s="79"/>
      <c r="DP65" s="79"/>
      <c r="DQ65" s="289"/>
      <c r="DR65" s="79"/>
      <c r="DS65" s="79"/>
      <c r="DT65" s="79"/>
      <c r="DU65" s="79"/>
      <c r="DV65" s="289"/>
      <c r="DW65" s="79"/>
      <c r="DX65" s="79"/>
      <c r="DY65" s="79"/>
      <c r="DZ65" s="79"/>
      <c r="EA65" s="289"/>
      <c r="EB65" s="1008"/>
      <c r="EC65" s="1008"/>
      <c r="ED65" s="1008"/>
      <c r="EE65" s="1008"/>
      <c r="EF65" s="1008"/>
      <c r="EG65" s="1243"/>
    </row>
    <row r="66" spans="1:147" x14ac:dyDescent="0.2">
      <c r="A66" s="446" t="s">
        <v>144</v>
      </c>
      <c r="B66" s="15"/>
      <c r="C66" s="15"/>
      <c r="D66" s="15"/>
      <c r="E66" s="15"/>
      <c r="F66" s="59"/>
      <c r="G66" s="15"/>
      <c r="H66" s="15"/>
      <c r="I66" s="15"/>
      <c r="J66" s="15"/>
      <c r="K66" s="59"/>
      <c r="L66" s="71">
        <v>0</v>
      </c>
      <c r="M66" s="15">
        <v>1</v>
      </c>
      <c r="N66" s="62">
        <f>1-M66-L66</f>
        <v>0</v>
      </c>
      <c r="O66" s="15">
        <v>0</v>
      </c>
      <c r="P66" s="82">
        <v>0</v>
      </c>
      <c r="Q66" s="71">
        <v>0</v>
      </c>
      <c r="R66" s="62">
        <f>-2-Q66</f>
        <v>-2</v>
      </c>
      <c r="S66" s="62">
        <f>-2-R66-Q66</f>
        <v>0</v>
      </c>
      <c r="T66" s="62">
        <f>-3-S66-R66-Q66</f>
        <v>-1</v>
      </c>
      <c r="U66" s="60">
        <f>SUM(Q66:T66)</f>
        <v>-3</v>
      </c>
      <c r="V66" s="78">
        <v>0</v>
      </c>
      <c r="W66" s="62">
        <v>0</v>
      </c>
      <c r="X66" s="62">
        <v>0</v>
      </c>
      <c r="Y66" s="62">
        <v>0</v>
      </c>
      <c r="Z66" s="60">
        <v>0</v>
      </c>
      <c r="AA66" s="71">
        <v>1</v>
      </c>
      <c r="AB66" s="62">
        <f>3-AA66</f>
        <v>2</v>
      </c>
      <c r="AC66" s="62">
        <f>3-AB66-AA66</f>
        <v>0</v>
      </c>
      <c r="AD66" s="62">
        <f>AE66-AC66-AB66-AA66</f>
        <v>1</v>
      </c>
      <c r="AE66" s="60">
        <v>4</v>
      </c>
      <c r="AF66" s="71">
        <v>1</v>
      </c>
      <c r="AG66" s="62">
        <f>7-AF66</f>
        <v>6</v>
      </c>
      <c r="AH66" s="62">
        <f>4-AG66-AF66</f>
        <v>-3</v>
      </c>
      <c r="AI66" s="62">
        <f>3-AH66-AG66-AF66</f>
        <v>-1</v>
      </c>
      <c r="AJ66" s="60">
        <f>SUM(AF66:AI66)</f>
        <v>3</v>
      </c>
      <c r="AK66" s="71">
        <v>0</v>
      </c>
      <c r="AL66" s="62">
        <f>-2-AK66</f>
        <v>-2</v>
      </c>
      <c r="AM66" s="62">
        <f>0-AL66-AK66</f>
        <v>2</v>
      </c>
      <c r="AN66" s="62">
        <f>AO66-AM66-AL66-AK66</f>
        <v>4</v>
      </c>
      <c r="AO66" s="60">
        <v>4</v>
      </c>
      <c r="AP66" s="71"/>
      <c r="AQ66" s="62">
        <f>-4-AP66</f>
        <v>-4</v>
      </c>
      <c r="AR66" s="161">
        <f>-4-AQ66-AP66</f>
        <v>0</v>
      </c>
      <c r="AS66" s="62">
        <f>AT66-SUM(AP66:AR66)</f>
        <v>5</v>
      </c>
      <c r="AT66" s="77">
        <v>1</v>
      </c>
      <c r="AU66" s="78">
        <v>1</v>
      </c>
      <c r="AV66" s="71">
        <f>3-AU66</f>
        <v>2</v>
      </c>
      <c r="AW66" s="71">
        <f>3-AV66-AU66</f>
        <v>0</v>
      </c>
      <c r="AX66" s="71">
        <f>AY66-AW66-AV66-AU66</f>
        <v>5</v>
      </c>
      <c r="AY66" s="126">
        <v>8</v>
      </c>
      <c r="AZ66" s="78">
        <v>0</v>
      </c>
      <c r="BA66" s="71">
        <v>6</v>
      </c>
      <c r="BB66" s="71">
        <v>3</v>
      </c>
      <c r="BC66" s="71">
        <f>BD66-BB66-BA66-AZ66</f>
        <v>4</v>
      </c>
      <c r="BD66" s="126">
        <v>13</v>
      </c>
      <c r="BE66" s="78">
        <v>6</v>
      </c>
      <c r="BF66" s="71">
        <f>8-BE66</f>
        <v>2</v>
      </c>
      <c r="BG66" s="71">
        <f>0-BF66-BE66</f>
        <v>-8</v>
      </c>
      <c r="BH66" s="71">
        <f>BI66-BG66-BF66-BE66</f>
        <v>-11</v>
      </c>
      <c r="BI66" s="126">
        <v>-11</v>
      </c>
      <c r="BJ66" s="78">
        <v>3</v>
      </c>
      <c r="BK66" s="71">
        <f>-6-BJ66</f>
        <v>-9</v>
      </c>
      <c r="BL66" s="71">
        <f>0-BK66-BJ66</f>
        <v>6</v>
      </c>
      <c r="BM66" s="71">
        <f>BN66-BL66-BK66-BJ66</f>
        <v>-15</v>
      </c>
      <c r="BN66" s="575">
        <v>-15</v>
      </c>
      <c r="BO66" s="71">
        <v>5</v>
      </c>
      <c r="BP66" s="71">
        <f>-5-BO66</f>
        <v>-10</v>
      </c>
      <c r="BQ66" s="71">
        <f>10-BP66-BO66</f>
        <v>15</v>
      </c>
      <c r="BR66" s="71">
        <f>BS66-BQ66-BP66-BO66</f>
        <v>11</v>
      </c>
      <c r="BS66" s="126">
        <v>21</v>
      </c>
      <c r="BT66" s="78">
        <v>12</v>
      </c>
      <c r="BU66" s="71">
        <f>25-BT66</f>
        <v>13</v>
      </c>
      <c r="BV66" s="71">
        <f>42-BU66-BT66</f>
        <v>17</v>
      </c>
      <c r="BW66" s="71">
        <f>BX66-BV66-BU66-BT66</f>
        <v>-21</v>
      </c>
      <c r="BX66" s="126">
        <v>21</v>
      </c>
      <c r="BY66" s="78">
        <v>7</v>
      </c>
      <c r="BZ66" s="71">
        <f>-3-BY66</f>
        <v>-10</v>
      </c>
      <c r="CA66" s="71">
        <f>-5-SUM(BY66:BZ66)</f>
        <v>-2</v>
      </c>
      <c r="CB66" s="71">
        <f>CC66-SUM(BY66:CA66)</f>
        <v>10</v>
      </c>
      <c r="CC66" s="575">
        <v>5</v>
      </c>
      <c r="CD66" s="78">
        <v>-3</v>
      </c>
      <c r="CE66" s="71">
        <f>-8-CD66</f>
        <v>-5</v>
      </c>
      <c r="CF66" s="71">
        <f>-14-SUM(CD66:CE66)</f>
        <v>-6</v>
      </c>
      <c r="CG66" s="71">
        <f>CH66-SUM(CD66:CF66)</f>
        <v>9</v>
      </c>
      <c r="CH66" s="574">
        <v>-5</v>
      </c>
      <c r="CI66" s="943">
        <v>-4</v>
      </c>
      <c r="CJ66" s="1012">
        <f>-13-CI66</f>
        <v>-9</v>
      </c>
      <c r="CK66" s="1012">
        <f>6-CJ66-CI66</f>
        <v>19</v>
      </c>
      <c r="CL66" s="1012">
        <f>CM66-CK66-CJ66-CI66</f>
        <v>0</v>
      </c>
      <c r="CM66" s="997">
        <v>6</v>
      </c>
      <c r="CN66" s="860"/>
      <c r="CO66" s="71"/>
      <c r="CP66" s="71"/>
      <c r="CQ66" s="71"/>
      <c r="CR66" s="1257">
        <v>11</v>
      </c>
      <c r="CS66" s="1007">
        <v>-14.5</v>
      </c>
      <c r="CT66" s="1007">
        <v>9.5</v>
      </c>
      <c r="CU66" s="1007">
        <v>9.5</v>
      </c>
      <c r="CV66" s="2354">
        <f>CW66-CU66-CT66-CS66</f>
        <v>97.5</v>
      </c>
      <c r="CW66" s="126">
        <f>-25+127</f>
        <v>102</v>
      </c>
      <c r="CX66" s="71">
        <v>17</v>
      </c>
      <c r="CY66" s="71">
        <f>23-CX66</f>
        <v>6</v>
      </c>
      <c r="CZ66" s="71">
        <f>42-CY66-CX66</f>
        <v>19</v>
      </c>
      <c r="DA66" s="71">
        <f>61-SUM(CX66:CZ66)</f>
        <v>19</v>
      </c>
      <c r="DB66" s="126">
        <f>SUM(CX66:DA66)</f>
        <v>61</v>
      </c>
      <c r="DC66" s="79">
        <f>DA66</f>
        <v>19</v>
      </c>
      <c r="DD66" s="79">
        <f>DC66</f>
        <v>19</v>
      </c>
      <c r="DE66" s="79">
        <f>DD66</f>
        <v>19</v>
      </c>
      <c r="DF66" s="79">
        <f>DE66</f>
        <v>19</v>
      </c>
      <c r="DG66" s="127">
        <f>SUM(DC66:DF66)</f>
        <v>76</v>
      </c>
      <c r="DH66" s="79">
        <f>DF66</f>
        <v>19</v>
      </c>
      <c r="DI66" s="79">
        <f>DH66</f>
        <v>19</v>
      </c>
      <c r="DJ66" s="79">
        <f>DI66</f>
        <v>19</v>
      </c>
      <c r="DK66" s="79">
        <f>DJ66</f>
        <v>19</v>
      </c>
      <c r="DL66" s="127">
        <f>SUM(DH66:DK66)</f>
        <v>76</v>
      </c>
      <c r="DM66" s="79">
        <f>DK66</f>
        <v>19</v>
      </c>
      <c r="DN66" s="79">
        <f>DM66</f>
        <v>19</v>
      </c>
      <c r="DO66" s="79">
        <f>DN66</f>
        <v>19</v>
      </c>
      <c r="DP66" s="79">
        <f>DO66</f>
        <v>19</v>
      </c>
      <c r="DQ66" s="127">
        <f>SUM(DM66:DP66)</f>
        <v>76</v>
      </c>
      <c r="DR66" s="79">
        <f>DP66</f>
        <v>19</v>
      </c>
      <c r="DS66" s="79">
        <f>DR66</f>
        <v>19</v>
      </c>
      <c r="DT66" s="79">
        <f>DS66</f>
        <v>19</v>
      </c>
      <c r="DU66" s="79">
        <f>DT66</f>
        <v>19</v>
      </c>
      <c r="DV66" s="127">
        <f>SUM(DR66:DU66)</f>
        <v>76</v>
      </c>
      <c r="DW66" s="79">
        <f>DU66</f>
        <v>19</v>
      </c>
      <c r="DX66" s="79">
        <f>DW66</f>
        <v>19</v>
      </c>
      <c r="DY66" s="79">
        <f>DX66</f>
        <v>19</v>
      </c>
      <c r="DZ66" s="79">
        <f>DY66</f>
        <v>19</v>
      </c>
      <c r="EA66" s="127">
        <f>SUM(DW66:DZ66)</f>
        <v>76</v>
      </c>
      <c r="EB66" s="1008"/>
      <c r="EC66" s="1008"/>
      <c r="ED66" s="1008"/>
      <c r="EE66" s="1008"/>
      <c r="EF66" s="1008"/>
      <c r="EG66" s="1243"/>
    </row>
    <row r="67" spans="1:147" x14ac:dyDescent="0.2">
      <c r="A67" s="446" t="s">
        <v>145</v>
      </c>
      <c r="B67" s="15"/>
      <c r="C67" s="15"/>
      <c r="D67" s="15"/>
      <c r="E67" s="15"/>
      <c r="F67" s="59"/>
      <c r="G67" s="15"/>
      <c r="H67" s="15"/>
      <c r="I67" s="15"/>
      <c r="J67" s="15"/>
      <c r="K67" s="59"/>
      <c r="L67" s="62">
        <f t="shared" ref="L67:Z67" si="112">L37+L48+L64</f>
        <v>-11</v>
      </c>
      <c r="M67" s="62">
        <f t="shared" si="112"/>
        <v>49</v>
      </c>
      <c r="N67" s="62">
        <f t="shared" si="112"/>
        <v>-9</v>
      </c>
      <c r="O67" s="62">
        <f t="shared" si="112"/>
        <v>-61</v>
      </c>
      <c r="P67" s="60">
        <f t="shared" si="112"/>
        <v>-32</v>
      </c>
      <c r="Q67" s="62">
        <f t="shared" si="112"/>
        <v>13</v>
      </c>
      <c r="R67" s="62">
        <f t="shared" si="112"/>
        <v>57</v>
      </c>
      <c r="S67" s="62">
        <f t="shared" si="112"/>
        <v>-42</v>
      </c>
      <c r="T67" s="62">
        <f t="shared" si="112"/>
        <v>19</v>
      </c>
      <c r="U67" s="60">
        <f t="shared" si="112"/>
        <v>47</v>
      </c>
      <c r="V67" s="77">
        <f t="shared" si="112"/>
        <v>25</v>
      </c>
      <c r="W67" s="62">
        <f t="shared" si="112"/>
        <v>25</v>
      </c>
      <c r="X67" s="62">
        <f t="shared" si="112"/>
        <v>1</v>
      </c>
      <c r="Y67" s="62">
        <f t="shared" si="112"/>
        <v>-74</v>
      </c>
      <c r="Z67" s="60">
        <f t="shared" si="112"/>
        <v>-23</v>
      </c>
      <c r="AA67" s="62">
        <v>26</v>
      </c>
      <c r="AB67" s="62">
        <f>AB37+AB48+AB64</f>
        <v>31</v>
      </c>
      <c r="AC67" s="62">
        <f>AC37+AC48+AC64</f>
        <v>17</v>
      </c>
      <c r="AD67" s="62">
        <f>AD37+AD48+AD64</f>
        <v>-57</v>
      </c>
      <c r="AE67" s="60">
        <f>AE37+AE48+AE64</f>
        <v>16</v>
      </c>
      <c r="AF67" s="62">
        <v>45</v>
      </c>
      <c r="AG67" s="62">
        <f t="shared" ref="AG67:AZ67" si="113">AG37+AG48+AG64</f>
        <v>18</v>
      </c>
      <c r="AH67" s="62">
        <f t="shared" si="113"/>
        <v>102</v>
      </c>
      <c r="AI67" s="62">
        <f t="shared" si="113"/>
        <v>-105</v>
      </c>
      <c r="AJ67" s="60">
        <f t="shared" si="113"/>
        <v>59</v>
      </c>
      <c r="AK67" s="62">
        <f t="shared" si="113"/>
        <v>-63</v>
      </c>
      <c r="AL67" s="62">
        <f t="shared" si="113"/>
        <v>65</v>
      </c>
      <c r="AM67" s="62">
        <f t="shared" si="113"/>
        <v>193</v>
      </c>
      <c r="AN67" s="62">
        <f t="shared" si="113"/>
        <v>-329</v>
      </c>
      <c r="AO67" s="60">
        <f t="shared" si="113"/>
        <v>-134</v>
      </c>
      <c r="AP67" s="62">
        <f t="shared" si="113"/>
        <v>22</v>
      </c>
      <c r="AQ67" s="62">
        <f t="shared" si="113"/>
        <v>-1</v>
      </c>
      <c r="AR67" s="62">
        <f t="shared" si="113"/>
        <v>150</v>
      </c>
      <c r="AS67" s="62">
        <f t="shared" si="113"/>
        <v>-110</v>
      </c>
      <c r="AT67" s="77">
        <f t="shared" si="113"/>
        <v>61</v>
      </c>
      <c r="AU67" s="78">
        <f t="shared" si="113"/>
        <v>-35</v>
      </c>
      <c r="AV67" s="71">
        <f t="shared" si="113"/>
        <v>128</v>
      </c>
      <c r="AW67" s="71">
        <f t="shared" si="113"/>
        <v>-1</v>
      </c>
      <c r="AX67" s="71">
        <f t="shared" si="113"/>
        <v>43</v>
      </c>
      <c r="AY67" s="123">
        <f t="shared" si="113"/>
        <v>153</v>
      </c>
      <c r="AZ67" s="78">
        <f t="shared" si="113"/>
        <v>22</v>
      </c>
      <c r="BA67" s="71">
        <f t="shared" ref="BA67:CM67" si="114">BA37+BA48+BA64+BA66</f>
        <v>95</v>
      </c>
      <c r="BB67" s="71">
        <f t="shared" si="114"/>
        <v>71</v>
      </c>
      <c r="BC67" s="71">
        <f t="shared" si="114"/>
        <v>282</v>
      </c>
      <c r="BD67" s="123">
        <f t="shared" si="114"/>
        <v>470</v>
      </c>
      <c r="BE67" s="78">
        <f t="shared" si="114"/>
        <v>-325</v>
      </c>
      <c r="BF67" s="71">
        <f t="shared" si="114"/>
        <v>-156</v>
      </c>
      <c r="BG67" s="71">
        <f t="shared" si="114"/>
        <v>-31</v>
      </c>
      <c r="BH67" s="71">
        <f t="shared" si="114"/>
        <v>-130</v>
      </c>
      <c r="BI67" s="123">
        <f t="shared" si="114"/>
        <v>-642</v>
      </c>
      <c r="BJ67" s="78">
        <f t="shared" si="114"/>
        <v>73</v>
      </c>
      <c r="BK67" s="71">
        <f t="shared" si="114"/>
        <v>-22</v>
      </c>
      <c r="BL67" s="71">
        <f t="shared" si="114"/>
        <v>140</v>
      </c>
      <c r="BM67" s="71">
        <f t="shared" si="114"/>
        <v>-71</v>
      </c>
      <c r="BN67" s="579">
        <f t="shared" si="114"/>
        <v>120</v>
      </c>
      <c r="BO67" s="71">
        <f t="shared" si="114"/>
        <v>91</v>
      </c>
      <c r="BP67" s="71">
        <f t="shared" si="114"/>
        <v>86</v>
      </c>
      <c r="BQ67" s="71">
        <f t="shared" si="114"/>
        <v>744</v>
      </c>
      <c r="BR67" s="71">
        <f t="shared" si="114"/>
        <v>152</v>
      </c>
      <c r="BS67" s="123">
        <f t="shared" si="114"/>
        <v>1073</v>
      </c>
      <c r="BT67" s="78">
        <f t="shared" si="114"/>
        <v>103</v>
      </c>
      <c r="BU67" s="71">
        <f t="shared" si="114"/>
        <v>-574</v>
      </c>
      <c r="BV67" s="71">
        <f t="shared" si="114"/>
        <v>281</v>
      </c>
      <c r="BW67" s="71">
        <f t="shared" si="114"/>
        <v>-38</v>
      </c>
      <c r="BX67" s="123">
        <f t="shared" si="114"/>
        <v>-228</v>
      </c>
      <c r="BY67" s="78">
        <f t="shared" si="114"/>
        <v>-99</v>
      </c>
      <c r="BZ67" s="71">
        <f t="shared" si="114"/>
        <v>-115</v>
      </c>
      <c r="CA67" s="71">
        <f t="shared" si="114"/>
        <v>-42</v>
      </c>
      <c r="CB67" s="71">
        <f t="shared" si="114"/>
        <v>-166</v>
      </c>
      <c r="CC67" s="579">
        <f t="shared" si="114"/>
        <v>-422</v>
      </c>
      <c r="CD67" s="71">
        <f t="shared" si="114"/>
        <v>-14</v>
      </c>
      <c r="CE67" s="71">
        <f t="shared" si="114"/>
        <v>-262</v>
      </c>
      <c r="CF67" s="71">
        <f t="shared" si="114"/>
        <v>253</v>
      </c>
      <c r="CG67" s="71">
        <f t="shared" si="114"/>
        <v>-180</v>
      </c>
      <c r="CH67" s="123">
        <f t="shared" si="114"/>
        <v>-203</v>
      </c>
      <c r="CI67" s="1012">
        <f t="shared" si="114"/>
        <v>161</v>
      </c>
      <c r="CJ67" s="1012">
        <f t="shared" si="114"/>
        <v>-137</v>
      </c>
      <c r="CK67" s="1012">
        <f t="shared" si="114"/>
        <v>88</v>
      </c>
      <c r="CL67" s="1012">
        <f t="shared" si="114"/>
        <v>-107</v>
      </c>
      <c r="CM67" s="941">
        <f t="shared" si="114"/>
        <v>5</v>
      </c>
      <c r="CN67" s="860"/>
      <c r="CO67" s="71"/>
      <c r="CP67" s="71"/>
      <c r="CQ67" s="71"/>
      <c r="CR67" s="124">
        <f>CR37+CR48+CR64+CR66-74-312</f>
        <v>-28</v>
      </c>
      <c r="CS67" s="1007">
        <f t="shared" ref="CS67:DQ67" si="115">CS37+CS48+CS64+CS66</f>
        <v>-16.302699377623384</v>
      </c>
      <c r="CT67" s="1007">
        <f t="shared" si="115"/>
        <v>-15.372300622376628</v>
      </c>
      <c r="CU67" s="1007">
        <f t="shared" si="115"/>
        <v>1893.1191995947315</v>
      </c>
      <c r="CV67" s="1007">
        <f t="shared" si="115"/>
        <v>-1342.4441995947313</v>
      </c>
      <c r="CW67" s="123">
        <f t="shared" si="115"/>
        <v>519</v>
      </c>
      <c r="CX67" s="71">
        <f t="shared" si="115"/>
        <v>-220</v>
      </c>
      <c r="CY67" s="71">
        <f t="shared" si="115"/>
        <v>445</v>
      </c>
      <c r="CZ67" s="71">
        <f t="shared" si="115"/>
        <v>-5</v>
      </c>
      <c r="DA67" s="71">
        <f t="shared" si="115"/>
        <v>548</v>
      </c>
      <c r="DB67" s="123">
        <f>DB37+DB48+DB64+DB66</f>
        <v>768</v>
      </c>
      <c r="DC67" s="79">
        <f t="shared" si="115"/>
        <v>-81.961806623433745</v>
      </c>
      <c r="DD67" s="79">
        <f t="shared" si="115"/>
        <v>-209.62981048838719</v>
      </c>
      <c r="DE67" s="79">
        <f t="shared" si="115"/>
        <v>-279.36347564655961</v>
      </c>
      <c r="DF67" s="79">
        <f t="shared" si="115"/>
        <v>-92.416223038815588</v>
      </c>
      <c r="DG67" s="124">
        <f t="shared" si="115"/>
        <v>-663.37131579719608</v>
      </c>
      <c r="DH67" s="79">
        <f t="shared" si="115"/>
        <v>-362.6090975429081</v>
      </c>
      <c r="DI67" s="79">
        <f t="shared" si="115"/>
        <v>-94.601272829358436</v>
      </c>
      <c r="DJ67" s="79">
        <f t="shared" si="115"/>
        <v>-66.426047472931032</v>
      </c>
      <c r="DK67" s="79">
        <f t="shared" si="115"/>
        <v>323.11967338531753</v>
      </c>
      <c r="DL67" s="124">
        <f t="shared" si="115"/>
        <v>-200.5167444598801</v>
      </c>
      <c r="DM67" s="79">
        <f t="shared" si="115"/>
        <v>-330.72623349700586</v>
      </c>
      <c r="DN67" s="79">
        <f t="shared" si="115"/>
        <v>28.122152660800054</v>
      </c>
      <c r="DO67" s="79">
        <f t="shared" si="115"/>
        <v>48.991125011380177</v>
      </c>
      <c r="DP67" s="79">
        <f t="shared" si="115"/>
        <v>501.87158955720486</v>
      </c>
      <c r="DQ67" s="124">
        <f t="shared" si="115"/>
        <v>248.25863373237917</v>
      </c>
      <c r="DR67" s="79">
        <f t="shared" ref="DR67:EA67" si="116">DR37+DR48+DR64+DR66</f>
        <v>-337.30575710539455</v>
      </c>
      <c r="DS67" s="79">
        <f t="shared" si="116"/>
        <v>53.496060237827294</v>
      </c>
      <c r="DT67" s="79">
        <f t="shared" si="116"/>
        <v>73.007129745904081</v>
      </c>
      <c r="DU67" s="79">
        <f t="shared" si="116"/>
        <v>593.72734587084221</v>
      </c>
      <c r="DV67" s="124">
        <f t="shared" si="116"/>
        <v>382.92477874917904</v>
      </c>
      <c r="DW67" s="79">
        <f t="shared" si="116"/>
        <v>-373.17179721914738</v>
      </c>
      <c r="DX67" s="79">
        <f t="shared" si="116"/>
        <v>81.460461667261143</v>
      </c>
      <c r="DY67" s="79">
        <f t="shared" si="116"/>
        <v>100.94490186758111</v>
      </c>
      <c r="DZ67" s="79">
        <f t="shared" si="116"/>
        <v>714.19276868626423</v>
      </c>
      <c r="EA67" s="124">
        <f t="shared" si="116"/>
        <v>523.42633500195871</v>
      </c>
      <c r="EB67" s="1008"/>
      <c r="EC67" s="1008"/>
      <c r="ED67" s="1008"/>
      <c r="EE67" s="1008"/>
      <c r="EF67" s="1008"/>
      <c r="EG67" s="1243"/>
    </row>
    <row r="68" spans="1:147" x14ac:dyDescent="0.2">
      <c r="A68" s="446" t="s">
        <v>359</v>
      </c>
      <c r="B68" s="15"/>
      <c r="C68" s="15"/>
      <c r="D68" s="15"/>
      <c r="E68" s="15"/>
      <c r="F68" s="59"/>
      <c r="G68" s="15"/>
      <c r="H68" s="15"/>
      <c r="I68" s="15"/>
      <c r="J68" s="15"/>
      <c r="K68" s="59"/>
      <c r="L68" s="62"/>
      <c r="M68" s="62"/>
      <c r="N68" s="62"/>
      <c r="O68" s="62"/>
      <c r="P68" s="60"/>
      <c r="Q68" s="62"/>
      <c r="R68" s="62"/>
      <c r="S68" s="62"/>
      <c r="T68" s="62"/>
      <c r="U68" s="60"/>
      <c r="V68" s="77"/>
      <c r="W68" s="62"/>
      <c r="X68" s="62"/>
      <c r="Y68" s="62"/>
      <c r="Z68" s="60">
        <v>0</v>
      </c>
      <c r="AA68" s="62"/>
      <c r="AB68" s="62"/>
      <c r="AC68" s="62"/>
      <c r="AD68" s="62"/>
      <c r="AE68" s="60"/>
      <c r="AF68" s="62"/>
      <c r="AG68" s="62"/>
      <c r="AH68" s="62"/>
      <c r="AI68" s="62"/>
      <c r="AJ68" s="60"/>
      <c r="AK68" s="62"/>
      <c r="AL68" s="62"/>
      <c r="AM68" s="62"/>
      <c r="AN68" s="62"/>
      <c r="AO68" s="60"/>
      <c r="AP68" s="62">
        <v>34</v>
      </c>
      <c r="AQ68" s="62">
        <f>34-AP68</f>
        <v>0</v>
      </c>
      <c r="AR68" s="62">
        <f>34-AQ68-AP68</f>
        <v>0</v>
      </c>
      <c r="AS68" s="62"/>
      <c r="AT68" s="77">
        <v>34</v>
      </c>
      <c r="AU68" s="77">
        <f>AS68</f>
        <v>0</v>
      </c>
      <c r="AV68" s="62">
        <f>AU68</f>
        <v>0</v>
      </c>
      <c r="AW68" s="62">
        <f>AV68</f>
        <v>0</v>
      </c>
      <c r="AX68" s="62">
        <f>AW68</f>
        <v>0</v>
      </c>
      <c r="AY68" s="123">
        <f>AY38+AY49+AY65</f>
        <v>0</v>
      </c>
      <c r="AZ68" s="77">
        <f>AX68</f>
        <v>0</v>
      </c>
      <c r="BA68" s="62">
        <f>AZ68</f>
        <v>0</v>
      </c>
      <c r="BB68" s="62">
        <f>BA68</f>
        <v>0</v>
      </c>
      <c r="BC68" s="62">
        <f>BB68</f>
        <v>0</v>
      </c>
      <c r="BD68" s="123">
        <f>BD38+BD49+BD65</f>
        <v>0</v>
      </c>
      <c r="BE68" s="77">
        <v>17</v>
      </c>
      <c r="BF68" s="62">
        <f>17-BE68</f>
        <v>0</v>
      </c>
      <c r="BG68" s="62">
        <f>BF68</f>
        <v>0</v>
      </c>
      <c r="BH68" s="62">
        <f>BG68</f>
        <v>0</v>
      </c>
      <c r="BI68" s="123">
        <v>17</v>
      </c>
      <c r="BJ68" s="77">
        <v>0</v>
      </c>
      <c r="BK68" s="62">
        <f>17-BJ68</f>
        <v>17</v>
      </c>
      <c r="BL68" s="62">
        <v>0</v>
      </c>
      <c r="BM68" s="62">
        <f>BN68-BL68-BK68-BJ68</f>
        <v>0</v>
      </c>
      <c r="BN68" s="579">
        <v>17</v>
      </c>
      <c r="BO68" s="62">
        <f>BM68</f>
        <v>0</v>
      </c>
      <c r="BP68" s="62">
        <f>BO68</f>
        <v>0</v>
      </c>
      <c r="BQ68" s="62">
        <f>BP68</f>
        <v>0</v>
      </c>
      <c r="BR68" s="62">
        <f>BQ68</f>
        <v>0</v>
      </c>
      <c r="BS68" s="123">
        <f>SUM(BO68:BR68)</f>
        <v>0</v>
      </c>
      <c r="BT68" s="77">
        <v>0</v>
      </c>
      <c r="BU68" s="62">
        <f>BT68</f>
        <v>0</v>
      </c>
      <c r="BV68" s="62">
        <f>BU68</f>
        <v>0</v>
      </c>
      <c r="BW68" s="62">
        <f>BV68</f>
        <v>0</v>
      </c>
      <c r="BX68" s="123">
        <f>SUM(BT68:BW68)</f>
        <v>0</v>
      </c>
      <c r="BY68" s="77">
        <f>BW68</f>
        <v>0</v>
      </c>
      <c r="BZ68" s="62">
        <f>BY68</f>
        <v>0</v>
      </c>
      <c r="CA68" s="62">
        <f>BZ68</f>
        <v>0</v>
      </c>
      <c r="CB68" s="62">
        <f>CA68</f>
        <v>0</v>
      </c>
      <c r="CC68" s="579">
        <f>SUM(BY68:CB68)</f>
        <v>0</v>
      </c>
      <c r="CD68" s="62">
        <f>CB68</f>
        <v>0</v>
      </c>
      <c r="CE68" s="62">
        <f>CD68</f>
        <v>0</v>
      </c>
      <c r="CF68" s="62">
        <f>CE68</f>
        <v>0</v>
      </c>
      <c r="CG68" s="62">
        <f>CF68</f>
        <v>0</v>
      </c>
      <c r="CH68" s="123">
        <f>SUM(CD68:CG68)</f>
        <v>0</v>
      </c>
      <c r="CI68" s="1015">
        <f>CG68</f>
        <v>0</v>
      </c>
      <c r="CJ68" s="1015">
        <f>CI68</f>
        <v>0</v>
      </c>
      <c r="CK68" s="1015">
        <f>CJ68</f>
        <v>0</v>
      </c>
      <c r="CL68" s="1015">
        <f>CK68</f>
        <v>0</v>
      </c>
      <c r="CM68" s="941">
        <f>SUM(CI68:CL68)</f>
        <v>0</v>
      </c>
      <c r="CN68" s="861"/>
      <c r="CO68" s="62"/>
      <c r="CP68" s="62"/>
      <c r="CQ68" s="62"/>
      <c r="CR68" s="124">
        <f>SUM(CN68:CQ68)</f>
        <v>0</v>
      </c>
      <c r="CS68" s="1046">
        <v>0</v>
      </c>
      <c r="CT68" s="1046">
        <v>0</v>
      </c>
      <c r="CU68" s="1046">
        <v>0</v>
      </c>
      <c r="CV68" s="1046">
        <f>CU68</f>
        <v>0</v>
      </c>
      <c r="CW68" s="123">
        <f>SUM(CS68:CV68)</f>
        <v>0</v>
      </c>
      <c r="CX68" s="62">
        <f>CV68</f>
        <v>0</v>
      </c>
      <c r="CY68" s="62">
        <f>CX68</f>
        <v>0</v>
      </c>
      <c r="CZ68" s="62">
        <f>CY68</f>
        <v>0</v>
      </c>
      <c r="DA68" s="62">
        <f>CZ68</f>
        <v>0</v>
      </c>
      <c r="DB68" s="123">
        <f>SUM(CX68:DA68)</f>
        <v>0</v>
      </c>
      <c r="DC68" s="62">
        <f>DA68</f>
        <v>0</v>
      </c>
      <c r="DD68" s="62">
        <f>DC68</f>
        <v>0</v>
      </c>
      <c r="DE68" s="62">
        <f>DD68</f>
        <v>0</v>
      </c>
      <c r="DF68" s="62">
        <f>DE68</f>
        <v>0</v>
      </c>
      <c r="DG68" s="124">
        <f>SUM(DC68:DF68)</f>
        <v>0</v>
      </c>
      <c r="DH68" s="62">
        <f>DF68</f>
        <v>0</v>
      </c>
      <c r="DI68" s="62">
        <f>DH68</f>
        <v>0</v>
      </c>
      <c r="DJ68" s="62">
        <f>DI68</f>
        <v>0</v>
      </c>
      <c r="DK68" s="62">
        <f>DJ68</f>
        <v>0</v>
      </c>
      <c r="DL68" s="124">
        <f>SUM(DH68:DK68)</f>
        <v>0</v>
      </c>
      <c r="DM68" s="62">
        <f>DK68</f>
        <v>0</v>
      </c>
      <c r="DN68" s="62">
        <f>DM68</f>
        <v>0</v>
      </c>
      <c r="DO68" s="62">
        <f>DN68</f>
        <v>0</v>
      </c>
      <c r="DP68" s="62">
        <f>DO68</f>
        <v>0</v>
      </c>
      <c r="DQ68" s="124">
        <f>SUM(DM68:DP68)</f>
        <v>0</v>
      </c>
      <c r="DR68" s="62">
        <f>DP68</f>
        <v>0</v>
      </c>
      <c r="DS68" s="62">
        <f>DR68</f>
        <v>0</v>
      </c>
      <c r="DT68" s="62">
        <f>DS68</f>
        <v>0</v>
      </c>
      <c r="DU68" s="62">
        <f>DT68</f>
        <v>0</v>
      </c>
      <c r="DV68" s="124">
        <f>SUM(DR68:DU68)</f>
        <v>0</v>
      </c>
      <c r="DW68" s="62">
        <f>DU68</f>
        <v>0</v>
      </c>
      <c r="DX68" s="62">
        <f>DW68</f>
        <v>0</v>
      </c>
      <c r="DY68" s="62">
        <f>DX68</f>
        <v>0</v>
      </c>
      <c r="DZ68" s="62">
        <f>DY68</f>
        <v>0</v>
      </c>
      <c r="EA68" s="124">
        <f>SUM(DW68:DZ68)</f>
        <v>0</v>
      </c>
      <c r="EB68" s="1008"/>
      <c r="EC68" s="1008"/>
      <c r="ED68" s="1008"/>
      <c r="EE68" s="1008"/>
      <c r="EF68" s="1008"/>
      <c r="EG68" s="1243"/>
    </row>
    <row r="69" spans="1:147" x14ac:dyDescent="0.2">
      <c r="A69" s="446" t="s">
        <v>146</v>
      </c>
      <c r="B69" s="15"/>
      <c r="C69" s="15"/>
      <c r="D69" s="15"/>
      <c r="E69" s="15"/>
      <c r="F69" s="59"/>
      <c r="G69" s="15"/>
      <c r="H69" s="15"/>
      <c r="I69" s="15"/>
      <c r="J69" s="15"/>
      <c r="K69" s="59"/>
      <c r="L69" s="15">
        <v>121</v>
      </c>
      <c r="M69" s="15">
        <f>L70</f>
        <v>110</v>
      </c>
      <c r="N69" s="15">
        <v>160</v>
      </c>
      <c r="O69" s="15">
        <f>N70</f>
        <v>151</v>
      </c>
      <c r="P69" s="59">
        <f>L69</f>
        <v>121</v>
      </c>
      <c r="Q69" s="15">
        <f>P70</f>
        <v>89</v>
      </c>
      <c r="R69" s="15">
        <f>Q70</f>
        <v>102</v>
      </c>
      <c r="S69" s="290">
        <f>R70</f>
        <v>157</v>
      </c>
      <c r="T69" s="15">
        <f>S70</f>
        <v>115</v>
      </c>
      <c r="U69" s="59">
        <f>Q69</f>
        <v>89</v>
      </c>
      <c r="V69" s="14">
        <f>U70</f>
        <v>133</v>
      </c>
      <c r="W69" s="15">
        <f>V70</f>
        <v>158</v>
      </c>
      <c r="X69" s="15">
        <f>W70</f>
        <v>183</v>
      </c>
      <c r="Y69" s="15">
        <f>X70</f>
        <v>184</v>
      </c>
      <c r="Z69" s="59">
        <f>V69</f>
        <v>133</v>
      </c>
      <c r="AA69" s="15">
        <f>Z70</f>
        <v>110</v>
      </c>
      <c r="AB69" s="15">
        <f>AA70</f>
        <v>136</v>
      </c>
      <c r="AC69" s="15">
        <f>AB70</f>
        <v>169</v>
      </c>
      <c r="AD69" s="15">
        <f>AC70</f>
        <v>186</v>
      </c>
      <c r="AE69" s="59">
        <f>AA69</f>
        <v>110</v>
      </c>
      <c r="AF69" s="291">
        <f>AE70</f>
        <v>130</v>
      </c>
      <c r="AG69" s="291">
        <f>AF70</f>
        <v>175</v>
      </c>
      <c r="AH69" s="291">
        <f>AG70</f>
        <v>199</v>
      </c>
      <c r="AI69" s="15">
        <f>AH70</f>
        <v>298</v>
      </c>
      <c r="AJ69" s="59">
        <f>AF69</f>
        <v>130</v>
      </c>
      <c r="AK69" s="291">
        <f>AJ70</f>
        <v>192</v>
      </c>
      <c r="AL69" s="291">
        <f>AK70</f>
        <v>129</v>
      </c>
      <c r="AM69" s="291">
        <f>AL70</f>
        <v>192</v>
      </c>
      <c r="AN69" s="291">
        <f>AM70</f>
        <v>387</v>
      </c>
      <c r="AO69" s="292">
        <f>AK69</f>
        <v>192</v>
      </c>
      <c r="AP69" s="291">
        <f>AO70</f>
        <v>62</v>
      </c>
      <c r="AQ69" s="291">
        <f>AP70</f>
        <v>118</v>
      </c>
      <c r="AR69" s="291">
        <f>AQ70</f>
        <v>113</v>
      </c>
      <c r="AS69" s="291">
        <f>AR70</f>
        <v>263</v>
      </c>
      <c r="AT69" s="293">
        <f>AP69</f>
        <v>62</v>
      </c>
      <c r="AU69" s="293">
        <f>AT70</f>
        <v>158</v>
      </c>
      <c r="AV69" s="291">
        <f>AU70</f>
        <v>124</v>
      </c>
      <c r="AW69" s="291">
        <f>AV70</f>
        <v>254</v>
      </c>
      <c r="AX69" s="291">
        <f>AW70+18</f>
        <v>271</v>
      </c>
      <c r="AY69" s="374">
        <f>AT70</f>
        <v>158</v>
      </c>
      <c r="AZ69" s="293">
        <f>AY70</f>
        <v>319</v>
      </c>
      <c r="BA69" s="291">
        <f>AZ70</f>
        <v>341</v>
      </c>
      <c r="BB69" s="291">
        <f>BA70</f>
        <v>436</v>
      </c>
      <c r="BC69" s="291">
        <f>BB70</f>
        <v>507</v>
      </c>
      <c r="BD69" s="374">
        <f>AZ69</f>
        <v>319</v>
      </c>
      <c r="BE69" s="293">
        <f>BD70</f>
        <v>789</v>
      </c>
      <c r="BF69" s="291">
        <f>BE70</f>
        <v>481</v>
      </c>
      <c r="BG69" s="291">
        <f>BF70</f>
        <v>325</v>
      </c>
      <c r="BH69" s="291">
        <f>BG70</f>
        <v>294</v>
      </c>
      <c r="BI69" s="374">
        <f>BE69</f>
        <v>789</v>
      </c>
      <c r="BJ69" s="293">
        <v>216</v>
      </c>
      <c r="BK69" s="291">
        <f>BJ70</f>
        <v>289</v>
      </c>
      <c r="BL69" s="291">
        <f>BK70</f>
        <v>284</v>
      </c>
      <c r="BM69" s="291">
        <f>BL70</f>
        <v>424</v>
      </c>
      <c r="BN69" s="580">
        <f>BJ69</f>
        <v>216</v>
      </c>
      <c r="BO69" s="291">
        <f>BN70</f>
        <v>353</v>
      </c>
      <c r="BP69" s="291">
        <f>BO70</f>
        <v>444</v>
      </c>
      <c r="BQ69" s="291">
        <f>BP70</f>
        <v>530</v>
      </c>
      <c r="BR69" s="291">
        <f>BQ70</f>
        <v>1274</v>
      </c>
      <c r="BS69" s="374">
        <f>BO69</f>
        <v>353</v>
      </c>
      <c r="BT69" s="293">
        <f>BS70</f>
        <v>1426</v>
      </c>
      <c r="BU69" s="291">
        <f>BT70</f>
        <v>1529</v>
      </c>
      <c r="BV69" s="291">
        <f>BU70</f>
        <v>955</v>
      </c>
      <c r="BW69" s="291">
        <f>BV70</f>
        <v>1236</v>
      </c>
      <c r="BX69" s="374">
        <f>BT69</f>
        <v>1426</v>
      </c>
      <c r="BY69" s="293">
        <f>BX70</f>
        <v>1198</v>
      </c>
      <c r="BZ69" s="291">
        <f>BY70</f>
        <v>1099</v>
      </c>
      <c r="CA69" s="291">
        <f>BZ70</f>
        <v>984</v>
      </c>
      <c r="CB69" s="291">
        <f>CA70</f>
        <v>942</v>
      </c>
      <c r="CC69" s="580">
        <f>BY69</f>
        <v>1198</v>
      </c>
      <c r="CD69" s="291">
        <f>CC70</f>
        <v>776</v>
      </c>
      <c r="CE69" s="291">
        <f>CD70</f>
        <v>762</v>
      </c>
      <c r="CF69" s="291">
        <f>CE70</f>
        <v>500</v>
      </c>
      <c r="CG69" s="291">
        <f>CF70</f>
        <v>753</v>
      </c>
      <c r="CH69" s="2389">
        <f>CD69</f>
        <v>776</v>
      </c>
      <c r="CI69" s="2390">
        <f>CH70</f>
        <v>573</v>
      </c>
      <c r="CJ69" s="2390">
        <f>CI70</f>
        <v>734</v>
      </c>
      <c r="CK69" s="2390">
        <f>CJ70</f>
        <v>597</v>
      </c>
      <c r="CL69" s="2390">
        <f>CK70</f>
        <v>685</v>
      </c>
      <c r="CM69" s="2391">
        <f>CI69</f>
        <v>573</v>
      </c>
      <c r="CN69" s="2392"/>
      <c r="CO69" s="2393"/>
      <c r="CP69" s="2393"/>
      <c r="CQ69" s="2393"/>
      <c r="CR69" s="2394">
        <f>CM70</f>
        <v>340</v>
      </c>
      <c r="CS69" s="2395">
        <f>CR70</f>
        <v>312</v>
      </c>
      <c r="CT69" s="2395">
        <f>CS70</f>
        <v>295.69730062237659</v>
      </c>
      <c r="CU69" s="2395">
        <f>CT70</f>
        <v>280.32499999999993</v>
      </c>
      <c r="CV69" s="2395">
        <f>CU70</f>
        <v>2173.4441995947313</v>
      </c>
      <c r="CW69" s="2389">
        <f>CS69</f>
        <v>312</v>
      </c>
      <c r="CX69" s="2393">
        <f>CW70</f>
        <v>831</v>
      </c>
      <c r="CY69" s="2393">
        <f>CX70</f>
        <v>611</v>
      </c>
      <c r="CZ69" s="2393">
        <f>CY70</f>
        <v>1056</v>
      </c>
      <c r="DA69" s="2393">
        <f>CZ70</f>
        <v>1051</v>
      </c>
      <c r="DB69" s="2389">
        <f>CX69</f>
        <v>831</v>
      </c>
      <c r="DC69" s="2396">
        <f>DB70</f>
        <v>1599</v>
      </c>
      <c r="DD69" s="2396">
        <f>DC70</f>
        <v>1517.0381933765661</v>
      </c>
      <c r="DE69" s="2396">
        <f>DD70</f>
        <v>1307.4083828881789</v>
      </c>
      <c r="DF69" s="2396">
        <f>DE70</f>
        <v>1028.0449072416193</v>
      </c>
      <c r="DG69" s="2397">
        <f>DC69</f>
        <v>1599</v>
      </c>
      <c r="DH69" s="2396">
        <f>DG70</f>
        <v>935.62868420280392</v>
      </c>
      <c r="DI69" s="2396">
        <f>DH70</f>
        <v>573.01958665989582</v>
      </c>
      <c r="DJ69" s="2396">
        <f>DI70</f>
        <v>478.41831383053739</v>
      </c>
      <c r="DK69" s="2396">
        <f>DJ70</f>
        <v>411.99226635760635</v>
      </c>
      <c r="DL69" s="2397">
        <f>DH69</f>
        <v>935.62868420280392</v>
      </c>
      <c r="DM69" s="2396">
        <f>DL70</f>
        <v>735.11193974292382</v>
      </c>
      <c r="DN69" s="2396">
        <f>DM70</f>
        <v>404.38570624591796</v>
      </c>
      <c r="DO69" s="2396">
        <f>DN70</f>
        <v>432.50785890671801</v>
      </c>
      <c r="DP69" s="2396">
        <f>DO70</f>
        <v>481.49898391809819</v>
      </c>
      <c r="DQ69" s="2397">
        <f>DM69</f>
        <v>735.11193974292382</v>
      </c>
      <c r="DR69" s="2396">
        <f>DQ70</f>
        <v>983.37057347530299</v>
      </c>
      <c r="DS69" s="2396">
        <f>DR70</f>
        <v>646.06481636990839</v>
      </c>
      <c r="DT69" s="2396">
        <f>DS70</f>
        <v>699.56087660773574</v>
      </c>
      <c r="DU69" s="2396">
        <f>DT70</f>
        <v>772.56800635363982</v>
      </c>
      <c r="DV69" s="2397">
        <f>DR69</f>
        <v>983.37057347530299</v>
      </c>
      <c r="DW69" s="2396">
        <f>DV70</f>
        <v>1366.295352224482</v>
      </c>
      <c r="DX69" s="2396">
        <f>DW70</f>
        <v>993.12355500533465</v>
      </c>
      <c r="DY69" s="2396">
        <f>DX70</f>
        <v>1074.5840166725957</v>
      </c>
      <c r="DZ69" s="2396">
        <f>DY70</f>
        <v>1175.5289185401768</v>
      </c>
      <c r="EA69" s="2397">
        <f>DW69</f>
        <v>1366.295352224482</v>
      </c>
      <c r="EB69" s="1008"/>
      <c r="EC69" s="1008"/>
      <c r="ED69" s="1008"/>
      <c r="EE69" s="1008"/>
      <c r="EF69" s="1008"/>
      <c r="EG69" s="1243"/>
    </row>
    <row r="70" spans="1:147" x14ac:dyDescent="0.2">
      <c r="A70" s="445" t="s">
        <v>147</v>
      </c>
      <c r="B70" s="55"/>
      <c r="C70" s="55"/>
      <c r="D70" s="55"/>
      <c r="E70" s="55"/>
      <c r="F70" s="56"/>
      <c r="G70" s="55"/>
      <c r="H70" s="55"/>
      <c r="I70" s="55"/>
      <c r="J70" s="55"/>
      <c r="K70" s="641"/>
      <c r="L70" s="303">
        <f>L67+L69</f>
        <v>110</v>
      </c>
      <c r="M70" s="303">
        <f>M67+M69</f>
        <v>159</v>
      </c>
      <c r="N70" s="303">
        <f>N67+N69</f>
        <v>151</v>
      </c>
      <c r="O70" s="303">
        <f>O67+O69</f>
        <v>90</v>
      </c>
      <c r="P70" s="300">
        <f>SUM(P67:P69)</f>
        <v>89</v>
      </c>
      <c r="Q70" s="303">
        <f>Q67+Q69</f>
        <v>102</v>
      </c>
      <c r="R70" s="303">
        <f>SUM(R66:R69)</f>
        <v>157</v>
      </c>
      <c r="S70" s="303">
        <f>SUM(S66:S69)</f>
        <v>115</v>
      </c>
      <c r="T70" s="303">
        <f>SUM(T66:T69)</f>
        <v>133</v>
      </c>
      <c r="U70" s="300">
        <f>SUM(U66:U69)</f>
        <v>133</v>
      </c>
      <c r="V70" s="642">
        <f>V67+V69</f>
        <v>158</v>
      </c>
      <c r="W70" s="303">
        <f>SUM(W66:W69)</f>
        <v>183</v>
      </c>
      <c r="X70" s="303">
        <f>SUM(X66:X69)</f>
        <v>184</v>
      </c>
      <c r="Y70" s="303">
        <f>SUM(Y66:Y69)</f>
        <v>110</v>
      </c>
      <c r="Z70" s="300">
        <f>SUM(Z66:Z69)</f>
        <v>110</v>
      </c>
      <c r="AA70" s="303">
        <f>AA67+AA69</f>
        <v>136</v>
      </c>
      <c r="AB70" s="303">
        <f>SUM(AB66:AB69)</f>
        <v>169</v>
      </c>
      <c r="AC70" s="303">
        <f>SUM(AC66:AC69)</f>
        <v>186</v>
      </c>
      <c r="AD70" s="303">
        <f>SUM(AD66:AD69)</f>
        <v>130</v>
      </c>
      <c r="AE70" s="300">
        <f>SUM(AE66:AE69)</f>
        <v>130</v>
      </c>
      <c r="AF70" s="303">
        <f>AF67+AF69</f>
        <v>175</v>
      </c>
      <c r="AG70" s="303">
        <f t="shared" ref="AG70:AY70" si="117">SUM(AG66:AG69)</f>
        <v>199</v>
      </c>
      <c r="AH70" s="303">
        <f t="shared" si="117"/>
        <v>298</v>
      </c>
      <c r="AI70" s="303">
        <f t="shared" si="117"/>
        <v>192</v>
      </c>
      <c r="AJ70" s="300">
        <f t="shared" si="117"/>
        <v>192</v>
      </c>
      <c r="AK70" s="303">
        <f t="shared" si="117"/>
        <v>129</v>
      </c>
      <c r="AL70" s="303">
        <f t="shared" si="117"/>
        <v>192</v>
      </c>
      <c r="AM70" s="303">
        <f t="shared" si="117"/>
        <v>387</v>
      </c>
      <c r="AN70" s="64">
        <f t="shared" si="117"/>
        <v>62</v>
      </c>
      <c r="AO70" s="300">
        <f t="shared" si="117"/>
        <v>62</v>
      </c>
      <c r="AP70" s="64">
        <f t="shared" si="117"/>
        <v>118</v>
      </c>
      <c r="AQ70" s="64">
        <f t="shared" si="117"/>
        <v>113</v>
      </c>
      <c r="AR70" s="303">
        <f t="shared" si="117"/>
        <v>263</v>
      </c>
      <c r="AS70" s="303">
        <f t="shared" si="117"/>
        <v>158</v>
      </c>
      <c r="AT70" s="298">
        <f t="shared" si="117"/>
        <v>158</v>
      </c>
      <c r="AU70" s="425">
        <f t="shared" si="117"/>
        <v>124</v>
      </c>
      <c r="AV70" s="360">
        <f t="shared" si="117"/>
        <v>254</v>
      </c>
      <c r="AW70" s="360">
        <f t="shared" si="117"/>
        <v>253</v>
      </c>
      <c r="AX70" s="360">
        <f t="shared" si="117"/>
        <v>319</v>
      </c>
      <c r="AY70" s="375">
        <f t="shared" si="117"/>
        <v>319</v>
      </c>
      <c r="AZ70" s="425">
        <f t="shared" ref="AZ70:CL70" si="118">SUM(AZ67:AZ69)</f>
        <v>341</v>
      </c>
      <c r="BA70" s="360">
        <f t="shared" si="118"/>
        <v>436</v>
      </c>
      <c r="BB70" s="360">
        <f t="shared" si="118"/>
        <v>507</v>
      </c>
      <c r="BC70" s="360">
        <f t="shared" si="118"/>
        <v>789</v>
      </c>
      <c r="BD70" s="375">
        <f t="shared" si="118"/>
        <v>789</v>
      </c>
      <c r="BE70" s="425">
        <f t="shared" si="118"/>
        <v>481</v>
      </c>
      <c r="BF70" s="360">
        <f t="shared" si="118"/>
        <v>325</v>
      </c>
      <c r="BG70" s="360">
        <f t="shared" si="118"/>
        <v>294</v>
      </c>
      <c r="BH70" s="360">
        <f t="shared" si="118"/>
        <v>164</v>
      </c>
      <c r="BI70" s="375">
        <f t="shared" si="118"/>
        <v>164</v>
      </c>
      <c r="BJ70" s="425">
        <f t="shared" si="118"/>
        <v>289</v>
      </c>
      <c r="BK70" s="360">
        <f t="shared" si="118"/>
        <v>284</v>
      </c>
      <c r="BL70" s="360">
        <f t="shared" si="118"/>
        <v>424</v>
      </c>
      <c r="BM70" s="360">
        <f t="shared" si="118"/>
        <v>353</v>
      </c>
      <c r="BN70" s="643">
        <f t="shared" si="118"/>
        <v>353</v>
      </c>
      <c r="BO70" s="360">
        <f t="shared" si="118"/>
        <v>444</v>
      </c>
      <c r="BP70" s="360">
        <f t="shared" si="118"/>
        <v>530</v>
      </c>
      <c r="BQ70" s="360">
        <f t="shared" si="118"/>
        <v>1274</v>
      </c>
      <c r="BR70" s="360">
        <f t="shared" si="118"/>
        <v>1426</v>
      </c>
      <c r="BS70" s="375">
        <f t="shared" si="118"/>
        <v>1426</v>
      </c>
      <c r="BT70" s="425">
        <f t="shared" si="118"/>
        <v>1529</v>
      </c>
      <c r="BU70" s="360">
        <f t="shared" si="118"/>
        <v>955</v>
      </c>
      <c r="BV70" s="360">
        <f t="shared" si="118"/>
        <v>1236</v>
      </c>
      <c r="BW70" s="360">
        <f t="shared" si="118"/>
        <v>1198</v>
      </c>
      <c r="BX70" s="375">
        <f t="shared" si="118"/>
        <v>1198</v>
      </c>
      <c r="BY70" s="425">
        <f t="shared" si="118"/>
        <v>1099</v>
      </c>
      <c r="BZ70" s="360">
        <f t="shared" si="118"/>
        <v>984</v>
      </c>
      <c r="CA70" s="360">
        <f t="shared" si="118"/>
        <v>942</v>
      </c>
      <c r="CB70" s="360">
        <f t="shared" si="118"/>
        <v>776</v>
      </c>
      <c r="CC70" s="643">
        <f t="shared" si="118"/>
        <v>776</v>
      </c>
      <c r="CD70" s="360">
        <f t="shared" si="118"/>
        <v>762</v>
      </c>
      <c r="CE70" s="360">
        <f t="shared" si="118"/>
        <v>500</v>
      </c>
      <c r="CF70" s="360">
        <f t="shared" si="118"/>
        <v>753</v>
      </c>
      <c r="CG70" s="360">
        <f t="shared" si="118"/>
        <v>573</v>
      </c>
      <c r="CH70" s="2398">
        <f t="shared" si="118"/>
        <v>573</v>
      </c>
      <c r="CI70" s="2399">
        <f t="shared" si="118"/>
        <v>734</v>
      </c>
      <c r="CJ70" s="2399">
        <f t="shared" si="118"/>
        <v>597</v>
      </c>
      <c r="CK70" s="2399">
        <f t="shared" si="118"/>
        <v>685</v>
      </c>
      <c r="CL70" s="2399">
        <f t="shared" si="118"/>
        <v>578</v>
      </c>
      <c r="CM70" s="2400">
        <v>340</v>
      </c>
      <c r="CN70" s="2401"/>
      <c r="CO70" s="2402"/>
      <c r="CP70" s="2402"/>
      <c r="CQ70" s="2402"/>
      <c r="CR70" s="2403">
        <f>CR69+CR67</f>
        <v>312</v>
      </c>
      <c r="CS70" s="2404">
        <f t="shared" ref="CS70:DQ70" si="119">SUM(CS67:CS69)</f>
        <v>295.69730062237659</v>
      </c>
      <c r="CT70" s="2404">
        <f t="shared" si="119"/>
        <v>280.32499999999993</v>
      </c>
      <c r="CU70" s="2404">
        <f t="shared" si="119"/>
        <v>2173.4441995947313</v>
      </c>
      <c r="CV70" s="2404">
        <f>SUM(CV67:CV69)+127</f>
        <v>958</v>
      </c>
      <c r="CW70" s="2398">
        <f>SUM(CW67:CW69)</f>
        <v>831</v>
      </c>
      <c r="CX70" s="2402">
        <f t="shared" si="119"/>
        <v>611</v>
      </c>
      <c r="CY70" s="2402">
        <f t="shared" si="119"/>
        <v>1056</v>
      </c>
      <c r="CZ70" s="2402">
        <f t="shared" si="119"/>
        <v>1051</v>
      </c>
      <c r="DA70" s="2402">
        <f t="shared" si="119"/>
        <v>1599</v>
      </c>
      <c r="DB70" s="2409">
        <f>SUM(DB67:DB69)</f>
        <v>1599</v>
      </c>
      <c r="DC70" s="2405">
        <f t="shared" si="119"/>
        <v>1517.0381933765661</v>
      </c>
      <c r="DD70" s="2405">
        <f t="shared" si="119"/>
        <v>1307.4083828881789</v>
      </c>
      <c r="DE70" s="2405">
        <f t="shared" si="119"/>
        <v>1028.0449072416193</v>
      </c>
      <c r="DF70" s="2405">
        <f t="shared" si="119"/>
        <v>935.6286842028037</v>
      </c>
      <c r="DG70" s="2403">
        <f t="shared" si="119"/>
        <v>935.62868420280392</v>
      </c>
      <c r="DH70" s="2405">
        <f t="shared" si="119"/>
        <v>573.01958665989582</v>
      </c>
      <c r="DI70" s="2405">
        <f t="shared" si="119"/>
        <v>478.41831383053739</v>
      </c>
      <c r="DJ70" s="2405">
        <f t="shared" si="119"/>
        <v>411.99226635760635</v>
      </c>
      <c r="DK70" s="2405">
        <f t="shared" si="119"/>
        <v>735.11193974292382</v>
      </c>
      <c r="DL70" s="2403">
        <f t="shared" si="119"/>
        <v>735.11193974292382</v>
      </c>
      <c r="DM70" s="2405">
        <f t="shared" si="119"/>
        <v>404.38570624591796</v>
      </c>
      <c r="DN70" s="2405">
        <f t="shared" si="119"/>
        <v>432.50785890671801</v>
      </c>
      <c r="DO70" s="2405">
        <f t="shared" si="119"/>
        <v>481.49898391809819</v>
      </c>
      <c r="DP70" s="2405">
        <f t="shared" si="119"/>
        <v>983.37057347530299</v>
      </c>
      <c r="DQ70" s="2403">
        <f t="shared" si="119"/>
        <v>983.37057347530299</v>
      </c>
      <c r="DR70" s="2405">
        <f t="shared" ref="DR70:EA70" si="120">SUM(DR67:DR69)</f>
        <v>646.06481636990839</v>
      </c>
      <c r="DS70" s="2405">
        <f t="shared" si="120"/>
        <v>699.56087660773574</v>
      </c>
      <c r="DT70" s="2405">
        <f t="shared" si="120"/>
        <v>772.56800635363982</v>
      </c>
      <c r="DU70" s="2405">
        <f t="shared" si="120"/>
        <v>1366.295352224482</v>
      </c>
      <c r="DV70" s="2403">
        <f t="shared" si="120"/>
        <v>1366.295352224482</v>
      </c>
      <c r="DW70" s="2405">
        <f t="shared" si="120"/>
        <v>993.12355500533465</v>
      </c>
      <c r="DX70" s="2405">
        <f t="shared" si="120"/>
        <v>1074.5840166725957</v>
      </c>
      <c r="DY70" s="2405">
        <f t="shared" si="120"/>
        <v>1175.5289185401768</v>
      </c>
      <c r="DZ70" s="2405">
        <f t="shared" si="120"/>
        <v>1889.7216872264412</v>
      </c>
      <c r="EA70" s="2403">
        <f t="shared" si="120"/>
        <v>1889.7216872264407</v>
      </c>
      <c r="EB70" s="1008"/>
      <c r="EC70" s="1008"/>
      <c r="ED70" s="1008"/>
      <c r="EE70" s="1008"/>
      <c r="EF70" s="1008"/>
      <c r="EG70" s="1243"/>
    </row>
    <row r="71" spans="1:147" x14ac:dyDescent="0.2">
      <c r="A71" s="25"/>
      <c r="B71" s="25"/>
      <c r="C71" s="25"/>
      <c r="D71" s="25"/>
      <c r="E71" s="25"/>
      <c r="F71" s="25"/>
      <c r="G71" s="25"/>
      <c r="H71" s="25"/>
      <c r="I71" s="25"/>
      <c r="J71" s="25"/>
      <c r="K71" s="25"/>
      <c r="L71" s="25"/>
      <c r="M71" s="25"/>
      <c r="N71" s="25"/>
      <c r="O71" s="25"/>
      <c r="P71" s="98"/>
      <c r="Q71" s="25"/>
      <c r="R71" s="25"/>
      <c r="S71" s="25"/>
      <c r="T71" s="25"/>
      <c r="U71" s="25"/>
      <c r="V71" s="25"/>
      <c r="W71" s="25"/>
      <c r="X71" s="25"/>
      <c r="Y71" s="25"/>
      <c r="Z71" s="644">
        <f>Z70-BS!AB12</f>
        <v>0</v>
      </c>
      <c r="AA71" s="644">
        <f>AA70-BS!AC12</f>
        <v>0</v>
      </c>
      <c r="AB71" s="644">
        <f>AB70-BS!AD12</f>
        <v>0</v>
      </c>
      <c r="AC71" s="644">
        <f>AC70-BS!AE12</f>
        <v>0</v>
      </c>
      <c r="AD71" s="644">
        <f>AD70-BS!AF12</f>
        <v>0</v>
      </c>
      <c r="AE71" s="644">
        <f>AE70-BS!AG12</f>
        <v>0</v>
      </c>
      <c r="AF71" s="644">
        <f>AF70-BS!AH12</f>
        <v>0</v>
      </c>
      <c r="AG71" s="644">
        <f>AG70-BS!AI12</f>
        <v>35</v>
      </c>
      <c r="AH71" s="644">
        <f>AH70-BS!AJ12</f>
        <v>0</v>
      </c>
      <c r="AI71" s="644">
        <f>AI70-BS!AK12</f>
        <v>0</v>
      </c>
      <c r="AJ71" s="644">
        <f>AJ70-BS!AL12</f>
        <v>0</v>
      </c>
      <c r="AK71" s="644">
        <f>AK70-BS!AM12</f>
        <v>0</v>
      </c>
      <c r="AL71" s="644">
        <f>AL70-BS!AN12</f>
        <v>9</v>
      </c>
      <c r="AM71" s="644">
        <f>AM70-BS!AO12</f>
        <v>0</v>
      </c>
      <c r="AN71" s="644">
        <f>AN70-BS!AP12</f>
        <v>0</v>
      </c>
      <c r="AO71" s="644">
        <f>AO70-BS!AQ12</f>
        <v>0</v>
      </c>
      <c r="AP71" s="644">
        <f>AP70-BS!AR12</f>
        <v>0</v>
      </c>
      <c r="AQ71" s="645">
        <f>AQ70-BS!AS12</f>
        <v>0</v>
      </c>
      <c r="AR71" s="645">
        <f>AR70-BS!AT12</f>
        <v>0</v>
      </c>
      <c r="AS71" s="644">
        <f>AS70-BS!AU12</f>
        <v>0</v>
      </c>
      <c r="AT71" s="644">
        <f>AT70-BS!AV12</f>
        <v>0</v>
      </c>
      <c r="AU71" s="646">
        <f>AU70-BS!AW12</f>
        <v>-10</v>
      </c>
      <c r="AV71" s="644">
        <f>AV70-BS!AX12</f>
        <v>-13</v>
      </c>
      <c r="AW71" s="644">
        <f>AW70-BS!AY12</f>
        <v>-18</v>
      </c>
      <c r="AX71" s="644">
        <f>AX70-BS!AZ12</f>
        <v>0</v>
      </c>
      <c r="AY71" s="647">
        <f>AY70-BS!BA12</f>
        <v>0</v>
      </c>
      <c r="AZ71" s="646">
        <f>AZ70-BS!BB12</f>
        <v>0</v>
      </c>
      <c r="BA71" s="644">
        <f>BA70-BS!BC12</f>
        <v>0</v>
      </c>
      <c r="BB71" s="644">
        <f>BB70-BS!BD12</f>
        <v>0</v>
      </c>
      <c r="BC71" s="644">
        <f>BC70-BS!BE12</f>
        <v>0</v>
      </c>
      <c r="BD71" s="647">
        <f>BD70-BS!BF12</f>
        <v>0</v>
      </c>
      <c r="BE71" s="646">
        <f>BE70-BS!BG12</f>
        <v>0</v>
      </c>
      <c r="BF71" s="644">
        <f>BF70-BS!BH12</f>
        <v>0</v>
      </c>
      <c r="BG71" s="644">
        <f>BG70-BS!BI12</f>
        <v>0</v>
      </c>
      <c r="BH71" s="644">
        <f>BH70-BS!BJ12</f>
        <v>0</v>
      </c>
      <c r="BI71" s="647">
        <f>BI70-BS!BK12</f>
        <v>0</v>
      </c>
      <c r="BJ71" s="646">
        <f>BJ70-BS!BL12</f>
        <v>0</v>
      </c>
      <c r="BK71" s="644">
        <f>BK70-BS!BM12</f>
        <v>0</v>
      </c>
      <c r="BL71" s="644">
        <f>BL70-BS!BN12</f>
        <v>0</v>
      </c>
      <c r="BM71" s="644">
        <f>BM70-BS!BO12</f>
        <v>0</v>
      </c>
      <c r="BN71" s="647">
        <f>BN70-BS!BP12</f>
        <v>0</v>
      </c>
      <c r="BO71" s="646">
        <f>BO70-BS!BQ12</f>
        <v>0</v>
      </c>
      <c r="BP71" s="644">
        <f>BP70-BS!BR12</f>
        <v>0</v>
      </c>
      <c r="BQ71" s="644">
        <f>BQ70-BS!BS12</f>
        <v>0</v>
      </c>
      <c r="BR71" s="644">
        <f>BR70-BS!BT12</f>
        <v>0</v>
      </c>
      <c r="BS71" s="647">
        <f>BS70-BS!BU12</f>
        <v>0</v>
      </c>
      <c r="BT71" s="646">
        <f>BT70-BS!BV12</f>
        <v>0</v>
      </c>
      <c r="BU71" s="644">
        <f>BU70-BS!BW12</f>
        <v>0</v>
      </c>
      <c r="BV71" s="644">
        <f>BV70-BS!BX12</f>
        <v>0</v>
      </c>
      <c r="BW71" s="644">
        <f>BW70-BS!BY12</f>
        <v>0</v>
      </c>
      <c r="BX71" s="647">
        <f>BX70-BS!BZ12</f>
        <v>0</v>
      </c>
      <c r="BY71" s="646">
        <f>BY70-BS!CA12</f>
        <v>0</v>
      </c>
      <c r="BZ71" s="644">
        <f>BZ70-BS!CB12</f>
        <v>0</v>
      </c>
      <c r="CA71" s="644">
        <f>CA70-BS!CC12</f>
        <v>0</v>
      </c>
      <c r="CB71" s="644">
        <f>CB70-BS!CD12</f>
        <v>0</v>
      </c>
      <c r="CC71" s="647">
        <f>CC70-BS!CE12</f>
        <v>0</v>
      </c>
      <c r="CD71" s="646">
        <f>CD70-BS!CF12</f>
        <v>0</v>
      </c>
      <c r="CE71" s="644">
        <f>CE70-BS!CG12</f>
        <v>0</v>
      </c>
      <c r="CF71" s="644">
        <f>CF70-BS!CH12</f>
        <v>0</v>
      </c>
      <c r="CG71" s="644">
        <f>CG70-BS!CI12</f>
        <v>0</v>
      </c>
      <c r="CH71" s="647">
        <f>CH70-BS!CJ12</f>
        <v>0</v>
      </c>
      <c r="CI71" s="646">
        <f>CI70-BS!CK12</f>
        <v>394</v>
      </c>
      <c r="CJ71" s="644">
        <f>CJ70-BS!CL12</f>
        <v>257</v>
      </c>
      <c r="CK71" s="644">
        <f>CK70-BS!CM12</f>
        <v>345</v>
      </c>
      <c r="CL71" s="644">
        <f>CL70-BS!CN12</f>
        <v>238</v>
      </c>
      <c r="CM71" s="647">
        <f>CM70-BS!CO12</f>
        <v>0</v>
      </c>
      <c r="CN71" s="913"/>
      <c r="CO71" s="644"/>
      <c r="CP71" s="644"/>
      <c r="CQ71" s="644"/>
      <c r="CR71" s="1261">
        <v>0</v>
      </c>
      <c r="CS71" s="1262">
        <f>CS70-BS!CU12</f>
        <v>0</v>
      </c>
      <c r="CT71" s="1263">
        <f>CT70-BS!CV12</f>
        <v>0</v>
      </c>
      <c r="CU71" s="1263">
        <f>CU70-BS!CW12</f>
        <v>0</v>
      </c>
      <c r="CV71" s="1263">
        <f>CV70-BS!CX12</f>
        <v>127</v>
      </c>
      <c r="CW71" s="647">
        <f>CW70-BS!CY12</f>
        <v>0</v>
      </c>
      <c r="CX71" s="646">
        <f>CX70-BS!CZ12</f>
        <v>0</v>
      </c>
      <c r="CY71" s="644">
        <f>CY70-BS!DA12</f>
        <v>0</v>
      </c>
      <c r="CZ71" s="644">
        <f>CZ70-BS!DB12</f>
        <v>0</v>
      </c>
      <c r="DA71" s="644">
        <f>DA70-BS!DC12</f>
        <v>0</v>
      </c>
      <c r="DB71" s="647">
        <f>DB70-BS!DD12</f>
        <v>0</v>
      </c>
      <c r="DC71" s="646">
        <f>DC70-BS!DE12</f>
        <v>0</v>
      </c>
      <c r="DD71" s="644">
        <f>DD70-BS!DF12</f>
        <v>0</v>
      </c>
      <c r="DE71" s="644">
        <f>DE70-BS!DG12</f>
        <v>0</v>
      </c>
      <c r="DF71" s="644">
        <f>DF70-BS!DH12</f>
        <v>0</v>
      </c>
      <c r="DG71" s="648">
        <f>DG70-BS!DI12</f>
        <v>0</v>
      </c>
      <c r="DH71" s="646">
        <f>DH70-BS!DJ12</f>
        <v>0</v>
      </c>
      <c r="DI71" s="644">
        <f>DI70-BS!DK12</f>
        <v>0</v>
      </c>
      <c r="DJ71" s="644">
        <f>DJ70-BS!DL12</f>
        <v>0</v>
      </c>
      <c r="DK71" s="644">
        <f>DK70-BS!DM12</f>
        <v>0</v>
      </c>
      <c r="DL71" s="648">
        <f>DL70-BS!DN12</f>
        <v>0</v>
      </c>
      <c r="DM71" s="646">
        <f>DM70-BS!DO12</f>
        <v>0</v>
      </c>
      <c r="DN71" s="644">
        <f>DN70-BS!DP12</f>
        <v>0</v>
      </c>
      <c r="DO71" s="644">
        <f>DO70-BS!DQ12</f>
        <v>0</v>
      </c>
      <c r="DP71" s="644">
        <f>DP70-BS!DR12</f>
        <v>0</v>
      </c>
      <c r="DQ71" s="648">
        <f>DQ70-BS!DS12</f>
        <v>0</v>
      </c>
      <c r="DR71" s="646">
        <f>DR70-BS!DT12</f>
        <v>0</v>
      </c>
      <c r="DS71" s="644">
        <f>DS70-BS!DU12</f>
        <v>0</v>
      </c>
      <c r="DT71" s="644">
        <f>DT70-BS!DV12</f>
        <v>0</v>
      </c>
      <c r="DU71" s="644">
        <f>DU70-BS!DW12</f>
        <v>0</v>
      </c>
      <c r="DV71" s="648">
        <f>DV70-BS!DX12</f>
        <v>0</v>
      </c>
      <c r="DW71" s="646">
        <f>DW70-BS!DY12</f>
        <v>0</v>
      </c>
      <c r="DX71" s="644">
        <f>DX70-BS!DZ12</f>
        <v>0</v>
      </c>
      <c r="DY71" s="644">
        <f>DY70-BS!EA12</f>
        <v>0</v>
      </c>
      <c r="DZ71" s="644">
        <f>DZ70-BS!EB12</f>
        <v>0</v>
      </c>
      <c r="EA71" s="648">
        <f>EA70-BS!EC12</f>
        <v>0</v>
      </c>
      <c r="EB71" s="1008"/>
      <c r="EC71" s="1008"/>
      <c r="ED71" s="1008"/>
      <c r="EE71" s="1008"/>
      <c r="EF71" s="1008"/>
      <c r="EG71" s="1243"/>
    </row>
    <row r="72" spans="1:147" x14ac:dyDescent="0.2">
      <c r="A72" s="5" t="s">
        <v>148</v>
      </c>
      <c r="B72" s="3"/>
      <c r="C72" s="3"/>
      <c r="D72" s="3"/>
      <c r="E72" s="3"/>
      <c r="F72" s="3"/>
      <c r="G72" s="3"/>
      <c r="H72" s="3"/>
      <c r="I72" s="3"/>
      <c r="J72" s="3"/>
      <c r="K72" s="3"/>
      <c r="L72" s="35" t="s">
        <v>579</v>
      </c>
      <c r="M72" s="8" t="s">
        <v>580</v>
      </c>
      <c r="N72" s="8" t="s">
        <v>581</v>
      </c>
      <c r="O72" s="8" t="s">
        <v>582</v>
      </c>
      <c r="P72" s="9" t="s">
        <v>276</v>
      </c>
      <c r="Q72" s="8" t="s">
        <v>277</v>
      </c>
      <c r="R72" s="8" t="s">
        <v>284</v>
      </c>
      <c r="S72" s="8" t="s">
        <v>285</v>
      </c>
      <c r="T72" s="8" t="s">
        <v>286</v>
      </c>
      <c r="U72" s="9" t="s">
        <v>287</v>
      </c>
      <c r="V72" s="35" t="s">
        <v>288</v>
      </c>
      <c r="W72" s="8" t="s">
        <v>289</v>
      </c>
      <c r="X72" s="8" t="s">
        <v>291</v>
      </c>
      <c r="Y72" s="36" t="s">
        <v>292</v>
      </c>
      <c r="Z72" s="9" t="s">
        <v>293</v>
      </c>
      <c r="AA72" s="8" t="s">
        <v>294</v>
      </c>
      <c r="AB72" s="8" t="s">
        <v>295</v>
      </c>
      <c r="AC72" s="8" t="s">
        <v>296</v>
      </c>
      <c r="AD72" s="8" t="s">
        <v>297</v>
      </c>
      <c r="AE72" s="9" t="s">
        <v>298</v>
      </c>
      <c r="AF72" s="8" t="s">
        <v>299</v>
      </c>
      <c r="AG72" s="8" t="s">
        <v>300</v>
      </c>
      <c r="AH72" s="8" t="s">
        <v>301</v>
      </c>
      <c r="AI72" s="8" t="s">
        <v>302</v>
      </c>
      <c r="AJ72" s="9" t="s">
        <v>303</v>
      </c>
      <c r="AK72" s="35" t="s">
        <v>567</v>
      </c>
      <c r="AL72" s="8" t="s">
        <v>536</v>
      </c>
      <c r="AM72" s="8" t="s">
        <v>282</v>
      </c>
      <c r="AN72" s="8" t="s">
        <v>304</v>
      </c>
      <c r="AO72" s="9" t="s">
        <v>305</v>
      </c>
      <c r="AP72" s="35" t="str">
        <f>AP9</f>
        <v>1Q05A</v>
      </c>
      <c r="AQ72" s="8" t="s">
        <v>358</v>
      </c>
      <c r="AR72" s="8" t="s">
        <v>8</v>
      </c>
      <c r="AS72" s="8" t="s">
        <v>120</v>
      </c>
      <c r="AT72" s="9" t="s">
        <v>119</v>
      </c>
      <c r="AU72" s="8" t="str">
        <f t="shared" ref="AU72:CH72" si="121">AU9</f>
        <v>1Q06A</v>
      </c>
      <c r="AV72" s="8" t="str">
        <f t="shared" si="121"/>
        <v>2Q06A</v>
      </c>
      <c r="AW72" s="8" t="str">
        <f t="shared" si="121"/>
        <v>3Q06A</v>
      </c>
      <c r="AX72" s="8" t="str">
        <f t="shared" si="121"/>
        <v>4Q06A</v>
      </c>
      <c r="AY72" s="9" t="str">
        <f t="shared" si="121"/>
        <v>2006A</v>
      </c>
      <c r="AZ72" s="8" t="str">
        <f t="shared" si="121"/>
        <v>1Q07A</v>
      </c>
      <c r="BA72" s="8" t="str">
        <f t="shared" si="121"/>
        <v>2Q07A</v>
      </c>
      <c r="BB72" s="8" t="str">
        <f t="shared" si="121"/>
        <v>3Q07A</v>
      </c>
      <c r="BC72" s="8" t="str">
        <f t="shared" si="121"/>
        <v>4Q07</v>
      </c>
      <c r="BD72" s="9">
        <f t="shared" si="121"/>
        <v>2007</v>
      </c>
      <c r="BE72" s="8" t="str">
        <f t="shared" si="121"/>
        <v>1Q08A</v>
      </c>
      <c r="BF72" s="8" t="str">
        <f t="shared" si="121"/>
        <v>2Q08A</v>
      </c>
      <c r="BG72" s="8" t="str">
        <f t="shared" si="121"/>
        <v>3Q08A</v>
      </c>
      <c r="BH72" s="8" t="str">
        <f t="shared" si="121"/>
        <v>4Q08A</v>
      </c>
      <c r="BI72" s="9" t="str">
        <f t="shared" si="121"/>
        <v>2008A</v>
      </c>
      <c r="BJ72" s="8" t="str">
        <f t="shared" si="121"/>
        <v>1Q09A</v>
      </c>
      <c r="BK72" s="8" t="str">
        <f t="shared" si="121"/>
        <v>2Q09A</v>
      </c>
      <c r="BL72" s="8" t="str">
        <f t="shared" si="121"/>
        <v>3Q09A</v>
      </c>
      <c r="BM72" s="8" t="str">
        <f t="shared" si="121"/>
        <v>4Q09A</v>
      </c>
      <c r="BN72" s="9" t="str">
        <f t="shared" si="121"/>
        <v>2009A</v>
      </c>
      <c r="BO72" s="8" t="str">
        <f t="shared" si="121"/>
        <v>1Q10A</v>
      </c>
      <c r="BP72" s="8" t="str">
        <f t="shared" si="121"/>
        <v>2Q10A</v>
      </c>
      <c r="BQ72" s="8" t="str">
        <f t="shared" si="121"/>
        <v>3Q10A</v>
      </c>
      <c r="BR72" s="8" t="str">
        <f t="shared" si="121"/>
        <v>4Q10A</v>
      </c>
      <c r="BS72" s="9" t="str">
        <f t="shared" si="121"/>
        <v>2010A</v>
      </c>
      <c r="BT72" s="8" t="str">
        <f t="shared" si="121"/>
        <v>1Q11A</v>
      </c>
      <c r="BU72" s="8" t="str">
        <f t="shared" si="121"/>
        <v>2Q11A</v>
      </c>
      <c r="BV72" s="8" t="str">
        <f t="shared" si="121"/>
        <v>3Q11A</v>
      </c>
      <c r="BW72" s="8" t="str">
        <f t="shared" si="121"/>
        <v>4Q11A</v>
      </c>
      <c r="BX72" s="9" t="str">
        <f t="shared" si="121"/>
        <v>2011A</v>
      </c>
      <c r="BY72" s="8" t="str">
        <f t="shared" si="121"/>
        <v>1Q12A</v>
      </c>
      <c r="BZ72" s="8" t="str">
        <f t="shared" si="121"/>
        <v>2Q12A</v>
      </c>
      <c r="CA72" s="8" t="str">
        <f t="shared" si="121"/>
        <v>3Q12A</v>
      </c>
      <c r="CB72" s="8" t="str">
        <f t="shared" si="121"/>
        <v>4Q12A</v>
      </c>
      <c r="CC72" s="9" t="str">
        <f t="shared" si="121"/>
        <v>2012A</v>
      </c>
      <c r="CD72" s="8" t="str">
        <f t="shared" si="121"/>
        <v>1Q13A</v>
      </c>
      <c r="CE72" s="8" t="str">
        <f t="shared" si="121"/>
        <v>2Q13A</v>
      </c>
      <c r="CF72" s="8" t="str">
        <f t="shared" si="121"/>
        <v>3Q13A</v>
      </c>
      <c r="CG72" s="8" t="str">
        <f t="shared" si="121"/>
        <v>4Q13A</v>
      </c>
      <c r="CH72" s="2155" t="str">
        <f t="shared" si="121"/>
        <v>2013A</v>
      </c>
      <c r="CI72" s="2156"/>
      <c r="CJ72" s="2156"/>
      <c r="CK72" s="2156"/>
      <c r="CL72" s="2156"/>
      <c r="CM72" s="2155" t="str">
        <f>CM9</f>
        <v>2014A</v>
      </c>
      <c r="CN72" s="2274" t="str">
        <f>CN9</f>
        <v>1Q15A</v>
      </c>
      <c r="CO72" s="2156" t="str">
        <f>CO9</f>
        <v>2Q15A</v>
      </c>
      <c r="CP72" s="2156" t="str">
        <f>CP9</f>
        <v>3Q15A</v>
      </c>
      <c r="CQ72" s="2156" t="str">
        <f>CQ9</f>
        <v>4Q15A</v>
      </c>
      <c r="CR72" s="2155" t="s">
        <v>611</v>
      </c>
      <c r="CS72" s="2156" t="str">
        <f t="shared" ref="CS72:DQ72" si="122">CS9</f>
        <v>1Q16E</v>
      </c>
      <c r="CT72" s="2156" t="str">
        <f t="shared" si="122"/>
        <v>2Q16E</v>
      </c>
      <c r="CU72" s="2156" t="str">
        <f t="shared" si="122"/>
        <v>3Q16E</v>
      </c>
      <c r="CV72" s="2156" t="str">
        <f t="shared" si="122"/>
        <v>4Q16E</v>
      </c>
      <c r="CW72" s="2155" t="str">
        <f t="shared" si="122"/>
        <v>2016A</v>
      </c>
      <c r="CX72" s="2156" t="str">
        <f t="shared" si="122"/>
        <v>1Q17A</v>
      </c>
      <c r="CY72" s="8" t="str">
        <f t="shared" si="122"/>
        <v>2Q17A</v>
      </c>
      <c r="CZ72" s="8" t="str">
        <f t="shared" si="122"/>
        <v>3Q17A</v>
      </c>
      <c r="DA72" s="8" t="str">
        <f t="shared" si="122"/>
        <v>4Q17A</v>
      </c>
      <c r="DB72" s="9" t="str">
        <f t="shared" si="122"/>
        <v>2017A</v>
      </c>
      <c r="DC72" s="34" t="str">
        <f t="shared" si="122"/>
        <v>1Q18E</v>
      </c>
      <c r="DD72" s="34" t="str">
        <f t="shared" si="122"/>
        <v>2Q18E</v>
      </c>
      <c r="DE72" s="34" t="str">
        <f t="shared" si="122"/>
        <v>3Q18E</v>
      </c>
      <c r="DF72" s="34" t="str">
        <f t="shared" si="122"/>
        <v>4Q18E</v>
      </c>
      <c r="DG72" s="32" t="str">
        <f t="shared" si="122"/>
        <v>2018E</v>
      </c>
      <c r="DH72" s="34" t="str">
        <f t="shared" si="122"/>
        <v>1Q19E</v>
      </c>
      <c r="DI72" s="34" t="str">
        <f t="shared" si="122"/>
        <v>2Q19E</v>
      </c>
      <c r="DJ72" s="34" t="str">
        <f t="shared" si="122"/>
        <v>3Q19E</v>
      </c>
      <c r="DK72" s="34" t="str">
        <f t="shared" si="122"/>
        <v>4Q19E</v>
      </c>
      <c r="DL72" s="32" t="str">
        <f t="shared" si="122"/>
        <v>2019E</v>
      </c>
      <c r="DM72" s="34" t="str">
        <f t="shared" si="122"/>
        <v>1Q20E</v>
      </c>
      <c r="DN72" s="34" t="str">
        <f t="shared" si="122"/>
        <v>2Q20E</v>
      </c>
      <c r="DO72" s="34" t="str">
        <f t="shared" si="122"/>
        <v>3Q20E</v>
      </c>
      <c r="DP72" s="34" t="str">
        <f t="shared" si="122"/>
        <v>4Q20E</v>
      </c>
      <c r="DQ72" s="32" t="str">
        <f t="shared" si="122"/>
        <v>2020E</v>
      </c>
      <c r="DR72" s="34" t="str">
        <f t="shared" ref="DR72:EA72" si="123">DR9</f>
        <v>1Q21E</v>
      </c>
      <c r="DS72" s="34" t="str">
        <f t="shared" si="123"/>
        <v>2Q21E</v>
      </c>
      <c r="DT72" s="34" t="str">
        <f t="shared" si="123"/>
        <v>3Q21E</v>
      </c>
      <c r="DU72" s="34" t="str">
        <f t="shared" si="123"/>
        <v>4Q21E</v>
      </c>
      <c r="DV72" s="32" t="str">
        <f t="shared" si="123"/>
        <v>2021E</v>
      </c>
      <c r="DW72" s="34" t="str">
        <f t="shared" si="123"/>
        <v>1Q22E</v>
      </c>
      <c r="DX72" s="34" t="str">
        <f t="shared" si="123"/>
        <v>2Q22E</v>
      </c>
      <c r="DY72" s="34" t="str">
        <f t="shared" si="123"/>
        <v>3Q22E</v>
      </c>
      <c r="DZ72" s="34" t="str">
        <f t="shared" si="123"/>
        <v>4Q22E</v>
      </c>
      <c r="EA72" s="32" t="str">
        <f t="shared" si="123"/>
        <v>2022E</v>
      </c>
      <c r="EB72" s="1008"/>
      <c r="EC72" s="1008"/>
      <c r="ED72" s="1008"/>
      <c r="EE72" s="1008"/>
      <c r="EF72" s="1008"/>
      <c r="EG72" s="1243"/>
    </row>
    <row r="73" spans="1:147" x14ac:dyDescent="0.2">
      <c r="A73" s="26" t="s">
        <v>537</v>
      </c>
      <c r="B73" s="15"/>
      <c r="C73" s="15"/>
      <c r="D73" s="15"/>
      <c r="E73" s="15"/>
      <c r="F73" s="15"/>
      <c r="G73" s="15"/>
      <c r="H73" s="15"/>
      <c r="I73" s="15"/>
      <c r="J73" s="15"/>
      <c r="K73" s="15"/>
      <c r="L73" s="298">
        <f t="shared" ref="L73:AQ73" si="124">L37</f>
        <v>24</v>
      </c>
      <c r="M73" s="299">
        <f t="shared" si="124"/>
        <v>163</v>
      </c>
      <c r="N73" s="299">
        <f t="shared" si="124"/>
        <v>267</v>
      </c>
      <c r="O73" s="299">
        <f t="shared" si="124"/>
        <v>111</v>
      </c>
      <c r="P73" s="300">
        <f t="shared" si="124"/>
        <v>565</v>
      </c>
      <c r="Q73" s="298">
        <f t="shared" si="124"/>
        <v>-18</v>
      </c>
      <c r="R73" s="299">
        <f t="shared" si="124"/>
        <v>133</v>
      </c>
      <c r="S73" s="299">
        <f t="shared" si="124"/>
        <v>233</v>
      </c>
      <c r="T73" s="299">
        <f t="shared" si="124"/>
        <v>143</v>
      </c>
      <c r="U73" s="300">
        <f t="shared" si="124"/>
        <v>491</v>
      </c>
      <c r="V73" s="298">
        <f t="shared" si="124"/>
        <v>145</v>
      </c>
      <c r="W73" s="299">
        <f t="shared" si="124"/>
        <v>157</v>
      </c>
      <c r="X73" s="299">
        <f t="shared" si="124"/>
        <v>332</v>
      </c>
      <c r="Y73" s="301">
        <f t="shared" si="124"/>
        <v>198</v>
      </c>
      <c r="Z73" s="300">
        <f t="shared" si="124"/>
        <v>832</v>
      </c>
      <c r="AA73" s="298">
        <f t="shared" si="124"/>
        <v>187</v>
      </c>
      <c r="AB73" s="299">
        <f t="shared" si="124"/>
        <v>311</v>
      </c>
      <c r="AC73" s="299">
        <f t="shared" si="124"/>
        <v>337</v>
      </c>
      <c r="AD73" s="299">
        <f t="shared" si="124"/>
        <v>253</v>
      </c>
      <c r="AE73" s="300">
        <f t="shared" si="124"/>
        <v>1088</v>
      </c>
      <c r="AF73" s="298">
        <f t="shared" si="124"/>
        <v>129</v>
      </c>
      <c r="AG73" s="299">
        <f t="shared" si="124"/>
        <v>270</v>
      </c>
      <c r="AH73" s="299">
        <f t="shared" si="124"/>
        <v>370</v>
      </c>
      <c r="AI73" s="299">
        <f t="shared" si="124"/>
        <v>284</v>
      </c>
      <c r="AJ73" s="300">
        <f t="shared" si="124"/>
        <v>1053</v>
      </c>
      <c r="AK73" s="298">
        <f t="shared" si="124"/>
        <v>189</v>
      </c>
      <c r="AL73" s="299">
        <f t="shared" si="124"/>
        <v>210</v>
      </c>
      <c r="AM73" s="299">
        <f t="shared" si="124"/>
        <v>392</v>
      </c>
      <c r="AN73" s="299">
        <f t="shared" si="124"/>
        <v>340</v>
      </c>
      <c r="AO73" s="300">
        <f t="shared" si="124"/>
        <v>1131</v>
      </c>
      <c r="AP73" s="298">
        <f t="shared" si="124"/>
        <v>255</v>
      </c>
      <c r="AQ73" s="299">
        <f t="shared" si="124"/>
        <v>350</v>
      </c>
      <c r="AR73" s="299">
        <f t="shared" ref="AR73:BW73" si="125">AR37</f>
        <v>436</v>
      </c>
      <c r="AS73" s="299">
        <f t="shared" si="125"/>
        <v>197</v>
      </c>
      <c r="AT73" s="300">
        <f t="shared" si="125"/>
        <v>1238</v>
      </c>
      <c r="AU73" s="299">
        <f t="shared" si="125"/>
        <v>287</v>
      </c>
      <c r="AV73" s="299">
        <f t="shared" si="125"/>
        <v>258</v>
      </c>
      <c r="AW73" s="299">
        <f t="shared" si="125"/>
        <v>444</v>
      </c>
      <c r="AX73" s="299">
        <f t="shared" si="125"/>
        <v>295</v>
      </c>
      <c r="AY73" s="375">
        <f t="shared" si="125"/>
        <v>1302</v>
      </c>
      <c r="AZ73" s="299">
        <f t="shared" si="125"/>
        <v>341</v>
      </c>
      <c r="BA73" s="299">
        <f t="shared" si="125"/>
        <v>252</v>
      </c>
      <c r="BB73" s="299">
        <f t="shared" si="125"/>
        <v>576</v>
      </c>
      <c r="BC73" s="299">
        <f t="shared" si="125"/>
        <v>396</v>
      </c>
      <c r="BD73" s="375">
        <f t="shared" si="125"/>
        <v>1565</v>
      </c>
      <c r="BE73" s="299">
        <f t="shared" si="125"/>
        <v>348</v>
      </c>
      <c r="BF73" s="299">
        <f t="shared" si="125"/>
        <v>265</v>
      </c>
      <c r="BG73" s="299">
        <f t="shared" si="125"/>
        <v>527</v>
      </c>
      <c r="BH73" s="299">
        <f t="shared" si="125"/>
        <v>329</v>
      </c>
      <c r="BI73" s="375">
        <f t="shared" si="125"/>
        <v>1469</v>
      </c>
      <c r="BJ73" s="299">
        <f t="shared" si="125"/>
        <v>297</v>
      </c>
      <c r="BK73" s="299">
        <f t="shared" si="125"/>
        <v>198</v>
      </c>
      <c r="BL73" s="299">
        <f t="shared" si="125"/>
        <v>640</v>
      </c>
      <c r="BM73" s="299">
        <f t="shared" si="125"/>
        <v>269</v>
      </c>
      <c r="BN73" s="375">
        <f t="shared" si="125"/>
        <v>1404</v>
      </c>
      <c r="BO73" s="299">
        <f t="shared" si="125"/>
        <v>392</v>
      </c>
      <c r="BP73" s="299">
        <f t="shared" si="125"/>
        <v>441</v>
      </c>
      <c r="BQ73" s="299">
        <f t="shared" si="125"/>
        <v>664</v>
      </c>
      <c r="BR73" s="299">
        <f t="shared" si="125"/>
        <v>471</v>
      </c>
      <c r="BS73" s="375">
        <f t="shared" si="125"/>
        <v>1968</v>
      </c>
      <c r="BT73" s="299">
        <f t="shared" si="125"/>
        <v>508</v>
      </c>
      <c r="BU73" s="299">
        <f t="shared" si="125"/>
        <v>415</v>
      </c>
      <c r="BV73" s="299">
        <f t="shared" si="125"/>
        <v>780</v>
      </c>
      <c r="BW73" s="299">
        <f t="shared" si="125"/>
        <v>467</v>
      </c>
      <c r="BX73" s="1139">
        <f t="shared" ref="BX73:CG73" si="126">BX37</f>
        <v>2170</v>
      </c>
      <c r="BY73" s="1140">
        <f t="shared" si="126"/>
        <v>484</v>
      </c>
      <c r="BZ73" s="1140">
        <f t="shared" si="126"/>
        <v>440</v>
      </c>
      <c r="CA73" s="1140">
        <f t="shared" si="126"/>
        <v>894</v>
      </c>
      <c r="CB73" s="1140">
        <f t="shared" si="126"/>
        <v>476</v>
      </c>
      <c r="CC73" s="1139">
        <v>1373</v>
      </c>
      <c r="CD73" s="1140">
        <f t="shared" si="126"/>
        <v>401</v>
      </c>
      <c r="CE73" s="1140">
        <f t="shared" si="126"/>
        <v>328</v>
      </c>
      <c r="CF73" s="1140">
        <f t="shared" si="126"/>
        <v>824</v>
      </c>
      <c r="CG73" s="1140">
        <f t="shared" si="126"/>
        <v>586</v>
      </c>
      <c r="CH73" s="1139">
        <v>1289</v>
      </c>
      <c r="CI73" s="1140"/>
      <c r="CJ73" s="1140"/>
      <c r="CK73" s="1140"/>
      <c r="CL73" s="1140"/>
      <c r="CM73" s="1139">
        <v>1217</v>
      </c>
      <c r="CN73" s="1141"/>
      <c r="CO73" s="1140"/>
      <c r="CP73" s="1140"/>
      <c r="CQ73" s="1140"/>
      <c r="CR73" s="1264">
        <v>1213</v>
      </c>
      <c r="CS73" s="2355">
        <f t="shared" ref="CS73:DQ73" si="127">CS37</f>
        <v>248.34730062237662</v>
      </c>
      <c r="CT73" s="2355">
        <f t="shared" si="127"/>
        <v>166.65269937762338</v>
      </c>
      <c r="CU73" s="2355">
        <f t="shared" si="127"/>
        <v>144.16919959473148</v>
      </c>
      <c r="CV73" s="2355">
        <f t="shared" si="127"/>
        <v>644.83080040526852</v>
      </c>
      <c r="CW73" s="1139">
        <f t="shared" si="127"/>
        <v>1204</v>
      </c>
      <c r="CX73" s="1140">
        <f t="shared" si="127"/>
        <v>288</v>
      </c>
      <c r="CY73" s="1140">
        <f t="shared" si="127"/>
        <v>151</v>
      </c>
      <c r="CZ73" s="1140">
        <f t="shared" si="127"/>
        <v>279</v>
      </c>
      <c r="DA73" s="1140">
        <f t="shared" si="127"/>
        <v>312</v>
      </c>
      <c r="DB73" s="1139">
        <f t="shared" si="127"/>
        <v>1030</v>
      </c>
      <c r="DC73" s="1142">
        <f t="shared" si="127"/>
        <v>424.6984534910473</v>
      </c>
      <c r="DD73" s="1142">
        <f t="shared" si="127"/>
        <v>290.11507722363359</v>
      </c>
      <c r="DE73" s="1142">
        <f t="shared" si="127"/>
        <v>303.23103241941033</v>
      </c>
      <c r="DF73" s="1142">
        <f t="shared" si="127"/>
        <v>549.83562302281064</v>
      </c>
      <c r="DG73" s="1143">
        <f t="shared" si="127"/>
        <v>1567.8801861569018</v>
      </c>
      <c r="DH73" s="1142">
        <f t="shared" si="127"/>
        <v>45.754319534193144</v>
      </c>
      <c r="DI73" s="1142">
        <f t="shared" si="127"/>
        <v>311.27102683027334</v>
      </c>
      <c r="DJ73" s="1142">
        <f t="shared" si="127"/>
        <v>336.4087824556774</v>
      </c>
      <c r="DK73" s="1142">
        <f t="shared" si="127"/>
        <v>729.26549042737304</v>
      </c>
      <c r="DL73" s="1143">
        <f t="shared" si="127"/>
        <v>1422.6996192475169</v>
      </c>
      <c r="DM73" s="1142">
        <f t="shared" si="127"/>
        <v>-10.785885851406249</v>
      </c>
      <c r="DN73" s="1142">
        <f t="shared" si="127"/>
        <v>348.61491583715451</v>
      </c>
      <c r="DO73" s="1142">
        <f t="shared" si="127"/>
        <v>369.56010559285573</v>
      </c>
      <c r="DP73" s="1142">
        <f t="shared" si="127"/>
        <v>829.51975987369678</v>
      </c>
      <c r="DQ73" s="1143">
        <f t="shared" si="127"/>
        <v>1536.9088954523008</v>
      </c>
      <c r="DR73" s="1142">
        <f t="shared" ref="DR73:EA73" si="128">DR37</f>
        <v>-5.6234315064754696</v>
      </c>
      <c r="DS73" s="1142">
        <f t="shared" si="128"/>
        <v>385.70500060904402</v>
      </c>
      <c r="DT73" s="1142">
        <f t="shared" si="128"/>
        <v>405.75790779495156</v>
      </c>
      <c r="DU73" s="1142">
        <f t="shared" si="128"/>
        <v>935.52612559745671</v>
      </c>
      <c r="DV73" s="1143">
        <f t="shared" si="128"/>
        <v>1721.3656024949769</v>
      </c>
      <c r="DW73" s="1142">
        <f t="shared" si="128"/>
        <v>-26.504401791993473</v>
      </c>
      <c r="DX73" s="1142">
        <f t="shared" si="128"/>
        <v>428.9792884017341</v>
      </c>
      <c r="DY73" s="1142">
        <f t="shared" si="128"/>
        <v>448.43541704684156</v>
      </c>
      <c r="DZ73" s="1142">
        <f t="shared" si="128"/>
        <v>1069.9495805075985</v>
      </c>
      <c r="EA73" s="1143">
        <f t="shared" si="128"/>
        <v>1920.8598841641806</v>
      </c>
      <c r="EB73" s="1008"/>
      <c r="EC73" s="1008"/>
      <c r="ED73" s="1008"/>
      <c r="EE73" s="1008"/>
      <c r="EF73" s="1008"/>
      <c r="EG73" s="1243"/>
    </row>
    <row r="74" spans="1:147" x14ac:dyDescent="0.2">
      <c r="A74" s="14" t="s">
        <v>149</v>
      </c>
      <c r="B74" s="15"/>
      <c r="C74" s="15"/>
      <c r="D74" s="15"/>
      <c r="E74" s="15"/>
      <c r="F74" s="15"/>
      <c r="G74" s="15"/>
      <c r="H74" s="15"/>
      <c r="I74" s="15"/>
      <c r="J74" s="15"/>
      <c r="K74" s="15"/>
      <c r="L74" s="77">
        <f t="shared" ref="L74:AQ74" si="129">L40</f>
        <v>-66</v>
      </c>
      <c r="M74" s="62">
        <f t="shared" si="129"/>
        <v>-86</v>
      </c>
      <c r="N74" s="62">
        <f t="shared" si="129"/>
        <v>-115</v>
      </c>
      <c r="O74" s="62">
        <f t="shared" si="129"/>
        <v>-203</v>
      </c>
      <c r="P74" s="60">
        <f t="shared" si="129"/>
        <v>-470</v>
      </c>
      <c r="Q74" s="62">
        <f t="shared" si="129"/>
        <v>-68</v>
      </c>
      <c r="R74" s="62">
        <f t="shared" si="129"/>
        <v>-118</v>
      </c>
      <c r="S74" s="62">
        <f t="shared" si="129"/>
        <v>-127</v>
      </c>
      <c r="T74" s="62">
        <f t="shared" si="129"/>
        <v>-259</v>
      </c>
      <c r="U74" s="60">
        <f t="shared" si="129"/>
        <v>-572</v>
      </c>
      <c r="V74" s="77">
        <f t="shared" si="129"/>
        <v>-94</v>
      </c>
      <c r="W74" s="62">
        <f t="shared" si="129"/>
        <v>-109</v>
      </c>
      <c r="X74" s="62">
        <f t="shared" si="129"/>
        <v>-157</v>
      </c>
      <c r="Y74" s="76">
        <f t="shared" si="129"/>
        <v>-276</v>
      </c>
      <c r="Z74" s="60">
        <f t="shared" si="129"/>
        <v>-636</v>
      </c>
      <c r="AA74" s="62">
        <f t="shared" si="129"/>
        <v>-113</v>
      </c>
      <c r="AB74" s="62">
        <f t="shared" si="129"/>
        <v>-160</v>
      </c>
      <c r="AC74" s="62">
        <f t="shared" si="129"/>
        <v>-188</v>
      </c>
      <c r="AD74" s="62">
        <f t="shared" si="129"/>
        <v>-299</v>
      </c>
      <c r="AE74" s="60">
        <f t="shared" si="129"/>
        <v>-760</v>
      </c>
      <c r="AF74" s="62">
        <f t="shared" si="129"/>
        <v>-112</v>
      </c>
      <c r="AG74" s="62">
        <f t="shared" si="129"/>
        <v>-109</v>
      </c>
      <c r="AH74" s="62">
        <f t="shared" si="129"/>
        <v>-137</v>
      </c>
      <c r="AI74" s="62">
        <f t="shared" si="129"/>
        <v>-305</v>
      </c>
      <c r="AJ74" s="60">
        <f t="shared" si="129"/>
        <v>-663</v>
      </c>
      <c r="AK74" s="62">
        <f t="shared" si="129"/>
        <v>-103</v>
      </c>
      <c r="AL74" s="62">
        <f t="shared" si="129"/>
        <v>-118</v>
      </c>
      <c r="AM74" s="62">
        <f t="shared" si="129"/>
        <v>-162</v>
      </c>
      <c r="AN74" s="62">
        <f t="shared" si="129"/>
        <v>-262</v>
      </c>
      <c r="AO74" s="60">
        <f t="shared" si="129"/>
        <v>-645</v>
      </c>
      <c r="AP74" s="62">
        <f t="shared" si="129"/>
        <v>-94</v>
      </c>
      <c r="AQ74" s="62">
        <f t="shared" si="129"/>
        <v>-116</v>
      </c>
      <c r="AR74" s="62">
        <f t="shared" ref="AR74:BW74" si="130">AR40</f>
        <v>-152</v>
      </c>
      <c r="AS74" s="62">
        <f t="shared" si="130"/>
        <v>-247</v>
      </c>
      <c r="AT74" s="60">
        <f t="shared" si="130"/>
        <v>-609</v>
      </c>
      <c r="AU74" s="62">
        <f t="shared" si="130"/>
        <v>-72</v>
      </c>
      <c r="AV74" s="62">
        <f t="shared" si="130"/>
        <v>-114</v>
      </c>
      <c r="AW74" s="62">
        <f t="shared" si="130"/>
        <v>-137</v>
      </c>
      <c r="AX74" s="62">
        <f t="shared" si="130"/>
        <v>-291</v>
      </c>
      <c r="AY74" s="60">
        <f t="shared" si="130"/>
        <v>-614</v>
      </c>
      <c r="AZ74" s="62">
        <f t="shared" si="130"/>
        <v>-93</v>
      </c>
      <c r="BA74" s="62">
        <f t="shared" si="130"/>
        <v>-124</v>
      </c>
      <c r="BB74" s="62">
        <f t="shared" si="130"/>
        <v>-174</v>
      </c>
      <c r="BC74" s="62">
        <f t="shared" si="130"/>
        <v>-351</v>
      </c>
      <c r="BD74" s="60">
        <f t="shared" si="130"/>
        <v>-742</v>
      </c>
      <c r="BE74" s="62">
        <f t="shared" si="130"/>
        <v>-113</v>
      </c>
      <c r="BF74" s="62">
        <f t="shared" si="130"/>
        <v>-222</v>
      </c>
      <c r="BG74" s="62">
        <f t="shared" si="130"/>
        <v>-236</v>
      </c>
      <c r="BH74" s="62">
        <f t="shared" si="130"/>
        <v>-364</v>
      </c>
      <c r="BI74" s="60">
        <f t="shared" si="130"/>
        <v>-935</v>
      </c>
      <c r="BJ74" s="62">
        <f t="shared" si="130"/>
        <v>-143</v>
      </c>
      <c r="BK74" s="62">
        <f t="shared" si="130"/>
        <v>-199</v>
      </c>
      <c r="BL74" s="62">
        <f t="shared" si="130"/>
        <v>-163</v>
      </c>
      <c r="BM74" s="62">
        <f t="shared" si="130"/>
        <v>-292</v>
      </c>
      <c r="BN74" s="60">
        <f t="shared" si="130"/>
        <v>-797</v>
      </c>
      <c r="BO74" s="62">
        <f t="shared" si="130"/>
        <v>-163</v>
      </c>
      <c r="BP74" s="62">
        <f t="shared" si="130"/>
        <v>-164</v>
      </c>
      <c r="BQ74" s="62">
        <f t="shared" si="130"/>
        <v>-163</v>
      </c>
      <c r="BR74" s="62">
        <f t="shared" si="130"/>
        <v>-306</v>
      </c>
      <c r="BS74" s="60">
        <f t="shared" si="130"/>
        <v>-796</v>
      </c>
      <c r="BT74" s="62">
        <f t="shared" si="130"/>
        <v>-173</v>
      </c>
      <c r="BU74" s="62">
        <f t="shared" si="130"/>
        <v>-157</v>
      </c>
      <c r="BV74" s="62">
        <f t="shared" si="130"/>
        <v>-223</v>
      </c>
      <c r="BW74" s="62">
        <f t="shared" si="130"/>
        <v>-387</v>
      </c>
      <c r="BX74" s="1144">
        <f t="shared" ref="BX74:CG74" si="131">BX40</f>
        <v>-940</v>
      </c>
      <c r="BY74" s="1145">
        <f t="shared" si="131"/>
        <v>-184</v>
      </c>
      <c r="BZ74" s="1145">
        <f t="shared" si="131"/>
        <v>-222</v>
      </c>
      <c r="CA74" s="1145">
        <f t="shared" si="131"/>
        <v>-272</v>
      </c>
      <c r="CB74" s="1145">
        <f t="shared" si="131"/>
        <v>-421</v>
      </c>
      <c r="CC74" s="1144">
        <v>-444</v>
      </c>
      <c r="CD74" s="1145">
        <f t="shared" si="131"/>
        <v>-237</v>
      </c>
      <c r="CE74" s="1145">
        <f t="shared" si="131"/>
        <v>-235</v>
      </c>
      <c r="CF74" s="1145">
        <f t="shared" si="131"/>
        <v>-227</v>
      </c>
      <c r="CG74" s="1145">
        <f t="shared" si="131"/>
        <v>-350</v>
      </c>
      <c r="CH74" s="1144">
        <v>-481</v>
      </c>
      <c r="CI74" s="1145"/>
      <c r="CJ74" s="1145"/>
      <c r="CK74" s="1145"/>
      <c r="CL74" s="1145"/>
      <c r="CM74" s="1144">
        <v>-508</v>
      </c>
      <c r="CN74" s="1146"/>
      <c r="CO74" s="1145"/>
      <c r="CP74" s="1145"/>
      <c r="CQ74" s="1145"/>
      <c r="CR74" s="1265">
        <v>-461</v>
      </c>
      <c r="CS74" s="2356">
        <f t="shared" ref="CS74:DQ74" si="132">CS40</f>
        <v>-74</v>
      </c>
      <c r="CT74" s="2356">
        <f t="shared" si="132"/>
        <v>-97</v>
      </c>
      <c r="CU74" s="2356">
        <f t="shared" si="132"/>
        <v>-18.199999999999989</v>
      </c>
      <c r="CV74" s="2356">
        <f t="shared" si="132"/>
        <v>-232.8</v>
      </c>
      <c r="CW74" s="1144">
        <f t="shared" si="132"/>
        <v>-422</v>
      </c>
      <c r="CX74" s="1145">
        <f t="shared" si="132"/>
        <v>-76</v>
      </c>
      <c r="CY74" s="1145">
        <f t="shared" si="132"/>
        <v>-74</v>
      </c>
      <c r="CZ74" s="1145">
        <f t="shared" si="132"/>
        <v>-78</v>
      </c>
      <c r="DA74" s="1145">
        <f t="shared" si="132"/>
        <v>-90</v>
      </c>
      <c r="DB74" s="1144">
        <f t="shared" si="132"/>
        <v>-318</v>
      </c>
      <c r="DC74" s="1147">
        <f t="shared" si="132"/>
        <v>-63.837593873612349</v>
      </c>
      <c r="DD74" s="1147">
        <f t="shared" si="132"/>
        <v>-59.258617426330453</v>
      </c>
      <c r="DE74" s="1147">
        <f t="shared" si="132"/>
        <v>-54.365697248746137</v>
      </c>
      <c r="DF74" s="1147">
        <f t="shared" si="132"/>
        <v>-65.785586499352902</v>
      </c>
      <c r="DG74" s="1148">
        <f t="shared" si="132"/>
        <v>-243.24749504804186</v>
      </c>
      <c r="DH74" s="1147">
        <f t="shared" si="132"/>
        <v>-26.759253210644687</v>
      </c>
      <c r="DI74" s="1147">
        <f t="shared" si="132"/>
        <v>-25.821129914408026</v>
      </c>
      <c r="DJ74" s="1147">
        <f t="shared" si="132"/>
        <v>-24.282909321848159</v>
      </c>
      <c r="DK74" s="1147">
        <f t="shared" si="132"/>
        <v>-28.57175356769077</v>
      </c>
      <c r="DL74" s="1148">
        <f t="shared" si="132"/>
        <v>-105.43504601459165</v>
      </c>
      <c r="DM74" s="1147">
        <f t="shared" si="132"/>
        <v>-20.759806816027691</v>
      </c>
      <c r="DN74" s="1147">
        <f t="shared" si="132"/>
        <v>-22.062336139361278</v>
      </c>
      <c r="DO74" s="1147">
        <f t="shared" si="132"/>
        <v>-22.848335694069309</v>
      </c>
      <c r="DP74" s="1147">
        <f t="shared" si="132"/>
        <v>-30.078738541951815</v>
      </c>
      <c r="DQ74" s="1148">
        <f t="shared" si="132"/>
        <v>-95.749217191410082</v>
      </c>
      <c r="DR74" s="1147">
        <f t="shared" ref="DR74:EA74" si="133">DR40</f>
        <v>-21.031070580496252</v>
      </c>
      <c r="DS74" s="1147">
        <f t="shared" si="133"/>
        <v>-22.312349562177566</v>
      </c>
      <c r="DT74" s="1147">
        <f t="shared" si="133"/>
        <v>-23.565868229600081</v>
      </c>
      <c r="DU74" s="1147">
        <f t="shared" si="133"/>
        <v>-32.71250851866224</v>
      </c>
      <c r="DV74" s="1148">
        <f t="shared" si="133"/>
        <v>-99.621796890936139</v>
      </c>
      <c r="DW74" s="1147">
        <f t="shared" si="133"/>
        <v>-23.292155708397782</v>
      </c>
      <c r="DX74" s="1147">
        <f t="shared" si="133"/>
        <v>-24.902175178453412</v>
      </c>
      <c r="DY74" s="1147">
        <f t="shared" si="133"/>
        <v>-25.586573037688606</v>
      </c>
      <c r="DZ74" s="1147">
        <f t="shared" si="133"/>
        <v>-33.89259010333943</v>
      </c>
      <c r="EA74" s="1148">
        <f t="shared" si="133"/>
        <v>-107.67349402787923</v>
      </c>
      <c r="EB74" s="1008"/>
      <c r="EC74" s="1008"/>
      <c r="ED74" s="1008"/>
      <c r="EE74" s="1008"/>
      <c r="EF74" s="1008"/>
      <c r="EG74" s="1243"/>
    </row>
    <row r="75" spans="1:147" x14ac:dyDescent="0.2">
      <c r="A75" s="27" t="s">
        <v>538</v>
      </c>
      <c r="B75" s="23"/>
      <c r="C75" s="23"/>
      <c r="D75" s="23"/>
      <c r="E75" s="23"/>
      <c r="F75" s="23"/>
      <c r="G75" s="23"/>
      <c r="H75" s="23"/>
      <c r="I75" s="23"/>
      <c r="J75" s="23"/>
      <c r="K75" s="23"/>
      <c r="L75" s="297">
        <f t="shared" ref="L75:AQ75" si="134">L73+L74</f>
        <v>-42</v>
      </c>
      <c r="M75" s="296">
        <f t="shared" si="134"/>
        <v>77</v>
      </c>
      <c r="N75" s="296">
        <f t="shared" si="134"/>
        <v>152</v>
      </c>
      <c r="O75" s="296">
        <f t="shared" si="134"/>
        <v>-92</v>
      </c>
      <c r="P75" s="295">
        <f t="shared" si="134"/>
        <v>95</v>
      </c>
      <c r="Q75" s="296">
        <f t="shared" si="134"/>
        <v>-86</v>
      </c>
      <c r="R75" s="296">
        <f t="shared" si="134"/>
        <v>15</v>
      </c>
      <c r="S75" s="296">
        <f t="shared" si="134"/>
        <v>106</v>
      </c>
      <c r="T75" s="296">
        <f t="shared" si="134"/>
        <v>-116</v>
      </c>
      <c r="U75" s="295">
        <f t="shared" si="134"/>
        <v>-81</v>
      </c>
      <c r="V75" s="297">
        <f t="shared" si="134"/>
        <v>51</v>
      </c>
      <c r="W75" s="296">
        <f t="shared" si="134"/>
        <v>48</v>
      </c>
      <c r="X75" s="296">
        <f t="shared" si="134"/>
        <v>175</v>
      </c>
      <c r="Y75" s="302">
        <f t="shared" si="134"/>
        <v>-78</v>
      </c>
      <c r="Z75" s="295">
        <f t="shared" si="134"/>
        <v>196</v>
      </c>
      <c r="AA75" s="296">
        <f t="shared" si="134"/>
        <v>74</v>
      </c>
      <c r="AB75" s="296">
        <f t="shared" si="134"/>
        <v>151</v>
      </c>
      <c r="AC75" s="296">
        <f t="shared" si="134"/>
        <v>149</v>
      </c>
      <c r="AD75" s="296">
        <f t="shared" si="134"/>
        <v>-46</v>
      </c>
      <c r="AE75" s="295">
        <f t="shared" si="134"/>
        <v>328</v>
      </c>
      <c r="AF75" s="296">
        <f t="shared" si="134"/>
        <v>17</v>
      </c>
      <c r="AG75" s="296">
        <f t="shared" si="134"/>
        <v>161</v>
      </c>
      <c r="AH75" s="296">
        <f t="shared" si="134"/>
        <v>233</v>
      </c>
      <c r="AI75" s="296">
        <f t="shared" si="134"/>
        <v>-21</v>
      </c>
      <c r="AJ75" s="295">
        <f t="shared" si="134"/>
        <v>390</v>
      </c>
      <c r="AK75" s="296">
        <f t="shared" si="134"/>
        <v>86</v>
      </c>
      <c r="AL75" s="296">
        <f t="shared" si="134"/>
        <v>92</v>
      </c>
      <c r="AM75" s="296">
        <f t="shared" si="134"/>
        <v>230</v>
      </c>
      <c r="AN75" s="296">
        <f t="shared" si="134"/>
        <v>78</v>
      </c>
      <c r="AO75" s="295">
        <f t="shared" si="134"/>
        <v>486</v>
      </c>
      <c r="AP75" s="296">
        <f t="shared" si="134"/>
        <v>161</v>
      </c>
      <c r="AQ75" s="296">
        <f t="shared" si="134"/>
        <v>234</v>
      </c>
      <c r="AR75" s="296">
        <f t="shared" ref="AR75:BW75" si="135">AR73+AR74</f>
        <v>284</v>
      </c>
      <c r="AS75" s="296">
        <f t="shared" si="135"/>
        <v>-50</v>
      </c>
      <c r="AT75" s="295">
        <f t="shared" si="135"/>
        <v>629</v>
      </c>
      <c r="AU75" s="299">
        <f t="shared" si="135"/>
        <v>215</v>
      </c>
      <c r="AV75" s="299">
        <f t="shared" si="135"/>
        <v>144</v>
      </c>
      <c r="AW75" s="299">
        <f t="shared" si="135"/>
        <v>307</v>
      </c>
      <c r="AX75" s="299">
        <f t="shared" si="135"/>
        <v>4</v>
      </c>
      <c r="AY75" s="376">
        <f t="shared" si="135"/>
        <v>688</v>
      </c>
      <c r="AZ75" s="299">
        <f t="shared" si="135"/>
        <v>248</v>
      </c>
      <c r="BA75" s="299">
        <f t="shared" si="135"/>
        <v>128</v>
      </c>
      <c r="BB75" s="299">
        <f t="shared" si="135"/>
        <v>402</v>
      </c>
      <c r="BC75" s="299">
        <f t="shared" si="135"/>
        <v>45</v>
      </c>
      <c r="BD75" s="376">
        <f t="shared" si="135"/>
        <v>823</v>
      </c>
      <c r="BE75" s="299">
        <f t="shared" si="135"/>
        <v>235</v>
      </c>
      <c r="BF75" s="299">
        <f t="shared" si="135"/>
        <v>43</v>
      </c>
      <c r="BG75" s="299">
        <f t="shared" si="135"/>
        <v>291</v>
      </c>
      <c r="BH75" s="299">
        <f t="shared" si="135"/>
        <v>-35</v>
      </c>
      <c r="BI75" s="376">
        <f t="shared" si="135"/>
        <v>534</v>
      </c>
      <c r="BJ75" s="299">
        <f t="shared" si="135"/>
        <v>154</v>
      </c>
      <c r="BK75" s="299">
        <f t="shared" si="135"/>
        <v>-1</v>
      </c>
      <c r="BL75" s="299">
        <f t="shared" si="135"/>
        <v>477</v>
      </c>
      <c r="BM75" s="299">
        <f t="shared" si="135"/>
        <v>-23</v>
      </c>
      <c r="BN75" s="376">
        <f t="shared" si="135"/>
        <v>607</v>
      </c>
      <c r="BO75" s="299">
        <f t="shared" si="135"/>
        <v>229</v>
      </c>
      <c r="BP75" s="299">
        <f t="shared" si="135"/>
        <v>277</v>
      </c>
      <c r="BQ75" s="299">
        <f t="shared" si="135"/>
        <v>501</v>
      </c>
      <c r="BR75" s="299">
        <f t="shared" si="135"/>
        <v>165</v>
      </c>
      <c r="BS75" s="376">
        <f t="shared" si="135"/>
        <v>1172</v>
      </c>
      <c r="BT75" s="299">
        <f t="shared" si="135"/>
        <v>335</v>
      </c>
      <c r="BU75" s="299">
        <f t="shared" si="135"/>
        <v>258</v>
      </c>
      <c r="BV75" s="299">
        <f t="shared" si="135"/>
        <v>557</v>
      </c>
      <c r="BW75" s="299">
        <f t="shared" si="135"/>
        <v>80</v>
      </c>
      <c r="BX75" s="1149">
        <f t="shared" ref="BX75:CH75" si="136">BX73+BX74</f>
        <v>1230</v>
      </c>
      <c r="BY75" s="1140">
        <f t="shared" si="136"/>
        <v>300</v>
      </c>
      <c r="BZ75" s="1140">
        <f t="shared" si="136"/>
        <v>218</v>
      </c>
      <c r="CA75" s="1140">
        <f t="shared" si="136"/>
        <v>622</v>
      </c>
      <c r="CB75" s="1140">
        <f t="shared" si="136"/>
        <v>55</v>
      </c>
      <c r="CC75" s="1149">
        <f t="shared" si="136"/>
        <v>929</v>
      </c>
      <c r="CD75" s="1150">
        <f t="shared" si="136"/>
        <v>164</v>
      </c>
      <c r="CE75" s="1151">
        <f t="shared" si="136"/>
        <v>93</v>
      </c>
      <c r="CF75" s="1151">
        <f t="shared" si="136"/>
        <v>597</v>
      </c>
      <c r="CG75" s="1151">
        <f t="shared" si="136"/>
        <v>236</v>
      </c>
      <c r="CH75" s="1149">
        <f t="shared" si="136"/>
        <v>808</v>
      </c>
      <c r="CI75" s="1151"/>
      <c r="CJ75" s="1151"/>
      <c r="CK75" s="1151"/>
      <c r="CL75" s="1151"/>
      <c r="CM75" s="1149">
        <f>CM73+CM74</f>
        <v>709</v>
      </c>
      <c r="CN75" s="1152"/>
      <c r="CO75" s="1151"/>
      <c r="CP75" s="1151"/>
      <c r="CQ75" s="1151"/>
      <c r="CR75" s="1266">
        <v>833</v>
      </c>
      <c r="CS75" s="2355">
        <f t="shared" ref="CS75:DQ75" si="137">CS73+CS74</f>
        <v>174.34730062237662</v>
      </c>
      <c r="CT75" s="2355">
        <f t="shared" si="137"/>
        <v>69.652699377623378</v>
      </c>
      <c r="CU75" s="2355">
        <f t="shared" si="137"/>
        <v>125.96919959473149</v>
      </c>
      <c r="CV75" s="2355">
        <f t="shared" si="137"/>
        <v>412.03080040526851</v>
      </c>
      <c r="CW75" s="1149">
        <f t="shared" si="137"/>
        <v>782</v>
      </c>
      <c r="CX75" s="1140">
        <f t="shared" si="137"/>
        <v>212</v>
      </c>
      <c r="CY75" s="1140">
        <f t="shared" si="137"/>
        <v>77</v>
      </c>
      <c r="CZ75" s="1140">
        <f t="shared" si="137"/>
        <v>201</v>
      </c>
      <c r="DA75" s="1140">
        <f t="shared" si="137"/>
        <v>222</v>
      </c>
      <c r="DB75" s="1149">
        <f t="shared" si="137"/>
        <v>712</v>
      </c>
      <c r="DC75" s="1142">
        <f t="shared" si="137"/>
        <v>360.86085961743493</v>
      </c>
      <c r="DD75" s="1142">
        <f t="shared" si="137"/>
        <v>230.85645979730313</v>
      </c>
      <c r="DE75" s="1142">
        <f t="shared" si="137"/>
        <v>248.8653351706642</v>
      </c>
      <c r="DF75" s="1142">
        <f t="shared" si="137"/>
        <v>484.05003652345772</v>
      </c>
      <c r="DG75" s="1153">
        <f t="shared" si="137"/>
        <v>1324.6326911088599</v>
      </c>
      <c r="DH75" s="1142">
        <f t="shared" si="137"/>
        <v>18.995066323548457</v>
      </c>
      <c r="DI75" s="1142">
        <f t="shared" si="137"/>
        <v>285.44989691586534</v>
      </c>
      <c r="DJ75" s="1142">
        <f t="shared" si="137"/>
        <v>312.12587313382926</v>
      </c>
      <c r="DK75" s="1142">
        <f t="shared" si="137"/>
        <v>700.6937368596823</v>
      </c>
      <c r="DL75" s="1153">
        <f t="shared" si="137"/>
        <v>1317.2645732329252</v>
      </c>
      <c r="DM75" s="1142">
        <f t="shared" si="137"/>
        <v>-31.54569266743394</v>
      </c>
      <c r="DN75" s="1142">
        <f t="shared" si="137"/>
        <v>326.55257969779325</v>
      </c>
      <c r="DO75" s="1142">
        <f t="shared" si="137"/>
        <v>346.71176989878643</v>
      </c>
      <c r="DP75" s="1142">
        <f t="shared" si="137"/>
        <v>799.44102133174499</v>
      </c>
      <c r="DQ75" s="1153">
        <f t="shared" si="137"/>
        <v>1441.1596782608908</v>
      </c>
      <c r="DR75" s="1142">
        <f t="shared" ref="DR75:EA75" si="138">DR73+DR74</f>
        <v>-26.654502086971721</v>
      </c>
      <c r="DS75" s="1142">
        <f t="shared" si="138"/>
        <v>363.39265104686643</v>
      </c>
      <c r="DT75" s="1142">
        <f t="shared" si="138"/>
        <v>382.19203956535148</v>
      </c>
      <c r="DU75" s="1142">
        <f t="shared" si="138"/>
        <v>902.81361707879444</v>
      </c>
      <c r="DV75" s="1153">
        <f t="shared" si="138"/>
        <v>1621.7438056040407</v>
      </c>
      <c r="DW75" s="1142">
        <f t="shared" si="138"/>
        <v>-49.796557500391259</v>
      </c>
      <c r="DX75" s="1142">
        <f t="shared" si="138"/>
        <v>404.07711322328066</v>
      </c>
      <c r="DY75" s="1142">
        <f t="shared" si="138"/>
        <v>422.84884400915297</v>
      </c>
      <c r="DZ75" s="1142">
        <f t="shared" si="138"/>
        <v>1036.0569904042591</v>
      </c>
      <c r="EA75" s="1153">
        <f t="shared" si="138"/>
        <v>1813.1863901363013</v>
      </c>
      <c r="EB75" s="1008"/>
      <c r="EC75" s="1008"/>
      <c r="ED75" s="1008"/>
      <c r="EE75" s="1008"/>
      <c r="EF75" s="1008"/>
      <c r="EG75" s="1243"/>
    </row>
    <row r="76" spans="1:147" x14ac:dyDescent="0.2">
      <c r="A76" s="2410" t="s">
        <v>658</v>
      </c>
      <c r="B76" s="110"/>
      <c r="C76" s="110"/>
      <c r="D76" s="110"/>
      <c r="E76" s="110"/>
      <c r="F76" s="110"/>
      <c r="G76" s="110"/>
      <c r="H76" s="110"/>
      <c r="I76" s="110"/>
      <c r="J76" s="110"/>
      <c r="K76" s="110"/>
      <c r="L76" s="1174"/>
      <c r="M76" s="1174"/>
      <c r="N76" s="1174"/>
      <c r="O76" s="1174"/>
      <c r="P76" s="1174"/>
      <c r="Q76" s="1174"/>
      <c r="R76" s="1174"/>
      <c r="S76" s="1174"/>
      <c r="T76" s="1174"/>
      <c r="U76" s="1174"/>
      <c r="V76" s="363"/>
      <c r="W76" s="363"/>
      <c r="X76" s="363"/>
      <c r="Y76" s="363"/>
      <c r="Z76" s="1175"/>
      <c r="AA76" s="1176"/>
      <c r="AB76" s="1176"/>
      <c r="AC76" s="1176"/>
      <c r="AD76" s="1176"/>
      <c r="AE76" s="1175"/>
      <c r="AF76" s="1176"/>
      <c r="AG76" s="1176"/>
      <c r="AH76" s="1176"/>
      <c r="AI76" s="1176"/>
      <c r="AJ76" s="1175"/>
      <c r="AK76" s="1176"/>
      <c r="AL76" s="1176"/>
      <c r="AM76" s="1176"/>
      <c r="AN76" s="1176"/>
      <c r="AO76" s="1175"/>
      <c r="AP76" s="363"/>
      <c r="AQ76" s="363"/>
      <c r="AR76" s="363"/>
      <c r="AS76" s="363"/>
      <c r="AT76" s="1175"/>
      <c r="AU76" s="363"/>
      <c r="AV76" s="363"/>
      <c r="AW76" s="363"/>
      <c r="AX76" s="363"/>
      <c r="AY76" s="1177"/>
      <c r="AZ76" s="363"/>
      <c r="BA76" s="363"/>
      <c r="BB76" s="363"/>
      <c r="BC76" s="363"/>
      <c r="BD76" s="1177"/>
      <c r="BE76" s="363"/>
      <c r="BF76" s="363"/>
      <c r="BG76" s="363"/>
      <c r="BH76" s="363"/>
      <c r="BI76" s="1177"/>
      <c r="BJ76" s="363"/>
      <c r="BK76" s="363"/>
      <c r="BL76" s="363"/>
      <c r="BM76" s="363"/>
      <c r="BN76" s="1177"/>
      <c r="BO76" s="363"/>
      <c r="BP76" s="363"/>
      <c r="BQ76" s="363"/>
      <c r="BR76" s="363"/>
      <c r="BS76" s="1177"/>
      <c r="BT76" s="363"/>
      <c r="BU76" s="363"/>
      <c r="BV76" s="363"/>
      <c r="BW76" s="363"/>
      <c r="BX76" s="1177"/>
      <c r="BY76" s="363"/>
      <c r="BZ76" s="363"/>
      <c r="CA76" s="363"/>
      <c r="CB76" s="363"/>
      <c r="CC76" s="1177"/>
      <c r="CD76" s="363"/>
      <c r="CE76" s="363"/>
      <c r="CF76" s="363"/>
      <c r="CG76" s="363"/>
      <c r="CH76" s="1177"/>
      <c r="CI76" s="363"/>
      <c r="CJ76" s="363"/>
      <c r="CK76" s="363"/>
      <c r="CL76" s="363"/>
      <c r="CM76" s="1177"/>
      <c r="CN76" s="1178"/>
      <c r="CO76" s="363"/>
      <c r="CP76" s="363"/>
      <c r="CQ76" s="1179"/>
      <c r="CR76" s="1267"/>
      <c r="CS76" s="2357"/>
      <c r="CT76" s="2358"/>
      <c r="CU76" s="2358"/>
      <c r="CV76" s="2359"/>
      <c r="CW76" s="2047">
        <f t="shared" ref="CW76:DQ76" si="139">CW75/CR75-1</f>
        <v>-6.1224489795918324E-2</v>
      </c>
      <c r="CX76" s="2143">
        <f t="shared" si="139"/>
        <v>0.21596376452754118</v>
      </c>
      <c r="CY76" s="2143">
        <f t="shared" si="139"/>
        <v>0.10548479366956176</v>
      </c>
      <c r="CZ76" s="2143">
        <f t="shared" si="139"/>
        <v>0.59562814280520815</v>
      </c>
      <c r="DA76" s="2143">
        <f t="shared" si="139"/>
        <v>-0.46120532789868263</v>
      </c>
      <c r="DB76" s="2047">
        <f t="shared" si="139"/>
        <v>-8.9514066496163669E-2</v>
      </c>
      <c r="DC76" s="1181">
        <f>DC75/CX75-1</f>
        <v>0.70217386611997612</v>
      </c>
      <c r="DD76" s="1181">
        <f>DD75/CY75-1</f>
        <v>1.9981358415234172</v>
      </c>
      <c r="DE76" s="1181">
        <f>DE75/CZ75-1</f>
        <v>0.23813599587395129</v>
      </c>
      <c r="DF76" s="1181">
        <f>DF75/DA75-1</f>
        <v>1.1804055699254854</v>
      </c>
      <c r="DG76" s="1180">
        <f>DG75/DB75-1</f>
        <v>0.86043917290570215</v>
      </c>
      <c r="DH76" s="1181">
        <f t="shared" si="139"/>
        <v>-0.94736179938249332</v>
      </c>
      <c r="DI76" s="1181">
        <f t="shared" si="139"/>
        <v>0.23648217237020952</v>
      </c>
      <c r="DJ76" s="1181">
        <f t="shared" si="139"/>
        <v>0.25419586026226959</v>
      </c>
      <c r="DK76" s="1181">
        <f t="shared" si="139"/>
        <v>0.44756468131311822</v>
      </c>
      <c r="DL76" s="1180">
        <f t="shared" si="139"/>
        <v>-5.5623856525591764E-3</v>
      </c>
      <c r="DM76" s="1181">
        <f t="shared" si="139"/>
        <v>-2.6607308513751429</v>
      </c>
      <c r="DN76" s="1181">
        <f t="shared" si="139"/>
        <v>0.14399263487575431</v>
      </c>
      <c r="DO76" s="1181">
        <f t="shared" si="139"/>
        <v>0.11080752908339608</v>
      </c>
      <c r="DP76" s="1181">
        <f t="shared" si="139"/>
        <v>0.14092788229365505</v>
      </c>
      <c r="DQ76" s="1180">
        <f t="shared" si="139"/>
        <v>9.4054837232806943E-2</v>
      </c>
      <c r="DR76" s="1181">
        <f t="shared" ref="DR76" si="140">DR75/DM75-1</f>
        <v>-0.15505098055785027</v>
      </c>
      <c r="DS76" s="1181">
        <f t="shared" ref="DS76" si="141">DS75/DN75-1</f>
        <v>0.11281512883213685</v>
      </c>
      <c r="DT76" s="1181">
        <f t="shared" ref="DT76" si="142">DT75/DO75-1</f>
        <v>0.10233361756632209</v>
      </c>
      <c r="DU76" s="1181">
        <f t="shared" ref="DU76" si="143">DU75/DP75-1</f>
        <v>0.12930609386899694</v>
      </c>
      <c r="DV76" s="1180">
        <f t="shared" ref="DV76" si="144">DV75/DQ75-1</f>
        <v>0.12530473206207704</v>
      </c>
      <c r="DW76" s="1181">
        <f t="shared" ref="DW76" si="145">DW75/DR75-1</f>
        <v>0.86822313686103292</v>
      </c>
      <c r="DX76" s="1181">
        <f t="shared" ref="DX76" si="146">DX75/DS75-1</f>
        <v>0.11195730584867336</v>
      </c>
      <c r="DY76" s="1181">
        <f t="shared" ref="DY76" si="147">DY75/DT75-1</f>
        <v>0.10637794677785162</v>
      </c>
      <c r="DZ76" s="1181">
        <f t="shared" ref="DZ76" si="148">DZ75/DU75-1</f>
        <v>0.14758680064728757</v>
      </c>
      <c r="EA76" s="1180">
        <f t="shared" ref="EA76" si="149">EA75/DV75-1</f>
        <v>0.11804736597156618</v>
      </c>
      <c r="EB76" s="1008"/>
      <c r="EC76" s="1008"/>
      <c r="ED76" s="1008"/>
      <c r="EE76" s="1008"/>
      <c r="EF76" s="1008"/>
      <c r="EG76" s="1243"/>
      <c r="EH76" s="845"/>
      <c r="EO76" s="845"/>
      <c r="EP76" s="845"/>
      <c r="EQ76" s="845"/>
    </row>
    <row r="77" spans="1:147" s="2279" customFormat="1" x14ac:dyDescent="0.2">
      <c r="A77" s="2283" t="s">
        <v>726</v>
      </c>
      <c r="B77" s="110"/>
      <c r="C77" s="110"/>
      <c r="D77" s="110"/>
      <c r="E77" s="110"/>
      <c r="F77" s="110"/>
      <c r="G77" s="110"/>
      <c r="H77" s="110"/>
      <c r="I77" s="110"/>
      <c r="J77" s="110"/>
      <c r="K77" s="110"/>
      <c r="L77" s="1174"/>
      <c r="M77" s="1174"/>
      <c r="N77" s="1174"/>
      <c r="O77" s="1174"/>
      <c r="P77" s="1174"/>
      <c r="Q77" s="1174"/>
      <c r="R77" s="1174"/>
      <c r="S77" s="1174"/>
      <c r="T77" s="1174"/>
      <c r="U77" s="1174"/>
      <c r="V77" s="363"/>
      <c r="W77" s="363"/>
      <c r="X77" s="363"/>
      <c r="Y77" s="363"/>
      <c r="Z77" s="2281"/>
      <c r="AA77" s="363"/>
      <c r="AB77" s="363"/>
      <c r="AC77" s="363"/>
      <c r="AD77" s="363"/>
      <c r="AE77" s="2281"/>
      <c r="AF77" s="363"/>
      <c r="AG77" s="363"/>
      <c r="AH77" s="363"/>
      <c r="AI77" s="363"/>
      <c r="AJ77" s="2281"/>
      <c r="AK77" s="363"/>
      <c r="AL77" s="363"/>
      <c r="AM77" s="363"/>
      <c r="AN77" s="363"/>
      <c r="AO77" s="2281"/>
      <c r="AP77" s="363"/>
      <c r="AQ77" s="363"/>
      <c r="AR77" s="363"/>
      <c r="AS77" s="363"/>
      <c r="AT77" s="2281"/>
      <c r="AU77" s="363"/>
      <c r="AV77" s="363"/>
      <c r="AW77" s="363"/>
      <c r="AX77" s="363"/>
      <c r="AY77" s="2282"/>
      <c r="AZ77" s="363"/>
      <c r="BA77" s="363"/>
      <c r="BB77" s="363"/>
      <c r="BC77" s="363"/>
      <c r="BD77" s="2282"/>
      <c r="BE77" s="363"/>
      <c r="BF77" s="363"/>
      <c r="BG77" s="363"/>
      <c r="BH77" s="363"/>
      <c r="BI77" s="2282"/>
      <c r="BJ77" s="363"/>
      <c r="BK77" s="363"/>
      <c r="BL77" s="363"/>
      <c r="BM77" s="363"/>
      <c r="BN77" s="2282"/>
      <c r="BO77" s="363"/>
      <c r="BP77" s="363"/>
      <c r="BQ77" s="363"/>
      <c r="BR77" s="363"/>
      <c r="BS77" s="2282"/>
      <c r="BT77" s="363"/>
      <c r="BU77" s="363"/>
      <c r="BV77" s="363"/>
      <c r="BW77" s="363"/>
      <c r="BX77" s="2282"/>
      <c r="BY77" s="363"/>
      <c r="BZ77" s="363"/>
      <c r="CA77" s="363"/>
      <c r="CB77" s="363"/>
      <c r="CC77" s="2282"/>
      <c r="CD77" s="363"/>
      <c r="CE77" s="363"/>
      <c r="CF77" s="363"/>
      <c r="CG77" s="363"/>
      <c r="CH77" s="2411"/>
      <c r="CI77" s="2412"/>
      <c r="CJ77" s="2412"/>
      <c r="CK77" s="2412"/>
      <c r="CL77" s="2412"/>
      <c r="CM77" s="2411"/>
      <c r="CN77" s="2413"/>
      <c r="CO77" s="2412"/>
      <c r="CP77" s="2412"/>
      <c r="CQ77" s="2414"/>
      <c r="CR77" s="2415"/>
      <c r="CS77" s="2416"/>
      <c r="CT77" s="2417"/>
      <c r="CU77" s="2417"/>
      <c r="CV77" s="2417"/>
      <c r="CW77" s="2418"/>
      <c r="CX77" s="2419"/>
      <c r="CY77" s="2419"/>
      <c r="CZ77" s="2419"/>
      <c r="DA77" s="2419"/>
      <c r="DB77" s="2420">
        <f>DB75/'IS '!$DB$65</f>
        <v>2.0056338028169014</v>
      </c>
      <c r="DC77" s="2421"/>
      <c r="DD77" s="2421"/>
      <c r="DE77" s="2421"/>
      <c r="DF77" s="2421"/>
      <c r="DG77" s="2422">
        <f>DG75/'IS '!DG65</f>
        <v>3.9904918110271002</v>
      </c>
      <c r="DH77" s="2421"/>
      <c r="DI77" s="2421"/>
      <c r="DJ77" s="2421"/>
      <c r="DK77" s="2421"/>
      <c r="DL77" s="2422">
        <f>DL75/'IS '!DL65</f>
        <v>4.1916942437132994</v>
      </c>
      <c r="DM77" s="2421"/>
      <c r="DN77" s="2421"/>
      <c r="DO77" s="2421"/>
      <c r="DP77" s="2421"/>
      <c r="DQ77" s="2422">
        <f>DQ75/'IS '!DQ65</f>
        <v>4.7120880118061539</v>
      </c>
      <c r="DR77" s="2421"/>
      <c r="DS77" s="2421"/>
      <c r="DT77" s="2421"/>
      <c r="DU77" s="2421"/>
      <c r="DV77" s="2422">
        <f>DV75/'IS '!DV65</f>
        <v>5.3700706150980295</v>
      </c>
      <c r="DW77" s="2421"/>
      <c r="DX77" s="2421"/>
      <c r="DY77" s="2421"/>
      <c r="DZ77" s="2421"/>
      <c r="EA77" s="2422">
        <f>EA75/'IS '!EA65</f>
        <v>6.0701660702415392</v>
      </c>
      <c r="EB77" s="1008"/>
      <c r="EC77" s="1008"/>
      <c r="ED77" s="1008"/>
      <c r="EE77" s="1008"/>
      <c r="EF77" s="1008"/>
      <c r="EH77" s="845"/>
      <c r="EI77"/>
      <c r="EJ77"/>
      <c r="EK77"/>
      <c r="EL77"/>
      <c r="EM77"/>
      <c r="EN77"/>
      <c r="EO77" s="845"/>
      <c r="EP77" s="845"/>
      <c r="EQ77" s="845"/>
    </row>
    <row r="78" spans="1:147" x14ac:dyDescent="0.2">
      <c r="A78" s="315" t="s">
        <v>428</v>
      </c>
      <c r="B78" s="15"/>
      <c r="C78" s="15"/>
      <c r="D78" s="15"/>
      <c r="E78" s="15"/>
      <c r="F78" s="15"/>
      <c r="G78" s="15"/>
      <c r="H78" s="15"/>
      <c r="I78" s="15"/>
      <c r="J78" s="15"/>
      <c r="K78" s="15"/>
      <c r="L78" s="303"/>
      <c r="M78" s="303"/>
      <c r="N78" s="303"/>
      <c r="O78" s="303"/>
      <c r="P78" s="303"/>
      <c r="Q78" s="303"/>
      <c r="R78" s="303"/>
      <c r="S78" s="303"/>
      <c r="T78" s="303"/>
      <c r="U78" s="303"/>
      <c r="V78" s="303"/>
      <c r="W78" s="303"/>
      <c r="X78" s="303"/>
      <c r="Y78" s="303"/>
      <c r="Z78" s="304"/>
      <c r="AA78" s="303"/>
      <c r="AB78" s="303"/>
      <c r="AC78" s="303"/>
      <c r="AD78" s="303"/>
      <c r="AE78" s="304"/>
      <c r="AF78" s="303"/>
      <c r="AG78" s="303"/>
      <c r="AH78" s="303"/>
      <c r="AI78" s="303"/>
      <c r="AJ78" s="304"/>
      <c r="AK78" s="303"/>
      <c r="AL78" s="303"/>
      <c r="AM78" s="303"/>
      <c r="AN78" s="303"/>
      <c r="AO78" s="304"/>
      <c r="AP78" s="303"/>
      <c r="AQ78" s="303"/>
      <c r="AR78" s="303"/>
      <c r="AS78" s="303"/>
      <c r="AT78" s="304"/>
      <c r="AU78" s="13"/>
      <c r="AV78" s="114"/>
      <c r="AW78" s="114"/>
      <c r="AX78" s="114"/>
      <c r="AY78" s="377"/>
      <c r="AZ78" s="13"/>
      <c r="BA78" s="114"/>
      <c r="BB78" s="114"/>
      <c r="BC78" s="114"/>
      <c r="BD78" s="377"/>
      <c r="BE78" s="13"/>
      <c r="BF78" s="114"/>
      <c r="BG78" s="114"/>
      <c r="BH78" s="114"/>
      <c r="BI78" s="377"/>
      <c r="BJ78" s="13"/>
      <c r="BK78" s="114"/>
      <c r="BL78" s="114"/>
      <c r="BM78" s="114"/>
      <c r="BN78" s="377"/>
      <c r="BO78" s="13"/>
      <c r="BP78" s="114"/>
      <c r="BQ78" s="114"/>
      <c r="BR78" s="114"/>
      <c r="BS78" s="377"/>
      <c r="BT78" s="13"/>
      <c r="BU78" s="114"/>
      <c r="BV78" s="114"/>
      <c r="BW78" s="166"/>
      <c r="BX78" s="306"/>
      <c r="BY78" s="13"/>
      <c r="BZ78" s="114"/>
      <c r="CA78" s="166"/>
      <c r="CB78" s="114"/>
      <c r="CC78" s="377"/>
      <c r="CD78" s="13"/>
      <c r="CE78" s="114"/>
      <c r="CF78" s="114"/>
      <c r="CG78" s="114"/>
      <c r="CH78" s="377"/>
      <c r="CI78" s="13"/>
      <c r="CJ78" s="114"/>
      <c r="CK78" s="114"/>
      <c r="CL78" s="114"/>
      <c r="CM78" s="377"/>
      <c r="CN78" s="914"/>
      <c r="CO78" s="114"/>
      <c r="CP78" s="114"/>
      <c r="CQ78" s="166"/>
      <c r="CR78" s="1268"/>
      <c r="CS78" s="1080"/>
      <c r="CT78" s="2360"/>
      <c r="CU78" s="2360"/>
      <c r="CV78" s="2360"/>
      <c r="CW78" s="377"/>
      <c r="CX78" s="13"/>
      <c r="CY78" s="114"/>
      <c r="CZ78" s="114"/>
      <c r="DA78" s="114"/>
      <c r="DB78" s="2406"/>
      <c r="DC78" s="305"/>
      <c r="DD78" s="166"/>
      <c r="DE78" s="166"/>
      <c r="DF78" s="166"/>
      <c r="DG78" s="306"/>
      <c r="DH78" s="305"/>
      <c r="DI78" s="166"/>
      <c r="DJ78" s="166"/>
      <c r="DK78" s="166"/>
      <c r="DL78" s="306"/>
      <c r="DM78" s="305"/>
      <c r="DN78" s="166"/>
      <c r="DO78" s="166"/>
      <c r="DP78" s="166"/>
      <c r="DQ78" s="306"/>
      <c r="DR78" s="305"/>
      <c r="DS78" s="166"/>
      <c r="DT78" s="166"/>
      <c r="DU78" s="166"/>
      <c r="DV78" s="306"/>
      <c r="DW78" s="305"/>
      <c r="DX78" s="166"/>
      <c r="DY78" s="166"/>
      <c r="DZ78" s="166"/>
      <c r="EA78" s="306"/>
      <c r="EB78" s="1008"/>
      <c r="EC78" s="1008"/>
      <c r="ED78" s="1008"/>
      <c r="EE78" s="1008"/>
      <c r="EF78" s="1008"/>
      <c r="EG78" s="1243"/>
    </row>
    <row r="79" spans="1:147" x14ac:dyDescent="0.2">
      <c r="A79" s="15" t="s">
        <v>150</v>
      </c>
      <c r="B79" s="15"/>
      <c r="C79" s="15"/>
      <c r="D79" s="15"/>
      <c r="E79" s="15"/>
      <c r="F79" s="15"/>
      <c r="G79" s="15"/>
      <c r="H79" s="15"/>
      <c r="I79" s="15"/>
      <c r="J79" s="15"/>
      <c r="K79" s="15"/>
      <c r="L79" s="303"/>
      <c r="M79" s="303"/>
      <c r="N79" s="303"/>
      <c r="O79" s="303"/>
      <c r="P79" s="303"/>
      <c r="Q79" s="303"/>
      <c r="R79" s="303"/>
      <c r="S79" s="303"/>
      <c r="T79" s="303"/>
      <c r="U79" s="303"/>
      <c r="V79" s="62">
        <f t="shared" ref="V79:BA79" si="150">V41</f>
        <v>14</v>
      </c>
      <c r="W79" s="62">
        <f t="shared" si="150"/>
        <v>48</v>
      </c>
      <c r="X79" s="62">
        <f t="shared" si="150"/>
        <v>11</v>
      </c>
      <c r="Y79" s="62">
        <f t="shared" si="150"/>
        <v>38</v>
      </c>
      <c r="Z79" s="60">
        <f t="shared" si="150"/>
        <v>111</v>
      </c>
      <c r="AA79" s="62">
        <f t="shared" si="150"/>
        <v>19</v>
      </c>
      <c r="AB79" s="62">
        <f t="shared" si="150"/>
        <v>5</v>
      </c>
      <c r="AC79" s="62">
        <f t="shared" si="150"/>
        <v>43</v>
      </c>
      <c r="AD79" s="62">
        <f t="shared" si="150"/>
        <v>14</v>
      </c>
      <c r="AE79" s="60">
        <f t="shared" si="150"/>
        <v>81</v>
      </c>
      <c r="AF79" s="62">
        <f t="shared" si="150"/>
        <v>2</v>
      </c>
      <c r="AG79" s="62">
        <f t="shared" si="150"/>
        <v>9</v>
      </c>
      <c r="AH79" s="62">
        <f t="shared" si="150"/>
        <v>0</v>
      </c>
      <c r="AI79" s="62">
        <f t="shared" si="150"/>
        <v>81</v>
      </c>
      <c r="AJ79" s="60">
        <f t="shared" si="150"/>
        <v>92</v>
      </c>
      <c r="AK79" s="62">
        <f t="shared" si="150"/>
        <v>2</v>
      </c>
      <c r="AL79" s="62">
        <f t="shared" si="150"/>
        <v>6</v>
      </c>
      <c r="AM79" s="62">
        <f t="shared" si="150"/>
        <v>6</v>
      </c>
      <c r="AN79" s="62">
        <f t="shared" si="150"/>
        <v>126</v>
      </c>
      <c r="AO79" s="60">
        <f t="shared" si="150"/>
        <v>140</v>
      </c>
      <c r="AP79" s="62">
        <f t="shared" si="150"/>
        <v>4</v>
      </c>
      <c r="AQ79" s="62">
        <f t="shared" si="150"/>
        <v>37</v>
      </c>
      <c r="AR79" s="62">
        <f t="shared" si="150"/>
        <v>38</v>
      </c>
      <c r="AS79" s="62">
        <f t="shared" si="150"/>
        <v>66</v>
      </c>
      <c r="AT79" s="60">
        <f t="shared" si="150"/>
        <v>145</v>
      </c>
      <c r="AU79" s="77">
        <f t="shared" si="150"/>
        <v>22</v>
      </c>
      <c r="AV79" s="62">
        <f t="shared" si="150"/>
        <v>26</v>
      </c>
      <c r="AW79" s="62">
        <f t="shared" si="150"/>
        <v>48</v>
      </c>
      <c r="AX79" s="62">
        <f t="shared" si="150"/>
        <v>161</v>
      </c>
      <c r="AY79" s="123">
        <f t="shared" si="150"/>
        <v>257</v>
      </c>
      <c r="AZ79" s="77">
        <f t="shared" si="150"/>
        <v>34</v>
      </c>
      <c r="BA79" s="62">
        <f t="shared" si="150"/>
        <v>31</v>
      </c>
      <c r="BB79" s="62">
        <f t="shared" ref="BB79:CH79" si="151">BB41</f>
        <v>18</v>
      </c>
      <c r="BC79" s="62">
        <f t="shared" si="151"/>
        <v>34</v>
      </c>
      <c r="BD79" s="123">
        <f t="shared" si="151"/>
        <v>117</v>
      </c>
      <c r="BE79" s="77">
        <f t="shared" si="151"/>
        <v>19</v>
      </c>
      <c r="BF79" s="62">
        <f t="shared" si="151"/>
        <v>47</v>
      </c>
      <c r="BG79" s="62">
        <f t="shared" si="151"/>
        <v>76</v>
      </c>
      <c r="BH79" s="62">
        <f t="shared" si="151"/>
        <v>124</v>
      </c>
      <c r="BI79" s="123">
        <f t="shared" si="151"/>
        <v>266</v>
      </c>
      <c r="BJ79" s="77">
        <f t="shared" si="151"/>
        <v>36</v>
      </c>
      <c r="BK79" s="62">
        <f t="shared" si="151"/>
        <v>27</v>
      </c>
      <c r="BL79" s="62">
        <f t="shared" si="151"/>
        <v>28</v>
      </c>
      <c r="BM79" s="62">
        <f t="shared" si="151"/>
        <v>103</v>
      </c>
      <c r="BN79" s="123">
        <f t="shared" si="151"/>
        <v>194</v>
      </c>
      <c r="BO79" s="77">
        <f t="shared" si="151"/>
        <v>42</v>
      </c>
      <c r="BP79" s="62">
        <f t="shared" si="151"/>
        <v>41</v>
      </c>
      <c r="BQ79" s="62">
        <f t="shared" si="151"/>
        <v>23</v>
      </c>
      <c r="BR79" s="62">
        <f t="shared" si="151"/>
        <v>159</v>
      </c>
      <c r="BS79" s="123">
        <f t="shared" si="151"/>
        <v>265</v>
      </c>
      <c r="BT79" s="77">
        <f t="shared" si="151"/>
        <v>14</v>
      </c>
      <c r="BU79" s="62">
        <f t="shared" si="151"/>
        <v>35</v>
      </c>
      <c r="BV79" s="62">
        <f t="shared" si="151"/>
        <v>70</v>
      </c>
      <c r="BW79" s="62">
        <f t="shared" si="151"/>
        <v>127</v>
      </c>
      <c r="BX79" s="123">
        <f t="shared" si="151"/>
        <v>246</v>
      </c>
      <c r="BY79" s="77">
        <f t="shared" si="151"/>
        <v>102</v>
      </c>
      <c r="BZ79" s="62">
        <f t="shared" si="151"/>
        <v>30</v>
      </c>
      <c r="CA79" s="62">
        <f t="shared" si="151"/>
        <v>55</v>
      </c>
      <c r="CB79" s="62">
        <f t="shared" si="151"/>
        <v>177</v>
      </c>
      <c r="CC79" s="123">
        <f t="shared" si="151"/>
        <v>364</v>
      </c>
      <c r="CD79" s="77">
        <f t="shared" si="151"/>
        <v>81</v>
      </c>
      <c r="CE79" s="62">
        <f t="shared" si="151"/>
        <v>74</v>
      </c>
      <c r="CF79" s="62">
        <f t="shared" si="151"/>
        <v>63</v>
      </c>
      <c r="CG79" s="62">
        <f t="shared" si="151"/>
        <v>42</v>
      </c>
      <c r="CH79" s="123">
        <f t="shared" si="151"/>
        <v>260</v>
      </c>
      <c r="CI79" s="77"/>
      <c r="CJ79" s="62"/>
      <c r="CK79" s="62"/>
      <c r="CL79" s="62"/>
      <c r="CM79" s="123">
        <f t="shared" ref="CM79:DQ79" si="152">CM41</f>
        <v>114</v>
      </c>
      <c r="CN79" s="864">
        <f t="shared" si="152"/>
        <v>0</v>
      </c>
      <c r="CO79" s="62">
        <f t="shared" si="152"/>
        <v>0</v>
      </c>
      <c r="CP79" s="62">
        <f t="shared" si="152"/>
        <v>0</v>
      </c>
      <c r="CQ79" s="161">
        <f t="shared" si="152"/>
        <v>0</v>
      </c>
      <c r="CR79" s="1077">
        <f t="shared" si="152"/>
        <v>219</v>
      </c>
      <c r="CS79" s="1048">
        <f t="shared" si="152"/>
        <v>2.5</v>
      </c>
      <c r="CT79" s="1046">
        <f t="shared" si="152"/>
        <v>82.5</v>
      </c>
      <c r="CU79" s="1046">
        <f t="shared" si="152"/>
        <v>67</v>
      </c>
      <c r="CV79" s="1046">
        <f t="shared" si="152"/>
        <v>194</v>
      </c>
      <c r="CW79" s="123">
        <f t="shared" si="152"/>
        <v>346</v>
      </c>
      <c r="CX79" s="77">
        <f t="shared" si="152"/>
        <v>185</v>
      </c>
      <c r="CY79" s="62">
        <f t="shared" si="152"/>
        <v>136</v>
      </c>
      <c r="CZ79" s="62">
        <f t="shared" si="152"/>
        <v>395</v>
      </c>
      <c r="DA79" s="62">
        <f t="shared" si="152"/>
        <v>1057</v>
      </c>
      <c r="DB79" s="123">
        <f t="shared" si="152"/>
        <v>1773</v>
      </c>
      <c r="DC79" s="307">
        <f t="shared" si="152"/>
        <v>200</v>
      </c>
      <c r="DD79" s="161">
        <f t="shared" si="152"/>
        <v>200</v>
      </c>
      <c r="DE79" s="161">
        <f t="shared" si="152"/>
        <v>110</v>
      </c>
      <c r="DF79" s="161">
        <f t="shared" si="152"/>
        <v>60</v>
      </c>
      <c r="DG79" s="124">
        <f t="shared" si="152"/>
        <v>570</v>
      </c>
      <c r="DH79" s="307">
        <f t="shared" si="152"/>
        <v>85</v>
      </c>
      <c r="DI79" s="161">
        <f t="shared" si="152"/>
        <v>85</v>
      </c>
      <c r="DJ79" s="161">
        <f t="shared" si="152"/>
        <v>85</v>
      </c>
      <c r="DK79" s="161">
        <f t="shared" si="152"/>
        <v>85</v>
      </c>
      <c r="DL79" s="124">
        <f t="shared" si="152"/>
        <v>340</v>
      </c>
      <c r="DM79" s="307">
        <f t="shared" si="152"/>
        <v>0</v>
      </c>
      <c r="DN79" s="161">
        <f t="shared" si="152"/>
        <v>0</v>
      </c>
      <c r="DO79" s="161">
        <f t="shared" si="152"/>
        <v>0</v>
      </c>
      <c r="DP79" s="161">
        <f t="shared" si="152"/>
        <v>0</v>
      </c>
      <c r="DQ79" s="124">
        <f t="shared" si="152"/>
        <v>0</v>
      </c>
      <c r="DR79" s="307">
        <f t="shared" ref="DR79:EA79" si="153">DR41</f>
        <v>0</v>
      </c>
      <c r="DS79" s="161">
        <f t="shared" si="153"/>
        <v>0</v>
      </c>
      <c r="DT79" s="161">
        <f t="shared" si="153"/>
        <v>0</v>
      </c>
      <c r="DU79" s="161">
        <f t="shared" si="153"/>
        <v>0</v>
      </c>
      <c r="DV79" s="124">
        <f t="shared" si="153"/>
        <v>0</v>
      </c>
      <c r="DW79" s="307">
        <f t="shared" si="153"/>
        <v>0</v>
      </c>
      <c r="DX79" s="161">
        <f t="shared" si="153"/>
        <v>0</v>
      </c>
      <c r="DY79" s="161">
        <f t="shared" si="153"/>
        <v>0</v>
      </c>
      <c r="DZ79" s="161">
        <f t="shared" si="153"/>
        <v>0</v>
      </c>
      <c r="EA79" s="124">
        <f t="shared" si="153"/>
        <v>0</v>
      </c>
      <c r="EB79" s="1008"/>
      <c r="EC79" s="1008"/>
      <c r="ED79" s="1008"/>
      <c r="EE79" s="1008"/>
      <c r="EF79" s="1008"/>
      <c r="EG79" s="1243"/>
    </row>
    <row r="80" spans="1:147" x14ac:dyDescent="0.2">
      <c r="A80" s="15" t="s">
        <v>151</v>
      </c>
      <c r="B80" s="15"/>
      <c r="C80" s="15"/>
      <c r="D80" s="15"/>
      <c r="E80" s="15"/>
      <c r="F80" s="15"/>
      <c r="G80" s="15"/>
      <c r="H80" s="15"/>
      <c r="I80" s="15"/>
      <c r="J80" s="15"/>
      <c r="K80" s="15"/>
      <c r="L80" s="303"/>
      <c r="M80" s="303"/>
      <c r="N80" s="303"/>
      <c r="O80" s="303"/>
      <c r="P80" s="303"/>
      <c r="Q80" s="303"/>
      <c r="R80" s="303"/>
      <c r="S80" s="303"/>
      <c r="T80" s="303"/>
      <c r="U80" s="303"/>
      <c r="V80" s="64">
        <f t="shared" ref="V80:BA80" si="154">V62</f>
        <v>0</v>
      </c>
      <c r="W80" s="64">
        <f t="shared" si="154"/>
        <v>0</v>
      </c>
      <c r="X80" s="64">
        <f t="shared" si="154"/>
        <v>0</v>
      </c>
      <c r="Y80" s="64">
        <f t="shared" si="154"/>
        <v>0</v>
      </c>
      <c r="Z80" s="66">
        <f t="shared" si="154"/>
        <v>0</v>
      </c>
      <c r="AA80" s="62">
        <f t="shared" si="154"/>
        <v>46</v>
      </c>
      <c r="AB80" s="62">
        <f t="shared" si="154"/>
        <v>53</v>
      </c>
      <c r="AC80" s="62">
        <f t="shared" si="154"/>
        <v>11</v>
      </c>
      <c r="AD80" s="62">
        <f t="shared" si="154"/>
        <v>15</v>
      </c>
      <c r="AE80" s="60">
        <f t="shared" si="154"/>
        <v>125</v>
      </c>
      <c r="AF80" s="62">
        <f t="shared" si="154"/>
        <v>10</v>
      </c>
      <c r="AG80" s="62">
        <f t="shared" si="154"/>
        <v>24</v>
      </c>
      <c r="AH80" s="62">
        <f t="shared" si="154"/>
        <v>36</v>
      </c>
      <c r="AI80" s="62">
        <f t="shared" si="154"/>
        <v>40</v>
      </c>
      <c r="AJ80" s="60">
        <f t="shared" si="154"/>
        <v>110</v>
      </c>
      <c r="AK80" s="62">
        <f t="shared" si="154"/>
        <v>63</v>
      </c>
      <c r="AL80" s="62">
        <f t="shared" si="154"/>
        <v>39</v>
      </c>
      <c r="AM80" s="62">
        <f t="shared" si="154"/>
        <v>25</v>
      </c>
      <c r="AN80" s="62">
        <f t="shared" si="154"/>
        <v>73</v>
      </c>
      <c r="AO80" s="60">
        <f t="shared" si="154"/>
        <v>200</v>
      </c>
      <c r="AP80" s="62">
        <f t="shared" si="154"/>
        <v>46</v>
      </c>
      <c r="AQ80" s="62">
        <f t="shared" si="154"/>
        <v>43</v>
      </c>
      <c r="AR80" s="62">
        <f t="shared" si="154"/>
        <v>24</v>
      </c>
      <c r="AS80" s="62">
        <f t="shared" si="154"/>
        <v>35</v>
      </c>
      <c r="AT80" s="60">
        <f t="shared" si="154"/>
        <v>148</v>
      </c>
      <c r="AU80" s="77">
        <f t="shared" si="154"/>
        <v>44</v>
      </c>
      <c r="AV80" s="62">
        <f t="shared" si="154"/>
        <v>40</v>
      </c>
      <c r="AW80" s="62">
        <f t="shared" si="154"/>
        <v>9</v>
      </c>
      <c r="AX80" s="62">
        <f t="shared" si="154"/>
        <v>49</v>
      </c>
      <c r="AY80" s="123">
        <f t="shared" si="154"/>
        <v>142</v>
      </c>
      <c r="AZ80" s="77">
        <f t="shared" si="154"/>
        <v>28</v>
      </c>
      <c r="BA80" s="62">
        <f t="shared" si="154"/>
        <v>35</v>
      </c>
      <c r="BB80" s="62">
        <f t="shared" ref="BB80:CH80" si="155">BB62</f>
        <v>15</v>
      </c>
      <c r="BC80" s="62">
        <f t="shared" si="155"/>
        <v>34</v>
      </c>
      <c r="BD80" s="123">
        <f t="shared" si="155"/>
        <v>112</v>
      </c>
      <c r="BE80" s="77">
        <f t="shared" si="155"/>
        <v>12</v>
      </c>
      <c r="BF80" s="62">
        <f t="shared" si="155"/>
        <v>28</v>
      </c>
      <c r="BG80" s="62">
        <f t="shared" si="155"/>
        <v>11</v>
      </c>
      <c r="BH80" s="62">
        <f t="shared" si="155"/>
        <v>21</v>
      </c>
      <c r="BI80" s="123">
        <f t="shared" si="155"/>
        <v>72</v>
      </c>
      <c r="BJ80" s="77">
        <f t="shared" si="155"/>
        <v>21</v>
      </c>
      <c r="BK80" s="62">
        <f t="shared" si="155"/>
        <v>56</v>
      </c>
      <c r="BL80" s="62">
        <f t="shared" si="155"/>
        <v>14</v>
      </c>
      <c r="BM80" s="62">
        <f t="shared" si="155"/>
        <v>22</v>
      </c>
      <c r="BN80" s="123">
        <f t="shared" si="155"/>
        <v>113</v>
      </c>
      <c r="BO80" s="77">
        <f t="shared" si="155"/>
        <v>17</v>
      </c>
      <c r="BP80" s="62">
        <f t="shared" si="155"/>
        <v>27</v>
      </c>
      <c r="BQ80" s="62">
        <f t="shared" si="155"/>
        <v>20</v>
      </c>
      <c r="BR80" s="62">
        <f t="shared" si="155"/>
        <v>38</v>
      </c>
      <c r="BS80" s="123">
        <f t="shared" si="155"/>
        <v>102</v>
      </c>
      <c r="BT80" s="77">
        <f t="shared" si="155"/>
        <v>9</v>
      </c>
      <c r="BU80" s="62">
        <f t="shared" si="155"/>
        <v>13</v>
      </c>
      <c r="BV80" s="62">
        <f t="shared" si="155"/>
        <v>8</v>
      </c>
      <c r="BW80" s="62">
        <f t="shared" si="155"/>
        <v>29</v>
      </c>
      <c r="BX80" s="123">
        <f t="shared" si="155"/>
        <v>59</v>
      </c>
      <c r="BY80" s="77">
        <f t="shared" si="155"/>
        <v>16</v>
      </c>
      <c r="BZ80" s="62">
        <f t="shared" si="155"/>
        <v>6</v>
      </c>
      <c r="CA80" s="62">
        <f t="shared" si="155"/>
        <v>5</v>
      </c>
      <c r="CB80" s="62">
        <f t="shared" si="155"/>
        <v>35</v>
      </c>
      <c r="CC80" s="123">
        <f t="shared" si="155"/>
        <v>62</v>
      </c>
      <c r="CD80" s="77">
        <f t="shared" si="155"/>
        <v>5</v>
      </c>
      <c r="CE80" s="62">
        <f t="shared" si="155"/>
        <v>6</v>
      </c>
      <c r="CF80" s="62">
        <f t="shared" si="155"/>
        <v>6</v>
      </c>
      <c r="CG80" s="62">
        <f t="shared" si="155"/>
        <v>20</v>
      </c>
      <c r="CH80" s="123">
        <f t="shared" si="155"/>
        <v>37</v>
      </c>
      <c r="CI80" s="77"/>
      <c r="CJ80" s="62"/>
      <c r="CK80" s="62"/>
      <c r="CL80" s="62"/>
      <c r="CM80" s="123">
        <f t="shared" ref="CM80:DQ80" si="156">CM62</f>
        <v>29</v>
      </c>
      <c r="CN80" s="864">
        <f t="shared" si="156"/>
        <v>0</v>
      </c>
      <c r="CO80" s="62">
        <f t="shared" si="156"/>
        <v>0</v>
      </c>
      <c r="CP80" s="62">
        <f t="shared" si="156"/>
        <v>0</v>
      </c>
      <c r="CQ80" s="161">
        <f t="shared" si="156"/>
        <v>0</v>
      </c>
      <c r="CR80" s="1077">
        <f t="shared" si="156"/>
        <v>9</v>
      </c>
      <c r="CS80" s="1048">
        <f t="shared" si="156"/>
        <v>1</v>
      </c>
      <c r="CT80" s="1046">
        <f t="shared" si="156"/>
        <v>1</v>
      </c>
      <c r="CU80" s="1046">
        <f t="shared" si="156"/>
        <v>1</v>
      </c>
      <c r="CV80" s="1046">
        <f t="shared" si="156"/>
        <v>-3</v>
      </c>
      <c r="CW80" s="123">
        <f t="shared" si="156"/>
        <v>0</v>
      </c>
      <c r="CX80" s="77">
        <f t="shared" si="156"/>
        <v>10</v>
      </c>
      <c r="CY80" s="62">
        <f t="shared" si="156"/>
        <v>-10</v>
      </c>
      <c r="CZ80" s="62">
        <f t="shared" si="156"/>
        <v>0</v>
      </c>
      <c r="DA80" s="62">
        <f t="shared" si="156"/>
        <v>0</v>
      </c>
      <c r="DB80" s="123">
        <f t="shared" si="156"/>
        <v>0</v>
      </c>
      <c r="DC80" s="307">
        <f t="shared" si="156"/>
        <v>0</v>
      </c>
      <c r="DD80" s="161">
        <f t="shared" si="156"/>
        <v>0</v>
      </c>
      <c r="DE80" s="161">
        <f t="shared" si="156"/>
        <v>0</v>
      </c>
      <c r="DF80" s="161">
        <f t="shared" si="156"/>
        <v>0</v>
      </c>
      <c r="DG80" s="124">
        <f t="shared" si="156"/>
        <v>0</v>
      </c>
      <c r="DH80" s="307">
        <f t="shared" si="156"/>
        <v>0</v>
      </c>
      <c r="DI80" s="161">
        <f t="shared" si="156"/>
        <v>0</v>
      </c>
      <c r="DJ80" s="161">
        <f t="shared" si="156"/>
        <v>0</v>
      </c>
      <c r="DK80" s="161">
        <f t="shared" si="156"/>
        <v>0</v>
      </c>
      <c r="DL80" s="124">
        <f t="shared" si="156"/>
        <v>0</v>
      </c>
      <c r="DM80" s="307">
        <f t="shared" si="156"/>
        <v>0</v>
      </c>
      <c r="DN80" s="161">
        <f t="shared" si="156"/>
        <v>0</v>
      </c>
      <c r="DO80" s="161">
        <f t="shared" si="156"/>
        <v>0</v>
      </c>
      <c r="DP80" s="161">
        <f t="shared" si="156"/>
        <v>0</v>
      </c>
      <c r="DQ80" s="124">
        <f t="shared" si="156"/>
        <v>0</v>
      </c>
      <c r="DR80" s="307">
        <f t="shared" ref="DR80:EA80" si="157">DR62</f>
        <v>0</v>
      </c>
      <c r="DS80" s="161">
        <f t="shared" si="157"/>
        <v>0</v>
      </c>
      <c r="DT80" s="161">
        <f t="shared" si="157"/>
        <v>0</v>
      </c>
      <c r="DU80" s="161">
        <f t="shared" si="157"/>
        <v>0</v>
      </c>
      <c r="DV80" s="124">
        <f t="shared" si="157"/>
        <v>0</v>
      </c>
      <c r="DW80" s="307">
        <f t="shared" si="157"/>
        <v>0</v>
      </c>
      <c r="DX80" s="161">
        <f t="shared" si="157"/>
        <v>0</v>
      </c>
      <c r="DY80" s="161">
        <f t="shared" si="157"/>
        <v>0</v>
      </c>
      <c r="DZ80" s="161">
        <f t="shared" si="157"/>
        <v>0</v>
      </c>
      <c r="EA80" s="124">
        <f t="shared" si="157"/>
        <v>0</v>
      </c>
      <c r="EB80" s="1008"/>
      <c r="EC80" s="1008"/>
      <c r="ED80" s="1008"/>
      <c r="EE80" s="1008"/>
      <c r="EF80" s="1008"/>
      <c r="EG80" s="1243"/>
    </row>
    <row r="81" spans="1:147" x14ac:dyDescent="0.2">
      <c r="A81" s="15" t="s">
        <v>152</v>
      </c>
      <c r="B81" s="15"/>
      <c r="C81" s="15"/>
      <c r="D81" s="15"/>
      <c r="E81" s="15"/>
      <c r="F81" s="15"/>
      <c r="G81" s="15"/>
      <c r="H81" s="15"/>
      <c r="I81" s="15"/>
      <c r="J81" s="15"/>
      <c r="K81" s="15"/>
      <c r="L81" s="303"/>
      <c r="M81" s="303"/>
      <c r="N81" s="303"/>
      <c r="O81" s="303"/>
      <c r="P81" s="303"/>
      <c r="Q81" s="303"/>
      <c r="R81" s="303"/>
      <c r="S81" s="303"/>
      <c r="T81" s="303"/>
      <c r="U81" s="303"/>
      <c r="V81" s="62">
        <f t="shared" ref="V81:BA81" si="158">V45</f>
        <v>15</v>
      </c>
      <c r="W81" s="62">
        <f t="shared" si="158"/>
        <v>1</v>
      </c>
      <c r="X81" s="62">
        <f t="shared" si="158"/>
        <v>-1</v>
      </c>
      <c r="Y81" s="62">
        <f t="shared" si="158"/>
        <v>42</v>
      </c>
      <c r="Z81" s="60">
        <f t="shared" si="158"/>
        <v>57</v>
      </c>
      <c r="AA81" s="62">
        <f t="shared" si="158"/>
        <v>11</v>
      </c>
      <c r="AB81" s="62">
        <f t="shared" si="158"/>
        <v>8</v>
      </c>
      <c r="AC81" s="62">
        <f t="shared" si="158"/>
        <v>14</v>
      </c>
      <c r="AD81" s="62">
        <f t="shared" si="158"/>
        <v>25</v>
      </c>
      <c r="AE81" s="60">
        <f t="shared" si="158"/>
        <v>58</v>
      </c>
      <c r="AF81" s="62">
        <f t="shared" si="158"/>
        <v>11</v>
      </c>
      <c r="AG81" s="62">
        <f t="shared" si="158"/>
        <v>9</v>
      </c>
      <c r="AH81" s="62">
        <f t="shared" si="158"/>
        <v>9</v>
      </c>
      <c r="AI81" s="62">
        <f t="shared" si="158"/>
        <v>17</v>
      </c>
      <c r="AJ81" s="60">
        <f t="shared" si="158"/>
        <v>46</v>
      </c>
      <c r="AK81" s="62">
        <f t="shared" si="158"/>
        <v>9</v>
      </c>
      <c r="AL81" s="62">
        <f t="shared" si="158"/>
        <v>15</v>
      </c>
      <c r="AM81" s="62">
        <f t="shared" si="158"/>
        <v>8</v>
      </c>
      <c r="AN81" s="62">
        <f t="shared" si="158"/>
        <v>20</v>
      </c>
      <c r="AO81" s="60">
        <f t="shared" si="158"/>
        <v>52</v>
      </c>
      <c r="AP81" s="62">
        <f t="shared" si="158"/>
        <v>3</v>
      </c>
      <c r="AQ81" s="62">
        <f t="shared" si="158"/>
        <v>19</v>
      </c>
      <c r="AR81" s="62">
        <f t="shared" si="158"/>
        <v>3</v>
      </c>
      <c r="AS81" s="62">
        <f t="shared" si="158"/>
        <v>56</v>
      </c>
      <c r="AT81" s="60">
        <f t="shared" si="158"/>
        <v>81</v>
      </c>
      <c r="AU81" s="325">
        <f t="shared" si="158"/>
        <v>8</v>
      </c>
      <c r="AV81" s="333">
        <f t="shared" si="158"/>
        <v>18</v>
      </c>
      <c r="AW81" s="333">
        <f t="shared" si="158"/>
        <v>7</v>
      </c>
      <c r="AX81" s="333">
        <f t="shared" si="158"/>
        <v>24</v>
      </c>
      <c r="AY81" s="378">
        <f t="shared" si="158"/>
        <v>57</v>
      </c>
      <c r="AZ81" s="325">
        <f t="shared" si="158"/>
        <v>12</v>
      </c>
      <c r="BA81" s="333">
        <f t="shared" si="158"/>
        <v>13</v>
      </c>
      <c r="BB81" s="333">
        <f t="shared" ref="BB81:CH81" si="159">BB45</f>
        <v>17</v>
      </c>
      <c r="BC81" s="333">
        <f t="shared" si="159"/>
        <v>14</v>
      </c>
      <c r="BD81" s="378">
        <f t="shared" si="159"/>
        <v>56</v>
      </c>
      <c r="BE81" s="325">
        <f t="shared" si="159"/>
        <v>7</v>
      </c>
      <c r="BF81" s="333">
        <f t="shared" si="159"/>
        <v>27</v>
      </c>
      <c r="BG81" s="333">
        <f t="shared" si="159"/>
        <v>24</v>
      </c>
      <c r="BH81" s="333">
        <f t="shared" si="159"/>
        <v>14</v>
      </c>
      <c r="BI81" s="378">
        <f t="shared" si="159"/>
        <v>72</v>
      </c>
      <c r="BJ81" s="325">
        <f t="shared" si="159"/>
        <v>1</v>
      </c>
      <c r="BK81" s="333">
        <f t="shared" si="159"/>
        <v>7</v>
      </c>
      <c r="BL81" s="333">
        <f t="shared" si="159"/>
        <v>8</v>
      </c>
      <c r="BM81" s="333">
        <f t="shared" si="159"/>
        <v>18</v>
      </c>
      <c r="BN81" s="378">
        <f t="shared" si="159"/>
        <v>34</v>
      </c>
      <c r="BO81" s="325">
        <f t="shared" si="159"/>
        <v>9</v>
      </c>
      <c r="BP81" s="333">
        <f t="shared" si="159"/>
        <v>4</v>
      </c>
      <c r="BQ81" s="333">
        <f t="shared" si="159"/>
        <v>8</v>
      </c>
      <c r="BR81" s="333">
        <f t="shared" si="159"/>
        <v>12</v>
      </c>
      <c r="BS81" s="378">
        <f t="shared" si="159"/>
        <v>33</v>
      </c>
      <c r="BT81" s="325">
        <f t="shared" si="159"/>
        <v>0</v>
      </c>
      <c r="BU81" s="333">
        <f t="shared" si="159"/>
        <v>9</v>
      </c>
      <c r="BV81" s="333">
        <f t="shared" si="159"/>
        <v>6</v>
      </c>
      <c r="BW81" s="333">
        <f t="shared" si="159"/>
        <v>15</v>
      </c>
      <c r="BX81" s="378">
        <f t="shared" si="159"/>
        <v>30</v>
      </c>
      <c r="BY81" s="325">
        <f t="shared" si="159"/>
        <v>4</v>
      </c>
      <c r="BZ81" s="333">
        <f t="shared" si="159"/>
        <v>-4</v>
      </c>
      <c r="CA81" s="333">
        <f t="shared" si="159"/>
        <v>0</v>
      </c>
      <c r="CB81" s="333">
        <f t="shared" si="159"/>
        <v>0</v>
      </c>
      <c r="CC81" s="378">
        <f t="shared" si="159"/>
        <v>0</v>
      </c>
      <c r="CD81" s="325">
        <f t="shared" si="159"/>
        <v>0</v>
      </c>
      <c r="CE81" s="333">
        <f t="shared" si="159"/>
        <v>0</v>
      </c>
      <c r="CF81" s="333">
        <f t="shared" si="159"/>
        <v>0</v>
      </c>
      <c r="CG81" s="333">
        <f t="shared" si="159"/>
        <v>0</v>
      </c>
      <c r="CH81" s="378">
        <f t="shared" si="159"/>
        <v>0</v>
      </c>
      <c r="CI81" s="325"/>
      <c r="CJ81" s="333"/>
      <c r="CK81" s="333"/>
      <c r="CL81" s="333"/>
      <c r="CM81" s="378">
        <f t="shared" ref="CM81:DQ81" si="160">CM45</f>
        <v>0</v>
      </c>
      <c r="CN81" s="915">
        <f t="shared" si="160"/>
        <v>0</v>
      </c>
      <c r="CO81" s="333">
        <f t="shared" si="160"/>
        <v>0</v>
      </c>
      <c r="CP81" s="333">
        <f t="shared" si="160"/>
        <v>0</v>
      </c>
      <c r="CQ81" s="309">
        <f t="shared" si="160"/>
        <v>0</v>
      </c>
      <c r="CR81" s="1269">
        <f t="shared" si="160"/>
        <v>0</v>
      </c>
      <c r="CS81" s="2361">
        <f t="shared" si="160"/>
        <v>0</v>
      </c>
      <c r="CT81" s="1273">
        <f t="shared" si="160"/>
        <v>0</v>
      </c>
      <c r="CU81" s="1273">
        <f t="shared" si="160"/>
        <v>0</v>
      </c>
      <c r="CV81" s="1273">
        <f t="shared" si="160"/>
        <v>0</v>
      </c>
      <c r="CW81" s="378">
        <f t="shared" si="160"/>
        <v>0</v>
      </c>
      <c r="CX81" s="325">
        <f t="shared" si="160"/>
        <v>0</v>
      </c>
      <c r="CY81" s="333">
        <f t="shared" si="160"/>
        <v>0</v>
      </c>
      <c r="CZ81" s="333">
        <f t="shared" si="160"/>
        <v>0</v>
      </c>
      <c r="DA81" s="333">
        <f t="shared" si="160"/>
        <v>0</v>
      </c>
      <c r="DB81" s="378">
        <f t="shared" si="160"/>
        <v>0</v>
      </c>
      <c r="DC81" s="308">
        <f t="shared" si="160"/>
        <v>0</v>
      </c>
      <c r="DD81" s="309">
        <f t="shared" si="160"/>
        <v>0</v>
      </c>
      <c r="DE81" s="309">
        <f t="shared" si="160"/>
        <v>0</v>
      </c>
      <c r="DF81" s="309">
        <f t="shared" si="160"/>
        <v>0</v>
      </c>
      <c r="DG81" s="310">
        <f t="shared" si="160"/>
        <v>0</v>
      </c>
      <c r="DH81" s="308">
        <f t="shared" si="160"/>
        <v>0</v>
      </c>
      <c r="DI81" s="309">
        <f t="shared" si="160"/>
        <v>0</v>
      </c>
      <c r="DJ81" s="309">
        <f t="shared" si="160"/>
        <v>0</v>
      </c>
      <c r="DK81" s="309">
        <f t="shared" si="160"/>
        <v>0</v>
      </c>
      <c r="DL81" s="310">
        <f t="shared" si="160"/>
        <v>0</v>
      </c>
      <c r="DM81" s="308">
        <f t="shared" si="160"/>
        <v>0</v>
      </c>
      <c r="DN81" s="309">
        <f t="shared" si="160"/>
        <v>0</v>
      </c>
      <c r="DO81" s="309">
        <f t="shared" si="160"/>
        <v>0</v>
      </c>
      <c r="DP81" s="309">
        <f t="shared" si="160"/>
        <v>0</v>
      </c>
      <c r="DQ81" s="310">
        <f t="shared" si="160"/>
        <v>0</v>
      </c>
      <c r="DR81" s="308">
        <f t="shared" ref="DR81:EA81" si="161">DR45</f>
        <v>0</v>
      </c>
      <c r="DS81" s="309">
        <f t="shared" si="161"/>
        <v>0</v>
      </c>
      <c r="DT81" s="309">
        <f t="shared" si="161"/>
        <v>0</v>
      </c>
      <c r="DU81" s="309">
        <f t="shared" si="161"/>
        <v>0</v>
      </c>
      <c r="DV81" s="310">
        <f t="shared" si="161"/>
        <v>0</v>
      </c>
      <c r="DW81" s="308">
        <f t="shared" si="161"/>
        <v>0</v>
      </c>
      <c r="DX81" s="309">
        <f t="shared" si="161"/>
        <v>0</v>
      </c>
      <c r="DY81" s="309">
        <f t="shared" si="161"/>
        <v>0</v>
      </c>
      <c r="DZ81" s="309">
        <f t="shared" si="161"/>
        <v>0</v>
      </c>
      <c r="EA81" s="310">
        <f t="shared" si="161"/>
        <v>0</v>
      </c>
      <c r="EB81" s="1008"/>
      <c r="EC81" s="1008"/>
      <c r="ED81" s="1008"/>
      <c r="EE81" s="1008"/>
      <c r="EF81" s="935"/>
      <c r="EG81" s="1243"/>
    </row>
    <row r="82" spans="1:147" x14ac:dyDescent="0.2">
      <c r="A82" s="20" t="s">
        <v>539</v>
      </c>
      <c r="B82" s="21"/>
      <c r="C82" s="21"/>
      <c r="D82" s="21"/>
      <c r="E82" s="21"/>
      <c r="F82" s="21"/>
      <c r="G82" s="21"/>
      <c r="H82" s="21"/>
      <c r="I82" s="21"/>
      <c r="J82" s="21"/>
      <c r="K82" s="21"/>
      <c r="L82" s="311"/>
      <c r="M82" s="311"/>
      <c r="N82" s="311"/>
      <c r="O82" s="311"/>
      <c r="P82" s="311"/>
      <c r="Q82" s="311"/>
      <c r="R82" s="311"/>
      <c r="S82" s="311"/>
      <c r="T82" s="311"/>
      <c r="U82" s="311"/>
      <c r="V82" s="147">
        <f t="shared" ref="V82:BA82" si="162">V75+SUM(V79:V81)</f>
        <v>80</v>
      </c>
      <c r="W82" s="147">
        <f t="shared" si="162"/>
        <v>97</v>
      </c>
      <c r="X82" s="147">
        <f t="shared" si="162"/>
        <v>185</v>
      </c>
      <c r="Y82" s="147">
        <f t="shared" si="162"/>
        <v>2</v>
      </c>
      <c r="Z82" s="141">
        <f t="shared" si="162"/>
        <v>364</v>
      </c>
      <c r="AA82" s="147">
        <f t="shared" si="162"/>
        <v>150</v>
      </c>
      <c r="AB82" s="147">
        <f t="shared" si="162"/>
        <v>217</v>
      </c>
      <c r="AC82" s="147">
        <f t="shared" si="162"/>
        <v>217</v>
      </c>
      <c r="AD82" s="147">
        <f t="shared" si="162"/>
        <v>8</v>
      </c>
      <c r="AE82" s="141">
        <f t="shared" si="162"/>
        <v>592</v>
      </c>
      <c r="AF82" s="147">
        <f t="shared" si="162"/>
        <v>40</v>
      </c>
      <c r="AG82" s="147">
        <f t="shared" si="162"/>
        <v>203</v>
      </c>
      <c r="AH82" s="147">
        <f t="shared" si="162"/>
        <v>278</v>
      </c>
      <c r="AI82" s="147">
        <f t="shared" si="162"/>
        <v>117</v>
      </c>
      <c r="AJ82" s="141">
        <f t="shared" si="162"/>
        <v>638</v>
      </c>
      <c r="AK82" s="147">
        <f t="shared" si="162"/>
        <v>160</v>
      </c>
      <c r="AL82" s="147">
        <f t="shared" si="162"/>
        <v>152</v>
      </c>
      <c r="AM82" s="147">
        <f t="shared" si="162"/>
        <v>269</v>
      </c>
      <c r="AN82" s="147">
        <f t="shared" si="162"/>
        <v>297</v>
      </c>
      <c r="AO82" s="141">
        <f t="shared" si="162"/>
        <v>878</v>
      </c>
      <c r="AP82" s="147">
        <f t="shared" si="162"/>
        <v>214</v>
      </c>
      <c r="AQ82" s="147">
        <f t="shared" si="162"/>
        <v>333</v>
      </c>
      <c r="AR82" s="147">
        <f t="shared" si="162"/>
        <v>349</v>
      </c>
      <c r="AS82" s="147">
        <f t="shared" si="162"/>
        <v>107</v>
      </c>
      <c r="AT82" s="141">
        <f t="shared" si="162"/>
        <v>1003</v>
      </c>
      <c r="AU82" s="144">
        <f t="shared" si="162"/>
        <v>289</v>
      </c>
      <c r="AV82" s="145">
        <f t="shared" si="162"/>
        <v>228</v>
      </c>
      <c r="AW82" s="145">
        <f t="shared" si="162"/>
        <v>371</v>
      </c>
      <c r="AX82" s="145">
        <f t="shared" si="162"/>
        <v>238</v>
      </c>
      <c r="AY82" s="379">
        <f t="shared" si="162"/>
        <v>1144</v>
      </c>
      <c r="AZ82" s="144">
        <f t="shared" si="162"/>
        <v>322</v>
      </c>
      <c r="BA82" s="145">
        <f t="shared" si="162"/>
        <v>207</v>
      </c>
      <c r="BB82" s="145">
        <f t="shared" ref="BB82:CG82" si="163">BB75+SUM(BB79:BB81)</f>
        <v>452</v>
      </c>
      <c r="BC82" s="145">
        <f t="shared" si="163"/>
        <v>127</v>
      </c>
      <c r="BD82" s="379">
        <f t="shared" si="163"/>
        <v>1108</v>
      </c>
      <c r="BE82" s="144">
        <f t="shared" si="163"/>
        <v>273</v>
      </c>
      <c r="BF82" s="145">
        <f t="shared" si="163"/>
        <v>145</v>
      </c>
      <c r="BG82" s="145">
        <f t="shared" si="163"/>
        <v>402</v>
      </c>
      <c r="BH82" s="145">
        <f t="shared" si="163"/>
        <v>124</v>
      </c>
      <c r="BI82" s="379">
        <f t="shared" si="163"/>
        <v>944</v>
      </c>
      <c r="BJ82" s="144">
        <f t="shared" si="163"/>
        <v>212</v>
      </c>
      <c r="BK82" s="145">
        <f t="shared" si="163"/>
        <v>89</v>
      </c>
      <c r="BL82" s="145">
        <f t="shared" si="163"/>
        <v>527</v>
      </c>
      <c r="BM82" s="145">
        <f t="shared" si="163"/>
        <v>120</v>
      </c>
      <c r="BN82" s="379">
        <f t="shared" si="163"/>
        <v>948</v>
      </c>
      <c r="BO82" s="144">
        <f t="shared" si="163"/>
        <v>297</v>
      </c>
      <c r="BP82" s="145">
        <f t="shared" si="163"/>
        <v>349</v>
      </c>
      <c r="BQ82" s="145">
        <f t="shared" si="163"/>
        <v>552</v>
      </c>
      <c r="BR82" s="145">
        <f t="shared" si="163"/>
        <v>374</v>
      </c>
      <c r="BS82" s="379">
        <f t="shared" si="163"/>
        <v>1572</v>
      </c>
      <c r="BT82" s="144">
        <f t="shared" si="163"/>
        <v>358</v>
      </c>
      <c r="BU82" s="145">
        <f t="shared" si="163"/>
        <v>315</v>
      </c>
      <c r="BV82" s="145">
        <f t="shared" si="163"/>
        <v>641</v>
      </c>
      <c r="BW82" s="145">
        <f t="shared" si="163"/>
        <v>251</v>
      </c>
      <c r="BX82" s="379">
        <f t="shared" si="163"/>
        <v>1565</v>
      </c>
      <c r="BY82" s="144">
        <f t="shared" si="163"/>
        <v>422</v>
      </c>
      <c r="BZ82" s="145">
        <f t="shared" si="163"/>
        <v>250</v>
      </c>
      <c r="CA82" s="145">
        <f t="shared" si="163"/>
        <v>682</v>
      </c>
      <c r="CB82" s="145">
        <f t="shared" si="163"/>
        <v>267</v>
      </c>
      <c r="CC82" s="379">
        <f t="shared" si="163"/>
        <v>1355</v>
      </c>
      <c r="CD82" s="144">
        <f t="shared" si="163"/>
        <v>250</v>
      </c>
      <c r="CE82" s="145">
        <f t="shared" si="163"/>
        <v>173</v>
      </c>
      <c r="CF82" s="145">
        <f t="shared" si="163"/>
        <v>666</v>
      </c>
      <c r="CG82" s="145">
        <f t="shared" si="163"/>
        <v>298</v>
      </c>
      <c r="CH82" s="379">
        <f t="shared" ref="CH82" si="164">CH75+SUM(CH79:CH81)</f>
        <v>1105</v>
      </c>
      <c r="CI82" s="144"/>
      <c r="CJ82" s="145"/>
      <c r="CK82" s="145"/>
      <c r="CL82" s="145"/>
      <c r="CM82" s="379">
        <f t="shared" ref="CM82:DQ82" si="165">CM75+SUM(CM79:CM81)</f>
        <v>852</v>
      </c>
      <c r="CN82" s="916">
        <f t="shared" si="165"/>
        <v>0</v>
      </c>
      <c r="CO82" s="145">
        <f t="shared" si="165"/>
        <v>0</v>
      </c>
      <c r="CP82" s="145">
        <f t="shared" si="165"/>
        <v>0</v>
      </c>
      <c r="CQ82" s="313">
        <f t="shared" si="165"/>
        <v>0</v>
      </c>
      <c r="CR82" s="1270">
        <f t="shared" si="165"/>
        <v>1061</v>
      </c>
      <c r="CS82" s="2362">
        <f t="shared" si="165"/>
        <v>177.84730062237662</v>
      </c>
      <c r="CT82" s="2363">
        <f t="shared" si="165"/>
        <v>153.15269937762338</v>
      </c>
      <c r="CU82" s="2363">
        <f t="shared" si="165"/>
        <v>193.96919959473149</v>
      </c>
      <c r="CV82" s="2363">
        <f t="shared" si="165"/>
        <v>603.03080040526856</v>
      </c>
      <c r="CW82" s="2048">
        <f t="shared" si="165"/>
        <v>1128</v>
      </c>
      <c r="CX82" s="70">
        <f t="shared" si="165"/>
        <v>407</v>
      </c>
      <c r="CY82" s="64">
        <f t="shared" si="165"/>
        <v>203</v>
      </c>
      <c r="CZ82" s="64">
        <f t="shared" si="165"/>
        <v>596</v>
      </c>
      <c r="DA82" s="64">
        <f t="shared" si="165"/>
        <v>1279</v>
      </c>
      <c r="DB82" s="2048">
        <f t="shared" si="165"/>
        <v>2485</v>
      </c>
      <c r="DC82" s="1172">
        <f t="shared" si="165"/>
        <v>560.86085961743493</v>
      </c>
      <c r="DD82" s="365">
        <f t="shared" si="165"/>
        <v>430.85645979730316</v>
      </c>
      <c r="DE82" s="365">
        <f t="shared" si="165"/>
        <v>358.8653351706642</v>
      </c>
      <c r="DF82" s="365">
        <f t="shared" si="165"/>
        <v>544.05003652345772</v>
      </c>
      <c r="DG82" s="1171">
        <f t="shared" si="165"/>
        <v>1894.6326911088599</v>
      </c>
      <c r="DH82" s="312">
        <f t="shared" si="165"/>
        <v>103.99506632354846</v>
      </c>
      <c r="DI82" s="313">
        <f t="shared" si="165"/>
        <v>370.44989691586534</v>
      </c>
      <c r="DJ82" s="313">
        <f t="shared" si="165"/>
        <v>397.12587313382926</v>
      </c>
      <c r="DK82" s="313">
        <f t="shared" si="165"/>
        <v>785.6937368596823</v>
      </c>
      <c r="DL82" s="314">
        <f t="shared" si="165"/>
        <v>1657.2645732329252</v>
      </c>
      <c r="DM82" s="312">
        <f t="shared" si="165"/>
        <v>-31.54569266743394</v>
      </c>
      <c r="DN82" s="313">
        <f t="shared" si="165"/>
        <v>326.55257969779325</v>
      </c>
      <c r="DO82" s="313">
        <f t="shared" si="165"/>
        <v>346.71176989878643</v>
      </c>
      <c r="DP82" s="313">
        <f t="shared" si="165"/>
        <v>799.44102133174499</v>
      </c>
      <c r="DQ82" s="314">
        <f t="shared" si="165"/>
        <v>1441.1596782608908</v>
      </c>
      <c r="DR82" s="312">
        <f t="shared" ref="DR82:EA82" si="166">DR75+SUM(DR79:DR81)</f>
        <v>-26.654502086971721</v>
      </c>
      <c r="DS82" s="313">
        <f t="shared" si="166"/>
        <v>363.39265104686643</v>
      </c>
      <c r="DT82" s="313">
        <f t="shared" si="166"/>
        <v>382.19203956535148</v>
      </c>
      <c r="DU82" s="313">
        <f t="shared" si="166"/>
        <v>902.81361707879444</v>
      </c>
      <c r="DV82" s="314">
        <f t="shared" si="166"/>
        <v>1621.7438056040407</v>
      </c>
      <c r="DW82" s="312">
        <f t="shared" si="166"/>
        <v>-49.796557500391259</v>
      </c>
      <c r="DX82" s="313">
        <f t="shared" si="166"/>
        <v>404.07711322328066</v>
      </c>
      <c r="DY82" s="313">
        <f t="shared" si="166"/>
        <v>422.84884400915297</v>
      </c>
      <c r="DZ82" s="313">
        <f t="shared" si="166"/>
        <v>1036.0569904042591</v>
      </c>
      <c r="EA82" s="314">
        <f t="shared" si="166"/>
        <v>1813.1863901363013</v>
      </c>
      <c r="EB82" s="1008"/>
      <c r="EC82" s="1008"/>
      <c r="ED82" s="1008"/>
      <c r="EE82" s="1008"/>
      <c r="EF82" s="935"/>
      <c r="EG82" s="1243"/>
    </row>
    <row r="83" spans="1:147" x14ac:dyDescent="0.2">
      <c r="A83" s="134" t="s">
        <v>658</v>
      </c>
      <c r="B83" s="110"/>
      <c r="C83" s="110"/>
      <c r="D83" s="110"/>
      <c r="E83" s="110"/>
      <c r="F83" s="110"/>
      <c r="G83" s="110"/>
      <c r="H83" s="110"/>
      <c r="I83" s="110"/>
      <c r="J83" s="110"/>
      <c r="K83" s="110"/>
      <c r="L83" s="1174"/>
      <c r="M83" s="1174"/>
      <c r="N83" s="1174"/>
      <c r="O83" s="1174"/>
      <c r="P83" s="1174"/>
      <c r="Q83" s="1174"/>
      <c r="R83" s="1174"/>
      <c r="S83" s="1174"/>
      <c r="T83" s="1174"/>
      <c r="U83" s="1174"/>
      <c r="V83" s="363"/>
      <c r="W83" s="363"/>
      <c r="X83" s="363"/>
      <c r="Y83" s="363"/>
      <c r="Z83" s="1175"/>
      <c r="AA83" s="1176"/>
      <c r="AB83" s="1176"/>
      <c r="AC83" s="1176"/>
      <c r="AD83" s="1176"/>
      <c r="AE83" s="1175"/>
      <c r="AF83" s="1176"/>
      <c r="AG83" s="1176"/>
      <c r="AH83" s="1176"/>
      <c r="AI83" s="1176"/>
      <c r="AJ83" s="1175"/>
      <c r="AK83" s="1176"/>
      <c r="AL83" s="1176"/>
      <c r="AM83" s="1176"/>
      <c r="AN83" s="1176"/>
      <c r="AO83" s="1175"/>
      <c r="AP83" s="363"/>
      <c r="AQ83" s="363"/>
      <c r="AR83" s="363"/>
      <c r="AS83" s="363"/>
      <c r="AT83" s="1175"/>
      <c r="AU83" s="363"/>
      <c r="AV83" s="363"/>
      <c r="AW83" s="363"/>
      <c r="AX83" s="363"/>
      <c r="AY83" s="1177"/>
      <c r="AZ83" s="363"/>
      <c r="BA83" s="363"/>
      <c r="BB83" s="363"/>
      <c r="BC83" s="363"/>
      <c r="BD83" s="1177"/>
      <c r="BE83" s="363"/>
      <c r="BF83" s="363"/>
      <c r="BG83" s="363"/>
      <c r="BH83" s="363"/>
      <c r="BI83" s="1177"/>
      <c r="BJ83" s="363"/>
      <c r="BK83" s="363"/>
      <c r="BL83" s="363"/>
      <c r="BM83" s="363"/>
      <c r="BN83" s="1177"/>
      <c r="BO83" s="363"/>
      <c r="BP83" s="363"/>
      <c r="BQ83" s="363"/>
      <c r="BR83" s="363"/>
      <c r="BS83" s="1177"/>
      <c r="BT83" s="363"/>
      <c r="BU83" s="363"/>
      <c r="BV83" s="363"/>
      <c r="BW83" s="363"/>
      <c r="BX83" s="1177"/>
      <c r="BY83" s="363"/>
      <c r="BZ83" s="363"/>
      <c r="CA83" s="363"/>
      <c r="CB83" s="363"/>
      <c r="CC83" s="1177"/>
      <c r="CD83" s="363"/>
      <c r="CE83" s="363"/>
      <c r="CF83" s="363"/>
      <c r="CG83" s="363"/>
      <c r="CH83" s="1177"/>
      <c r="CI83" s="363"/>
      <c r="CJ83" s="363"/>
      <c r="CK83" s="363"/>
      <c r="CL83" s="363"/>
      <c r="CM83" s="1177"/>
      <c r="CN83" s="1178"/>
      <c r="CO83" s="363"/>
      <c r="CP83" s="363"/>
      <c r="CQ83" s="1179"/>
      <c r="CR83" s="1267"/>
      <c r="CS83" s="1073"/>
      <c r="CT83" s="1073"/>
      <c r="CU83" s="1073"/>
      <c r="CV83" s="1073"/>
      <c r="CW83" s="2047">
        <f t="shared" ref="CW83:DQ83" si="167">CW82/CR82-1</f>
        <v>6.3147973609802177E-2</v>
      </c>
      <c r="CX83" s="2143">
        <f t="shared" si="167"/>
        <v>1.2884800532575054</v>
      </c>
      <c r="CY83" s="2143">
        <f t="shared" si="167"/>
        <v>0.32547451546687944</v>
      </c>
      <c r="CZ83" s="2143">
        <f t="shared" si="167"/>
        <v>2.0726527780969835</v>
      </c>
      <c r="DA83" s="2143">
        <f t="shared" si="167"/>
        <v>1.1209530245228674</v>
      </c>
      <c r="DB83" s="2047">
        <f t="shared" si="167"/>
        <v>1.2030141843971629</v>
      </c>
      <c r="DC83" s="1181">
        <f>DC82/CX82-1</f>
        <v>0.37803651011654771</v>
      </c>
      <c r="DD83" s="1181">
        <f>DD82/CY82-1</f>
        <v>1.1224456147650401</v>
      </c>
      <c r="DE83" s="1181">
        <f>DE82/CZ82-1</f>
        <v>-0.39787695441163728</v>
      </c>
      <c r="DF83" s="1181">
        <f>DF82/DA82-1</f>
        <v>-0.57462858755007207</v>
      </c>
      <c r="DG83" s="1180">
        <f>DG82/DB82-1</f>
        <v>-0.23757235770267204</v>
      </c>
      <c r="DH83" s="1181">
        <f t="shared" si="167"/>
        <v>-0.81457956186408897</v>
      </c>
      <c r="DI83" s="1181">
        <f t="shared" si="167"/>
        <v>-0.14020113081246632</v>
      </c>
      <c r="DJ83" s="1181">
        <f t="shared" si="167"/>
        <v>0.10661530722929724</v>
      </c>
      <c r="DK83" s="1181">
        <f t="shared" si="167"/>
        <v>0.44415712547389141</v>
      </c>
      <c r="DL83" s="1180">
        <f t="shared" si="167"/>
        <v>-0.12528450447934147</v>
      </c>
      <c r="DM83" s="1181">
        <f t="shared" si="167"/>
        <v>-1.303338358084116</v>
      </c>
      <c r="DN83" s="1181">
        <f t="shared" si="167"/>
        <v>-0.11849731254761775</v>
      </c>
      <c r="DO83" s="1181">
        <f t="shared" si="167"/>
        <v>-0.12694741553153233</v>
      </c>
      <c r="DP83" s="1181">
        <f t="shared" si="167"/>
        <v>1.7497001474148011E-2</v>
      </c>
      <c r="DQ83" s="1180">
        <f t="shared" si="167"/>
        <v>-0.13039854858567668</v>
      </c>
      <c r="DR83" s="1181">
        <f t="shared" ref="DR83" si="168">DR82/DM82-1</f>
        <v>-0.15505098055785027</v>
      </c>
      <c r="DS83" s="1181">
        <f t="shared" ref="DS83" si="169">DS82/DN82-1</f>
        <v>0.11281512883213685</v>
      </c>
      <c r="DT83" s="1181">
        <f t="shared" ref="DT83" si="170">DT82/DO82-1</f>
        <v>0.10233361756632209</v>
      </c>
      <c r="DU83" s="1181">
        <f t="shared" ref="DU83" si="171">DU82/DP82-1</f>
        <v>0.12930609386899694</v>
      </c>
      <c r="DV83" s="1180">
        <f t="shared" ref="DV83" si="172">DV82/DQ82-1</f>
        <v>0.12530473206207704</v>
      </c>
      <c r="DW83" s="1181">
        <f t="shared" ref="DW83" si="173">DW82/DR82-1</f>
        <v>0.86822313686103292</v>
      </c>
      <c r="DX83" s="1181">
        <f t="shared" ref="DX83" si="174">DX82/DS82-1</f>
        <v>0.11195730584867336</v>
      </c>
      <c r="DY83" s="1181">
        <f t="shared" ref="DY83" si="175">DY82/DT82-1</f>
        <v>0.10637794677785162</v>
      </c>
      <c r="DZ83" s="1181">
        <f t="shared" ref="DZ83" si="176">DZ82/DU82-1</f>
        <v>0.14758680064728757</v>
      </c>
      <c r="EA83" s="1180">
        <f t="shared" ref="EA83" si="177">EA82/DV82-1</f>
        <v>0.11804736597156618</v>
      </c>
      <c r="EB83" s="935"/>
      <c r="EC83" s="935"/>
      <c r="ED83" s="935"/>
      <c r="EE83" s="935"/>
      <c r="EF83" s="935"/>
      <c r="EG83" s="1243"/>
      <c r="EH83" s="845"/>
      <c r="EO83" s="845"/>
      <c r="EP83" s="845"/>
      <c r="EQ83" s="845"/>
    </row>
    <row r="84" spans="1:147" x14ac:dyDescent="0.2">
      <c r="A84" s="26" t="s">
        <v>204</v>
      </c>
      <c r="B84" s="55"/>
      <c r="C84" s="55"/>
      <c r="D84" s="55"/>
      <c r="E84" s="55"/>
      <c r="F84" s="55"/>
      <c r="G84" s="55"/>
      <c r="H84" s="55"/>
      <c r="I84" s="55"/>
      <c r="J84" s="55"/>
      <c r="K84" s="55"/>
      <c r="L84" s="303"/>
      <c r="M84" s="303"/>
      <c r="N84" s="303"/>
      <c r="O84" s="303"/>
      <c r="P84" s="303"/>
      <c r="Q84" s="303"/>
      <c r="R84" s="303"/>
      <c r="S84" s="303"/>
      <c r="T84" s="303"/>
      <c r="U84" s="303"/>
      <c r="V84" s="64"/>
      <c r="W84" s="64"/>
      <c r="X84" s="64"/>
      <c r="Y84" s="64"/>
      <c r="Z84" s="362"/>
      <c r="AA84" s="733"/>
      <c r="AB84" s="734"/>
      <c r="AC84" s="734"/>
      <c r="AD84" s="735"/>
      <c r="AE84" s="362"/>
      <c r="AF84" s="733"/>
      <c r="AG84" s="734"/>
      <c r="AH84" s="734"/>
      <c r="AI84" s="735"/>
      <c r="AJ84" s="362"/>
      <c r="AK84" s="733"/>
      <c r="AL84" s="734"/>
      <c r="AM84" s="734"/>
      <c r="AN84" s="735"/>
      <c r="AO84" s="362"/>
      <c r="AP84" s="64"/>
      <c r="AQ84" s="64"/>
      <c r="AR84" s="64"/>
      <c r="AS84" s="64"/>
      <c r="AT84" s="362"/>
      <c r="AU84" s="64"/>
      <c r="AV84" s="64"/>
      <c r="AW84" s="64"/>
      <c r="AX84" s="64"/>
      <c r="AY84" s="384"/>
      <c r="AZ84" s="64"/>
      <c r="BA84" s="64"/>
      <c r="BB84" s="64"/>
      <c r="BC84" s="64"/>
      <c r="BD84" s="384"/>
      <c r="BE84" s="64"/>
      <c r="BF84" s="64"/>
      <c r="BG84" s="64"/>
      <c r="BH84" s="64"/>
      <c r="BI84" s="384"/>
      <c r="BJ84" s="64"/>
      <c r="BK84" s="64"/>
      <c r="BL84" s="365"/>
      <c r="BM84" s="64"/>
      <c r="BN84" s="384"/>
      <c r="BO84" s="64"/>
      <c r="BP84" s="64"/>
      <c r="BQ84" s="64"/>
      <c r="BR84" s="64"/>
      <c r="BS84" s="384"/>
      <c r="BT84" s="64"/>
      <c r="BU84" s="64"/>
      <c r="BV84" s="64"/>
      <c r="BW84" s="64"/>
      <c r="BX84" s="384"/>
      <c r="BY84" s="64"/>
      <c r="BZ84" s="64"/>
      <c r="CA84" s="64"/>
      <c r="CB84" s="64"/>
      <c r="CC84" s="384"/>
      <c r="CD84" s="64"/>
      <c r="CE84" s="365"/>
      <c r="CF84" s="365"/>
      <c r="CG84" s="365"/>
      <c r="CH84" s="385"/>
      <c r="CI84" s="64"/>
      <c r="CJ84" s="64"/>
      <c r="CK84" s="64"/>
      <c r="CL84" s="64"/>
      <c r="CM84" s="384"/>
      <c r="CN84" s="917"/>
      <c r="CO84" s="64"/>
      <c r="CP84" s="64"/>
      <c r="CQ84" s="365"/>
      <c r="CR84" s="1271"/>
      <c r="CS84" s="1051"/>
      <c r="CT84" s="1051"/>
      <c r="CU84" s="1051"/>
      <c r="CV84" s="1051"/>
      <c r="CW84" s="129"/>
      <c r="CX84" s="64"/>
      <c r="CY84" s="365"/>
      <c r="CZ84" s="365"/>
      <c r="DA84" s="64"/>
      <c r="DB84" s="129"/>
      <c r="DC84" s="365"/>
      <c r="DD84" s="365"/>
      <c r="DE84" s="365"/>
      <c r="DF84" s="365"/>
      <c r="DG84" s="130"/>
      <c r="DH84" s="365"/>
      <c r="DI84" s="365"/>
      <c r="DJ84" s="365"/>
      <c r="DK84" s="365"/>
      <c r="DL84" s="130"/>
      <c r="DM84" s="365"/>
      <c r="DN84" s="365"/>
      <c r="DO84" s="365"/>
      <c r="DP84" s="365"/>
      <c r="DQ84" s="130"/>
      <c r="DR84" s="365"/>
      <c r="DS84" s="365"/>
      <c r="DT84" s="365"/>
      <c r="DU84" s="365"/>
      <c r="DV84" s="130"/>
      <c r="DW84" s="365"/>
      <c r="DX84" s="365"/>
      <c r="DY84" s="365"/>
      <c r="DZ84" s="365"/>
      <c r="EA84" s="130"/>
      <c r="EB84" s="935"/>
      <c r="EC84" s="935"/>
      <c r="ED84" s="935"/>
      <c r="EE84" s="935"/>
      <c r="EF84" s="935"/>
      <c r="EG84" s="1243"/>
    </row>
    <row r="85" spans="1:147" x14ac:dyDescent="0.2">
      <c r="A85" s="382" t="s">
        <v>205</v>
      </c>
      <c r="B85" s="55"/>
      <c r="C85" s="55"/>
      <c r="D85" s="55"/>
      <c r="E85" s="55"/>
      <c r="F85" s="55"/>
      <c r="G85" s="55"/>
      <c r="H85" s="55"/>
      <c r="I85" s="55"/>
      <c r="J85" s="55"/>
      <c r="K85" s="55"/>
      <c r="L85" s="303"/>
      <c r="M85" s="303"/>
      <c r="N85" s="303"/>
      <c r="O85" s="303"/>
      <c r="P85" s="303"/>
      <c r="Q85" s="303"/>
      <c r="R85" s="303"/>
      <c r="S85" s="303"/>
      <c r="T85" s="303"/>
      <c r="U85" s="303"/>
      <c r="V85" s="64"/>
      <c r="W85" s="64"/>
      <c r="X85" s="64"/>
      <c r="Y85" s="64"/>
      <c r="Z85" s="60">
        <f t="shared" ref="Z85:BE85" si="178">Z61</f>
        <v>0</v>
      </c>
      <c r="AA85" s="77">
        <f t="shared" si="178"/>
        <v>0</v>
      </c>
      <c r="AB85" s="62">
        <f t="shared" si="178"/>
        <v>0</v>
      </c>
      <c r="AC85" s="62">
        <f t="shared" si="178"/>
        <v>0</v>
      </c>
      <c r="AD85" s="76">
        <f t="shared" si="178"/>
        <v>0</v>
      </c>
      <c r="AE85" s="60">
        <f t="shared" si="178"/>
        <v>0</v>
      </c>
      <c r="AF85" s="77">
        <f t="shared" si="178"/>
        <v>0</v>
      </c>
      <c r="AG85" s="62">
        <f t="shared" si="178"/>
        <v>0</v>
      </c>
      <c r="AH85" s="62">
        <f t="shared" si="178"/>
        <v>0</v>
      </c>
      <c r="AI85" s="76">
        <f t="shared" si="178"/>
        <v>0</v>
      </c>
      <c r="AJ85" s="60">
        <f t="shared" si="178"/>
        <v>0</v>
      </c>
      <c r="AK85" s="77">
        <f t="shared" si="178"/>
        <v>0</v>
      </c>
      <c r="AL85" s="62">
        <f t="shared" si="178"/>
        <v>0</v>
      </c>
      <c r="AM85" s="62">
        <f t="shared" si="178"/>
        <v>-29</v>
      </c>
      <c r="AN85" s="76">
        <f t="shared" si="178"/>
        <v>-29</v>
      </c>
      <c r="AO85" s="60">
        <f t="shared" si="178"/>
        <v>-58</v>
      </c>
      <c r="AP85" s="62">
        <f t="shared" si="178"/>
        <v>-29</v>
      </c>
      <c r="AQ85" s="62">
        <f t="shared" si="178"/>
        <v>-29</v>
      </c>
      <c r="AR85" s="62">
        <f t="shared" si="178"/>
        <v>-33</v>
      </c>
      <c r="AS85" s="62">
        <f t="shared" si="178"/>
        <v>-32</v>
      </c>
      <c r="AT85" s="60">
        <f t="shared" si="178"/>
        <v>-123</v>
      </c>
      <c r="AU85" s="62">
        <f t="shared" si="178"/>
        <v>-32</v>
      </c>
      <c r="AV85" s="62">
        <f t="shared" si="178"/>
        <v>-31</v>
      </c>
      <c r="AW85" s="62">
        <f t="shared" si="178"/>
        <v>-41</v>
      </c>
      <c r="AX85" s="62">
        <f t="shared" si="178"/>
        <v>-40</v>
      </c>
      <c r="AY85" s="60">
        <f t="shared" si="178"/>
        <v>-144</v>
      </c>
      <c r="AZ85" s="62">
        <f t="shared" si="178"/>
        <v>-40</v>
      </c>
      <c r="BA85" s="62">
        <f t="shared" si="178"/>
        <v>-79</v>
      </c>
      <c r="BB85" s="62">
        <f t="shared" si="178"/>
        <v>-77</v>
      </c>
      <c r="BC85" s="62">
        <f t="shared" si="178"/>
        <v>-77</v>
      </c>
      <c r="BD85" s="60">
        <f t="shared" si="178"/>
        <v>-273</v>
      </c>
      <c r="BE85" s="62">
        <f t="shared" si="178"/>
        <v>-75</v>
      </c>
      <c r="BF85" s="62">
        <f t="shared" ref="BF85:CH85" si="179">BF61</f>
        <v>-71</v>
      </c>
      <c r="BG85" s="62">
        <f t="shared" si="179"/>
        <v>-88</v>
      </c>
      <c r="BH85" s="62">
        <f t="shared" si="179"/>
        <v>-88</v>
      </c>
      <c r="BI85" s="60">
        <f t="shared" si="179"/>
        <v>-322</v>
      </c>
      <c r="BJ85" s="62">
        <f t="shared" si="179"/>
        <v>-87</v>
      </c>
      <c r="BK85" s="62">
        <f t="shared" si="179"/>
        <v>-88</v>
      </c>
      <c r="BL85" s="62">
        <f t="shared" si="179"/>
        <v>-88</v>
      </c>
      <c r="BM85" s="62">
        <f t="shared" si="179"/>
        <v>-99</v>
      </c>
      <c r="BN85" s="60">
        <f t="shared" si="179"/>
        <v>-362</v>
      </c>
      <c r="BO85" s="62">
        <f t="shared" si="179"/>
        <v>-99</v>
      </c>
      <c r="BP85" s="62">
        <f t="shared" si="179"/>
        <v>-98</v>
      </c>
      <c r="BQ85" s="62">
        <f t="shared" si="179"/>
        <v>-98</v>
      </c>
      <c r="BR85" s="62">
        <f t="shared" si="179"/>
        <v>-117</v>
      </c>
      <c r="BS85" s="60">
        <f t="shared" si="179"/>
        <v>-412</v>
      </c>
      <c r="BT85" s="62">
        <f t="shared" si="179"/>
        <v>-118</v>
      </c>
      <c r="BU85" s="62">
        <f t="shared" si="179"/>
        <v>-116</v>
      </c>
      <c r="BV85" s="62">
        <f t="shared" si="179"/>
        <v>-116</v>
      </c>
      <c r="BW85" s="62">
        <f t="shared" si="179"/>
        <v>-131</v>
      </c>
      <c r="BX85" s="60">
        <f t="shared" si="179"/>
        <v>-481</v>
      </c>
      <c r="BY85" s="62">
        <f t="shared" si="179"/>
        <v>-131</v>
      </c>
      <c r="BZ85" s="62">
        <f t="shared" si="179"/>
        <v>-131</v>
      </c>
      <c r="CA85" s="62">
        <f t="shared" si="179"/>
        <v>-131</v>
      </c>
      <c r="CB85" s="62">
        <f t="shared" si="179"/>
        <v>-151</v>
      </c>
      <c r="CC85" s="60">
        <f t="shared" si="179"/>
        <v>-544</v>
      </c>
      <c r="CD85" s="62">
        <f t="shared" si="179"/>
        <v>-151</v>
      </c>
      <c r="CE85" s="62">
        <f t="shared" si="179"/>
        <v>-150</v>
      </c>
      <c r="CF85" s="62">
        <f t="shared" si="179"/>
        <v>-150</v>
      </c>
      <c r="CG85" s="62">
        <f t="shared" si="179"/>
        <v>-164</v>
      </c>
      <c r="CH85" s="60">
        <f t="shared" si="179"/>
        <v>-615</v>
      </c>
      <c r="CI85" s="62"/>
      <c r="CJ85" s="62"/>
      <c r="CK85" s="62"/>
      <c r="CL85" s="62"/>
      <c r="CM85" s="60">
        <f t="shared" ref="CM85:DQ85" si="180">CM61</f>
        <v>-669</v>
      </c>
      <c r="CN85" s="861">
        <f t="shared" si="180"/>
        <v>0</v>
      </c>
      <c r="CO85" s="62">
        <f t="shared" si="180"/>
        <v>0</v>
      </c>
      <c r="CP85" s="62">
        <f t="shared" si="180"/>
        <v>0</v>
      </c>
      <c r="CQ85" s="62">
        <f t="shared" si="180"/>
        <v>0</v>
      </c>
      <c r="CR85" s="1047">
        <f t="shared" si="180"/>
        <v>-730</v>
      </c>
      <c r="CS85" s="1046">
        <f t="shared" si="180"/>
        <v>-137.15</v>
      </c>
      <c r="CT85" s="1046">
        <f t="shared" si="180"/>
        <v>-135.52500000000001</v>
      </c>
      <c r="CU85" s="1046">
        <f t="shared" si="180"/>
        <v>-129.35</v>
      </c>
      <c r="CV85" s="1046">
        <f t="shared" si="180"/>
        <v>-341.97500000000002</v>
      </c>
      <c r="CW85" s="60">
        <f t="shared" si="180"/>
        <v>-744</v>
      </c>
      <c r="CX85" s="62">
        <f t="shared" si="180"/>
        <v>-106</v>
      </c>
      <c r="CY85" s="62">
        <f t="shared" si="180"/>
        <v>-105</v>
      </c>
      <c r="CZ85" s="62">
        <f t="shared" si="180"/>
        <v>-104</v>
      </c>
      <c r="DA85" s="62">
        <f t="shared" si="180"/>
        <v>-101</v>
      </c>
      <c r="DB85" s="60">
        <f t="shared" si="180"/>
        <v>-416</v>
      </c>
      <c r="DC85" s="62">
        <f t="shared" si="180"/>
        <v>-122.82266624086863</v>
      </c>
      <c r="DD85" s="62">
        <f t="shared" si="180"/>
        <v>-120.48627028569037</v>
      </c>
      <c r="DE85" s="62">
        <f t="shared" si="180"/>
        <v>-118.22881081722376</v>
      </c>
      <c r="DF85" s="62">
        <f t="shared" si="180"/>
        <v>-116.46625956227325</v>
      </c>
      <c r="DG85" s="60">
        <f t="shared" si="180"/>
        <v>-478.00400690605602</v>
      </c>
      <c r="DH85" s="62">
        <f t="shared" si="180"/>
        <v>-126.60416386645656</v>
      </c>
      <c r="DI85" s="62">
        <f t="shared" si="180"/>
        <v>-125.05116974522379</v>
      </c>
      <c r="DJ85" s="62">
        <f t="shared" si="180"/>
        <v>-123.55192060676028</v>
      </c>
      <c r="DK85" s="62">
        <f t="shared" si="180"/>
        <v>-122.57406347436479</v>
      </c>
      <c r="DL85" s="60">
        <f t="shared" si="180"/>
        <v>-497.78131769280543</v>
      </c>
      <c r="DM85" s="62">
        <f t="shared" si="180"/>
        <v>-134.18054082957195</v>
      </c>
      <c r="DN85" s="62">
        <f t="shared" si="180"/>
        <v>-133.43042703699319</v>
      </c>
      <c r="DO85" s="62">
        <f t="shared" si="180"/>
        <v>-132.72064488740622</v>
      </c>
      <c r="DP85" s="62">
        <f t="shared" si="180"/>
        <v>-132.56943177454013</v>
      </c>
      <c r="DQ85" s="60">
        <f t="shared" si="180"/>
        <v>-532.90104452851153</v>
      </c>
      <c r="DR85" s="62">
        <f t="shared" ref="DR85:EA85" si="181">DR61</f>
        <v>-145.65125501842283</v>
      </c>
      <c r="DS85" s="62">
        <f t="shared" si="181"/>
        <v>-144.89659080903917</v>
      </c>
      <c r="DT85" s="62">
        <f t="shared" si="181"/>
        <v>-144.18490981944737</v>
      </c>
      <c r="DU85" s="62">
        <f t="shared" si="181"/>
        <v>-144.08627120795222</v>
      </c>
      <c r="DV85" s="60">
        <f t="shared" si="181"/>
        <v>-578.81902685486159</v>
      </c>
      <c r="DW85" s="62">
        <f t="shared" si="181"/>
        <v>-158.37523971875609</v>
      </c>
      <c r="DX85" s="62">
        <f t="shared" si="181"/>
        <v>-157.61665155601949</v>
      </c>
      <c r="DY85" s="62">
        <f t="shared" si="181"/>
        <v>-156.90394214157186</v>
      </c>
      <c r="DZ85" s="62">
        <f t="shared" si="181"/>
        <v>-156.86422171799484</v>
      </c>
      <c r="EA85" s="60">
        <f t="shared" si="181"/>
        <v>-629.76005513434234</v>
      </c>
      <c r="EB85" s="935"/>
      <c r="EC85" s="935"/>
      <c r="ED85" s="935"/>
      <c r="EE85" s="935"/>
      <c r="EF85" s="935"/>
      <c r="EG85" s="1243"/>
    </row>
    <row r="86" spans="1:147" x14ac:dyDescent="0.2">
      <c r="A86" s="382" t="s">
        <v>206</v>
      </c>
      <c r="B86" s="55"/>
      <c r="C86" s="55"/>
      <c r="D86" s="55"/>
      <c r="E86" s="55"/>
      <c r="F86" s="55"/>
      <c r="G86" s="55"/>
      <c r="H86" s="55"/>
      <c r="I86" s="55"/>
      <c r="J86" s="55"/>
      <c r="K86" s="55"/>
      <c r="L86" s="303"/>
      <c r="M86" s="303"/>
      <c r="N86" s="303"/>
      <c r="O86" s="303"/>
      <c r="P86" s="303"/>
      <c r="Q86" s="303"/>
      <c r="R86" s="303"/>
      <c r="S86" s="303"/>
      <c r="T86" s="303"/>
      <c r="U86" s="303"/>
      <c r="V86" s="64"/>
      <c r="W86" s="64"/>
      <c r="X86" s="64"/>
      <c r="Y86" s="64"/>
      <c r="Z86" s="60">
        <f t="shared" ref="Z86:BE86" si="182">Z59</f>
        <v>-100</v>
      </c>
      <c r="AA86" s="77">
        <f t="shared" si="182"/>
        <v>-8</v>
      </c>
      <c r="AB86" s="62">
        <f t="shared" si="182"/>
        <v>-60</v>
      </c>
      <c r="AC86" s="62">
        <f t="shared" si="182"/>
        <v>-93</v>
      </c>
      <c r="AD86" s="76">
        <f t="shared" si="182"/>
        <v>-67</v>
      </c>
      <c r="AE86" s="60">
        <f t="shared" si="182"/>
        <v>-228</v>
      </c>
      <c r="AF86" s="77">
        <f t="shared" si="182"/>
        <v>-48</v>
      </c>
      <c r="AG86" s="62">
        <f t="shared" si="182"/>
        <v>-34</v>
      </c>
      <c r="AH86" s="62">
        <f t="shared" si="182"/>
        <v>-39</v>
      </c>
      <c r="AI86" s="76">
        <f t="shared" si="182"/>
        <v>-157</v>
      </c>
      <c r="AJ86" s="60">
        <f t="shared" si="182"/>
        <v>-278</v>
      </c>
      <c r="AK86" s="77">
        <f t="shared" si="182"/>
        <v>-216</v>
      </c>
      <c r="AL86" s="62">
        <f t="shared" si="182"/>
        <v>-78</v>
      </c>
      <c r="AM86" s="62">
        <f t="shared" si="182"/>
        <v>0</v>
      </c>
      <c r="AN86" s="76">
        <f t="shared" si="182"/>
        <v>-275</v>
      </c>
      <c r="AO86" s="60">
        <f t="shared" si="182"/>
        <v>-569</v>
      </c>
      <c r="AP86" s="62">
        <f t="shared" si="182"/>
        <v>-116</v>
      </c>
      <c r="AQ86" s="62">
        <f t="shared" si="182"/>
        <v>-373</v>
      </c>
      <c r="AR86" s="62">
        <f t="shared" si="182"/>
        <v>-189</v>
      </c>
      <c r="AS86" s="62">
        <f t="shared" si="182"/>
        <v>-378</v>
      </c>
      <c r="AT86" s="60">
        <f t="shared" si="182"/>
        <v>-1056</v>
      </c>
      <c r="AU86" s="62">
        <f t="shared" si="182"/>
        <v>-371</v>
      </c>
      <c r="AV86" s="62">
        <f t="shared" si="182"/>
        <v>-158</v>
      </c>
      <c r="AW86" s="62">
        <f t="shared" si="182"/>
        <v>-324</v>
      </c>
      <c r="AX86" s="62">
        <f t="shared" si="182"/>
        <v>-130</v>
      </c>
      <c r="AY86" s="60">
        <f t="shared" si="182"/>
        <v>-983</v>
      </c>
      <c r="AZ86" s="62">
        <f t="shared" si="182"/>
        <v>-246</v>
      </c>
      <c r="BA86" s="62">
        <f t="shared" si="182"/>
        <v>-231</v>
      </c>
      <c r="BB86" s="62">
        <f t="shared" si="182"/>
        <v>-297</v>
      </c>
      <c r="BC86" s="62">
        <f t="shared" si="182"/>
        <v>-636</v>
      </c>
      <c r="BD86" s="60">
        <f t="shared" si="182"/>
        <v>-1410</v>
      </c>
      <c r="BE86" s="62">
        <f t="shared" si="182"/>
        <v>-994</v>
      </c>
      <c r="BF86" s="62">
        <f t="shared" ref="BF86:CH86" si="183">BF59</f>
        <v>0</v>
      </c>
      <c r="BG86" s="62">
        <f t="shared" si="183"/>
        <v>-519</v>
      </c>
      <c r="BH86" s="62">
        <f t="shared" si="183"/>
        <v>-115</v>
      </c>
      <c r="BI86" s="60">
        <f t="shared" si="183"/>
        <v>-1628</v>
      </c>
      <c r="BJ86" s="62">
        <f t="shared" si="183"/>
        <v>0</v>
      </c>
      <c r="BK86" s="62">
        <f t="shared" si="183"/>
        <v>0</v>
      </c>
      <c r="BL86" s="62">
        <f t="shared" si="183"/>
        <v>0</v>
      </c>
      <c r="BM86" s="62">
        <f t="shared" si="183"/>
        <v>0</v>
      </c>
      <c r="BN86" s="60">
        <f t="shared" si="183"/>
        <v>0</v>
      </c>
      <c r="BO86" s="62">
        <f t="shared" si="183"/>
        <v>-132</v>
      </c>
      <c r="BP86" s="62">
        <f t="shared" si="183"/>
        <v>-115</v>
      </c>
      <c r="BQ86" s="62">
        <f t="shared" si="183"/>
        <v>-36</v>
      </c>
      <c r="BR86" s="62">
        <f t="shared" si="183"/>
        <v>-88</v>
      </c>
      <c r="BS86" s="60">
        <f t="shared" si="183"/>
        <v>-371</v>
      </c>
      <c r="BT86" s="62">
        <f t="shared" si="183"/>
        <v>-152</v>
      </c>
      <c r="BU86" s="62">
        <f t="shared" si="183"/>
        <v>-167</v>
      </c>
      <c r="BV86" s="62">
        <f t="shared" si="183"/>
        <v>-243</v>
      </c>
      <c r="BW86" s="62">
        <f t="shared" si="183"/>
        <v>-190</v>
      </c>
      <c r="BX86" s="60">
        <f t="shared" si="183"/>
        <v>-752</v>
      </c>
      <c r="BY86" s="62">
        <f t="shared" si="183"/>
        <v>-78</v>
      </c>
      <c r="BZ86" s="62">
        <f t="shared" si="183"/>
        <v>-211</v>
      </c>
      <c r="CA86" s="62">
        <f t="shared" si="183"/>
        <v>-399</v>
      </c>
      <c r="CB86" s="62">
        <f t="shared" si="183"/>
        <v>-277</v>
      </c>
      <c r="CC86" s="60">
        <f t="shared" si="183"/>
        <v>-965</v>
      </c>
      <c r="CD86" s="62">
        <f t="shared" si="183"/>
        <v>-98</v>
      </c>
      <c r="CE86" s="62">
        <f t="shared" si="183"/>
        <v>-231</v>
      </c>
      <c r="CF86" s="62">
        <f t="shared" si="183"/>
        <v>-181</v>
      </c>
      <c r="CG86" s="62">
        <f t="shared" si="183"/>
        <v>-260</v>
      </c>
      <c r="CH86" s="60">
        <f t="shared" si="183"/>
        <v>-770</v>
      </c>
      <c r="CI86" s="62"/>
      <c r="CJ86" s="62"/>
      <c r="CK86" s="62"/>
      <c r="CL86" s="62"/>
      <c r="CM86" s="60">
        <f t="shared" ref="CM86:DQ86" si="184">CM59</f>
        <v>-820</v>
      </c>
      <c r="CN86" s="861">
        <f t="shared" si="184"/>
        <v>0</v>
      </c>
      <c r="CO86" s="62">
        <f t="shared" si="184"/>
        <v>0</v>
      </c>
      <c r="CP86" s="62">
        <f t="shared" si="184"/>
        <v>0</v>
      </c>
      <c r="CQ86" s="62">
        <f t="shared" si="184"/>
        <v>-830</v>
      </c>
      <c r="CR86" s="1047">
        <f t="shared" si="184"/>
        <v>-1200</v>
      </c>
      <c r="CS86" s="1046">
        <f t="shared" si="184"/>
        <v>-925</v>
      </c>
      <c r="CT86" s="1046">
        <f t="shared" si="184"/>
        <v>-634</v>
      </c>
      <c r="CU86" s="1046">
        <f t="shared" si="184"/>
        <v>-2093</v>
      </c>
      <c r="CV86" s="1046">
        <f t="shared" si="184"/>
        <v>-1750</v>
      </c>
      <c r="CW86" s="60">
        <f t="shared" si="184"/>
        <v>-5402</v>
      </c>
      <c r="CX86" s="62">
        <f t="shared" si="184"/>
        <v>-461</v>
      </c>
      <c r="CY86" s="62">
        <f t="shared" si="184"/>
        <v>-395</v>
      </c>
      <c r="CZ86" s="62">
        <f t="shared" si="184"/>
        <v>-492</v>
      </c>
      <c r="DA86" s="62">
        <f t="shared" si="184"/>
        <v>-612</v>
      </c>
      <c r="DB86" s="60">
        <f t="shared" si="184"/>
        <v>-1960</v>
      </c>
      <c r="DC86" s="62">
        <f t="shared" si="184"/>
        <v>-550</v>
      </c>
      <c r="DD86" s="62">
        <f t="shared" si="184"/>
        <v>-550</v>
      </c>
      <c r="DE86" s="62">
        <f t="shared" si="184"/>
        <v>-550</v>
      </c>
      <c r="DF86" s="62">
        <f t="shared" si="184"/>
        <v>-550</v>
      </c>
      <c r="DG86" s="60">
        <f t="shared" si="184"/>
        <v>-2200</v>
      </c>
      <c r="DH86" s="62">
        <f t="shared" si="184"/>
        <v>-375</v>
      </c>
      <c r="DI86" s="62">
        <f t="shared" si="184"/>
        <v>-375</v>
      </c>
      <c r="DJ86" s="62">
        <f t="shared" si="184"/>
        <v>-375</v>
      </c>
      <c r="DK86" s="62">
        <f t="shared" si="184"/>
        <v>-375</v>
      </c>
      <c r="DL86" s="60">
        <f t="shared" si="184"/>
        <v>-1500</v>
      </c>
      <c r="DM86" s="62">
        <f t="shared" si="184"/>
        <v>-200</v>
      </c>
      <c r="DN86" s="62">
        <f t="shared" si="184"/>
        <v>-200</v>
      </c>
      <c r="DO86" s="62">
        <f t="shared" si="184"/>
        <v>-200</v>
      </c>
      <c r="DP86" s="62">
        <f t="shared" si="184"/>
        <v>-200</v>
      </c>
      <c r="DQ86" s="60">
        <f t="shared" si="184"/>
        <v>-800</v>
      </c>
      <c r="DR86" s="62">
        <f t="shared" ref="DR86:EA86" si="185">DR59</f>
        <v>-200</v>
      </c>
      <c r="DS86" s="62">
        <f t="shared" si="185"/>
        <v>-200</v>
      </c>
      <c r="DT86" s="62">
        <f t="shared" si="185"/>
        <v>-200</v>
      </c>
      <c r="DU86" s="62">
        <f t="shared" si="185"/>
        <v>-200</v>
      </c>
      <c r="DV86" s="60">
        <f t="shared" si="185"/>
        <v>-800</v>
      </c>
      <c r="DW86" s="62">
        <f t="shared" si="185"/>
        <v>-200</v>
      </c>
      <c r="DX86" s="62">
        <f t="shared" si="185"/>
        <v>-200</v>
      </c>
      <c r="DY86" s="62">
        <f t="shared" si="185"/>
        <v>-200</v>
      </c>
      <c r="DZ86" s="62">
        <f t="shared" si="185"/>
        <v>-200</v>
      </c>
      <c r="EA86" s="60">
        <f t="shared" si="185"/>
        <v>-800</v>
      </c>
      <c r="EB86" s="935"/>
      <c r="EC86" s="935"/>
      <c r="ED86" s="935"/>
      <c r="EE86" s="935"/>
      <c r="EF86" s="935"/>
      <c r="EG86" s="1243"/>
    </row>
    <row r="87" spans="1:147" x14ac:dyDescent="0.2">
      <c r="A87" s="383" t="s">
        <v>207</v>
      </c>
      <c r="B87" s="55"/>
      <c r="C87" s="55"/>
      <c r="D87" s="55"/>
      <c r="E87" s="55"/>
      <c r="F87" s="55"/>
      <c r="G87" s="55"/>
      <c r="H87" s="55"/>
      <c r="I87" s="55"/>
      <c r="J87" s="55"/>
      <c r="K87" s="55"/>
      <c r="L87" s="303"/>
      <c r="M87" s="303"/>
      <c r="N87" s="303"/>
      <c r="O87" s="303"/>
      <c r="P87" s="303"/>
      <c r="Q87" s="303"/>
      <c r="R87" s="303"/>
      <c r="S87" s="303"/>
      <c r="T87" s="303"/>
      <c r="U87" s="303"/>
      <c r="V87" s="64"/>
      <c r="W87" s="64"/>
      <c r="X87" s="64"/>
      <c r="Y87" s="64"/>
      <c r="Z87" s="369">
        <f t="shared" ref="Z87:BE87" si="186">Z57</f>
        <v>-258</v>
      </c>
      <c r="AA87" s="325">
        <f t="shared" si="186"/>
        <v>-22</v>
      </c>
      <c r="AB87" s="333">
        <f t="shared" si="186"/>
        <v>-52</v>
      </c>
      <c r="AC87" s="333">
        <f t="shared" si="186"/>
        <v>-424</v>
      </c>
      <c r="AD87" s="736">
        <f t="shared" si="186"/>
        <v>-13</v>
      </c>
      <c r="AE87" s="369">
        <f t="shared" si="186"/>
        <v>-511</v>
      </c>
      <c r="AF87" s="325">
        <f t="shared" si="186"/>
        <v>-2</v>
      </c>
      <c r="AG87" s="333">
        <f t="shared" si="186"/>
        <v>-4</v>
      </c>
      <c r="AH87" s="333">
        <f t="shared" si="186"/>
        <v>-9</v>
      </c>
      <c r="AI87" s="736">
        <f t="shared" si="186"/>
        <v>-2</v>
      </c>
      <c r="AJ87" s="369">
        <f t="shared" si="186"/>
        <v>-17</v>
      </c>
      <c r="AK87" s="325">
        <f t="shared" si="186"/>
        <v>-3</v>
      </c>
      <c r="AL87" s="333">
        <f t="shared" si="186"/>
        <v>-4</v>
      </c>
      <c r="AM87" s="333">
        <f t="shared" si="186"/>
        <v>-2</v>
      </c>
      <c r="AN87" s="736">
        <f t="shared" si="186"/>
        <v>-362</v>
      </c>
      <c r="AO87" s="369">
        <f t="shared" si="186"/>
        <v>-371</v>
      </c>
      <c r="AP87" s="333">
        <f t="shared" si="186"/>
        <v>-3</v>
      </c>
      <c r="AQ87" s="333">
        <f t="shared" si="186"/>
        <v>-6</v>
      </c>
      <c r="AR87" s="333">
        <f t="shared" si="186"/>
        <v>-2</v>
      </c>
      <c r="AS87" s="333">
        <f t="shared" si="186"/>
        <v>-3</v>
      </c>
      <c r="AT87" s="369">
        <f t="shared" si="186"/>
        <v>-14</v>
      </c>
      <c r="AU87" s="333">
        <f t="shared" si="186"/>
        <v>-4</v>
      </c>
      <c r="AV87" s="333">
        <f t="shared" si="186"/>
        <v>-199</v>
      </c>
      <c r="AW87" s="333">
        <f t="shared" si="186"/>
        <v>-4</v>
      </c>
      <c r="AX87" s="333">
        <f t="shared" si="186"/>
        <v>-4</v>
      </c>
      <c r="AY87" s="369">
        <f t="shared" si="186"/>
        <v>-211</v>
      </c>
      <c r="AZ87" s="333">
        <f t="shared" si="186"/>
        <v>-2</v>
      </c>
      <c r="BA87" s="333">
        <f t="shared" si="186"/>
        <v>-5</v>
      </c>
      <c r="BB87" s="333">
        <f t="shared" si="186"/>
        <v>-4</v>
      </c>
      <c r="BC87" s="333">
        <f t="shared" si="186"/>
        <v>-13</v>
      </c>
      <c r="BD87" s="369">
        <f t="shared" si="186"/>
        <v>-24</v>
      </c>
      <c r="BE87" s="333">
        <f t="shared" si="186"/>
        <v>-4</v>
      </c>
      <c r="BF87" s="333">
        <f t="shared" ref="BF87:CH87" si="187">BF57</f>
        <v>-253</v>
      </c>
      <c r="BG87" s="333">
        <f t="shared" si="187"/>
        <v>-3</v>
      </c>
      <c r="BH87" s="333">
        <f t="shared" si="187"/>
        <v>-8</v>
      </c>
      <c r="BI87" s="369">
        <f t="shared" si="187"/>
        <v>-268</v>
      </c>
      <c r="BJ87" s="333">
        <f t="shared" si="187"/>
        <v>-2</v>
      </c>
      <c r="BK87" s="333">
        <f t="shared" si="187"/>
        <v>-142</v>
      </c>
      <c r="BL87" s="333">
        <f t="shared" si="187"/>
        <v>-378</v>
      </c>
      <c r="BM87" s="333">
        <f t="shared" si="187"/>
        <v>-6</v>
      </c>
      <c r="BN87" s="369">
        <f t="shared" si="187"/>
        <v>-528</v>
      </c>
      <c r="BO87" s="333">
        <f t="shared" si="187"/>
        <v>-3</v>
      </c>
      <c r="BP87" s="333">
        <f t="shared" si="187"/>
        <v>-5</v>
      </c>
      <c r="BQ87" s="333">
        <f t="shared" si="187"/>
        <v>-12</v>
      </c>
      <c r="BR87" s="333">
        <f t="shared" si="187"/>
        <v>-9</v>
      </c>
      <c r="BS87" s="369">
        <f t="shared" si="187"/>
        <v>-29</v>
      </c>
      <c r="BT87" s="333">
        <f t="shared" si="187"/>
        <v>-4</v>
      </c>
      <c r="BU87" s="333">
        <f t="shared" si="187"/>
        <v>-654</v>
      </c>
      <c r="BV87" s="333">
        <f t="shared" si="187"/>
        <v>-4</v>
      </c>
      <c r="BW87" s="333">
        <f t="shared" si="187"/>
        <v>-4</v>
      </c>
      <c r="BX87" s="369">
        <f t="shared" si="187"/>
        <v>-666</v>
      </c>
      <c r="BY87" s="333">
        <f t="shared" si="187"/>
        <v>-3</v>
      </c>
      <c r="BZ87" s="333">
        <f t="shared" si="187"/>
        <v>-12</v>
      </c>
      <c r="CA87" s="333">
        <f t="shared" si="187"/>
        <v>-265</v>
      </c>
      <c r="CB87" s="333">
        <f t="shared" si="187"/>
        <v>-2</v>
      </c>
      <c r="CC87" s="369">
        <f t="shared" si="187"/>
        <v>-282</v>
      </c>
      <c r="CD87" s="333">
        <f t="shared" si="187"/>
        <v>-1</v>
      </c>
      <c r="CE87" s="333">
        <f t="shared" si="187"/>
        <v>-3</v>
      </c>
      <c r="CF87" s="333">
        <f t="shared" si="187"/>
        <v>-1</v>
      </c>
      <c r="CG87" s="333">
        <f t="shared" si="187"/>
        <v>-661</v>
      </c>
      <c r="CH87" s="369">
        <f t="shared" si="187"/>
        <v>-666</v>
      </c>
      <c r="CI87" s="333"/>
      <c r="CJ87" s="333"/>
      <c r="CK87" s="333"/>
      <c r="CL87" s="333"/>
      <c r="CM87" s="369">
        <f t="shared" ref="CM87:DQ87" si="188">CM57</f>
        <v>-66</v>
      </c>
      <c r="CN87" s="918">
        <f t="shared" si="188"/>
        <v>0</v>
      </c>
      <c r="CO87" s="333">
        <f t="shared" si="188"/>
        <v>0</v>
      </c>
      <c r="CP87" s="333">
        <f t="shared" si="188"/>
        <v>0</v>
      </c>
      <c r="CQ87" s="333">
        <f t="shared" si="188"/>
        <v>0</v>
      </c>
      <c r="CR87" s="1272">
        <f t="shared" si="188"/>
        <v>-263</v>
      </c>
      <c r="CS87" s="1273">
        <f t="shared" si="188"/>
        <v>-2</v>
      </c>
      <c r="CT87" s="1273">
        <f t="shared" si="188"/>
        <v>-302</v>
      </c>
      <c r="CU87" s="1273">
        <f t="shared" si="188"/>
        <v>0</v>
      </c>
      <c r="CV87" s="1273">
        <f t="shared" si="188"/>
        <v>-20</v>
      </c>
      <c r="CW87" s="1173">
        <f t="shared" si="188"/>
        <v>-324</v>
      </c>
      <c r="CX87" s="333">
        <f t="shared" si="188"/>
        <v>-200</v>
      </c>
      <c r="CY87" s="333">
        <f t="shared" si="188"/>
        <v>-160</v>
      </c>
      <c r="CZ87" s="333">
        <f t="shared" si="188"/>
        <v>-12</v>
      </c>
      <c r="DA87" s="333">
        <f t="shared" si="188"/>
        <v>-13</v>
      </c>
      <c r="DB87" s="1173">
        <f t="shared" si="188"/>
        <v>-385</v>
      </c>
      <c r="DC87" s="333">
        <f t="shared" si="188"/>
        <v>0</v>
      </c>
      <c r="DD87" s="333">
        <f t="shared" si="188"/>
        <v>-325</v>
      </c>
      <c r="DE87" s="333">
        <f t="shared" si="188"/>
        <v>0</v>
      </c>
      <c r="DF87" s="333">
        <f t="shared" si="188"/>
        <v>0</v>
      </c>
      <c r="DG87" s="1173">
        <f t="shared" si="188"/>
        <v>-325</v>
      </c>
      <c r="DH87" s="333">
        <f t="shared" si="188"/>
        <v>0</v>
      </c>
      <c r="DI87" s="333">
        <f t="shared" si="188"/>
        <v>0</v>
      </c>
      <c r="DJ87" s="333">
        <f t="shared" si="188"/>
        <v>0</v>
      </c>
      <c r="DK87" s="333">
        <f t="shared" si="188"/>
        <v>-250</v>
      </c>
      <c r="DL87" s="1173">
        <f t="shared" si="188"/>
        <v>-250</v>
      </c>
      <c r="DM87" s="333">
        <f t="shared" si="188"/>
        <v>0</v>
      </c>
      <c r="DN87" s="333">
        <f t="shared" si="188"/>
        <v>0</v>
      </c>
      <c r="DO87" s="333">
        <f t="shared" si="188"/>
        <v>-800</v>
      </c>
      <c r="DP87" s="333">
        <f t="shared" si="188"/>
        <v>0</v>
      </c>
      <c r="DQ87" s="1173">
        <f t="shared" si="188"/>
        <v>-800</v>
      </c>
      <c r="DR87" s="333">
        <f t="shared" ref="DR87:EA87" si="189">DR57</f>
        <v>0</v>
      </c>
      <c r="DS87" s="333">
        <f t="shared" si="189"/>
        <v>0</v>
      </c>
      <c r="DT87" s="333">
        <f t="shared" si="189"/>
        <v>0</v>
      </c>
      <c r="DU87" s="333">
        <f t="shared" si="189"/>
        <v>0</v>
      </c>
      <c r="DV87" s="1173">
        <f t="shared" si="189"/>
        <v>0</v>
      </c>
      <c r="DW87" s="333">
        <f t="shared" si="189"/>
        <v>0</v>
      </c>
      <c r="DX87" s="333">
        <f t="shared" si="189"/>
        <v>0</v>
      </c>
      <c r="DY87" s="333">
        <f t="shared" si="189"/>
        <v>0</v>
      </c>
      <c r="DZ87" s="333">
        <f t="shared" si="189"/>
        <v>0</v>
      </c>
      <c r="EA87" s="1173">
        <f t="shared" si="189"/>
        <v>0</v>
      </c>
      <c r="EB87" s="935"/>
      <c r="EC87" s="935"/>
      <c r="ED87" s="935"/>
      <c r="EE87" s="935"/>
      <c r="EF87" s="1008"/>
      <c r="EG87" s="1243"/>
    </row>
    <row r="88" spans="1:147" x14ac:dyDescent="0.2">
      <c r="A88" s="110" t="s">
        <v>543</v>
      </c>
      <c r="B88" s="55"/>
      <c r="C88" s="55"/>
      <c r="D88" s="55"/>
      <c r="E88" s="55"/>
      <c r="F88" s="55"/>
      <c r="G88" s="55"/>
      <c r="H88" s="55"/>
      <c r="I88" s="55"/>
      <c r="J88" s="55"/>
      <c r="K88" s="55"/>
      <c r="L88" s="303"/>
      <c r="M88" s="303"/>
      <c r="N88" s="303"/>
      <c r="O88" s="303"/>
      <c r="P88" s="303"/>
      <c r="Q88" s="303"/>
      <c r="R88" s="303"/>
      <c r="S88" s="303"/>
      <c r="T88" s="303"/>
      <c r="U88" s="303"/>
      <c r="V88" s="64"/>
      <c r="W88" s="64"/>
      <c r="X88" s="64"/>
      <c r="Y88" s="64"/>
      <c r="Z88" s="62">
        <f t="shared" ref="Z88:BR88" si="190">SUM(Z85:Z87)+Z82</f>
        <v>6</v>
      </c>
      <c r="AA88" s="62">
        <f t="shared" si="190"/>
        <v>120</v>
      </c>
      <c r="AB88" s="62">
        <f t="shared" si="190"/>
        <v>105</v>
      </c>
      <c r="AC88" s="62">
        <f t="shared" si="190"/>
        <v>-300</v>
      </c>
      <c r="AD88" s="62">
        <f t="shared" si="190"/>
        <v>-72</v>
      </c>
      <c r="AE88" s="62">
        <f t="shared" si="190"/>
        <v>-147</v>
      </c>
      <c r="AF88" s="62">
        <f t="shared" si="190"/>
        <v>-10</v>
      </c>
      <c r="AG88" s="62">
        <f t="shared" si="190"/>
        <v>165</v>
      </c>
      <c r="AH88" s="62">
        <f t="shared" si="190"/>
        <v>230</v>
      </c>
      <c r="AI88" s="62">
        <f t="shared" si="190"/>
        <v>-42</v>
      </c>
      <c r="AJ88" s="62">
        <f t="shared" si="190"/>
        <v>343</v>
      </c>
      <c r="AK88" s="62">
        <f t="shared" si="190"/>
        <v>-59</v>
      </c>
      <c r="AL88" s="62">
        <f t="shared" si="190"/>
        <v>70</v>
      </c>
      <c r="AM88" s="62">
        <f t="shared" si="190"/>
        <v>238</v>
      </c>
      <c r="AN88" s="62">
        <f t="shared" si="190"/>
        <v>-369</v>
      </c>
      <c r="AO88" s="62">
        <f t="shared" si="190"/>
        <v>-120</v>
      </c>
      <c r="AP88" s="62">
        <f t="shared" si="190"/>
        <v>66</v>
      </c>
      <c r="AQ88" s="62">
        <f t="shared" si="190"/>
        <v>-75</v>
      </c>
      <c r="AR88" s="62">
        <f t="shared" si="190"/>
        <v>125</v>
      </c>
      <c r="AS88" s="62">
        <f t="shared" si="190"/>
        <v>-306</v>
      </c>
      <c r="AT88" s="62">
        <f t="shared" si="190"/>
        <v>-190</v>
      </c>
      <c r="AU88" s="62">
        <f t="shared" si="190"/>
        <v>-118</v>
      </c>
      <c r="AV88" s="62">
        <f t="shared" si="190"/>
        <v>-160</v>
      </c>
      <c r="AW88" s="62">
        <f t="shared" si="190"/>
        <v>2</v>
      </c>
      <c r="AX88" s="62">
        <f t="shared" si="190"/>
        <v>64</v>
      </c>
      <c r="AY88" s="62">
        <f t="shared" si="190"/>
        <v>-194</v>
      </c>
      <c r="AZ88" s="62">
        <f t="shared" si="190"/>
        <v>34</v>
      </c>
      <c r="BA88" s="62">
        <f t="shared" si="190"/>
        <v>-108</v>
      </c>
      <c r="BB88" s="62">
        <f t="shared" si="190"/>
        <v>74</v>
      </c>
      <c r="BC88" s="62">
        <f t="shared" si="190"/>
        <v>-599</v>
      </c>
      <c r="BD88" s="62">
        <f t="shared" si="190"/>
        <v>-599</v>
      </c>
      <c r="BE88" s="62">
        <f t="shared" si="190"/>
        <v>-800</v>
      </c>
      <c r="BF88" s="62">
        <f t="shared" si="190"/>
        <v>-179</v>
      </c>
      <c r="BG88" s="62">
        <f t="shared" si="190"/>
        <v>-208</v>
      </c>
      <c r="BH88" s="62">
        <f t="shared" si="190"/>
        <v>-87</v>
      </c>
      <c r="BI88" s="62">
        <f t="shared" si="190"/>
        <v>-1274</v>
      </c>
      <c r="BJ88" s="62">
        <f t="shared" si="190"/>
        <v>123</v>
      </c>
      <c r="BK88" s="62">
        <f t="shared" si="190"/>
        <v>-141</v>
      </c>
      <c r="BL88" s="62">
        <f t="shared" si="190"/>
        <v>61</v>
      </c>
      <c r="BM88" s="62">
        <f t="shared" si="190"/>
        <v>15</v>
      </c>
      <c r="BN88" s="62">
        <f t="shared" si="190"/>
        <v>58</v>
      </c>
      <c r="BO88" s="62">
        <f t="shared" si="190"/>
        <v>63</v>
      </c>
      <c r="BP88" s="62">
        <f t="shared" si="190"/>
        <v>131</v>
      </c>
      <c r="BQ88" s="62">
        <f t="shared" si="190"/>
        <v>406</v>
      </c>
      <c r="BR88" s="62">
        <f t="shared" si="190"/>
        <v>160</v>
      </c>
      <c r="BS88" s="62"/>
      <c r="BT88" s="62"/>
      <c r="BU88" s="62"/>
      <c r="BV88" s="62"/>
      <c r="BW88" s="62"/>
      <c r="BX88" s="62"/>
      <c r="BY88" s="62"/>
      <c r="BZ88" s="62"/>
      <c r="CA88" s="62"/>
      <c r="CB88" s="62"/>
      <c r="CC88" s="62"/>
      <c r="CD88" s="62"/>
      <c r="CE88" s="62"/>
      <c r="CF88" s="62"/>
      <c r="CG88" s="62"/>
      <c r="CH88" s="62"/>
      <c r="CI88" s="62"/>
      <c r="CJ88" s="62"/>
      <c r="CK88" s="62"/>
      <c r="CL88" s="62"/>
      <c r="CM88" s="62"/>
      <c r="CN88" s="861"/>
      <c r="CO88" s="62"/>
      <c r="CP88" s="62"/>
      <c r="CQ88" s="62"/>
      <c r="CR88" s="1046"/>
      <c r="CS88" s="1046"/>
      <c r="CT88" s="1046"/>
      <c r="CU88" s="1046"/>
      <c r="CV88" s="1046"/>
      <c r="CW88" s="62"/>
      <c r="CX88" s="62"/>
      <c r="CY88" s="62"/>
      <c r="CZ88" s="62"/>
      <c r="DA88" s="62"/>
      <c r="DB88" s="62"/>
      <c r="DC88" s="62"/>
      <c r="DD88" s="62"/>
      <c r="DE88" s="62"/>
      <c r="DF88" s="62"/>
      <c r="DG88" s="62"/>
      <c r="DH88" s="62"/>
      <c r="DI88" s="62"/>
      <c r="DJ88" s="62"/>
      <c r="DK88" s="62"/>
      <c r="DL88" s="16">
        <f>DL82/DG82-1</f>
        <v>-0.12528450447934147</v>
      </c>
      <c r="DM88" s="62"/>
      <c r="DN88" s="62"/>
      <c r="DO88" s="62"/>
      <c r="DP88" s="62"/>
      <c r="DQ88" s="62"/>
      <c r="DR88" s="62"/>
      <c r="DS88" s="62"/>
      <c r="DT88" s="62"/>
      <c r="DU88" s="62"/>
      <c r="DV88" s="62"/>
      <c r="DW88" s="62"/>
      <c r="DX88" s="62"/>
      <c r="DY88" s="62"/>
      <c r="DZ88" s="62"/>
      <c r="EA88" s="62"/>
      <c r="EB88" s="935"/>
      <c r="EC88" s="935"/>
      <c r="ED88" s="935"/>
      <c r="EE88" s="935"/>
      <c r="EF88" s="1008"/>
      <c r="EG88" s="1243"/>
    </row>
    <row r="89" spans="1:147" x14ac:dyDescent="0.2">
      <c r="A89" s="2284" t="s">
        <v>652</v>
      </c>
      <c r="B89" s="2285"/>
      <c r="C89" s="2285"/>
      <c r="D89" s="2285"/>
      <c r="E89" s="2285"/>
      <c r="F89" s="2285"/>
      <c r="G89" s="2285"/>
      <c r="H89" s="2285"/>
      <c r="I89" s="2285"/>
      <c r="J89" s="2285"/>
      <c r="K89" s="2285"/>
      <c r="L89" s="2286"/>
      <c r="M89" s="2286"/>
      <c r="N89" s="2286"/>
      <c r="O89" s="2286"/>
      <c r="P89" s="2286"/>
      <c r="Q89" s="2286"/>
      <c r="R89" s="2286"/>
      <c r="S89" s="2286"/>
      <c r="T89" s="2286"/>
      <c r="U89" s="2286"/>
      <c r="V89" s="2287"/>
      <c r="W89" s="2287"/>
      <c r="X89" s="2287"/>
      <c r="Y89" s="2287"/>
      <c r="Z89" s="2287"/>
      <c r="AA89" s="2287"/>
      <c r="AB89" s="2287"/>
      <c r="AC89" s="2287"/>
      <c r="AD89" s="2287"/>
      <c r="AE89" s="2287"/>
      <c r="AF89" s="2287"/>
      <c r="AG89" s="2287"/>
      <c r="AH89" s="2287"/>
      <c r="AI89" s="2287"/>
      <c r="AJ89" s="2287"/>
      <c r="AK89" s="2287"/>
      <c r="AL89" s="2287"/>
      <c r="AM89" s="2287"/>
      <c r="AN89" s="2287"/>
      <c r="AO89" s="2287"/>
      <c r="AP89" s="2285"/>
      <c r="AQ89" s="2288"/>
      <c r="AR89" s="2285"/>
      <c r="AS89" s="2285"/>
      <c r="AT89" s="2285"/>
      <c r="AU89" s="2285"/>
      <c r="AV89" s="2285"/>
      <c r="AW89" s="2285"/>
      <c r="AX89" s="2285"/>
      <c r="AY89" s="2285"/>
      <c r="AZ89" s="2285"/>
      <c r="BA89" s="2285"/>
      <c r="BB89" s="2285"/>
      <c r="BC89" s="2285"/>
      <c r="BD89" s="2285"/>
      <c r="BE89" s="2285"/>
      <c r="BF89" s="2285"/>
      <c r="BG89" s="2285"/>
      <c r="BH89" s="2285"/>
      <c r="BI89" s="2285"/>
      <c r="BJ89" s="2285"/>
      <c r="BK89" s="2285"/>
      <c r="BL89" s="2288"/>
      <c r="BM89" s="2285"/>
      <c r="BN89" s="2285"/>
      <c r="BO89" s="2285"/>
      <c r="BP89" s="2285"/>
      <c r="BQ89" s="2285"/>
      <c r="BR89" s="2285"/>
      <c r="BS89" s="2285"/>
      <c r="BT89" s="2285"/>
      <c r="BU89" s="2288"/>
      <c r="BV89" s="2288"/>
      <c r="BW89" s="2288"/>
      <c r="BX89" s="2285"/>
      <c r="BY89" s="2285"/>
      <c r="BZ89" s="2285"/>
      <c r="CA89" s="2288"/>
      <c r="CB89" s="2285"/>
      <c r="CC89" s="2285"/>
      <c r="CD89" s="2288"/>
      <c r="CE89" s="2288"/>
      <c r="CF89" s="2288"/>
      <c r="CG89" s="2288"/>
      <c r="CH89" s="2285"/>
      <c r="CI89" s="2285"/>
      <c r="CJ89" s="2288"/>
      <c r="CK89" s="2285"/>
      <c r="CL89" s="2285"/>
      <c r="CM89" s="2285"/>
      <c r="CN89" s="2289"/>
      <c r="CO89" s="2285"/>
      <c r="CP89" s="2285"/>
      <c r="CQ89" s="2288"/>
      <c r="CR89" s="2290">
        <f t="shared" ref="CR89:CW89" si="191">CR59+CR61</f>
        <v>-1930</v>
      </c>
      <c r="CS89" s="2290">
        <f t="shared" si="191"/>
        <v>-1062.1500000000001</v>
      </c>
      <c r="CT89" s="2290">
        <f t="shared" si="191"/>
        <v>-769.52499999999998</v>
      </c>
      <c r="CU89" s="2290">
        <f t="shared" si="191"/>
        <v>-2222.35</v>
      </c>
      <c r="CV89" s="2290">
        <f t="shared" si="191"/>
        <v>-2091.9749999999999</v>
      </c>
      <c r="CW89" s="2287">
        <f t="shared" si="191"/>
        <v>-6146</v>
      </c>
      <c r="CX89" s="2285"/>
      <c r="CY89" s="2288"/>
      <c r="CZ89" s="2288"/>
      <c r="DA89" s="2285"/>
      <c r="DB89" s="2287">
        <f>DB59+DB61</f>
        <v>-2376</v>
      </c>
      <c r="DC89" s="2288"/>
      <c r="DD89" s="2288"/>
      <c r="DE89" s="2288"/>
      <c r="DF89" s="2288"/>
      <c r="DG89" s="2287">
        <f>DG59+DG61</f>
        <v>-2678.004006906056</v>
      </c>
      <c r="DH89" s="2288"/>
      <c r="DI89" s="2288"/>
      <c r="DJ89" s="2288"/>
      <c r="DK89" s="2288"/>
      <c r="DL89" s="2287">
        <f>DL59+DL61</f>
        <v>-1997.7813176928055</v>
      </c>
      <c r="DM89" s="2288"/>
      <c r="DN89" s="2288"/>
      <c r="DO89" s="2288"/>
      <c r="DP89" s="2288"/>
      <c r="DQ89" s="2287">
        <f>DQ59+DQ61</f>
        <v>-1332.9010445285116</v>
      </c>
      <c r="DR89" s="2288"/>
      <c r="DS89" s="2288"/>
      <c r="DT89" s="2288"/>
      <c r="DU89" s="2288"/>
      <c r="DV89" s="2287">
        <f>DV59+DV61</f>
        <v>-1378.8190268548615</v>
      </c>
      <c r="DW89" s="2288"/>
      <c r="DX89" s="2288"/>
      <c r="DY89" s="2288"/>
      <c r="DZ89" s="2288"/>
      <c r="EA89" s="2291">
        <f>EA59+EA61</f>
        <v>-1429.7600551343423</v>
      </c>
      <c r="EB89" s="1008"/>
      <c r="EC89" s="1008"/>
      <c r="ED89" s="1008"/>
      <c r="EE89" s="1008"/>
      <c r="EF89" s="1008"/>
      <c r="EG89" s="1243"/>
    </row>
    <row r="90" spans="1:147" x14ac:dyDescent="0.2">
      <c r="A90" s="315"/>
      <c r="B90" s="15"/>
      <c r="C90" s="15"/>
      <c r="D90" s="15"/>
      <c r="E90" s="15"/>
      <c r="F90" s="15"/>
      <c r="G90" s="15"/>
      <c r="H90" s="15"/>
      <c r="I90" s="15"/>
      <c r="J90" s="15"/>
      <c r="K90" s="15"/>
      <c r="L90" s="303"/>
      <c r="M90" s="303"/>
      <c r="N90" s="303"/>
      <c r="O90" s="303"/>
      <c r="P90" s="303"/>
      <c r="Q90" s="303"/>
      <c r="R90" s="303"/>
      <c r="S90" s="303"/>
      <c r="T90" s="303"/>
      <c r="U90" s="303"/>
      <c r="V90" s="62"/>
      <c r="W90" s="62"/>
      <c r="X90" s="62"/>
      <c r="Y90" s="62"/>
      <c r="Z90" s="62"/>
      <c r="AA90" s="62"/>
      <c r="AB90" s="62"/>
      <c r="AC90" s="62"/>
      <c r="AD90" s="62"/>
      <c r="AE90" s="62"/>
      <c r="AF90" s="62"/>
      <c r="AG90" s="62"/>
      <c r="AH90" s="62"/>
      <c r="AI90" s="62"/>
      <c r="AJ90" s="62"/>
      <c r="AK90" s="62"/>
      <c r="AL90" s="62"/>
      <c r="AM90" s="62"/>
      <c r="AN90" s="62"/>
      <c r="AO90" s="62"/>
      <c r="AP90" s="11"/>
      <c r="AQ90" s="117"/>
      <c r="AR90" s="11"/>
      <c r="AS90" s="11"/>
      <c r="AT90" s="11"/>
      <c r="AU90" s="11"/>
      <c r="AV90" s="11"/>
      <c r="AW90" s="11"/>
      <c r="AX90" s="11"/>
      <c r="AY90" s="11"/>
      <c r="AZ90" s="11"/>
      <c r="BA90" s="11"/>
      <c r="BB90" s="11"/>
      <c r="BC90" s="11"/>
      <c r="BD90" s="11"/>
      <c r="BE90" s="11"/>
      <c r="BF90" s="11"/>
      <c r="BG90" s="11"/>
      <c r="BH90" s="11"/>
      <c r="BI90" s="11"/>
      <c r="BJ90" s="11"/>
      <c r="BK90" s="11"/>
      <c r="BL90" s="117"/>
      <c r="BM90" s="11"/>
      <c r="BN90" s="11"/>
      <c r="BO90" s="11"/>
      <c r="BP90" s="11"/>
      <c r="BQ90" s="11"/>
      <c r="BR90" s="11"/>
      <c r="BS90" s="11"/>
      <c r="BT90" s="11"/>
      <c r="BU90" s="117"/>
      <c r="BV90" s="117"/>
      <c r="BW90" s="117"/>
      <c r="BX90" s="11"/>
      <c r="BY90" s="11"/>
      <c r="BZ90" s="11"/>
      <c r="CA90" s="117"/>
      <c r="CB90" s="11"/>
      <c r="CC90" s="11"/>
      <c r="CD90" s="117"/>
      <c r="CE90" s="117"/>
      <c r="CF90" s="117"/>
      <c r="CG90" s="117"/>
      <c r="CH90" s="11"/>
      <c r="CI90" s="11"/>
      <c r="CJ90" s="117"/>
      <c r="CK90" s="11"/>
      <c r="CL90" s="11"/>
      <c r="CM90" s="11"/>
      <c r="CN90" s="850"/>
      <c r="CO90" s="11"/>
      <c r="CP90" s="11"/>
      <c r="CQ90" s="117"/>
      <c r="CR90" s="41"/>
      <c r="CS90" s="41"/>
      <c r="CT90" s="41"/>
      <c r="CU90" s="41"/>
      <c r="CV90" s="41"/>
      <c r="CW90" s="41"/>
      <c r="CX90" s="11"/>
      <c r="CY90" s="117"/>
      <c r="CZ90" s="117"/>
      <c r="DA90" s="11"/>
      <c r="DB90" s="41"/>
      <c r="DC90" s="117"/>
      <c r="DD90" s="117"/>
      <c r="DE90" s="117"/>
      <c r="DF90" s="117"/>
      <c r="DG90" s="41"/>
      <c r="DH90" s="117"/>
      <c r="DI90" s="117"/>
      <c r="DJ90" s="117"/>
      <c r="DK90" s="117"/>
      <c r="DL90" s="29"/>
      <c r="DM90" s="117"/>
      <c r="DN90" s="117"/>
      <c r="DO90" s="117"/>
      <c r="DP90" s="117"/>
      <c r="DQ90" s="41"/>
      <c r="DR90" s="117"/>
      <c r="DS90" s="117"/>
      <c r="DT90" s="117"/>
      <c r="DU90" s="117"/>
      <c r="DV90" s="41"/>
      <c r="DW90" s="117"/>
      <c r="DX90" s="117"/>
      <c r="DY90" s="117"/>
      <c r="DZ90" s="117"/>
      <c r="EA90" s="41"/>
      <c r="EB90" s="1008"/>
      <c r="EC90" s="1008"/>
      <c r="ED90" s="1008"/>
      <c r="EE90" s="1008"/>
      <c r="EF90" s="1008"/>
      <c r="EG90" s="1243"/>
      <c r="EH90" s="1168"/>
      <c r="EO90" s="1168"/>
      <c r="EP90" s="1168"/>
      <c r="EQ90" s="1168"/>
    </row>
    <row r="91" spans="1:147" x14ac:dyDescent="0.2">
      <c r="A91" s="11" t="s">
        <v>153</v>
      </c>
      <c r="B91" s="11"/>
      <c r="C91" s="11"/>
      <c r="D91" s="11"/>
      <c r="E91" s="11"/>
      <c r="F91" s="11"/>
      <c r="G91" s="11"/>
      <c r="H91" s="11"/>
      <c r="I91" s="11"/>
      <c r="J91" s="11"/>
      <c r="K91" s="11"/>
      <c r="L91" s="29">
        <f>L14/'IS '!L22</f>
        <v>5.2399338113623829E-2</v>
      </c>
      <c r="M91" s="29">
        <f>M14/'IS '!M22</f>
        <v>4.6659597030752918E-2</v>
      </c>
      <c r="N91" s="29">
        <f>N14/'IS '!N22</f>
        <v>4.5253863134657839E-2</v>
      </c>
      <c r="O91" s="29">
        <f>O14/'IS '!O22</f>
        <v>5.2358286456079622E-2</v>
      </c>
      <c r="P91" s="29">
        <f>P14/'IS '!P22</f>
        <v>4.93479928407057E-2</v>
      </c>
      <c r="Q91" s="29">
        <f>Q14/'IS '!Q22</f>
        <v>5.1346274264245463E-2</v>
      </c>
      <c r="R91" s="29">
        <f>R14/'IS '!R22</f>
        <v>4.8913043478260872E-2</v>
      </c>
      <c r="S91" s="29">
        <f>S14/'IS '!S22</f>
        <v>4.9457177322074788E-2</v>
      </c>
      <c r="T91" s="29">
        <f>T14/'IS '!T22</f>
        <v>4.995417048579285E-2</v>
      </c>
      <c r="U91" s="29">
        <f>U14/'IS '!U22</f>
        <v>4.9908360355279853E-2</v>
      </c>
      <c r="V91" s="29">
        <f>V14/'IS '!V22</f>
        <v>4.8472775564409029E-2</v>
      </c>
      <c r="W91" s="29">
        <f>W14/'IS '!W22</f>
        <v>5.2959501557632398E-2</v>
      </c>
      <c r="X91" s="29">
        <f>X14/'IS '!X22</f>
        <v>5.1829268292682924E-2</v>
      </c>
      <c r="Y91" s="29">
        <f>Y14/'IS '!Y22</f>
        <v>5.0408719346049048E-2</v>
      </c>
      <c r="Z91" s="29">
        <f>Z14/'IS '!Z22</f>
        <v>5.0913274845390481E-2</v>
      </c>
      <c r="AA91" s="29">
        <f>AA14/'IS '!AA22</f>
        <v>4.8327137546468404E-2</v>
      </c>
      <c r="AB91" s="29">
        <f>AB14/'IS '!AB22</f>
        <v>4.5274476513865305E-2</v>
      </c>
      <c r="AC91" s="29">
        <f>AC14/'IS '!AC22</f>
        <v>4.4908616187989553E-2</v>
      </c>
      <c r="AD91" s="29">
        <f>AD14/'IS '!AD22</f>
        <v>5.1198699715562776E-2</v>
      </c>
      <c r="AE91" s="29"/>
      <c r="AF91" s="29">
        <f>AF14/'IS '!AF22</f>
        <v>4.8279689234184242E-2</v>
      </c>
      <c r="AG91" s="29">
        <f>AG14/'IS '!AG22</f>
        <v>4.8553719008264461E-2</v>
      </c>
      <c r="AH91" s="29">
        <f>AH14/'IS '!AH22</f>
        <v>4.6254399195575668E-2</v>
      </c>
      <c r="AI91" s="29">
        <f>AI14/'IS '!AI22</f>
        <v>4.8247267244628723E-2</v>
      </c>
      <c r="AJ91" s="29"/>
      <c r="AK91" s="29">
        <f>AK14/'IS '!AK22</f>
        <v>4.8223350253807105E-2</v>
      </c>
      <c r="AL91" s="29">
        <f>AL14/'IS '!AL22</f>
        <v>4.8146364949446317E-2</v>
      </c>
      <c r="AM91" s="29">
        <f>AM14/'IS '!AM22</f>
        <v>4.9105094079853147E-2</v>
      </c>
      <c r="AN91" s="29">
        <v>4.8000000000000001E-2</v>
      </c>
      <c r="AO91" s="29"/>
      <c r="AP91" s="29">
        <f>AP14/'IS '!AP22</f>
        <v>4.7224926971762414E-2</v>
      </c>
      <c r="AQ91" s="29">
        <f>AQ14/'IS '!AQ22</f>
        <v>5.1555968416163493E-2</v>
      </c>
      <c r="AR91" s="29">
        <f>AR14/'IS '!AR20</f>
        <v>5.6202531645569619E-2</v>
      </c>
      <c r="AS91" s="29">
        <f>AS14/'IS '!AS20</f>
        <v>5.9101654846335699E-2</v>
      </c>
      <c r="AT91" s="11"/>
      <c r="AU91" s="42">
        <f>AU14/'IS '!AU20</f>
        <v>5.4425508521165476E-2</v>
      </c>
      <c r="AV91" s="42">
        <f>AV14/'IS '!AV20</f>
        <v>5.8054393305439329E-2</v>
      </c>
      <c r="AW91" s="42">
        <f>AW14/'IS '!AW20</f>
        <v>5.4801407742584213E-2</v>
      </c>
      <c r="AX91" s="42">
        <f>AX14/'IS '!AX20</f>
        <v>6.0491493383742913E-2</v>
      </c>
      <c r="AY91" s="11"/>
      <c r="AZ91" s="42">
        <f>AZ14/'IS '!AZ20</f>
        <v>5.7672502574665295E-2</v>
      </c>
      <c r="BA91" s="42">
        <f>BA14/'IS '!BA20</f>
        <v>5.8369512783405693E-2</v>
      </c>
      <c r="BB91" s="42">
        <f>BB14/'IS '!BB20</f>
        <v>5.751226036558181E-2</v>
      </c>
      <c r="BC91" s="42">
        <f>BC14/'IS '!BC20</f>
        <v>6.3335679099225897E-2</v>
      </c>
      <c r="BD91" s="11"/>
      <c r="BE91" s="42">
        <f>BE14/'IS '!BE20</f>
        <v>5.730659025787966E-2</v>
      </c>
      <c r="BF91" s="42">
        <f>BF14/'IS '!BF20</f>
        <v>5.5962117950925525E-2</v>
      </c>
      <c r="BG91" s="42">
        <f>BG14/'IS '!BG20</f>
        <v>5.6003223207091057E-2</v>
      </c>
      <c r="BH91" s="42">
        <f>BH14/'IS '!BH20</f>
        <v>5.6725543478260872E-2</v>
      </c>
      <c r="BI91" s="11"/>
      <c r="BJ91" s="42">
        <f>BJ14/'IS '!BJ20</f>
        <v>6.1001042752867572E-2</v>
      </c>
      <c r="BK91" s="42">
        <f>BK14/'IS '!BK20</f>
        <v>5.9944237918215612E-2</v>
      </c>
      <c r="BL91" s="42">
        <f>BL14/'IS '!BL20</f>
        <v>5.7154605263157895E-2</v>
      </c>
      <c r="BM91" s="42">
        <f>BM14/'IS '!BM20</f>
        <v>6.698728959120577E-2</v>
      </c>
      <c r="BN91" s="11"/>
      <c r="BO91" s="42">
        <f>BO14/'IS '!BO20</f>
        <v>5.9619238476953905E-2</v>
      </c>
      <c r="BP91" s="42">
        <f>BP14/'IS '!BP20</f>
        <v>6.1711711711711713E-2</v>
      </c>
      <c r="BQ91" s="42">
        <f>BQ14/'IS '!BQ20</f>
        <v>5.0881410256410256E-2</v>
      </c>
      <c r="BR91" s="42">
        <f>BQ91</f>
        <v>5.0881410256410256E-2</v>
      </c>
      <c r="BS91" s="11"/>
      <c r="BT91" s="42">
        <f>BT14/'IS '!BT20</f>
        <v>5.9970745977571918E-2</v>
      </c>
      <c r="BU91" s="42">
        <f>BU14/'IS '!BU20</f>
        <v>6.0057589469354175E-2</v>
      </c>
      <c r="BV91" s="42">
        <f>BV14/'IS '!BV20</f>
        <v>5.5010511562718988E-2</v>
      </c>
      <c r="BW91" s="42">
        <f>BW14/'IS '!BW20</f>
        <v>5.6789429294349172E-2</v>
      </c>
      <c r="BX91" s="42">
        <f>BX14/'IS '!BX20</f>
        <v>5.7651702928486183E-2</v>
      </c>
      <c r="BY91" s="42">
        <f>BY14/'IS '!BY20</f>
        <v>5.8873720136518773E-2</v>
      </c>
      <c r="BZ91" s="42">
        <f>BZ14/'IS '!BZ20</f>
        <v>5.1049963794351921E-2</v>
      </c>
      <c r="CA91" s="42">
        <f>CA14/'IS '!CA20</f>
        <v>4.7740292807129214E-2</v>
      </c>
      <c r="CB91" s="42">
        <f>CB14/'IS '!CB20</f>
        <v>6.0251046025104602E-2</v>
      </c>
      <c r="CC91" s="42">
        <f>CC14/'IS '!CC20</f>
        <v>5.4508577706414263E-2</v>
      </c>
      <c r="CD91" s="42">
        <f>CD14/'IS '!CD20</f>
        <v>0.13457556935817805</v>
      </c>
      <c r="CE91" s="42">
        <f>CE14/'IS '!CE20</f>
        <v>0.16267942583732056</v>
      </c>
      <c r="CF91" s="42">
        <f>CF14/'IS '!CF20</f>
        <v>0.16960784313725491</v>
      </c>
      <c r="CG91" s="42">
        <f>CG14/'IS '!CG20</f>
        <v>0.18329637841832963</v>
      </c>
      <c r="CH91" s="42">
        <f>CH14/'IS '!CH20</f>
        <v>0.16446167883211679</v>
      </c>
      <c r="CI91" s="42"/>
      <c r="CJ91" s="42"/>
      <c r="CK91" s="42"/>
      <c r="CL91" s="42"/>
      <c r="CM91" s="11"/>
      <c r="CN91" s="919">
        <f>CN14/'IS '!CN22</f>
        <v>4.058530662418821E-2</v>
      </c>
      <c r="CO91" s="919">
        <f>CO14/'IS '!CO22</f>
        <v>5.2667051106226222E-2</v>
      </c>
      <c r="CP91" s="919">
        <f>CP14/'IS '!CP22</f>
        <v>5.0781325309905083E-2</v>
      </c>
      <c r="CQ91" s="919">
        <f>CQ14/'IS '!CQ22</f>
        <v>5.5047984373730638E-2</v>
      </c>
      <c r="CR91" s="919">
        <f>CR14/'IS '!CR22</f>
        <v>5.0145757520968171E-2</v>
      </c>
      <c r="CS91" s="42">
        <f>CS14/'IS '!CS22</f>
        <v>3.870221803352502E-2</v>
      </c>
      <c r="CT91" s="42">
        <f>CT14/'IS '!CT22</f>
        <v>5.7717019455379728E-2</v>
      </c>
      <c r="CU91" s="42">
        <f>CU14/'IS '!CU22</f>
        <v>3.9004086746691834E-2</v>
      </c>
      <c r="CV91" s="42">
        <v>0.06</v>
      </c>
      <c r="CW91" s="42">
        <f>CW14/'IS '!CW22</f>
        <v>4.9394368412773323E-2</v>
      </c>
      <c r="CX91" s="919">
        <f>CX14/'IS '!CX22</f>
        <v>4.9400141143260412E-2</v>
      </c>
      <c r="CY91" s="919">
        <f>CY14/'IS '!CY22</f>
        <v>4.4889502762430943E-2</v>
      </c>
      <c r="CZ91" s="919">
        <f>CZ14/'IS '!CZ22</f>
        <v>4.1782729805013928E-2</v>
      </c>
      <c r="DA91" s="42">
        <v>0.05</v>
      </c>
      <c r="DB91" s="11"/>
      <c r="DC91" s="316">
        <v>0.04</v>
      </c>
      <c r="DD91" s="316">
        <v>4.4999999999999998E-2</v>
      </c>
      <c r="DE91" s="316">
        <v>0.03</v>
      </c>
      <c r="DF91" s="316">
        <v>3.5000000000000003E-2</v>
      </c>
      <c r="DG91" s="11"/>
      <c r="DH91" s="316">
        <v>3.5000000000000003E-2</v>
      </c>
      <c r="DI91" s="316">
        <v>3.5000000000000003E-2</v>
      </c>
      <c r="DJ91" s="316">
        <v>3.5000000000000003E-2</v>
      </c>
      <c r="DK91" s="316">
        <v>3.5000000000000003E-2</v>
      </c>
      <c r="DL91" s="11"/>
      <c r="DM91" s="316">
        <v>0.03</v>
      </c>
      <c r="DN91" s="316">
        <v>3.2000000000000001E-2</v>
      </c>
      <c r="DO91" s="316">
        <v>2.1000000000000001E-2</v>
      </c>
      <c r="DP91" s="316">
        <v>0.03</v>
      </c>
      <c r="DQ91" s="11"/>
      <c r="DR91" s="316">
        <v>0.03</v>
      </c>
      <c r="DS91" s="316">
        <v>3.2000000000000001E-2</v>
      </c>
      <c r="DT91" s="316">
        <v>2.1000000000000001E-2</v>
      </c>
      <c r="DU91" s="316">
        <v>0.03</v>
      </c>
      <c r="DV91" s="11"/>
      <c r="DW91" s="316">
        <v>0.03</v>
      </c>
      <c r="DX91" s="316">
        <v>3.2000000000000001E-2</v>
      </c>
      <c r="DY91" s="316">
        <v>2.1000000000000001E-2</v>
      </c>
      <c r="DZ91" s="316">
        <v>0.03</v>
      </c>
      <c r="EA91" s="11"/>
      <c r="EB91" s="1008"/>
      <c r="EC91" s="1008"/>
      <c r="ED91" s="1008"/>
      <c r="EE91" s="1008"/>
      <c r="EF91" s="1008"/>
      <c r="EG91" s="1243"/>
    </row>
    <row r="92" spans="1:147" x14ac:dyDescent="0.2">
      <c r="A92" s="11" t="s">
        <v>592</v>
      </c>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7"/>
      <c r="AQ92" s="117"/>
      <c r="AR92" s="117"/>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52">
        <f t="shared" ref="CC92:CH92" si="192">CC14/BX14-1</f>
        <v>2.7070063694267565E-2</v>
      </c>
      <c r="CD92" s="52">
        <f t="shared" si="192"/>
        <v>-5.7971014492753659E-2</v>
      </c>
      <c r="CE92" s="52">
        <f t="shared" si="192"/>
        <v>0.20567375886524819</v>
      </c>
      <c r="CF92" s="52">
        <f t="shared" si="192"/>
        <v>0.15333333333333332</v>
      </c>
      <c r="CG92" s="52">
        <f t="shared" si="192"/>
        <v>0.14814814814814814</v>
      </c>
      <c r="CH92" s="52">
        <f t="shared" si="192"/>
        <v>0.11782945736434103</v>
      </c>
      <c r="CI92" s="52"/>
      <c r="CJ92" s="52"/>
      <c r="CK92" s="52"/>
      <c r="CL92" s="52"/>
      <c r="CM92" s="52">
        <f t="shared" ref="CM92:CU92" si="193">CM14/CH14-1</f>
        <v>2.4965325936199712E-2</v>
      </c>
      <c r="CN92" s="920">
        <f t="shared" si="193"/>
        <v>-0.57202141900937076</v>
      </c>
      <c r="CO92" s="52">
        <f t="shared" si="193"/>
        <v>-0.55217908671723925</v>
      </c>
      <c r="CP92" s="52">
        <f t="shared" si="193"/>
        <v>-0.57370550341328475</v>
      </c>
      <c r="CQ92" s="52">
        <f t="shared" si="193"/>
        <v>-0.5616977714780691</v>
      </c>
      <c r="CR92" s="52">
        <f t="shared" si="193"/>
        <v>-0.56427604871447901</v>
      </c>
      <c r="CS92" s="52">
        <f t="shared" si="193"/>
        <v>-6.7922302942148405E-2</v>
      </c>
      <c r="CT92" s="52">
        <f t="shared" si="193"/>
        <v>8.1194845635311763E-2</v>
      </c>
      <c r="CU92" s="52">
        <f t="shared" si="193"/>
        <v>-0.2331553472142609</v>
      </c>
      <c r="CV92" s="52">
        <v>3</v>
      </c>
      <c r="CW92" s="52">
        <f t="shared" ref="CW92:DP92" si="194">CW14/CR14-1</f>
        <v>-2.4844720496894457E-2</v>
      </c>
      <c r="CX92" s="52">
        <f t="shared" si="194"/>
        <v>0.25341778778745061</v>
      </c>
      <c r="CY92" s="52">
        <f t="shared" si="194"/>
        <v>-0.25418259601619564</v>
      </c>
      <c r="CZ92" s="52">
        <f t="shared" si="194"/>
        <v>1.4041095890410915E-2</v>
      </c>
      <c r="DA92" s="52">
        <f t="shared" si="194"/>
        <v>-0.48135934116709089</v>
      </c>
      <c r="DB92" s="52">
        <f t="shared" si="194"/>
        <v>-0.19426751592356684</v>
      </c>
      <c r="DC92" s="52">
        <f>DC14/CX14-1</f>
        <v>-0.37920783908058298</v>
      </c>
      <c r="DD92" s="52">
        <f>DD14/CY14-1</f>
        <v>-0.2605151921168718</v>
      </c>
      <c r="DE92" s="52">
        <f>DE14/CZ14-1</f>
        <v>-0.4716543952427632</v>
      </c>
      <c r="DF92" s="52">
        <f>DF14/DA14-1</f>
        <v>-0.2232633892590935</v>
      </c>
      <c r="DG92" s="52">
        <f>DG14/DB14-1</f>
        <v>-0.33488765420881694</v>
      </c>
      <c r="DH92" s="52">
        <f t="shared" si="194"/>
        <v>-0.1992415410070083</v>
      </c>
      <c r="DI92" s="52">
        <f t="shared" si="194"/>
        <v>-0.27367845156917969</v>
      </c>
      <c r="DJ92" s="52">
        <f t="shared" si="194"/>
        <v>0.10914184616371148</v>
      </c>
      <c r="DK92" s="52">
        <f t="shared" si="194"/>
        <v>-5.2652298967713507E-2</v>
      </c>
      <c r="DL92" s="52">
        <f t="shared" si="194"/>
        <v>-0.12316292518440664</v>
      </c>
      <c r="DM92" s="52">
        <f t="shared" si="194"/>
        <v>-0.18170703770549113</v>
      </c>
      <c r="DN92" s="52">
        <f t="shared" si="194"/>
        <v>-9.5166776329376312E-2</v>
      </c>
      <c r="DO92" s="52">
        <f t="shared" si="194"/>
        <v>-0.38404077507199774</v>
      </c>
      <c r="DP92" s="52">
        <f t="shared" si="194"/>
        <v>-8.6192992222256626E-2</v>
      </c>
      <c r="DQ92" s="11"/>
      <c r="DR92" s="52">
        <f t="shared" ref="DR92" si="195">DR14/DM14-1</f>
        <v>8.509704067406143E-2</v>
      </c>
      <c r="DS92" s="52">
        <f t="shared" ref="DS92" si="196">DS14/DN14-1</f>
        <v>8.5214164767412726E-2</v>
      </c>
      <c r="DT92" s="52">
        <f t="shared" ref="DT92" si="197">DT14/DO14-1</f>
        <v>8.4258216551858833E-2</v>
      </c>
      <c r="DU92" s="52">
        <f t="shared" ref="DU92" si="198">DU14/DP14-1</f>
        <v>8.470107727717946E-2</v>
      </c>
      <c r="DV92" s="11"/>
      <c r="DW92" s="52">
        <f t="shared" ref="DW92" si="199">DW14/DR14-1</f>
        <v>8.4714552612352279E-2</v>
      </c>
      <c r="DX92" s="52">
        <f t="shared" ref="DX92" si="200">DX14/DS14-1</f>
        <v>8.870687986806125E-2</v>
      </c>
      <c r="DY92" s="52">
        <f t="shared" ref="DY92" si="201">DY14/DT14-1</f>
        <v>9.1638689352929292E-2</v>
      </c>
      <c r="DZ92" s="52">
        <f t="shared" ref="DZ92" si="202">DZ14/DU14-1</f>
        <v>9.5972013002656453E-2</v>
      </c>
      <c r="EA92" s="11"/>
      <c r="EB92" s="1008"/>
      <c r="EC92" s="1008"/>
      <c r="ED92" s="1008"/>
      <c r="EE92" s="1008"/>
      <c r="EF92" s="1008"/>
      <c r="EG92" s="1243"/>
    </row>
    <row r="93" spans="1:147" s="2160" customFormat="1" x14ac:dyDescent="0.2">
      <c r="A93" s="29" t="s">
        <v>706</v>
      </c>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159"/>
      <c r="AQ93" s="2159"/>
      <c r="AR93" s="215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f>CL14/'IS '!CL20</f>
        <v>0.16879432624113475</v>
      </c>
      <c r="CM93" s="29">
        <f>328/'IS '!CM20</f>
        <v>7.2840328669775703E-2</v>
      </c>
      <c r="CN93" s="29">
        <f>CN14/'IS '!CN20</f>
        <v>5.9323763701671382E-2</v>
      </c>
      <c r="CO93" s="29">
        <f>CO14/'IS '!CO20</f>
        <v>7.6405463877627422E-2</v>
      </c>
      <c r="CP93" s="29">
        <f>CP14/'IS '!CP20</f>
        <v>7.5277369641166297E-2</v>
      </c>
      <c r="CQ93" s="29">
        <f>CQ14/'IS '!CQ20</f>
        <v>8.3653512741154415E-2</v>
      </c>
      <c r="CR93" s="29">
        <f>CR14/'IS '!CR20</f>
        <v>7.424486972561678E-2</v>
      </c>
      <c r="CS93" s="29">
        <f>CS14/'IS '!CS20</f>
        <v>5.8601574629985949E-2</v>
      </c>
      <c r="CT93" s="29">
        <f>CT14/'IS '!CT20</f>
        <v>8.654687127867268E-2</v>
      </c>
      <c r="CU93" s="29">
        <f>CU14/'IS '!CU20</f>
        <v>5.9706558622332505E-2</v>
      </c>
      <c r="CV93" s="29">
        <f>CV14/'IS '!CV20</f>
        <v>9.0258918809740504E-2</v>
      </c>
      <c r="CW93" s="29">
        <f>CW14/'IS '!CW20</f>
        <v>7.494033412887828E-2</v>
      </c>
      <c r="CX93" s="29">
        <f>CX14/'IS '!CX20</f>
        <v>7.7605321507760533E-2</v>
      </c>
      <c r="CY93" s="29">
        <f>CY14/'IS '!CY20</f>
        <v>7.1507150715071507E-2</v>
      </c>
      <c r="CZ93" s="29">
        <f>CZ14/'IS '!CZ20</f>
        <v>6.8886337543053955E-2</v>
      </c>
      <c r="DA93" s="29">
        <f>DA14/'IS '!DA20</f>
        <v>6.5168539325842698E-2</v>
      </c>
      <c r="DB93" s="29">
        <f>DB14/'IS '!DB20</f>
        <v>7.0828667413213892E-2</v>
      </c>
      <c r="DC93" s="29">
        <f>DC14/'IS '!DC20</f>
        <v>8.5015629443633361E-2</v>
      </c>
      <c r="DD93" s="29">
        <f>DD14/'IS '!DD20</f>
        <v>0.10162300921045021</v>
      </c>
      <c r="DE93" s="29">
        <f>DE14/'IS '!DE20</f>
        <v>7.3344976661700423E-2</v>
      </c>
      <c r="DF93" s="29">
        <f>DF14/'IS '!DF20</f>
        <v>8.5423666110955379E-2</v>
      </c>
      <c r="DG93" s="29">
        <f>DG14/'IS '!DG20</f>
        <v>8.6572465929639311E-2</v>
      </c>
      <c r="DH93" s="29">
        <f>DH14/'IS '!DH20</f>
        <v>9.3858646259446107E-2</v>
      </c>
      <c r="DI93" s="29">
        <f>DI14/'IS '!DI20</f>
        <v>9.8083525355812995E-2</v>
      </c>
      <c r="DJ93" s="29">
        <f>DJ14/'IS '!DJ20</f>
        <v>0.10574587675786637</v>
      </c>
      <c r="DK93" s="29">
        <f>DK14/'IS '!DK20</f>
        <v>0.10751976560854087</v>
      </c>
      <c r="DL93" s="29">
        <f>DL14/'IS '!DL20</f>
        <v>0.1013298271334368</v>
      </c>
      <c r="DM93" s="29">
        <f>DM14/'IS '!DM20</f>
        <v>0.10109677528228207</v>
      </c>
      <c r="DN93" s="29">
        <f>DN14/'IS '!DN20</f>
        <v>0.10485532753350683</v>
      </c>
      <c r="DO93" s="29">
        <f>DO14/'IS '!DO20</f>
        <v>6.9045416975332355E-2</v>
      </c>
      <c r="DP93" s="29">
        <f>DP14/'IS '!DP20</f>
        <v>9.2188311974276071E-2</v>
      </c>
      <c r="DQ93" s="29">
        <f>DQ14/'IS '!DQ20</f>
        <v>9.1480548306614437E-2</v>
      </c>
      <c r="DR93" s="29">
        <f>DR14/'IS '!DR20</f>
        <v>9.683762863452218E-2</v>
      </c>
      <c r="DS93" s="29">
        <f>DS14/'IS '!DS20</f>
        <v>0.10066175976296451</v>
      </c>
      <c r="DT93" s="29">
        <f>DT14/'IS '!DT20</f>
        <v>6.6411871028244085E-2</v>
      </c>
      <c r="DU93" s="29">
        <f>DU14/'IS '!DU20</f>
        <v>8.8947191954766414E-2</v>
      </c>
      <c r="DV93" s="29">
        <f>DV14/'IS '!DV20</f>
        <v>8.7965784764740249E-2</v>
      </c>
      <c r="DW93" s="29">
        <f>DW14/'IS '!DW20</f>
        <v>9.3081294685780261E-2</v>
      </c>
      <c r="DX93" s="29">
        <f>DX14/'IS '!DX20</f>
        <v>9.6246982910608361E-2</v>
      </c>
      <c r="DY93" s="29">
        <f>DY14/'IS '!DY20</f>
        <v>6.3137235285939008E-2</v>
      </c>
      <c r="DZ93" s="29">
        <f>DZ14/'IS '!DZ20</f>
        <v>8.436085930316968E-2</v>
      </c>
      <c r="EA93" s="29">
        <f>EA14/'IS '!EA20</f>
        <v>8.3851338358051516E-2</v>
      </c>
      <c r="EB93" s="29"/>
      <c r="EC93" s="29"/>
      <c r="ED93" s="29"/>
      <c r="EE93" s="29"/>
      <c r="EF93" s="29"/>
      <c r="EI93"/>
      <c r="EJ93"/>
      <c r="EK93"/>
      <c r="EL93"/>
      <c r="EM93"/>
      <c r="EN93"/>
    </row>
    <row r="94" spans="1:147" x14ac:dyDescent="0.2">
      <c r="A94" s="11" t="s">
        <v>707</v>
      </c>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7"/>
      <c r="AQ94" s="117"/>
      <c r="AR94" s="117"/>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52"/>
      <c r="CD94" s="52"/>
      <c r="CE94" s="52"/>
      <c r="CF94" s="52"/>
      <c r="CG94" s="52"/>
      <c r="CH94" s="52"/>
      <c r="CI94" s="52"/>
      <c r="CJ94" s="52"/>
      <c r="CK94" s="52"/>
      <c r="CL94" s="52"/>
      <c r="CM94" s="43">
        <v>0.10360075805432722</v>
      </c>
      <c r="CN94" s="43">
        <v>1.8447352628906434E-2</v>
      </c>
      <c r="CO94" s="43">
        <v>2.4605544685865975E-2</v>
      </c>
      <c r="CP94" s="43">
        <v>2.3880935896686925E-2</v>
      </c>
      <c r="CQ94" s="43">
        <v>3.2980060192291986E-2</v>
      </c>
      <c r="CR94" s="43">
        <v>0.1018020866266203</v>
      </c>
      <c r="CS94" s="43">
        <v>1.7723675221319138E-2</v>
      </c>
      <c r="CT94" s="43">
        <v>2.8141007225580689E-2</v>
      </c>
      <c r="CU94" s="43">
        <v>1.9437976213775136E-2</v>
      </c>
      <c r="CV94" s="43">
        <v>3.9363182120826637E-2</v>
      </c>
      <c r="CW94" s="43">
        <v>0.11052446321717704</v>
      </c>
      <c r="CX94" s="43">
        <v>2.5622254758418742E-2</v>
      </c>
      <c r="CY94" s="43">
        <v>2.587579617834395E-2</v>
      </c>
      <c r="CZ94" s="43">
        <v>2.569593147751606E-2</v>
      </c>
      <c r="DA94" s="43">
        <v>3.916272788656313E-2</v>
      </c>
      <c r="DB94" s="43">
        <v>0.17083051991897366</v>
      </c>
      <c r="DC94" s="43">
        <v>3.3375922630076181E-2</v>
      </c>
      <c r="DD94" s="43">
        <v>4.2763801167618624E-2</v>
      </c>
      <c r="DE94" s="43">
        <v>3.0452196239610194E-2</v>
      </c>
      <c r="DF94" s="43">
        <v>4.4604676656408486E-2</v>
      </c>
      <c r="DG94" s="43">
        <v>0.16660734998531615</v>
      </c>
      <c r="DH94" s="43">
        <v>3.7216385229190713E-2</v>
      </c>
      <c r="DI94" s="43">
        <v>4.0547902201716828E-2</v>
      </c>
      <c r="DJ94" s="43">
        <v>4.4394713596433655E-2</v>
      </c>
      <c r="DK94" s="43">
        <v>5.8066257502849591E-2</v>
      </c>
      <c r="DL94" s="43">
        <v>0.20074609036454616</v>
      </c>
      <c r="DM94" s="43">
        <v>3.7965869623476464E-2</v>
      </c>
      <c r="DN94" s="43">
        <v>4.1239302457710694E-2</v>
      </c>
      <c r="DO94" s="43">
        <v>2.7519064847758394E-2</v>
      </c>
      <c r="DP94" s="43">
        <v>4.7561090818079549E-2</v>
      </c>
      <c r="DQ94" s="43">
        <v>0.1472211053734449</v>
      </c>
      <c r="DR94" s="43">
        <v>3.7002981534477439E-2</v>
      </c>
      <c r="DS94" s="43">
        <v>4.0283386582764015E-2</v>
      </c>
      <c r="DT94" s="43">
        <v>2.6929273738710208E-2</v>
      </c>
      <c r="DU94" s="43">
        <v>4.6744137554050713E-2</v>
      </c>
      <c r="DV94" s="43">
        <v>0.14471206933678679</v>
      </c>
      <c r="DW94" s="43">
        <v>3.6037587729045535E-2</v>
      </c>
      <c r="DX94" s="43">
        <v>3.9039892154394337E-2</v>
      </c>
      <c r="DY94" s="43">
        <v>2.5971850397076827E-2</v>
      </c>
      <c r="DZ94" s="43">
        <v>4.5013001175459574E-2</v>
      </c>
      <c r="EA94" s="43">
        <v>0.13867446702937042</v>
      </c>
      <c r="EB94" s="1008"/>
      <c r="EC94" s="1008"/>
      <c r="ED94" s="1008"/>
      <c r="EE94" s="1008"/>
      <c r="EF94" s="1008"/>
      <c r="EG94" s="1243"/>
      <c r="EH94" s="1004"/>
      <c r="EO94" s="1004"/>
      <c r="EP94" s="1004"/>
      <c r="EQ94" s="1004"/>
    </row>
    <row r="95" spans="1:147" x14ac:dyDescent="0.2">
      <c r="A95" s="11" t="s">
        <v>444</v>
      </c>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7"/>
      <c r="AQ95" s="117"/>
      <c r="AR95" s="117"/>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52">
        <v>-0.20529627687467222</v>
      </c>
      <c r="CD95" s="52">
        <v>-0.18146611341632091</v>
      </c>
      <c r="CE95" s="52">
        <v>-0.15167597765363128</v>
      </c>
      <c r="CF95" s="52">
        <v>-0.12109716953603733</v>
      </c>
      <c r="CG95" s="52">
        <v>2.4414384691521018E-2</v>
      </c>
      <c r="CH95" s="52">
        <v>2.4414384691521018E-2</v>
      </c>
      <c r="CI95" s="52"/>
      <c r="CJ95" s="52"/>
      <c r="CK95" s="52"/>
      <c r="CL95" s="52"/>
      <c r="CM95" s="52">
        <v>4.5732689210949973E-2</v>
      </c>
      <c r="CN95" s="920">
        <v>5.2784974093264214E-2</v>
      </c>
      <c r="CO95" s="52">
        <v>5.8747579083279433E-2</v>
      </c>
      <c r="CP95" s="52">
        <v>4.5903729678036242E-2</v>
      </c>
      <c r="CQ95" s="52">
        <v>-2.4946104096088662E-2</v>
      </c>
      <c r="CR95" s="52">
        <v>-2.4946104096088662E-2</v>
      </c>
      <c r="CS95" s="52">
        <v>-2.9864532019704404E-2</v>
      </c>
      <c r="CT95" s="52">
        <v>-5.4639804639804668E-2</v>
      </c>
      <c r="CU95" s="52">
        <v>-5.78768183225008E-2</v>
      </c>
      <c r="CV95" s="52">
        <v>-0.10180208662662027</v>
      </c>
      <c r="CW95" s="52">
        <v>-0.10180208662662027</v>
      </c>
      <c r="CX95" s="52">
        <v>-0.1329736591558236</v>
      </c>
      <c r="CY95" s="52">
        <v>-0.18889247659024866</v>
      </c>
      <c r="CZ95" s="52">
        <v>-0.23291721419185285</v>
      </c>
      <c r="DA95" s="52">
        <v>-0.47870468145019363</v>
      </c>
      <c r="DB95" s="52">
        <v>-0.47870468145019363</v>
      </c>
      <c r="DC95" s="52">
        <v>-0.52342606149341142</v>
      </c>
      <c r="DD95" s="52">
        <v>-0.55254777070063699</v>
      </c>
      <c r="DE95" s="52">
        <v>-0.55417558886509632</v>
      </c>
      <c r="DF95" s="52">
        <v>-0.31802835921674544</v>
      </c>
      <c r="DG95" s="52">
        <v>-0.31802835921674544</v>
      </c>
      <c r="DH95" s="52">
        <v>-0.28187403993855609</v>
      </c>
      <c r="DI95" s="52">
        <v>-0.23398576512455516</v>
      </c>
      <c r="DJ95" s="52">
        <v>-0.23919308357348701</v>
      </c>
      <c r="DK95" s="52">
        <v>-0.2722772277227723</v>
      </c>
      <c r="DL95" s="52">
        <v>-0.2722772277227723</v>
      </c>
      <c r="DM95" s="52">
        <v>-0.19786096256684493</v>
      </c>
      <c r="DN95" s="52">
        <v>-0.11033681765389081</v>
      </c>
      <c r="DO95" s="52">
        <v>-6.3131313131312705E-3</v>
      </c>
      <c r="DP95" s="52">
        <v>0.11564625850340127</v>
      </c>
      <c r="DQ95" s="11"/>
      <c r="DR95" s="52">
        <v>0.11333333333333329</v>
      </c>
      <c r="DS95" s="52">
        <v>0.11096605744125321</v>
      </c>
      <c r="DT95" s="52">
        <v>0.10800508259212194</v>
      </c>
      <c r="DU95" s="52">
        <v>0.10365853658536595</v>
      </c>
      <c r="DV95" s="11"/>
      <c r="DW95" s="52">
        <v>0.11377245508982026</v>
      </c>
      <c r="DX95" s="52">
        <v>0.12338425381903639</v>
      </c>
      <c r="DY95" s="52">
        <v>0.13188073394495414</v>
      </c>
      <c r="DZ95" s="52">
        <v>0.13812154696132595</v>
      </c>
      <c r="EA95" s="11"/>
      <c r="EB95" s="1008"/>
      <c r="EC95" s="1008"/>
      <c r="ED95" s="1008"/>
      <c r="EE95" s="1008"/>
      <c r="EF95" s="1008"/>
      <c r="EG95" s="1243"/>
    </row>
    <row r="96" spans="1:147" x14ac:dyDescent="0.2">
      <c r="A96" s="11" t="s">
        <v>518</v>
      </c>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7"/>
      <c r="AQ96" s="117"/>
      <c r="AR96" s="117"/>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52">
        <f>'IS '!CC88</f>
        <v>7.9756058926025553E-2</v>
      </c>
      <c r="CD96" s="52">
        <f>'IS '!CD88</f>
        <v>-0.48183503463361277</v>
      </c>
      <c r="CE96" s="52">
        <f>'IS '!CE88</f>
        <v>-0.52629182449494949</v>
      </c>
      <c r="CF96" s="52">
        <f>'IS '!CF88</f>
        <v>-0.57956360325021017</v>
      </c>
      <c r="CG96" s="52">
        <f>'IS '!CG88</f>
        <v>-0.51976197929207801</v>
      </c>
      <c r="CH96" s="52">
        <f>'IS '!CH88</f>
        <v>-0.52930389496075692</v>
      </c>
      <c r="CI96" s="52"/>
      <c r="CJ96" s="52"/>
      <c r="CK96" s="52"/>
      <c r="CL96" s="52"/>
      <c r="CM96" s="52">
        <f>'IS '!CM88</f>
        <v>2.649213027894648E-2</v>
      </c>
      <c r="CN96" s="920">
        <f>'IS '!CN88</f>
        <v>6.100411157082708E-2</v>
      </c>
      <c r="CO96" s="52">
        <f>'IS '!CO88</f>
        <v>-1.3208871936417843E-2</v>
      </c>
      <c r="CP96" s="52">
        <f>'IS '!CP88</f>
        <v>-3.5032595476325756E-2</v>
      </c>
      <c r="CQ96" s="52">
        <f>'IS '!CQ88</f>
        <v>-8.4520276547341844E-2</v>
      </c>
      <c r="CR96" s="52">
        <f>'IS '!CR88</f>
        <v>-2.5158494003339915E-2</v>
      </c>
      <c r="CS96" s="52">
        <f>'IS '!CS88</f>
        <v>-2.2571287777568894E-2</v>
      </c>
      <c r="CT96" s="52">
        <f>'IS '!CT88</f>
        <v>-1.340462954977284E-2</v>
      </c>
      <c r="CU96" s="52">
        <f>'IS '!CU88</f>
        <v>-1.607497486742715E-3</v>
      </c>
      <c r="CV96" s="52">
        <f>'IS '!CV88</f>
        <v>-4.2216358839050061E-3</v>
      </c>
      <c r="CW96" s="52">
        <f>'IS '!CW88</f>
        <v>-1.001061937641412E-2</v>
      </c>
      <c r="CX96" s="52">
        <f>'IS '!CX88</f>
        <v>-1.8018018018018056E-2</v>
      </c>
      <c r="CY96" s="52">
        <f>'IS '!CY88</f>
        <v>-4.1059602649006655E-2</v>
      </c>
      <c r="CZ96" s="52">
        <f>'IS '!CZ88</f>
        <v>-5.339485827290702E-2</v>
      </c>
      <c r="DA96" s="52">
        <f>'IS '!DA88</f>
        <v>-0.16428192898781135</v>
      </c>
      <c r="DB96" s="52">
        <f>'IS '!DB88</f>
        <v>-7.5350007865345292E-2</v>
      </c>
      <c r="DC96" s="52">
        <f>'IS '!DC88</f>
        <v>-0.23331949074877933</v>
      </c>
      <c r="DD96" s="52">
        <f>'IS '!DD88</f>
        <v>-0.2623309927501023</v>
      </c>
      <c r="DE96" s="52">
        <f>'IS '!DE88</f>
        <v>-0.264142611758723</v>
      </c>
      <c r="DF96" s="52">
        <f>'IS '!DF88</f>
        <v>-0.18378977401988283</v>
      </c>
      <c r="DG96" s="52">
        <f>'IS '!DG88</f>
        <v>-0.23470810820143762</v>
      </c>
      <c r="DH96" s="52">
        <f>'IS '!DH88</f>
        <v>-8.484747543658111E-2</v>
      </c>
      <c r="DI96" s="52">
        <f>'IS '!DI88</f>
        <v>-6.6158009160373954E-2</v>
      </c>
      <c r="DJ96" s="52">
        <f>'IS '!DJ88</f>
        <v>-4.9306989002533164E-2</v>
      </c>
      <c r="DK96" s="52">
        <f>'IS '!DK88</f>
        <v>-5.2652298967713396E-2</v>
      </c>
      <c r="DL96" s="52">
        <f>'IS '!DL88</f>
        <v>-6.2848732562669762E-2</v>
      </c>
      <c r="DM96" s="52">
        <f>'IS '!DM88</f>
        <v>-4.5324877323072776E-2</v>
      </c>
      <c r="DN96" s="52">
        <f>'IS '!DN88</f>
        <v>-1.0338661610255206E-2</v>
      </c>
      <c r="DO96" s="52">
        <f>'IS '!DO88</f>
        <v>2.6598708213337208E-2</v>
      </c>
      <c r="DP96" s="52">
        <f>'IS '!DP88</f>
        <v>6.6108175740700714E-2</v>
      </c>
      <c r="DQ96" s="11"/>
      <c r="DR96" s="52">
        <f>'IS '!DR88</f>
        <v>8.509704067406143E-2</v>
      </c>
      <c r="DS96" s="52">
        <f>'IS '!DS88</f>
        <v>8.5214164767412504E-2</v>
      </c>
      <c r="DT96" s="52">
        <f>'IS '!DT88</f>
        <v>8.4258216551858611E-2</v>
      </c>
      <c r="DU96" s="52">
        <f>'IS '!DU88</f>
        <v>8.470107727717946E-2</v>
      </c>
      <c r="DV96" s="11"/>
      <c r="DW96" s="52">
        <f>'IS '!DW88</f>
        <v>8.4714552612352279E-2</v>
      </c>
      <c r="DX96" s="52">
        <f>'IS '!DX88</f>
        <v>8.870687986806125E-2</v>
      </c>
      <c r="DY96" s="52">
        <f>'IS '!DY88</f>
        <v>9.1638689352929292E-2</v>
      </c>
      <c r="DZ96" s="52">
        <f>'IS '!DZ88</f>
        <v>9.5972013002656675E-2</v>
      </c>
      <c r="EA96" s="11"/>
      <c r="EB96" s="1008"/>
      <c r="EC96" s="1008"/>
      <c r="ED96" s="1008"/>
      <c r="EE96" s="1008"/>
      <c r="EF96" s="1008"/>
      <c r="EG96" s="1243"/>
    </row>
    <row r="97" spans="1:147" ht="12" customHeight="1" x14ac:dyDescent="0.2">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7"/>
      <c r="AQ97" s="117"/>
      <c r="AR97" s="117"/>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52"/>
      <c r="CD97" s="52"/>
      <c r="CE97" s="52"/>
      <c r="CF97" s="52"/>
      <c r="CG97" s="52"/>
      <c r="CH97" s="52"/>
      <c r="CI97" s="52"/>
      <c r="CJ97" s="52"/>
      <c r="CK97" s="52"/>
      <c r="CL97" s="52"/>
      <c r="CM97" s="52"/>
      <c r="CN97" s="920"/>
      <c r="CO97" s="52"/>
      <c r="CP97" s="52"/>
      <c r="CQ97" s="52"/>
      <c r="CR97" s="52"/>
      <c r="CS97" s="52"/>
      <c r="CT97" s="52"/>
      <c r="CU97" s="52"/>
      <c r="CV97" s="52"/>
      <c r="CW97" s="52"/>
      <c r="CX97" s="52"/>
      <c r="CY97" s="52"/>
      <c r="CZ97" s="52"/>
      <c r="DA97" s="52"/>
      <c r="DB97" s="52"/>
      <c r="DC97" s="52"/>
      <c r="DD97" s="52"/>
      <c r="DE97" s="52"/>
      <c r="DF97" s="52"/>
      <c r="DG97" s="52"/>
      <c r="DH97" s="52"/>
      <c r="DI97" s="52"/>
      <c r="DJ97" s="52"/>
      <c r="DK97" s="52"/>
      <c r="DL97" s="52"/>
      <c r="DM97" s="52"/>
      <c r="DN97" s="52"/>
      <c r="DO97" s="52"/>
      <c r="DP97" s="52"/>
      <c r="DQ97" s="11"/>
      <c r="DR97" s="52"/>
      <c r="DS97" s="52"/>
      <c r="DT97" s="52"/>
      <c r="DU97" s="52"/>
      <c r="DV97" s="11"/>
      <c r="DW97" s="52"/>
      <c r="DX97" s="52"/>
      <c r="DY97" s="52"/>
      <c r="DZ97" s="52"/>
      <c r="EA97" s="11"/>
      <c r="EB97" s="1008"/>
      <c r="EC97" s="1008"/>
      <c r="ED97" s="1008"/>
      <c r="EE97" s="1008"/>
      <c r="EF97" s="1008"/>
      <c r="EG97" s="1243"/>
    </row>
    <row r="98" spans="1:147" hidden="1" outlineLevel="1" x14ac:dyDescent="0.2">
      <c r="A98" s="20" t="s">
        <v>725</v>
      </c>
      <c r="B98" s="25"/>
      <c r="C98" s="25"/>
      <c r="D98" s="25"/>
      <c r="E98" s="25"/>
      <c r="F98" s="25"/>
      <c r="G98" s="25"/>
      <c r="H98" s="25"/>
      <c r="I98" s="25"/>
      <c r="J98" s="25"/>
      <c r="K98" s="25"/>
      <c r="L98" s="25"/>
      <c r="M98" s="25"/>
      <c r="N98" s="25"/>
      <c r="O98" s="25"/>
      <c r="P98" s="25"/>
      <c r="Q98" s="25"/>
      <c r="R98" s="25"/>
      <c r="S98" s="25"/>
      <c r="T98" s="25"/>
      <c r="U98" s="25"/>
      <c r="V98" s="25"/>
      <c r="W98" s="25"/>
      <c r="X98" s="25"/>
      <c r="Y98" s="25"/>
      <c r="Z98" s="99"/>
      <c r="AA98" s="25"/>
      <c r="AB98" s="25"/>
      <c r="AC98" s="25"/>
      <c r="AD98" s="25"/>
      <c r="AE98" s="25"/>
      <c r="AF98" s="25"/>
      <c r="AG98" s="25"/>
      <c r="AH98" s="25"/>
      <c r="AI98" s="25"/>
      <c r="AJ98" s="25"/>
      <c r="AK98" s="25"/>
      <c r="AL98" s="25"/>
      <c r="AM98" s="25"/>
      <c r="AN98" s="25"/>
      <c r="AO98" s="98"/>
      <c r="AP98" s="25">
        <f>AP37+AP48</f>
        <v>150</v>
      </c>
      <c r="AQ98" s="25">
        <f>AQ37+AQ48</f>
        <v>315</v>
      </c>
      <c r="AR98" s="25">
        <f>AR37+AR48</f>
        <v>327</v>
      </c>
      <c r="AS98" s="25">
        <f>AS37+AS48</f>
        <v>101</v>
      </c>
      <c r="AT98" s="98">
        <f>SUM(AP98:AS98)</f>
        <v>893</v>
      </c>
      <c r="AU98" s="160">
        <f>AU37+AU48</f>
        <v>226</v>
      </c>
      <c r="AV98" s="160">
        <f>AV37+AV48</f>
        <v>160</v>
      </c>
      <c r="AW98" s="160">
        <f>AW37+AW48</f>
        <v>303</v>
      </c>
      <c r="AX98" s="160">
        <f>AX37+AX48</f>
        <v>119</v>
      </c>
      <c r="AY98" s="380">
        <f>SUM(AU98:AX98)</f>
        <v>808</v>
      </c>
      <c r="AZ98" s="160">
        <f t="shared" ref="AZ98:CH98" si="203">AZ37+AZ48</f>
        <v>299</v>
      </c>
      <c r="BA98" s="160">
        <f t="shared" si="203"/>
        <v>178</v>
      </c>
      <c r="BB98" s="160">
        <f t="shared" si="203"/>
        <v>436</v>
      </c>
      <c r="BC98" s="160">
        <f t="shared" si="203"/>
        <v>220</v>
      </c>
      <c r="BD98" s="380">
        <f t="shared" si="203"/>
        <v>1133</v>
      </c>
      <c r="BE98" s="160">
        <f t="shared" si="203"/>
        <v>264</v>
      </c>
      <c r="BF98" s="160">
        <f t="shared" si="203"/>
        <v>107</v>
      </c>
      <c r="BG98" s="160">
        <f t="shared" si="203"/>
        <v>381</v>
      </c>
      <c r="BH98" s="160">
        <f t="shared" si="203"/>
        <v>76</v>
      </c>
      <c r="BI98" s="380">
        <f t="shared" si="203"/>
        <v>828</v>
      </c>
      <c r="BJ98" s="160">
        <f t="shared" si="203"/>
        <v>169</v>
      </c>
      <c r="BK98" s="160">
        <f t="shared" si="203"/>
        <v>-30</v>
      </c>
      <c r="BL98" s="160">
        <f t="shared" si="203"/>
        <v>491</v>
      </c>
      <c r="BM98" s="160">
        <f t="shared" si="203"/>
        <v>47</v>
      </c>
      <c r="BN98" s="380">
        <f t="shared" si="203"/>
        <v>677</v>
      </c>
      <c r="BO98" s="160">
        <f t="shared" si="203"/>
        <v>276</v>
      </c>
      <c r="BP98" s="160">
        <f t="shared" si="203"/>
        <v>318</v>
      </c>
      <c r="BQ98" s="160">
        <f t="shared" si="203"/>
        <v>468</v>
      </c>
      <c r="BR98" s="160">
        <f t="shared" si="203"/>
        <v>327</v>
      </c>
      <c r="BS98" s="380">
        <f t="shared" si="203"/>
        <v>1389</v>
      </c>
      <c r="BT98" s="160">
        <f t="shared" si="203"/>
        <v>352</v>
      </c>
      <c r="BU98" s="160">
        <f t="shared" si="203"/>
        <v>-8</v>
      </c>
      <c r="BV98" s="160">
        <f t="shared" si="203"/>
        <v>619</v>
      </c>
      <c r="BW98" s="160">
        <f t="shared" si="203"/>
        <v>201</v>
      </c>
      <c r="BX98" s="380">
        <f t="shared" si="203"/>
        <v>1164</v>
      </c>
      <c r="BY98" s="160">
        <f t="shared" si="203"/>
        <v>82</v>
      </c>
      <c r="BZ98" s="160">
        <f t="shared" si="203"/>
        <v>246</v>
      </c>
      <c r="CA98" s="160">
        <f t="shared" si="203"/>
        <v>743</v>
      </c>
      <c r="CB98" s="160">
        <f t="shared" si="203"/>
        <v>218</v>
      </c>
      <c r="CC98" s="380">
        <f t="shared" si="203"/>
        <v>1289</v>
      </c>
      <c r="CD98" s="160">
        <f t="shared" si="203"/>
        <v>248</v>
      </c>
      <c r="CE98" s="160">
        <f t="shared" si="203"/>
        <v>71</v>
      </c>
      <c r="CF98" s="160">
        <f t="shared" si="203"/>
        <v>647</v>
      </c>
      <c r="CG98" s="160">
        <f t="shared" si="203"/>
        <v>287</v>
      </c>
      <c r="CH98" s="380">
        <f t="shared" si="203"/>
        <v>1253</v>
      </c>
      <c r="CI98" s="160"/>
      <c r="CJ98" s="160"/>
      <c r="CK98" s="160"/>
      <c r="CL98" s="160"/>
      <c r="CM98" s="380">
        <f t="shared" ref="CM98:DA98" si="204">CM37+CM48</f>
        <v>1113</v>
      </c>
      <c r="CN98" s="921">
        <f t="shared" si="204"/>
        <v>59.917001338688095</v>
      </c>
      <c r="CO98" s="160">
        <f t="shared" si="204"/>
        <v>80.607764390896932</v>
      </c>
      <c r="CP98" s="160">
        <f t="shared" si="204"/>
        <v>77.159303882195459</v>
      </c>
      <c r="CQ98" s="326">
        <f t="shared" si="204"/>
        <v>104.31593038821956</v>
      </c>
      <c r="CR98" s="327">
        <f t="shared" si="204"/>
        <v>1105</v>
      </c>
      <c r="CS98" s="160">
        <f t="shared" si="204"/>
        <v>126.84730062237662</v>
      </c>
      <c r="CT98" s="160">
        <f t="shared" si="204"/>
        <v>159.15269937762338</v>
      </c>
      <c r="CU98" s="160">
        <f t="shared" si="204"/>
        <v>271.46919959473149</v>
      </c>
      <c r="CV98" s="160">
        <f t="shared" si="204"/>
        <v>622.53080040526856</v>
      </c>
      <c r="CW98" s="380">
        <f t="shared" si="204"/>
        <v>1180</v>
      </c>
      <c r="CX98" s="160">
        <f t="shared" si="204"/>
        <v>392</v>
      </c>
      <c r="CY98" s="160">
        <f t="shared" si="204"/>
        <v>220</v>
      </c>
      <c r="CZ98" s="326">
        <f t="shared" si="204"/>
        <v>595</v>
      </c>
      <c r="DA98" s="160">
        <f t="shared" si="204"/>
        <v>1295</v>
      </c>
      <c r="DB98" s="380">
        <f>DB75</f>
        <v>712</v>
      </c>
      <c r="DC98" s="326">
        <f>DC75</f>
        <v>360.86085961743493</v>
      </c>
      <c r="DD98" s="326">
        <f t="shared" ref="DD98:DQ98" si="205">DD37+DD48</f>
        <v>446.85645979730316</v>
      </c>
      <c r="DE98" s="326">
        <f t="shared" si="205"/>
        <v>374.8653351706642</v>
      </c>
      <c r="DF98" s="326">
        <f t="shared" si="205"/>
        <v>560.05003652345772</v>
      </c>
      <c r="DG98" s="327">
        <f t="shared" si="205"/>
        <v>1958.6326911088599</v>
      </c>
      <c r="DH98" s="326">
        <f t="shared" si="205"/>
        <v>119.99506632354846</v>
      </c>
      <c r="DI98" s="326">
        <f t="shared" si="205"/>
        <v>386.44989691586534</v>
      </c>
      <c r="DJ98" s="326">
        <f t="shared" si="205"/>
        <v>413.12587313382926</v>
      </c>
      <c r="DK98" s="326">
        <f t="shared" si="205"/>
        <v>801.6937368596823</v>
      </c>
      <c r="DL98" s="327">
        <f t="shared" si="205"/>
        <v>1721.2645732329252</v>
      </c>
      <c r="DM98" s="326">
        <f t="shared" si="205"/>
        <v>-15.54569266743394</v>
      </c>
      <c r="DN98" s="326">
        <f t="shared" si="205"/>
        <v>342.55257969779325</v>
      </c>
      <c r="DO98" s="326">
        <f t="shared" si="205"/>
        <v>362.71176989878643</v>
      </c>
      <c r="DP98" s="326">
        <f t="shared" si="205"/>
        <v>815.44102133174499</v>
      </c>
      <c r="DQ98" s="327">
        <f t="shared" si="205"/>
        <v>1505.1596782608908</v>
      </c>
      <c r="DR98" s="326">
        <f t="shared" ref="DR98:EA98" si="206">DR37+DR48</f>
        <v>-10.654502086971721</v>
      </c>
      <c r="DS98" s="326">
        <f t="shared" si="206"/>
        <v>379.39265104686643</v>
      </c>
      <c r="DT98" s="326">
        <f t="shared" si="206"/>
        <v>398.19203956535148</v>
      </c>
      <c r="DU98" s="326">
        <f t="shared" si="206"/>
        <v>918.81361707879444</v>
      </c>
      <c r="DV98" s="327">
        <f t="shared" si="206"/>
        <v>1685.7438056040407</v>
      </c>
      <c r="DW98" s="326">
        <f t="shared" si="206"/>
        <v>-33.796557500391259</v>
      </c>
      <c r="DX98" s="326">
        <f t="shared" si="206"/>
        <v>420.07711322328066</v>
      </c>
      <c r="DY98" s="326">
        <f t="shared" si="206"/>
        <v>438.84884400915297</v>
      </c>
      <c r="DZ98" s="326">
        <f t="shared" si="206"/>
        <v>1052.0569904042591</v>
      </c>
      <c r="EA98" s="327">
        <f t="shared" si="206"/>
        <v>1877.1863901363013</v>
      </c>
      <c r="EB98" s="1008"/>
      <c r="EC98" s="1008"/>
      <c r="ED98" s="1008"/>
      <c r="EE98" s="1008"/>
      <c r="EF98" s="935"/>
      <c r="EG98" s="1243"/>
    </row>
    <row r="99" spans="1:147" hidden="1" outlineLevel="1" x14ac:dyDescent="0.2">
      <c r="A99" s="318" t="s">
        <v>463</v>
      </c>
      <c r="B99" s="11"/>
      <c r="C99" s="11"/>
      <c r="D99" s="11"/>
      <c r="E99" s="11"/>
      <c r="F99" s="11"/>
      <c r="G99" s="11"/>
      <c r="H99" s="11"/>
      <c r="I99" s="11"/>
      <c r="J99" s="11"/>
      <c r="K99" s="11"/>
      <c r="L99" s="11"/>
      <c r="M99" s="11"/>
      <c r="N99" s="11"/>
      <c r="O99" s="11"/>
      <c r="P99" s="11"/>
      <c r="Q99" s="11"/>
      <c r="R99" s="11"/>
      <c r="S99" s="11"/>
      <c r="T99" s="11"/>
      <c r="U99" s="11"/>
      <c r="V99" s="11"/>
      <c r="W99" s="11"/>
      <c r="X99" s="11"/>
      <c r="Y99" s="11"/>
      <c r="Z99" s="330"/>
      <c r="AA99" s="330"/>
      <c r="AB99" s="330"/>
      <c r="AC99" s="330"/>
      <c r="AD99" s="330"/>
      <c r="AE99" s="330"/>
      <c r="AF99" s="330"/>
      <c r="AG99" s="330"/>
      <c r="AH99" s="330"/>
      <c r="AI99" s="330"/>
      <c r="AJ99" s="330"/>
      <c r="AK99" s="330"/>
      <c r="AL99" s="330"/>
      <c r="AM99" s="330"/>
      <c r="AN99" s="330"/>
      <c r="AO99" s="330"/>
      <c r="AP99" s="331"/>
      <c r="AQ99" s="331"/>
      <c r="AR99" s="331"/>
      <c r="AS99" s="330"/>
      <c r="AT99" s="330"/>
      <c r="AU99" s="330">
        <f>(AU98+AS98+AR98+AQ98)/(AVERAGE('IS '!AU65,'IS '!AS65,'IS '!AR65,'IS '!AQ65))</f>
        <v>1.6451612903225807</v>
      </c>
      <c r="AV99" s="330">
        <f>(AV98+AU98+AS98+AR98)/(AVERAGE('IS '!AV65,'IS '!AU65,'IS '!AS65,'IS '!AR65))</f>
        <v>1.4070872947277442</v>
      </c>
      <c r="AW99" s="330">
        <f>(AW98+AV98+AU98+AS98)/(AVERAGE('IS '!AW65,'IS '!AV65,'IS '!AU65,'IS '!AS65))</f>
        <v>1.3908450704225352</v>
      </c>
      <c r="AX99" s="330">
        <f>(AX98+AW98+AV98+AU98)/'IS '!AY65</f>
        <v>1.4326241134751774</v>
      </c>
      <c r="AY99" s="330">
        <f>AY98/'IS '!AY65</f>
        <v>1.4326241134751774</v>
      </c>
      <c r="AZ99" s="330">
        <f>(AZ98+AX98+AW98+AV98)/(AVERAGE('IS '!AZ65,'IS '!AX65,'IS '!AW65,'IS '!AV65))</f>
        <v>1.5859585958595859</v>
      </c>
      <c r="BA99" s="330">
        <f>(BA98+AZ98+AX98+AW98)/(AVERAGE('IS '!BA65,'IS '!AZ65,'IS '!AX65,'IS '!AW65))</f>
        <v>1.6293611236973267</v>
      </c>
      <c r="BB99" s="330">
        <f>(BB98+BA98+AZ98+AX98)/(AVERAGE('IS '!BB65,'IS '!BA65,'IS '!AZ65,'IS '!AX65))</f>
        <v>1.8814949863263446</v>
      </c>
      <c r="BC99" s="330">
        <f>(BC98+BB98+BA98+AZ98)/'IS '!BD65</f>
        <v>2.0942698706099816</v>
      </c>
      <c r="BD99" s="330">
        <f>BD98/'IS '!BD65</f>
        <v>2.0942698706099816</v>
      </c>
      <c r="BE99" s="330">
        <f>(BE98+BC98+BB98+BA98)/(AVERAGE('IS '!BE65,'IS '!BC65,'IS '!BB65,'IS '!BA65))</f>
        <v>2.0716981132075474</v>
      </c>
      <c r="BF99" s="330">
        <f>(BF98+BE98+BC98+BB98)/(AVERAGE('IS '!BF65,'IS '!BE65,'IS '!BC65,'IS '!BB65))</f>
        <v>1.9835828102366007</v>
      </c>
      <c r="BG99" s="330">
        <f>(BG98+BF98+BE98+BC98)/(AVERAGE('IS '!BG65,'IS '!BF65,'IS '!BE65,'IS '!BC65))</f>
        <v>1.9276152702032723</v>
      </c>
      <c r="BH99" s="330">
        <f>(BH98+BG98+BF98+BE98)/'IS '!BI65</f>
        <v>1.6863543788187372</v>
      </c>
      <c r="BI99" s="330">
        <f>BI98/'IS '!BI65</f>
        <v>1.6863543788187372</v>
      </c>
      <c r="BJ99" s="330">
        <f>(BJ98+BH98+BG98+BF98)/(AVERAGE('IS '!BJ65,'IS '!BH65,'IS '!BG65,'IS '!BF65))</f>
        <v>1.5090066906845085</v>
      </c>
      <c r="BK99" s="330">
        <f>(BK98+BJ98+BH98+BG98)/(AVERAGE('IS '!BK65,'IS '!BJ65,'IS '!BH65,'IS '!BG65))</f>
        <v>1.2365145228215768</v>
      </c>
      <c r="BL99" s="330">
        <f>(BL98+BK98+BJ98+BH98)/(AVERAGE('IS '!BL65,'IS '!BK65,'IS '!BJ65,'IS '!BH65))</f>
        <v>1.4662512980269991</v>
      </c>
      <c r="BM99" s="330">
        <f>(BM98+BL98+BK98+BJ98)/'IS '!BN65</f>
        <v>1.4016563146997929</v>
      </c>
      <c r="BN99" s="330">
        <f>BN98/'IS '!BN65</f>
        <v>1.4016563146997929</v>
      </c>
      <c r="BO99" s="330">
        <f>(BO98+BM98+BL98+BK98)/(AVERAGE('IS '!BO65,'IS '!BM65,'IS '!BL65,'IS '!BK65))</f>
        <v>1.6181630546955625</v>
      </c>
      <c r="BP99" s="330">
        <f>(BP98+BO98+BM98+BL98)/(AVERAGE('IS '!BP65,'IS '!BO65,'IS '!BM65,'IS '!BL65))</f>
        <v>2.3340206185567012</v>
      </c>
      <c r="BQ99" s="330">
        <f>(BQ98+BP98+BO98+BM98)/(AVERAGE('IS '!BQ65,'IS '!BP65,'IS '!BO65,'IS '!BM65))</f>
        <v>2.2877772047447138</v>
      </c>
      <c r="BR99" s="330">
        <f>(BR98+BQ98+BP98+BO98)/'IS '!BS65</f>
        <v>2.8609680741503603</v>
      </c>
      <c r="BS99" s="330">
        <f>BS98/'IS '!BS65</f>
        <v>2.8609680741503603</v>
      </c>
      <c r="BT99" s="330">
        <f>(BT98+BR98+BQ98+BP98)/(AVERAGE('IS '!BT65,'IS '!BR65,'IS '!BQ65,'IS '!BP65))</f>
        <v>3.0159547092125578</v>
      </c>
      <c r="BU99" s="330">
        <f>(BU98+BT98+BR98+BQ98)/(AVERAGE('IS '!BU65,'IS '!BT65,'IS '!BR65,'IS '!BQ65))</f>
        <v>2.3460350154479919</v>
      </c>
      <c r="BV99" s="330">
        <f>(BV98+BU98+BT98+BR98)/(AVERAGE('IS '!BV65,'IS '!BU65,'IS '!BT65,'IS '!BR65))</f>
        <v>2.6611655492521917</v>
      </c>
      <c r="BW99" s="330">
        <f>(BW98+BV98+BU98+BT98)/'IS '!BX65</f>
        <v>2.4149377593360994</v>
      </c>
      <c r="BX99" s="330">
        <f>BX98/'IS '!BX65</f>
        <v>2.4149377593360994</v>
      </c>
      <c r="BY99" s="330">
        <f>(BY98+BW98+BV98+BU98)/(AVERAGE('IS '!BY65,'IS '!BW65,'IS '!BV65,'IS '!BU65))</f>
        <v>1.8625</v>
      </c>
      <c r="BZ99" s="330">
        <f>(BZ98+BY98+BW98+BV98)/(AVERAGE('IS '!BZ65,'IS '!BY65,'IS '!BW65,'IS '!BV65))</f>
        <v>2.40041819132253</v>
      </c>
      <c r="CA99" s="330">
        <f>(CA98+BZ98+BY98+BW98)/(AVERAGE('IS '!CA65,'IS '!BZ65,'IS '!BY65,'IS '!BW65))</f>
        <v>2.672268907563025</v>
      </c>
      <c r="CB99" s="330">
        <f>(CB98+CA98+BZ98+BY98)/'IS '!CC65</f>
        <v>2.7251585623678647</v>
      </c>
      <c r="CC99" s="330">
        <f>CC98/'IS '!CC65</f>
        <v>2.7251585623678647</v>
      </c>
      <c r="CD99" s="330">
        <f>(CD98+CB98+CA98+BZ98)/(AVERAGE('IS '!CD65,'IS '!CB65,'IS '!CA65,'IS '!BZ65))</f>
        <v>3.0924548352816155</v>
      </c>
      <c r="CE99" s="330">
        <f>(CE98+CD98+CB98+CA98)/(AVERAGE('IS '!CE65,'IS '!CD65,'IS '!CB65,'IS '!CA65))</f>
        <v>2.7394328517924023</v>
      </c>
      <c r="CF99" s="330">
        <f>(CF98+CE98+CD98+CB98)/(AVERAGE('IS '!CF65,'IS '!CE65,'IS '!CD65,'IS '!CB65))</f>
        <v>2.5489773950484391</v>
      </c>
      <c r="CG99" s="330">
        <f>(CG98+CF98+CE98+CD98)/'IS '!CH65</f>
        <v>2.7180043383947941</v>
      </c>
      <c r="CH99" s="330">
        <f>CH98/'IS '!CH65</f>
        <v>2.7180043383947941</v>
      </c>
      <c r="CI99" s="330"/>
      <c r="CJ99" s="330"/>
      <c r="CK99" s="330"/>
      <c r="CL99" s="330"/>
      <c r="CM99" s="330">
        <f>CM98/'IS '!CM65</f>
        <v>2.4569536423841059</v>
      </c>
      <c r="CN99" s="922">
        <f>(CN98+CL98+CK98+CJ98)/(AVERAGE('IS '!CN65,'IS '!CL65,'IS '!CK65,'IS '!CJ65))</f>
        <v>0.13359420588336254</v>
      </c>
      <c r="CO99" s="330">
        <f>(CO98+CN98+CL98+CK98)/(AVERAGE('IS '!CO65,'IS '!CN65,'IS '!CL65,'IS '!CK65))</f>
        <v>0.3150073206222484</v>
      </c>
      <c r="CP99" s="330">
        <f>(CP98+CO98+CN98+CL98)/(AVERAGE('IS '!CP65,'IS '!CO65,'IS '!CN65,'IS '!CL65))</f>
        <v>0.49016903763066982</v>
      </c>
      <c r="CQ99" s="330">
        <f>(CQ98+CP98+CO98+CN98)/'IS '!CR65</f>
        <v>0.72686230248306993</v>
      </c>
      <c r="CR99" s="330">
        <f>CR98/'IS '!CR65</f>
        <v>2.4943566591422122</v>
      </c>
      <c r="CS99" s="330">
        <f>(CS98+CQ98+CP98+CO98)/(AVERAGE('IS '!CS65,'IS '!CQ65,'IS '!CP65,'IS '!CO65))</f>
        <v>0.88928844011361274</v>
      </c>
      <c r="CT99" s="330">
        <f>(CT98+CS98+CQ98+CP98)/(AVERAGE('IS '!CT65,'IS '!CS65,'IS '!CQ65,'IS '!CP65))</f>
        <v>1.0877841402452937</v>
      </c>
      <c r="CU99" s="330">
        <f>(CU98+CT98+CS98+CQ98)/(AVERAGE('IS '!CU65,'IS '!CT65,'IS '!CS65,'IS '!CQ65))</f>
        <v>1.5851140837914994</v>
      </c>
      <c r="CV99" s="330">
        <f>(CV98+CU98+CT98+CS98)/'IS '!CW65</f>
        <v>2.95</v>
      </c>
      <c r="CW99" s="330">
        <f>CW98/'IS '!CW65</f>
        <v>2.95</v>
      </c>
      <c r="CX99" s="330">
        <f>(CX98+CV98+CU98+CT98)/(AVERAGE('IS '!CX65,'IS '!CV65,'IS '!CU65,'IS '!CT65))</f>
        <v>3.7390755481956619</v>
      </c>
      <c r="CY99" s="330">
        <f>(CY98+CX98+CV98+CU98)/(AVERAGE('IS '!CY65,'IS '!CX65,'IS '!CV65,'IS '!CU65))</f>
        <v>4.0456682337139016</v>
      </c>
      <c r="CZ99" s="330">
        <f>(CZ98+CY98+CX98+CV98)/(AVERAGE('IS '!CZ65,'IS '!CY65,'IS '!CX65,'IS '!CV65))</f>
        <v>5.0574451980795265</v>
      </c>
      <c r="DA99" s="330">
        <f>(DA98+CZ98+CY98+CX98)/'IS '!DB65</f>
        <v>7.0478873239436624</v>
      </c>
      <c r="DB99" s="330">
        <f>DB98/'IS '!DB65</f>
        <v>2.0056338028169014</v>
      </c>
      <c r="DC99" s="330">
        <f>(DC98+DA98+CZ98+CY98)/(AVERAGE('IS '!DC65,'IS '!DA65,'IS '!CZ65,'IS '!CY65))</f>
        <v>7.073881222271047</v>
      </c>
      <c r="DD99" s="330">
        <f>(DD98+DC98+DA98+CZ98)/(AVERAGE('IS '!DD65,'IS '!DC65,'IS '!DA65,'IS '!CZ65))</f>
        <v>7.854427491320596</v>
      </c>
      <c r="DE99" s="330">
        <f>(DE98+DD98+DC98+DA98)/(AVERAGE('IS '!DE65,'IS '!DD65,'IS '!DC65,'IS '!DA65))</f>
        <v>7.3449490843830025</v>
      </c>
      <c r="DF99" s="330">
        <f>(DF98+DE98+DD98+DC98)/'IS '!DG65</f>
        <v>5.2497281172162609</v>
      </c>
      <c r="DG99" s="330">
        <f>DG98/'IS '!DG65</f>
        <v>5.9004339596489368</v>
      </c>
      <c r="DH99" s="330">
        <f>(DH98+DF98+DE98+DD98)/(AVERAGE('IS '!DH65,'IS '!DF65,'IS '!DE65,'IS '!DD65))</f>
        <v>4.5984574409435961</v>
      </c>
      <c r="DI99" s="330">
        <f>(DI98+DH98+DF98+DE98)/(AVERAGE('IS '!DI65,'IS '!DH65,'IS '!DF65,'IS '!DE65))</f>
        <v>4.4782769780921354</v>
      </c>
      <c r="DJ99" s="330">
        <f>(DJ98+DI98+DH98+DF98)/(AVERAGE('IS '!DJ65,'IS '!DI65,'IS '!DH65,'IS '!DF65))</f>
        <v>4.6565183421694831</v>
      </c>
      <c r="DK99" s="330">
        <f>(DK98+DJ98+DI98+DH98)/'IS '!DL65</f>
        <v>5.4772708157029344</v>
      </c>
      <c r="DL99" s="330">
        <f>DL98/'IS '!DL65</f>
        <v>5.4772708157029335</v>
      </c>
      <c r="DM99" s="330">
        <f>(DM98+DK98+DJ98+DI98)/(AVERAGE('IS '!DM65,'IS '!DK65,'IS '!DJ65,'IS '!DI65))</f>
        <v>5.0932542246270431</v>
      </c>
      <c r="DN99" s="330">
        <f>(DN98+DM98+DK98+DJ98)/(AVERAGE('IS '!DN65,'IS '!DM65,'IS '!DK65,'IS '!DJ65))</f>
        <v>4.9902121895316194</v>
      </c>
      <c r="DO99" s="330">
        <f>(DO98+DN98+DM98+DK98)/(AVERAGE('IS '!DO65,'IS '!DN65,'IS '!DM65,'IS '!DK65))</f>
        <v>4.8557851607219531</v>
      </c>
      <c r="DP99" s="330">
        <f>(DP98+DO98+DN98+DM98)/'IS '!DQ65</f>
        <v>4.9213456237867463</v>
      </c>
      <c r="DQ99" s="330">
        <f>DQ98/'IS '!DQ65</f>
        <v>4.9213456237867472</v>
      </c>
      <c r="DR99" s="330">
        <f>(DR98+DP98+DO98+DN98)/(AVERAGE('IS '!DR65,'IS '!DP65,'IS '!DO65,'IS '!DN65))</f>
        <v>4.9537947210388689</v>
      </c>
      <c r="DS99" s="330">
        <f>(DS98+DR98+DP98+DO98)/(AVERAGE('IS '!DS65,'IS '!DR65,'IS '!DP65,'IS '!DO65))</f>
        <v>5.0910051688793585</v>
      </c>
      <c r="DT99" s="330">
        <f>(DT98+DS98+DR98+DP98)/(AVERAGE('IS '!DT65,'IS '!DS65,'IS '!DR65,'IS '!DP65))</f>
        <v>5.2239914865030839</v>
      </c>
      <c r="DU99" s="330">
        <f>(DU98+DT98+DS98+DR98)/'IS '!DV65</f>
        <v>5.5819934343365851</v>
      </c>
      <c r="DV99" s="330">
        <f>DV98/'IS '!DV65</f>
        <v>5.581993434336586</v>
      </c>
      <c r="DW99" s="330">
        <f>(DW98+DU98+DT98+DS98)/(AVERAGE('IS '!DW65,'IS '!DU65,'IS '!DT65,'IS '!DS65))</f>
        <v>5.5213292486159418</v>
      </c>
      <c r="DX99" s="330">
        <f>(DX98+DW98+DU98+DT98)/(AVERAGE('IS '!DX65,'IS '!DW65,'IS '!DU65,'IS '!DT65))</f>
        <v>5.6722488977147023</v>
      </c>
      <c r="DY99" s="330">
        <f>(DY98+DX98+DW98+DU98)/(AVERAGE('IS '!DY65,'IS '!DX65,'IS '!DW65,'IS '!DU65))</f>
        <v>5.8232752767089044</v>
      </c>
      <c r="DZ99" s="330">
        <f>(DZ98+DY98+DX98+DW98)/'IS '!EA65</f>
        <v>6.2844245880689611</v>
      </c>
      <c r="EA99" s="330">
        <f>EA98/'IS '!EA65</f>
        <v>6.2844245880689611</v>
      </c>
      <c r="EB99" s="1008"/>
      <c r="EC99" s="1008"/>
      <c r="ED99" s="1008"/>
      <c r="EE99" s="1008"/>
      <c r="EF99" s="1002"/>
      <c r="EG99" s="1243"/>
    </row>
    <row r="100" spans="1:147" collapsed="1" x14ac:dyDescent="0.2">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7"/>
      <c r="AQ100" s="117"/>
      <c r="AR100" s="117"/>
      <c r="AS100" s="11"/>
      <c r="AT100" s="11"/>
      <c r="AU100" s="11"/>
      <c r="AV100" s="11"/>
      <c r="AW100" s="330"/>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850"/>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935"/>
      <c r="EC100" s="935"/>
      <c r="ED100" s="935"/>
      <c r="EE100" s="935"/>
      <c r="EF100" s="1003"/>
      <c r="EG100" s="1244"/>
    </row>
    <row r="101" spans="1:147" x14ac:dyDescent="0.2">
      <c r="A101" s="20" t="s">
        <v>70</v>
      </c>
      <c r="B101" s="25"/>
      <c r="C101" s="25"/>
      <c r="D101" s="25"/>
      <c r="E101" s="25"/>
      <c r="F101" s="25"/>
      <c r="G101" s="25"/>
      <c r="H101" s="25"/>
      <c r="I101" s="25"/>
      <c r="J101" s="25"/>
      <c r="K101" s="25"/>
      <c r="L101" s="98"/>
      <c r="M101" s="25"/>
      <c r="N101" s="25"/>
      <c r="O101" s="25"/>
      <c r="P101" s="25"/>
      <c r="Q101" s="98"/>
      <c r="R101" s="25"/>
      <c r="S101" s="25"/>
      <c r="T101" s="25"/>
      <c r="U101" s="25"/>
      <c r="V101" s="98"/>
      <c r="W101" s="25"/>
      <c r="X101" s="25"/>
      <c r="Y101" s="25"/>
      <c r="Z101" s="25"/>
      <c r="AA101" s="98"/>
      <c r="AB101" s="25"/>
      <c r="AC101" s="25"/>
      <c r="AD101" s="25"/>
      <c r="AE101" s="98"/>
      <c r="AF101" s="160"/>
      <c r="AG101" s="160"/>
      <c r="AH101" s="160"/>
      <c r="AI101" s="160"/>
      <c r="AJ101" s="380"/>
      <c r="AK101" s="160"/>
      <c r="AL101" s="160"/>
      <c r="AM101" s="160"/>
      <c r="AN101" s="160"/>
      <c r="AO101" s="380"/>
      <c r="AP101" s="160"/>
      <c r="AQ101" s="160"/>
      <c r="AR101" s="160"/>
      <c r="AS101" s="160"/>
      <c r="AT101" s="380"/>
      <c r="AU101" s="160"/>
      <c r="AV101" s="160"/>
      <c r="AW101" s="160"/>
      <c r="AX101" s="160"/>
      <c r="AY101" s="380"/>
      <c r="AZ101" s="160"/>
      <c r="BA101" s="160"/>
      <c r="BB101" s="160"/>
      <c r="BC101" s="160"/>
      <c r="BD101" s="380"/>
      <c r="BE101" s="160"/>
      <c r="BF101" s="160"/>
      <c r="BG101" s="160"/>
      <c r="BH101" s="160"/>
      <c r="BI101" s="380"/>
      <c r="BJ101" s="160"/>
      <c r="BK101" s="160"/>
      <c r="BL101" s="160"/>
      <c r="BM101" s="160"/>
      <c r="BN101" s="380"/>
      <c r="BO101" s="160"/>
      <c r="BP101" s="160"/>
      <c r="BQ101" s="160"/>
      <c r="BR101" s="160"/>
      <c r="BS101" s="380"/>
      <c r="BT101" s="160"/>
      <c r="BU101" s="160"/>
      <c r="BV101" s="160"/>
      <c r="BW101" s="160"/>
      <c r="BX101" s="380"/>
      <c r="BY101" s="160"/>
      <c r="BZ101" s="160"/>
      <c r="CA101" s="160"/>
      <c r="CB101" s="160"/>
      <c r="CC101" s="380"/>
      <c r="CD101" s="160"/>
      <c r="CE101" s="160"/>
      <c r="CF101" s="160"/>
      <c r="CG101" s="160"/>
      <c r="CH101" s="380"/>
      <c r="CI101" s="160"/>
      <c r="CJ101" s="160"/>
      <c r="CK101" s="160"/>
      <c r="CL101" s="160"/>
      <c r="CM101" s="380"/>
      <c r="CN101" s="921"/>
      <c r="CO101" s="160"/>
      <c r="CP101" s="160"/>
      <c r="CQ101" s="326"/>
      <c r="CR101" s="327"/>
      <c r="CS101" s="160"/>
      <c r="CT101" s="160"/>
      <c r="CU101" s="160"/>
      <c r="CV101" s="160"/>
      <c r="CW101" s="380"/>
      <c r="CX101" s="160"/>
      <c r="CY101" s="326"/>
      <c r="CZ101" s="326"/>
      <c r="DA101" s="160"/>
      <c r="DB101" s="380"/>
      <c r="DC101" s="326"/>
      <c r="DD101" s="326"/>
      <c r="DE101" s="326"/>
      <c r="DF101" s="326"/>
      <c r="DG101" s="327"/>
      <c r="DH101" s="326"/>
      <c r="DI101" s="326"/>
      <c r="DJ101" s="326"/>
      <c r="DK101" s="326"/>
      <c r="DL101" s="327"/>
      <c r="DM101" s="326"/>
      <c r="DN101" s="326"/>
      <c r="DO101" s="326"/>
      <c r="DP101" s="326"/>
      <c r="DQ101" s="327"/>
      <c r="DR101" s="326"/>
      <c r="DS101" s="326"/>
      <c r="DT101" s="326"/>
      <c r="DU101" s="326"/>
      <c r="DV101" s="327"/>
      <c r="DW101" s="326"/>
      <c r="DX101" s="326"/>
      <c r="DY101" s="326"/>
      <c r="DZ101" s="326"/>
      <c r="EA101" s="327"/>
      <c r="EB101" s="1002"/>
      <c r="EC101" s="1002"/>
      <c r="ED101" s="1002"/>
      <c r="EE101" s="1002"/>
      <c r="EF101" s="1003"/>
      <c r="EG101" s="1244"/>
    </row>
    <row r="102" spans="1:147" x14ac:dyDescent="0.2">
      <c r="A102" s="14" t="s">
        <v>247</v>
      </c>
      <c r="B102" s="55"/>
      <c r="C102" s="55"/>
      <c r="D102" s="55"/>
      <c r="E102" s="55"/>
      <c r="F102" s="55"/>
      <c r="G102" s="55"/>
      <c r="H102" s="55"/>
      <c r="I102" s="55"/>
      <c r="J102" s="55"/>
      <c r="K102" s="55"/>
      <c r="L102" s="60"/>
      <c r="M102" s="62"/>
      <c r="N102" s="62"/>
      <c r="O102" s="62"/>
      <c r="P102" s="62"/>
      <c r="Q102" s="60"/>
      <c r="R102" s="62"/>
      <c r="S102" s="62"/>
      <c r="T102" s="62"/>
      <c r="U102" s="62"/>
      <c r="V102" s="60"/>
      <c r="W102" s="62"/>
      <c r="X102" s="62"/>
      <c r="Y102" s="62"/>
      <c r="Z102" s="62"/>
      <c r="AA102" s="60"/>
      <c r="AB102" s="62"/>
      <c r="AC102" s="62"/>
      <c r="AD102" s="62"/>
      <c r="AE102" s="60"/>
      <c r="AF102" s="62"/>
      <c r="AG102" s="62"/>
      <c r="AH102" s="62"/>
      <c r="AI102" s="62"/>
      <c r="AJ102" s="60"/>
      <c r="AK102" s="62"/>
      <c r="AL102" s="62"/>
      <c r="AM102" s="62"/>
      <c r="AN102" s="62"/>
      <c r="AO102" s="60"/>
      <c r="AP102" s="62"/>
      <c r="AQ102" s="62"/>
      <c r="AR102" s="62"/>
      <c r="AS102" s="62"/>
      <c r="AT102" s="60"/>
      <c r="AU102" s="62"/>
      <c r="AV102" s="62"/>
      <c r="AW102" s="62"/>
      <c r="AX102" s="62"/>
      <c r="AY102" s="60"/>
      <c r="AZ102" s="62"/>
      <c r="BA102" s="62"/>
      <c r="BB102" s="62"/>
      <c r="BC102" s="62"/>
      <c r="BD102" s="60"/>
      <c r="BE102" s="62"/>
      <c r="BF102" s="62"/>
      <c r="BG102" s="62"/>
      <c r="BH102" s="62"/>
      <c r="BI102" s="60"/>
      <c r="BJ102" s="62"/>
      <c r="BK102" s="62"/>
      <c r="BL102" s="62"/>
      <c r="BM102" s="62"/>
      <c r="BN102" s="60"/>
      <c r="BO102" s="62"/>
      <c r="BP102" s="41"/>
      <c r="BQ102" s="62"/>
      <c r="BR102" s="62"/>
      <c r="BS102" s="60"/>
      <c r="BT102" s="62"/>
      <c r="BU102" s="62"/>
      <c r="BV102" s="62"/>
      <c r="BW102" s="62"/>
      <c r="BX102" s="60"/>
      <c r="BY102" s="62"/>
      <c r="BZ102" s="62"/>
      <c r="CA102" s="727"/>
      <c r="CB102" s="62"/>
      <c r="CC102" s="60"/>
      <c r="CD102" s="727"/>
      <c r="CE102" s="727"/>
      <c r="CF102" s="727"/>
      <c r="CG102" s="62"/>
      <c r="CH102" s="60"/>
      <c r="CI102" s="727"/>
      <c r="CJ102" s="727"/>
      <c r="CK102" s="727"/>
      <c r="CL102" s="727"/>
      <c r="CM102" s="60">
        <v>294</v>
      </c>
      <c r="CN102" s="923"/>
      <c r="CO102" s="727"/>
      <c r="CP102" s="727"/>
      <c r="CQ102" s="727"/>
      <c r="CR102" s="60">
        <v>280</v>
      </c>
      <c r="CS102" s="727"/>
      <c r="CT102" s="727"/>
      <c r="CU102" s="727"/>
      <c r="CV102" s="727"/>
      <c r="CW102" s="60">
        <v>211</v>
      </c>
      <c r="CX102" s="727"/>
      <c r="CY102" s="727"/>
      <c r="CZ102" s="727"/>
      <c r="DA102" s="727"/>
      <c r="DB102" s="60">
        <v>176</v>
      </c>
      <c r="DC102" s="727">
        <v>29.198249691794977</v>
      </c>
      <c r="DD102" s="727">
        <v>26.644860551346518</v>
      </c>
      <c r="DE102" s="727">
        <v>24.659527472459001</v>
      </c>
      <c r="DF102" s="727">
        <v>28.742122739892682</v>
      </c>
      <c r="DG102" s="60">
        <f>SUM(DC102:DF102)</f>
        <v>109.24476045549318</v>
      </c>
      <c r="DH102" s="727">
        <v>10.88594664739546</v>
      </c>
      <c r="DI102" s="727">
        <v>9.7667579246373517</v>
      </c>
      <c r="DJ102" s="727">
        <v>8.7138203433202222</v>
      </c>
      <c r="DK102" s="727">
        <v>9.310511939823801</v>
      </c>
      <c r="DL102" s="60">
        <f>SUM(DH102:DK102)</f>
        <v>38.677036855176837</v>
      </c>
      <c r="DM102" s="727">
        <v>6.5948258814408103</v>
      </c>
      <c r="DN102" s="727">
        <v>6.9536729202775662</v>
      </c>
      <c r="DO102" s="727">
        <v>7.4180899369857771</v>
      </c>
      <c r="DP102" s="727">
        <v>9.7035473440348738</v>
      </c>
      <c r="DQ102" s="60">
        <f>SUM(DM102:DP102)</f>
        <v>30.670136082739027</v>
      </c>
      <c r="DR102" s="727">
        <v>4.7250726478578846</v>
      </c>
      <c r="DS102" s="727">
        <v>4.9610919058019993</v>
      </c>
      <c r="DT102" s="727">
        <v>5.2714193038166597</v>
      </c>
      <c r="DU102" s="727">
        <v>8.5872217717330059</v>
      </c>
      <c r="DV102" s="60">
        <f>SUM(DR102:DU102)</f>
        <v>23.544805629209549</v>
      </c>
      <c r="DW102" s="727">
        <v>4.8123157060848989</v>
      </c>
      <c r="DX102" s="727">
        <v>5.1817528258359395</v>
      </c>
      <c r="DY102" s="727">
        <v>5.6350148095252139</v>
      </c>
      <c r="DZ102" s="727">
        <v>7.5023649135094397</v>
      </c>
      <c r="EA102" s="60">
        <f>SUM(DW102:DZ102)</f>
        <v>23.13144825495549</v>
      </c>
      <c r="EB102" s="1003"/>
      <c r="EC102" s="1003"/>
      <c r="ED102" s="1003"/>
      <c r="EE102" s="1003"/>
      <c r="EF102" s="935"/>
      <c r="EG102" s="1244"/>
    </row>
    <row r="103" spans="1:147" x14ac:dyDescent="0.2">
      <c r="A103" s="134" t="s">
        <v>71</v>
      </c>
      <c r="B103" s="315"/>
      <c r="C103" s="315"/>
      <c r="D103" s="315"/>
      <c r="E103" s="315"/>
      <c r="F103" s="315"/>
      <c r="G103" s="315"/>
      <c r="H103" s="315"/>
      <c r="I103" s="315"/>
      <c r="J103" s="315"/>
      <c r="K103" s="315"/>
      <c r="L103" s="364"/>
      <c r="M103" s="363"/>
      <c r="N103" s="363"/>
      <c r="O103" s="363"/>
      <c r="P103" s="363"/>
      <c r="Q103" s="364"/>
      <c r="R103" s="363"/>
      <c r="S103" s="363"/>
      <c r="T103" s="363"/>
      <c r="U103" s="363"/>
      <c r="V103" s="364"/>
      <c r="W103" s="363"/>
      <c r="X103" s="363"/>
      <c r="Y103" s="363"/>
      <c r="Z103" s="363"/>
      <c r="AA103" s="364"/>
      <c r="AB103" s="363"/>
      <c r="AC103" s="363"/>
      <c r="AD103" s="363"/>
      <c r="AE103" s="364"/>
      <c r="AF103" s="153"/>
      <c r="AG103" s="153"/>
      <c r="AH103" s="153"/>
      <c r="AI103" s="153"/>
      <c r="AJ103" s="152"/>
      <c r="AK103" s="153"/>
      <c r="AL103" s="153"/>
      <c r="AM103" s="153"/>
      <c r="AN103" s="153"/>
      <c r="AO103" s="152"/>
      <c r="AP103" s="153"/>
      <c r="AQ103" s="153"/>
      <c r="AR103" s="153"/>
      <c r="AS103" s="153"/>
      <c r="AT103" s="152"/>
      <c r="AU103" s="153"/>
      <c r="AV103" s="153"/>
      <c r="AW103" s="153"/>
      <c r="AX103" s="153"/>
      <c r="AY103" s="152"/>
      <c r="AZ103" s="153"/>
      <c r="BA103" s="153"/>
      <c r="BB103" s="153"/>
      <c r="BC103" s="153"/>
      <c r="BD103" s="152"/>
      <c r="BE103" s="153"/>
      <c r="BF103" s="153"/>
      <c r="BG103" s="153"/>
      <c r="BH103" s="153"/>
      <c r="BI103" s="152"/>
      <c r="BJ103" s="153"/>
      <c r="BK103" s="153"/>
      <c r="BL103" s="153"/>
      <c r="BM103" s="153"/>
      <c r="BN103" s="152"/>
      <c r="BO103" s="153"/>
      <c r="BP103" s="153"/>
      <c r="BQ103" s="153"/>
      <c r="BR103" s="153"/>
      <c r="BS103" s="152"/>
      <c r="BT103" s="153"/>
      <c r="BU103" s="153"/>
      <c r="BV103" s="153"/>
      <c r="BW103" s="153"/>
      <c r="BX103" s="152"/>
      <c r="BY103" s="153"/>
      <c r="BZ103" s="153"/>
      <c r="CA103" s="153"/>
      <c r="CB103" s="153"/>
      <c r="CC103" s="152"/>
      <c r="CD103" s="153"/>
      <c r="CE103" s="153"/>
      <c r="CF103" s="153"/>
      <c r="CG103" s="153"/>
      <c r="CH103" s="152"/>
      <c r="CI103" s="153"/>
      <c r="CJ103" s="154"/>
      <c r="CK103" s="153"/>
      <c r="CL103" s="153"/>
      <c r="CM103" s="152">
        <v>0.12672413793103449</v>
      </c>
      <c r="CN103" s="859"/>
      <c r="CO103" s="153"/>
      <c r="CP103" s="153"/>
      <c r="CQ103" s="154"/>
      <c r="CR103" s="152">
        <v>0.13295346628679963</v>
      </c>
      <c r="CS103" s="153"/>
      <c r="CT103" s="153"/>
      <c r="CU103" s="153"/>
      <c r="CV103" s="153"/>
      <c r="CW103" s="152">
        <v>9.7866419294990722E-2</v>
      </c>
      <c r="CX103" s="153"/>
      <c r="CY103" s="153"/>
      <c r="CZ103" s="154"/>
      <c r="DA103" s="153"/>
      <c r="DB103" s="152">
        <v>9.1286307053941904E-2</v>
      </c>
      <c r="DC103" s="154">
        <v>0.12</v>
      </c>
      <c r="DD103" s="154">
        <v>0.12</v>
      </c>
      <c r="DE103" s="154">
        <v>0.12</v>
      </c>
      <c r="DF103" s="154">
        <v>0.12</v>
      </c>
      <c r="DG103" s="152">
        <v>0.12</v>
      </c>
      <c r="DH103" s="154">
        <v>6.5000000000000002E-2</v>
      </c>
      <c r="DI103" s="154">
        <v>6.5000000000000002E-2</v>
      </c>
      <c r="DJ103" s="154">
        <v>6.5000000000000002E-2</v>
      </c>
      <c r="DK103" s="154">
        <v>6.5000000000000002E-2</v>
      </c>
      <c r="DL103" s="152">
        <v>6.5000000000000016E-2</v>
      </c>
      <c r="DM103" s="154">
        <f>DH103</f>
        <v>6.5000000000000002E-2</v>
      </c>
      <c r="DN103" s="154">
        <f>DI103</f>
        <v>6.5000000000000002E-2</v>
      </c>
      <c r="DO103" s="154">
        <f>DJ103</f>
        <v>6.5000000000000002E-2</v>
      </c>
      <c r="DP103" s="154">
        <f>DK103</f>
        <v>6.5000000000000002E-2</v>
      </c>
      <c r="DQ103" s="152">
        <v>6.5000000000000002E-2</v>
      </c>
      <c r="DR103" s="154">
        <v>0.04</v>
      </c>
      <c r="DS103" s="154">
        <v>0.04</v>
      </c>
      <c r="DT103" s="154">
        <v>0.04</v>
      </c>
      <c r="DU103" s="154">
        <v>0.05</v>
      </c>
      <c r="DV103" s="152">
        <v>4.3147323824844486E-2</v>
      </c>
      <c r="DW103" s="154">
        <v>3.5000000000000003E-2</v>
      </c>
      <c r="DX103" s="154">
        <v>3.5000000000000003E-2</v>
      </c>
      <c r="DY103" s="154">
        <v>3.5000000000000003E-2</v>
      </c>
      <c r="DZ103" s="154">
        <v>3.5000000000000003E-2</v>
      </c>
      <c r="EA103" s="152">
        <v>3.5000000000000003E-2</v>
      </c>
      <c r="EB103" s="1003"/>
      <c r="EC103" s="1003"/>
      <c r="ED103" s="1003"/>
      <c r="EE103" s="1003"/>
      <c r="EF103" s="1002"/>
      <c r="EG103" s="1244"/>
      <c r="EH103" s="632"/>
      <c r="EO103" s="632"/>
      <c r="EP103" s="632"/>
      <c r="EQ103" s="632"/>
    </row>
    <row r="104" spans="1:147" x14ac:dyDescent="0.2">
      <c r="A104" s="730" t="s">
        <v>402</v>
      </c>
      <c r="B104" s="731"/>
      <c r="C104" s="731"/>
      <c r="D104" s="731"/>
      <c r="E104" s="731"/>
      <c r="F104" s="731"/>
      <c r="G104" s="731"/>
      <c r="H104" s="731"/>
      <c r="I104" s="731"/>
      <c r="J104" s="731"/>
      <c r="K104" s="731"/>
      <c r="L104" s="728"/>
      <c r="M104" s="729"/>
      <c r="N104" s="729"/>
      <c r="O104" s="729"/>
      <c r="P104" s="729"/>
      <c r="Q104" s="728"/>
      <c r="R104" s="729"/>
      <c r="S104" s="729"/>
      <c r="T104" s="729"/>
      <c r="U104" s="729"/>
      <c r="V104" s="728"/>
      <c r="W104" s="729"/>
      <c r="X104" s="729"/>
      <c r="Y104" s="729"/>
      <c r="Z104" s="729"/>
      <c r="AA104" s="728"/>
      <c r="AB104" s="729"/>
      <c r="AC104" s="729"/>
      <c r="AD104" s="729"/>
      <c r="AE104" s="728"/>
      <c r="AF104" s="729"/>
      <c r="AG104" s="729"/>
      <c r="AH104" s="729"/>
      <c r="AI104" s="729"/>
      <c r="AJ104" s="728"/>
      <c r="AK104" s="729"/>
      <c r="AL104" s="729"/>
      <c r="AM104" s="729"/>
      <c r="AN104" s="729"/>
      <c r="AO104" s="728"/>
      <c r="AP104" s="729"/>
      <c r="AQ104" s="729"/>
      <c r="AR104" s="729"/>
      <c r="AS104" s="729"/>
      <c r="AT104" s="728"/>
      <c r="AU104" s="729"/>
      <c r="AV104" s="729"/>
      <c r="AW104" s="729"/>
      <c r="AX104" s="729"/>
      <c r="AY104" s="728"/>
      <c r="AZ104" s="729"/>
      <c r="BA104" s="729"/>
      <c r="BB104" s="729"/>
      <c r="BC104" s="729"/>
      <c r="BD104" s="728"/>
      <c r="BE104" s="729"/>
      <c r="BF104" s="729"/>
      <c r="BG104" s="729"/>
      <c r="BH104" s="729"/>
      <c r="BI104" s="728"/>
      <c r="BJ104" s="729"/>
      <c r="BK104" s="729"/>
      <c r="BL104" s="729"/>
      <c r="BM104" s="729"/>
      <c r="BN104" s="728"/>
      <c r="BO104" s="729"/>
      <c r="BP104" s="729"/>
      <c r="BQ104" s="729"/>
      <c r="BR104" s="729"/>
      <c r="BS104" s="728"/>
      <c r="BT104" s="729"/>
      <c r="BU104" s="729"/>
      <c r="BV104" s="729"/>
      <c r="BW104" s="729"/>
      <c r="BX104" s="728"/>
      <c r="BY104" s="729"/>
      <c r="BZ104" s="729"/>
      <c r="CA104" s="729"/>
      <c r="CB104" s="729"/>
      <c r="CC104" s="728"/>
      <c r="CD104" s="729"/>
      <c r="CE104" s="729"/>
      <c r="CF104" s="729"/>
      <c r="CG104" s="729"/>
      <c r="CH104" s="728"/>
      <c r="CI104" s="729"/>
      <c r="CJ104" s="729"/>
      <c r="CK104" s="729"/>
      <c r="CL104" s="729"/>
      <c r="CM104" s="728">
        <v>0.22222222222222221</v>
      </c>
      <c r="CN104" s="924"/>
      <c r="CO104" s="729"/>
      <c r="CP104" s="729"/>
      <c r="CQ104" s="729"/>
      <c r="CR104" s="728">
        <v>0.20071684587813621</v>
      </c>
      <c r="CS104" s="729"/>
      <c r="CT104" s="729"/>
      <c r="CU104" s="729"/>
      <c r="CV104" s="729"/>
      <c r="CW104" s="728">
        <v>0.14996446339729921</v>
      </c>
      <c r="CX104" s="729"/>
      <c r="CY104" s="729"/>
      <c r="CZ104" s="729"/>
      <c r="DA104" s="729"/>
      <c r="DB104" s="728">
        <v>0.26347305389221559</v>
      </c>
      <c r="DC104" s="729">
        <v>4.8502075899991656E-2</v>
      </c>
      <c r="DD104" s="729">
        <v>4.9710560730124101E-2</v>
      </c>
      <c r="DE104" s="729">
        <v>4.9817227217088887E-2</v>
      </c>
      <c r="DF104" s="729">
        <v>6.3308640396239388E-2</v>
      </c>
      <c r="DG104" s="728">
        <v>0.24062722567289246</v>
      </c>
      <c r="DH104" s="729">
        <v>2.7012274559293947E-2</v>
      </c>
      <c r="DI104" s="729">
        <v>2.7746471376810657E-2</v>
      </c>
      <c r="DJ104" s="729">
        <v>2.8949569246911038E-2</v>
      </c>
      <c r="DK104" s="729">
        <v>3.7242047759295203E-2</v>
      </c>
      <c r="DL104" s="728">
        <v>0.15470814742070735</v>
      </c>
      <c r="DM104" s="729">
        <v>2.5462648190891158E-2</v>
      </c>
      <c r="DN104" s="729">
        <v>2.5946540747304351E-2</v>
      </c>
      <c r="DO104" s="729">
        <v>2.6780108075760929E-2</v>
      </c>
      <c r="DP104" s="729">
        <v>3.3928487216905154E-2</v>
      </c>
      <c r="DQ104" s="728">
        <v>0.10723823805153507</v>
      </c>
      <c r="DR104" s="729">
        <v>1.6017195416467407E-2</v>
      </c>
      <c r="DS104" s="729">
        <v>1.6319381269085526E-2</v>
      </c>
      <c r="DT104" s="729">
        <v>1.6841595219861533E-2</v>
      </c>
      <c r="DU104" s="729">
        <v>2.6668390595444118E-2</v>
      </c>
      <c r="DV104" s="728">
        <v>7.3120514376427165E-2</v>
      </c>
      <c r="DW104" s="729">
        <v>1.4112362774442519E-2</v>
      </c>
      <c r="DX104" s="729">
        <v>1.4393757849544277E-2</v>
      </c>
      <c r="DY104" s="729">
        <v>1.4868112953892385E-2</v>
      </c>
      <c r="DZ104" s="729">
        <v>1.885016309926995E-2</v>
      </c>
      <c r="EA104" s="728">
        <v>5.8119216720993697E-2</v>
      </c>
      <c r="EB104" s="935"/>
      <c r="EC104" s="935"/>
      <c r="ED104" s="935"/>
      <c r="EE104" s="935"/>
      <c r="EF104" s="1003"/>
      <c r="EG104" s="1244"/>
      <c r="EH104" s="732"/>
      <c r="EO104" s="732"/>
      <c r="EP104" s="732"/>
      <c r="EQ104" s="732"/>
    </row>
    <row r="105" spans="1:147" x14ac:dyDescent="0.2">
      <c r="A105" s="730" t="s">
        <v>278</v>
      </c>
      <c r="B105" s="731"/>
      <c r="C105" s="731"/>
      <c r="D105" s="731"/>
      <c r="E105" s="731"/>
      <c r="F105" s="731"/>
      <c r="G105" s="731"/>
      <c r="H105" s="731"/>
      <c r="I105" s="731"/>
      <c r="J105" s="731"/>
      <c r="K105" s="731"/>
      <c r="L105" s="728"/>
      <c r="M105" s="729"/>
      <c r="N105" s="729"/>
      <c r="O105" s="729"/>
      <c r="P105" s="729"/>
      <c r="Q105" s="728"/>
      <c r="R105" s="729"/>
      <c r="S105" s="729"/>
      <c r="T105" s="729"/>
      <c r="U105" s="729"/>
      <c r="V105" s="728"/>
      <c r="W105" s="729"/>
      <c r="X105" s="729"/>
      <c r="Y105" s="729"/>
      <c r="Z105" s="729"/>
      <c r="AA105" s="728"/>
      <c r="AB105" s="729"/>
      <c r="AC105" s="729"/>
      <c r="AD105" s="729"/>
      <c r="AE105" s="728"/>
      <c r="AF105" s="729"/>
      <c r="AG105" s="729"/>
      <c r="AH105" s="729"/>
      <c r="AI105" s="729"/>
      <c r="AJ105" s="728"/>
      <c r="AK105" s="729"/>
      <c r="AL105" s="729"/>
      <c r="AM105" s="729"/>
      <c r="AN105" s="729"/>
      <c r="AO105" s="728"/>
      <c r="AP105" s="729"/>
      <c r="AQ105" s="729"/>
      <c r="AR105" s="729"/>
      <c r="AS105" s="729"/>
      <c r="AT105" s="728"/>
      <c r="AU105" s="729"/>
      <c r="AV105" s="729"/>
      <c r="AW105" s="729"/>
      <c r="AX105" s="729"/>
      <c r="AY105" s="728"/>
      <c r="AZ105" s="729"/>
      <c r="BA105" s="729"/>
      <c r="BB105" s="729"/>
      <c r="BC105" s="729"/>
      <c r="BD105" s="728"/>
      <c r="BE105" s="729"/>
      <c r="BF105" s="729"/>
      <c r="BG105" s="729"/>
      <c r="BH105" s="729"/>
      <c r="BI105" s="728"/>
      <c r="BJ105" s="729"/>
      <c r="BK105" s="729"/>
      <c r="BL105" s="729"/>
      <c r="BM105" s="729"/>
      <c r="BN105" s="728"/>
      <c r="BO105" s="729"/>
      <c r="BP105" s="729"/>
      <c r="BQ105" s="729"/>
      <c r="BR105" s="729"/>
      <c r="BS105" s="728"/>
      <c r="BT105" s="729"/>
      <c r="BU105" s="729"/>
      <c r="BV105" s="729"/>
      <c r="BW105" s="729"/>
      <c r="BX105" s="728"/>
      <c r="BY105" s="729"/>
      <c r="BZ105" s="729"/>
      <c r="CA105" s="729"/>
      <c r="CB105" s="729"/>
      <c r="CC105" s="728"/>
      <c r="CD105" s="729"/>
      <c r="CE105" s="729"/>
      <c r="CF105" s="729"/>
      <c r="CG105" s="729"/>
      <c r="CH105" s="728"/>
      <c r="CI105" s="729"/>
      <c r="CJ105" s="729"/>
      <c r="CK105" s="729"/>
      <c r="CL105" s="729"/>
      <c r="CM105" s="728">
        <v>2.3149606299212597</v>
      </c>
      <c r="CN105" s="924"/>
      <c r="CO105" s="729"/>
      <c r="CP105" s="729"/>
      <c r="CQ105" s="729"/>
      <c r="CR105" s="728">
        <v>2.3728813559322033</v>
      </c>
      <c r="CS105" s="729"/>
      <c r="CT105" s="729"/>
      <c r="CU105" s="729"/>
      <c r="CV105" s="729"/>
      <c r="CW105" s="728">
        <v>1.7583333333333333</v>
      </c>
      <c r="CX105" s="729"/>
      <c r="CY105" s="729"/>
      <c r="CZ105" s="729"/>
      <c r="DA105" s="729"/>
      <c r="DB105" s="728">
        <v>1.7254901960784315</v>
      </c>
      <c r="DC105" s="729">
        <v>1.167929987671799</v>
      </c>
      <c r="DD105" s="729">
        <v>1.0657944220538607</v>
      </c>
      <c r="DE105" s="729">
        <v>0.98638109889836001</v>
      </c>
      <c r="DF105" s="729">
        <v>1.1496849095957073</v>
      </c>
      <c r="DG105" s="728">
        <v>1.0924476045549318</v>
      </c>
      <c r="DH105" s="729">
        <v>1.0885946647395461</v>
      </c>
      <c r="DI105" s="729">
        <v>0.97667579246373515</v>
      </c>
      <c r="DJ105" s="729">
        <v>0.87138203433202222</v>
      </c>
      <c r="DK105" s="729">
        <v>0.93105119398238012</v>
      </c>
      <c r="DL105" s="728">
        <v>0.96692592137942091</v>
      </c>
      <c r="DM105" s="729">
        <v>0.43965505876272071</v>
      </c>
      <c r="DN105" s="729">
        <v>0.46357819468517109</v>
      </c>
      <c r="DO105" s="729">
        <v>0.49453932913238513</v>
      </c>
      <c r="DP105" s="729">
        <v>0.64690315626899164</v>
      </c>
      <c r="DQ105" s="728">
        <v>0.51116893471231717</v>
      </c>
      <c r="DR105" s="729">
        <v>0.31500484319052563</v>
      </c>
      <c r="DS105" s="729">
        <v>0.33073946038679997</v>
      </c>
      <c r="DT105" s="729">
        <v>0.35142795358777729</v>
      </c>
      <c r="DU105" s="729">
        <v>0.57248145144886708</v>
      </c>
      <c r="DV105" s="728">
        <v>0.39241342715349248</v>
      </c>
      <c r="DW105" s="729">
        <v>0.19249262824339597</v>
      </c>
      <c r="DX105" s="729">
        <v>0.20727011303343759</v>
      </c>
      <c r="DY105" s="729">
        <v>0.22540059238100857</v>
      </c>
      <c r="DZ105" s="729">
        <v>0.30009459654037757</v>
      </c>
      <c r="EA105" s="728">
        <v>0.23131448254955489</v>
      </c>
      <c r="EB105" s="1002"/>
      <c r="EC105" s="1002"/>
      <c r="ED105" s="1002"/>
      <c r="EE105" s="1002"/>
      <c r="EF105" s="1003"/>
      <c r="EG105" s="1244"/>
      <c r="EH105" s="732"/>
      <c r="EO105" s="732"/>
      <c r="EP105" s="732"/>
      <c r="EQ105" s="732"/>
    </row>
    <row r="106" spans="1:147" x14ac:dyDescent="0.2">
      <c r="A106" s="14" t="s">
        <v>525</v>
      </c>
      <c r="B106" s="55"/>
      <c r="C106" s="55"/>
      <c r="D106" s="55"/>
      <c r="E106" s="55"/>
      <c r="F106" s="55"/>
      <c r="G106" s="55"/>
      <c r="H106" s="55"/>
      <c r="I106" s="55"/>
      <c r="J106" s="55"/>
      <c r="K106" s="55"/>
      <c r="L106" s="60"/>
      <c r="M106" s="62"/>
      <c r="N106" s="62"/>
      <c r="O106" s="62"/>
      <c r="P106" s="62"/>
      <c r="Q106" s="60"/>
      <c r="R106" s="62"/>
      <c r="S106" s="62"/>
      <c r="T106" s="62"/>
      <c r="U106" s="62"/>
      <c r="V106" s="60"/>
      <c r="W106" s="62"/>
      <c r="X106" s="62"/>
      <c r="Y106" s="62"/>
      <c r="Z106" s="62"/>
      <c r="AA106" s="60"/>
      <c r="AB106" s="62"/>
      <c r="AC106" s="62"/>
      <c r="AD106" s="62"/>
      <c r="AE106" s="60"/>
      <c r="AF106" s="62"/>
      <c r="AG106" s="62"/>
      <c r="AH106" s="62"/>
      <c r="AI106" s="62"/>
      <c r="AJ106" s="60"/>
      <c r="AK106" s="62"/>
      <c r="AL106" s="62"/>
      <c r="AM106" s="62"/>
      <c r="AN106" s="62"/>
      <c r="AO106" s="60"/>
      <c r="AP106" s="62"/>
      <c r="AQ106" s="62"/>
      <c r="AR106" s="62"/>
      <c r="AS106" s="62"/>
      <c r="AT106" s="60"/>
      <c r="AU106" s="62"/>
      <c r="AV106" s="62"/>
      <c r="AW106" s="62"/>
      <c r="AX106" s="62"/>
      <c r="AY106" s="60"/>
      <c r="AZ106" s="62"/>
      <c r="BA106" s="62"/>
      <c r="BB106" s="62"/>
      <c r="BC106" s="62"/>
      <c r="BD106" s="60"/>
      <c r="BE106" s="62"/>
      <c r="BF106" s="62"/>
      <c r="BG106" s="62"/>
      <c r="BH106" s="62"/>
      <c r="BI106" s="60"/>
      <c r="BJ106" s="62"/>
      <c r="BK106" s="62"/>
      <c r="BL106" s="62"/>
      <c r="BM106" s="62"/>
      <c r="BN106" s="60"/>
      <c r="BO106" s="62"/>
      <c r="BP106" s="41"/>
      <c r="BQ106" s="62"/>
      <c r="BR106" s="62"/>
      <c r="BS106" s="60"/>
      <c r="BT106" s="62"/>
      <c r="BU106" s="62"/>
      <c r="BV106" s="62"/>
      <c r="BW106" s="62"/>
      <c r="BX106" s="60"/>
      <c r="BY106" s="62"/>
      <c r="BZ106" s="62"/>
      <c r="CA106" s="727"/>
      <c r="CB106" s="62"/>
      <c r="CC106" s="60"/>
      <c r="CD106" s="727"/>
      <c r="CE106" s="727"/>
      <c r="CF106" s="727"/>
      <c r="CG106" s="62"/>
      <c r="CH106" s="60"/>
      <c r="CI106" s="727"/>
      <c r="CJ106" s="727"/>
      <c r="CK106" s="727"/>
      <c r="CL106" s="727"/>
      <c r="CM106" s="60">
        <v>62</v>
      </c>
      <c r="CN106" s="923"/>
      <c r="CO106" s="727"/>
      <c r="CP106" s="727"/>
      <c r="CQ106" s="727"/>
      <c r="CR106" s="60">
        <v>54</v>
      </c>
      <c r="CS106" s="727"/>
      <c r="CT106" s="727"/>
      <c r="CU106" s="727"/>
      <c r="CV106" s="727"/>
      <c r="CW106" s="60">
        <v>70</v>
      </c>
      <c r="CX106" s="727"/>
      <c r="CY106" s="727"/>
      <c r="CZ106" s="727"/>
      <c r="DA106" s="727"/>
      <c r="DB106" s="60">
        <v>42</v>
      </c>
      <c r="DC106" s="727">
        <v>3.0619978403539574</v>
      </c>
      <c r="DD106" s="727">
        <v>2.4036271320218829</v>
      </c>
      <c r="DE106" s="727">
        <v>1.7047628797354142</v>
      </c>
      <c r="DF106" s="727">
        <v>2.6075927917182842</v>
      </c>
      <c r="DG106" s="60">
        <f>SUM(DC106:DF106)</f>
        <v>9.7779806438295385</v>
      </c>
      <c r="DH106" s="727">
        <v>1.2077885667335486</v>
      </c>
      <c r="DI106" s="727">
        <v>1.3882522957682286</v>
      </c>
      <c r="DJ106" s="727">
        <v>1.2775667371486259</v>
      </c>
      <c r="DK106" s="727">
        <v>2.0307926806528953</v>
      </c>
      <c r="DL106" s="60">
        <f>SUM(DH106:DK106)</f>
        <v>5.9044002803032978</v>
      </c>
      <c r="DM106" s="727">
        <v>1.5167869595868828</v>
      </c>
      <c r="DN106" s="727">
        <v>1.7255293289368374</v>
      </c>
      <c r="DO106" s="727">
        <v>1.573194356221463</v>
      </c>
      <c r="DP106" s="727">
        <v>2.4795678513626926</v>
      </c>
      <c r="DQ106" s="60">
        <f>SUM(DM106:DP106)</f>
        <v>7.2950784961078758</v>
      </c>
      <c r="DR106" s="727">
        <v>1.837662172727657</v>
      </c>
      <c r="DS106" s="727">
        <v>2.0757421425138829</v>
      </c>
      <c r="DT106" s="727">
        <v>2.5068480711498071</v>
      </c>
      <c r="DU106" s="727">
        <v>3.927308949104829</v>
      </c>
      <c r="DV106" s="60">
        <f>SUM(DR106:DU106)</f>
        <v>10.347561335496176</v>
      </c>
      <c r="DW106" s="727">
        <v>2.8943542394803048</v>
      </c>
      <c r="DX106" s="727">
        <v>3.2523643425365827</v>
      </c>
      <c r="DY106" s="727">
        <v>2.9316348541951918</v>
      </c>
      <c r="DZ106" s="727">
        <v>4.5720537327635231</v>
      </c>
      <c r="EA106" s="60">
        <f>SUM(DW106:DZ106)</f>
        <v>13.650407168975603</v>
      </c>
      <c r="EB106" s="1003"/>
      <c r="EC106" s="1003"/>
      <c r="ED106" s="1003"/>
      <c r="EE106" s="1003"/>
      <c r="EF106" s="935"/>
      <c r="EG106" s="1244"/>
    </row>
    <row r="107" spans="1:147" x14ac:dyDescent="0.2">
      <c r="A107" s="134" t="s">
        <v>71</v>
      </c>
      <c r="B107" s="315"/>
      <c r="C107" s="315"/>
      <c r="D107" s="315"/>
      <c r="E107" s="315"/>
      <c r="F107" s="315"/>
      <c r="G107" s="315"/>
      <c r="H107" s="315"/>
      <c r="I107" s="315"/>
      <c r="J107" s="315"/>
      <c r="K107" s="315"/>
      <c r="L107" s="364"/>
      <c r="M107" s="363"/>
      <c r="N107" s="363"/>
      <c r="O107" s="363"/>
      <c r="P107" s="363"/>
      <c r="Q107" s="364"/>
      <c r="R107" s="363"/>
      <c r="S107" s="363"/>
      <c r="T107" s="363"/>
      <c r="U107" s="363"/>
      <c r="V107" s="364"/>
      <c r="W107" s="363"/>
      <c r="X107" s="363"/>
      <c r="Y107" s="363"/>
      <c r="Z107" s="363"/>
      <c r="AA107" s="364"/>
      <c r="AB107" s="363"/>
      <c r="AC107" s="363"/>
      <c r="AD107" s="363"/>
      <c r="AE107" s="364"/>
      <c r="AF107" s="153"/>
      <c r="AG107" s="153"/>
      <c r="AH107" s="153"/>
      <c r="AI107" s="153"/>
      <c r="AJ107" s="152"/>
      <c r="AK107" s="153"/>
      <c r="AL107" s="153"/>
      <c r="AM107" s="153"/>
      <c r="AN107" s="153"/>
      <c r="AO107" s="152"/>
      <c r="AP107" s="153"/>
      <c r="AQ107" s="153"/>
      <c r="AR107" s="153"/>
      <c r="AS107" s="153"/>
      <c r="AT107" s="152"/>
      <c r="AU107" s="153"/>
      <c r="AV107" s="153"/>
      <c r="AW107" s="153"/>
      <c r="AX107" s="153"/>
      <c r="AY107" s="152"/>
      <c r="AZ107" s="153"/>
      <c r="BA107" s="153"/>
      <c r="BB107" s="153"/>
      <c r="BC107" s="153"/>
      <c r="BD107" s="152"/>
      <c r="BE107" s="153"/>
      <c r="BF107" s="153"/>
      <c r="BG107" s="153"/>
      <c r="BH107" s="153"/>
      <c r="BI107" s="152"/>
      <c r="BJ107" s="153"/>
      <c r="BK107" s="153"/>
      <c r="BL107" s="153"/>
      <c r="BM107" s="153"/>
      <c r="BN107" s="152"/>
      <c r="BO107" s="153"/>
      <c r="BP107" s="153"/>
      <c r="BQ107" s="153"/>
      <c r="BR107" s="153"/>
      <c r="BS107" s="152"/>
      <c r="BT107" s="153"/>
      <c r="BU107" s="153"/>
      <c r="BV107" s="153"/>
      <c r="BW107" s="153"/>
      <c r="BX107" s="152"/>
      <c r="BY107" s="153"/>
      <c r="BZ107" s="153"/>
      <c r="CA107" s="153"/>
      <c r="CB107" s="153"/>
      <c r="CC107" s="152"/>
      <c r="CD107" s="153"/>
      <c r="CE107" s="153"/>
      <c r="CF107" s="153"/>
      <c r="CG107" s="153"/>
      <c r="CH107" s="152"/>
      <c r="CI107" s="153"/>
      <c r="CJ107" s="154"/>
      <c r="CK107" s="153"/>
      <c r="CL107" s="153"/>
      <c r="CM107" s="152">
        <v>0.10214168039538715</v>
      </c>
      <c r="CN107" s="859"/>
      <c r="CO107" s="153"/>
      <c r="CP107" s="153"/>
      <c r="CQ107" s="154"/>
      <c r="CR107" s="152">
        <v>8.8669950738916259E-2</v>
      </c>
      <c r="CS107" s="153"/>
      <c r="CT107" s="153"/>
      <c r="CU107" s="153"/>
      <c r="CV107" s="153"/>
      <c r="CW107" s="152">
        <v>0.14198782961460446</v>
      </c>
      <c r="CX107" s="153"/>
      <c r="CY107" s="153"/>
      <c r="CZ107" s="154"/>
      <c r="DA107" s="153"/>
      <c r="DB107" s="152">
        <v>0.14736842105263157</v>
      </c>
      <c r="DC107" s="154">
        <v>0.12</v>
      </c>
      <c r="DD107" s="154">
        <v>0.12</v>
      </c>
      <c r="DE107" s="154">
        <v>0.12</v>
      </c>
      <c r="DF107" s="154">
        <v>0.12</v>
      </c>
      <c r="DG107" s="152">
        <v>0.11999999999999998</v>
      </c>
      <c r="DH107" s="154">
        <v>7.4999999999999997E-2</v>
      </c>
      <c r="DI107" s="154">
        <v>7.4999999999999997E-2</v>
      </c>
      <c r="DJ107" s="154">
        <v>7.4999999999999997E-2</v>
      </c>
      <c r="DK107" s="154">
        <v>7.4999999999999997E-2</v>
      </c>
      <c r="DL107" s="152">
        <v>7.4999999999999983E-2</v>
      </c>
      <c r="DM107" s="154">
        <f>DL107</f>
        <v>7.4999999999999983E-2</v>
      </c>
      <c r="DN107" s="154">
        <f>DM107</f>
        <v>7.4999999999999983E-2</v>
      </c>
      <c r="DO107" s="154">
        <f>DN107</f>
        <v>7.4999999999999983E-2</v>
      </c>
      <c r="DP107" s="154">
        <f>DO107</f>
        <v>7.4999999999999983E-2</v>
      </c>
      <c r="DQ107" s="152">
        <v>7.4999999999999969E-2</v>
      </c>
      <c r="DR107" s="154">
        <f>DQ107</f>
        <v>7.4999999999999969E-2</v>
      </c>
      <c r="DS107" s="154">
        <f>DR107</f>
        <v>7.4999999999999969E-2</v>
      </c>
      <c r="DT107" s="154">
        <v>0.1</v>
      </c>
      <c r="DU107" s="154">
        <v>0.1</v>
      </c>
      <c r="DV107" s="152">
        <v>8.8804799097590037E-2</v>
      </c>
      <c r="DW107" s="154">
        <v>0.1</v>
      </c>
      <c r="DX107" s="154">
        <v>0.1</v>
      </c>
      <c r="DY107" s="154">
        <v>0.1</v>
      </c>
      <c r="DZ107" s="154">
        <v>0.1</v>
      </c>
      <c r="EA107" s="152">
        <v>0.1</v>
      </c>
      <c r="EB107" s="1003"/>
      <c r="EC107" s="1003"/>
      <c r="ED107" s="1003"/>
      <c r="EE107" s="1003"/>
      <c r="EF107" s="1002"/>
      <c r="EG107" s="1244"/>
      <c r="EH107" s="632"/>
      <c r="EO107" s="632"/>
      <c r="EP107" s="632"/>
      <c r="EQ107" s="632"/>
    </row>
    <row r="108" spans="1:147" x14ac:dyDescent="0.2">
      <c r="A108" s="730" t="s">
        <v>402</v>
      </c>
      <c r="B108" s="731"/>
      <c r="C108" s="731"/>
      <c r="D108" s="731"/>
      <c r="E108" s="731"/>
      <c r="F108" s="731"/>
      <c r="G108" s="731"/>
      <c r="H108" s="731"/>
      <c r="I108" s="731"/>
      <c r="J108" s="731"/>
      <c r="K108" s="731"/>
      <c r="L108" s="728"/>
      <c r="M108" s="729"/>
      <c r="N108" s="729"/>
      <c r="O108" s="729"/>
      <c r="P108" s="729"/>
      <c r="Q108" s="728"/>
      <c r="R108" s="729"/>
      <c r="S108" s="729"/>
      <c r="T108" s="729"/>
      <c r="U108" s="729"/>
      <c r="V108" s="728"/>
      <c r="W108" s="729"/>
      <c r="X108" s="729"/>
      <c r="Y108" s="729"/>
      <c r="Z108" s="729"/>
      <c r="AA108" s="728"/>
      <c r="AB108" s="729"/>
      <c r="AC108" s="729"/>
      <c r="AD108" s="729"/>
      <c r="AE108" s="728"/>
      <c r="AF108" s="729"/>
      <c r="AG108" s="729"/>
      <c r="AH108" s="729"/>
      <c r="AI108" s="729"/>
      <c r="AJ108" s="728"/>
      <c r="AK108" s="729"/>
      <c r="AL108" s="729"/>
      <c r="AM108" s="729"/>
      <c r="AN108" s="729"/>
      <c r="AO108" s="728"/>
      <c r="AP108" s="729"/>
      <c r="AQ108" s="729"/>
      <c r="AR108" s="729"/>
      <c r="AS108" s="729"/>
      <c r="AT108" s="728"/>
      <c r="AU108" s="729"/>
      <c r="AV108" s="729"/>
      <c r="AW108" s="729"/>
      <c r="AX108" s="729"/>
      <c r="AY108" s="728"/>
      <c r="AZ108" s="729"/>
      <c r="BA108" s="729"/>
      <c r="BB108" s="729"/>
      <c r="BC108" s="729"/>
      <c r="BD108" s="728"/>
      <c r="BE108" s="729"/>
      <c r="BF108" s="729"/>
      <c r="BG108" s="729"/>
      <c r="BH108" s="729"/>
      <c r="BI108" s="728"/>
      <c r="BJ108" s="729"/>
      <c r="BK108" s="729"/>
      <c r="BL108" s="729"/>
      <c r="BM108" s="729"/>
      <c r="BN108" s="728"/>
      <c r="BO108" s="729"/>
      <c r="BP108" s="729"/>
      <c r="BQ108" s="729"/>
      <c r="BR108" s="729"/>
      <c r="BS108" s="728"/>
      <c r="BT108" s="729"/>
      <c r="BU108" s="729"/>
      <c r="BV108" s="729"/>
      <c r="BW108" s="729"/>
      <c r="BX108" s="728"/>
      <c r="BY108" s="729"/>
      <c r="BZ108" s="729"/>
      <c r="CA108" s="729"/>
      <c r="CB108" s="729"/>
      <c r="CC108" s="728"/>
      <c r="CD108" s="729"/>
      <c r="CE108" s="729"/>
      <c r="CF108" s="729"/>
      <c r="CG108" s="729"/>
      <c r="CH108" s="728"/>
      <c r="CI108" s="729"/>
      <c r="CJ108" s="729"/>
      <c r="CK108" s="729"/>
      <c r="CL108" s="729"/>
      <c r="CM108" s="728">
        <v>7.1842410196987255E-2</v>
      </c>
      <c r="CN108" s="924"/>
      <c r="CO108" s="729"/>
      <c r="CP108" s="729"/>
      <c r="CQ108" s="729"/>
      <c r="CR108" s="728">
        <v>6.0879368658399095E-2</v>
      </c>
      <c r="CS108" s="729"/>
      <c r="CT108" s="729"/>
      <c r="CU108" s="729"/>
      <c r="CV108" s="729"/>
      <c r="CW108" s="728">
        <v>7.5512405609492989E-2</v>
      </c>
      <c r="CX108" s="729"/>
      <c r="CY108" s="729"/>
      <c r="CZ108" s="729"/>
      <c r="DA108" s="729"/>
      <c r="DB108" s="728">
        <v>4.3433298862461223E-2</v>
      </c>
      <c r="DC108" s="729">
        <v>3.1340817199119317E-3</v>
      </c>
      <c r="DD108" s="729">
        <v>2.4352858480464873E-3</v>
      </c>
      <c r="DE108" s="729">
        <v>1.7098925574076372E-3</v>
      </c>
      <c r="DF108" s="729">
        <v>2.5894665260360319E-3</v>
      </c>
      <c r="DG108" s="728">
        <v>9.7100105698406537E-3</v>
      </c>
      <c r="DH108" s="729">
        <v>1.1875993773191235E-3</v>
      </c>
      <c r="DI108" s="729">
        <v>1.3517549131141467E-3</v>
      </c>
      <c r="DJ108" s="729">
        <v>1.2319833530844994E-3</v>
      </c>
      <c r="DK108" s="729">
        <v>1.9396300674812755E-3</v>
      </c>
      <c r="DL108" s="728">
        <v>5.639350793030848E-3</v>
      </c>
      <c r="DM108" s="729">
        <v>1.4349923931758588E-3</v>
      </c>
      <c r="DN108" s="729">
        <v>1.6171783776352741E-3</v>
      </c>
      <c r="DO108" s="729">
        <v>1.4607189937060937E-3</v>
      </c>
      <c r="DP108" s="729">
        <v>2.2811111788065249E-3</v>
      </c>
      <c r="DQ108" s="728">
        <v>6.7112037682685154E-3</v>
      </c>
      <c r="DR108" s="729">
        <v>1.6751706223588486E-3</v>
      </c>
      <c r="DS108" s="729">
        <v>1.8751058197957388E-3</v>
      </c>
      <c r="DT108" s="729">
        <v>2.2442686402415462E-3</v>
      </c>
      <c r="DU108" s="729">
        <v>3.4847461837664855E-3</v>
      </c>
      <c r="DV108" s="728">
        <v>9.1815096144597826E-3</v>
      </c>
      <c r="DW108" s="729">
        <v>2.5456061912755537E-3</v>
      </c>
      <c r="DX108" s="729">
        <v>2.8355399673379101E-3</v>
      </c>
      <c r="DY108" s="729">
        <v>2.5338244202205633E-3</v>
      </c>
      <c r="DZ108" s="729">
        <v>3.9177838327022476E-3</v>
      </c>
      <c r="EA108" s="728">
        <v>1.1697006999979094E-2</v>
      </c>
      <c r="EB108" s="935"/>
      <c r="EC108" s="935"/>
      <c r="ED108" s="935"/>
      <c r="EE108" s="935"/>
      <c r="EF108" s="1003"/>
      <c r="EG108" s="968"/>
      <c r="EH108" s="732"/>
      <c r="EO108" s="732"/>
      <c r="EP108" s="732"/>
      <c r="EQ108" s="732"/>
    </row>
    <row r="109" spans="1:147" x14ac:dyDescent="0.2">
      <c r="A109" s="730" t="s">
        <v>278</v>
      </c>
      <c r="B109" s="731"/>
      <c r="C109" s="731"/>
      <c r="D109" s="731"/>
      <c r="E109" s="731"/>
      <c r="F109" s="731"/>
      <c r="G109" s="731"/>
      <c r="H109" s="731"/>
      <c r="I109" s="731"/>
      <c r="J109" s="731"/>
      <c r="K109" s="731"/>
      <c r="L109" s="728"/>
      <c r="M109" s="729"/>
      <c r="N109" s="729"/>
      <c r="O109" s="729"/>
      <c r="P109" s="729"/>
      <c r="Q109" s="728"/>
      <c r="R109" s="729"/>
      <c r="S109" s="729"/>
      <c r="T109" s="729"/>
      <c r="U109" s="729"/>
      <c r="V109" s="728"/>
      <c r="W109" s="729"/>
      <c r="X109" s="729"/>
      <c r="Y109" s="729"/>
      <c r="Z109" s="729"/>
      <c r="AA109" s="728"/>
      <c r="AB109" s="729"/>
      <c r="AC109" s="729"/>
      <c r="AD109" s="729"/>
      <c r="AE109" s="728"/>
      <c r="AF109" s="729"/>
      <c r="AG109" s="729"/>
      <c r="AH109" s="729"/>
      <c r="AI109" s="729"/>
      <c r="AJ109" s="728"/>
      <c r="AK109" s="729"/>
      <c r="AL109" s="729"/>
      <c r="AM109" s="729"/>
      <c r="AN109" s="729"/>
      <c r="AO109" s="728"/>
      <c r="AP109" s="729"/>
      <c r="AQ109" s="729"/>
      <c r="AR109" s="729"/>
      <c r="AS109" s="729"/>
      <c r="AT109" s="728"/>
      <c r="AU109" s="729"/>
      <c r="AV109" s="729"/>
      <c r="AW109" s="729"/>
      <c r="AX109" s="729"/>
      <c r="AY109" s="728"/>
      <c r="AZ109" s="729"/>
      <c r="BA109" s="729"/>
      <c r="BB109" s="729"/>
      <c r="BC109" s="729"/>
      <c r="BD109" s="728"/>
      <c r="BE109" s="729"/>
      <c r="BF109" s="729"/>
      <c r="BG109" s="729"/>
      <c r="BH109" s="729"/>
      <c r="BI109" s="728"/>
      <c r="BJ109" s="729"/>
      <c r="BK109" s="729"/>
      <c r="BL109" s="729"/>
      <c r="BM109" s="729"/>
      <c r="BN109" s="728"/>
      <c r="BO109" s="729"/>
      <c r="BP109" s="729"/>
      <c r="BQ109" s="729"/>
      <c r="BR109" s="729"/>
      <c r="BS109" s="728"/>
      <c r="BT109" s="729"/>
      <c r="BU109" s="729"/>
      <c r="BV109" s="729"/>
      <c r="BW109" s="729"/>
      <c r="BX109" s="728"/>
      <c r="BY109" s="729"/>
      <c r="BZ109" s="729"/>
      <c r="CA109" s="729"/>
      <c r="CB109" s="729"/>
      <c r="CC109" s="728"/>
      <c r="CD109" s="729"/>
      <c r="CE109" s="729"/>
      <c r="CF109" s="729"/>
      <c r="CG109" s="729"/>
      <c r="CH109" s="728"/>
      <c r="CI109" s="729"/>
      <c r="CJ109" s="729"/>
      <c r="CK109" s="729"/>
      <c r="CL109" s="729"/>
      <c r="CM109" s="728">
        <v>0.5636363636363636</v>
      </c>
      <c r="CN109" s="924"/>
      <c r="CO109" s="729"/>
      <c r="CP109" s="729"/>
      <c r="CQ109" s="729"/>
      <c r="CR109" s="728">
        <v>0.54545454545454541</v>
      </c>
      <c r="CS109" s="729"/>
      <c r="CT109" s="729"/>
      <c r="CU109" s="729"/>
      <c r="CV109" s="729"/>
      <c r="CW109" s="728">
        <v>1.5555555555555556</v>
      </c>
      <c r="CX109" s="729"/>
      <c r="CY109" s="729"/>
      <c r="CZ109" s="729"/>
      <c r="DA109" s="729"/>
      <c r="DB109" s="728">
        <v>3.5</v>
      </c>
      <c r="DC109" s="729">
        <v>0.61239956807079143</v>
      </c>
      <c r="DD109" s="729">
        <v>0.4807254264043766</v>
      </c>
      <c r="DE109" s="729">
        <v>0.34095257594708284</v>
      </c>
      <c r="DF109" s="729">
        <v>0.52151855834365679</v>
      </c>
      <c r="DG109" s="728">
        <v>0.4888990321914769</v>
      </c>
      <c r="DH109" s="729">
        <v>8.0519237782236575E-2</v>
      </c>
      <c r="DI109" s="729">
        <v>9.2550153051215236E-2</v>
      </c>
      <c r="DJ109" s="729">
        <v>8.5171115809908396E-2</v>
      </c>
      <c r="DK109" s="729">
        <v>0.13538617871019301</v>
      </c>
      <c r="DL109" s="728">
        <v>9.8406671338388291E-2</v>
      </c>
      <c r="DM109" s="729">
        <v>0.10111913063912552</v>
      </c>
      <c r="DN109" s="729">
        <v>0.11503528859578917</v>
      </c>
      <c r="DO109" s="729">
        <v>0.10487962374809753</v>
      </c>
      <c r="DP109" s="729">
        <v>0.16530452342417951</v>
      </c>
      <c r="DQ109" s="728">
        <v>0.12158464160179792</v>
      </c>
      <c r="DR109" s="729">
        <v>0.12251081151517713</v>
      </c>
      <c r="DS109" s="729">
        <v>0.13838280950092552</v>
      </c>
      <c r="DT109" s="729">
        <v>0.16712320474332049</v>
      </c>
      <c r="DU109" s="729">
        <v>0.26182059660698859</v>
      </c>
      <c r="DV109" s="728">
        <v>0.17245935559160291</v>
      </c>
      <c r="DW109" s="729">
        <v>0.19295694929868698</v>
      </c>
      <c r="DX109" s="729">
        <v>0.21682428950243884</v>
      </c>
      <c r="DY109" s="729">
        <v>0.19544232361301278</v>
      </c>
      <c r="DZ109" s="729">
        <v>0.30480358218423487</v>
      </c>
      <c r="EA109" s="728">
        <v>0.22750678614959338</v>
      </c>
      <c r="EB109" s="1002"/>
      <c r="EC109" s="1002"/>
      <c r="ED109" s="1002"/>
      <c r="EE109" s="1002"/>
      <c r="EF109" s="1003"/>
      <c r="EG109" s="1245"/>
      <c r="EH109" s="732"/>
      <c r="EO109" s="732"/>
      <c r="EP109" s="732"/>
      <c r="EQ109" s="732"/>
    </row>
    <row r="110" spans="1:147" x14ac:dyDescent="0.2">
      <c r="A110" s="14" t="s">
        <v>524</v>
      </c>
      <c r="B110" s="55"/>
      <c r="C110" s="55"/>
      <c r="D110" s="55"/>
      <c r="E110" s="55"/>
      <c r="F110" s="55"/>
      <c r="G110" s="55"/>
      <c r="H110" s="55"/>
      <c r="I110" s="55"/>
      <c r="J110" s="55"/>
      <c r="K110" s="55"/>
      <c r="L110" s="60"/>
      <c r="M110" s="62"/>
      <c r="N110" s="62"/>
      <c r="O110" s="62"/>
      <c r="P110" s="62"/>
      <c r="Q110" s="60"/>
      <c r="R110" s="62"/>
      <c r="S110" s="62"/>
      <c r="T110" s="62"/>
      <c r="U110" s="62"/>
      <c r="V110" s="60"/>
      <c r="W110" s="62"/>
      <c r="X110" s="62"/>
      <c r="Y110" s="62"/>
      <c r="Z110" s="62"/>
      <c r="AA110" s="60"/>
      <c r="AB110" s="62"/>
      <c r="AC110" s="62"/>
      <c r="AD110" s="62"/>
      <c r="AE110" s="60"/>
      <c r="AF110" s="62"/>
      <c r="AG110" s="62"/>
      <c r="AH110" s="62"/>
      <c r="AI110" s="62"/>
      <c r="AJ110" s="60"/>
      <c r="AK110" s="62"/>
      <c r="AL110" s="62"/>
      <c r="AM110" s="62"/>
      <c r="AN110" s="62"/>
      <c r="AO110" s="60"/>
      <c r="AP110" s="62"/>
      <c r="AQ110" s="62"/>
      <c r="AR110" s="62"/>
      <c r="AS110" s="62"/>
      <c r="AT110" s="60"/>
      <c r="AU110" s="62"/>
      <c r="AV110" s="62"/>
      <c r="AW110" s="62"/>
      <c r="AX110" s="62"/>
      <c r="AY110" s="60"/>
      <c r="AZ110" s="62"/>
      <c r="BA110" s="62"/>
      <c r="BB110" s="62"/>
      <c r="BC110" s="62"/>
      <c r="BD110" s="60"/>
      <c r="BE110" s="62"/>
      <c r="BF110" s="62"/>
      <c r="BG110" s="62"/>
      <c r="BH110" s="62"/>
      <c r="BI110" s="60"/>
      <c r="BJ110" s="62"/>
      <c r="BK110" s="62"/>
      <c r="BL110" s="62"/>
      <c r="BM110" s="62"/>
      <c r="BN110" s="60"/>
      <c r="BO110" s="62"/>
      <c r="BP110" s="41"/>
      <c r="BQ110" s="62"/>
      <c r="BR110" s="62"/>
      <c r="BS110" s="60"/>
      <c r="BT110" s="62"/>
      <c r="BU110" s="62"/>
      <c r="BV110" s="62"/>
      <c r="BW110" s="62"/>
      <c r="BX110" s="60"/>
      <c r="BY110" s="62"/>
      <c r="BZ110" s="62"/>
      <c r="CA110" s="727"/>
      <c r="CB110" s="62"/>
      <c r="CC110" s="60"/>
      <c r="CD110" s="727"/>
      <c r="CE110" s="727"/>
      <c r="CF110" s="727"/>
      <c r="CG110" s="62"/>
      <c r="CH110" s="60"/>
      <c r="CI110" s="727"/>
      <c r="CJ110" s="727"/>
      <c r="CK110" s="727"/>
      <c r="CL110" s="727"/>
      <c r="CM110" s="60">
        <v>143</v>
      </c>
      <c r="CN110" s="923"/>
      <c r="CO110" s="727"/>
      <c r="CP110" s="727"/>
      <c r="CQ110" s="727"/>
      <c r="CR110" s="60">
        <v>116</v>
      </c>
      <c r="CS110" s="727"/>
      <c r="CT110" s="727"/>
      <c r="CU110" s="727"/>
      <c r="CV110" s="727"/>
      <c r="CW110" s="60">
        <v>132</v>
      </c>
      <c r="CX110" s="727"/>
      <c r="CY110" s="727"/>
      <c r="CZ110" s="727"/>
      <c r="DA110" s="727"/>
      <c r="DB110" s="60">
        <v>95</v>
      </c>
      <c r="DC110" s="727">
        <v>29.077346341463411</v>
      </c>
      <c r="DD110" s="727">
        <v>27.710129742962053</v>
      </c>
      <c r="DE110" s="727">
        <v>25.501406896551721</v>
      </c>
      <c r="DF110" s="727">
        <v>31.935870967741934</v>
      </c>
      <c r="DG110" s="60">
        <f>SUM(DC110:DF110)</f>
        <v>114.22475394871911</v>
      </c>
      <c r="DH110" s="727">
        <v>12.165517996515678</v>
      </c>
      <c r="DI110" s="727">
        <v>12.166119694002447</v>
      </c>
      <c r="DJ110" s="727">
        <v>11.79152224137931</v>
      </c>
      <c r="DK110" s="727">
        <v>14.730448947214075</v>
      </c>
      <c r="DL110" s="60">
        <f>SUM(DH110:DK110)</f>
        <v>50.853608879111505</v>
      </c>
      <c r="DM110" s="727">
        <v>10.398193974999998</v>
      </c>
      <c r="DN110" s="727">
        <v>11.133133890146876</v>
      </c>
      <c r="DO110" s="727">
        <v>11.607051400862069</v>
      </c>
      <c r="DP110" s="727">
        <v>15.645623346554249</v>
      </c>
      <c r="DQ110" s="60">
        <f>SUM(DM110:DP110)</f>
        <v>48.784002612563185</v>
      </c>
      <c r="DR110" s="727">
        <v>11.46833575991071</v>
      </c>
      <c r="DS110" s="727">
        <v>12.275515513861682</v>
      </c>
      <c r="DT110" s="727">
        <v>12.787600854633615</v>
      </c>
      <c r="DU110" s="727">
        <v>17.197977797824404</v>
      </c>
      <c r="DV110" s="60">
        <f>SUM(DR110:DU110)</f>
        <v>53.729429926230409</v>
      </c>
      <c r="DW110" s="727">
        <v>12.58548576283258</v>
      </c>
      <c r="DX110" s="727">
        <v>13.468058010080888</v>
      </c>
      <c r="DY110" s="727">
        <v>14.019923373968201</v>
      </c>
      <c r="DZ110" s="727">
        <v>18.81817145706647</v>
      </c>
      <c r="EA110" s="60">
        <f>SUM(DW110:DZ110)</f>
        <v>58.891638603948138</v>
      </c>
      <c r="EB110" s="1003"/>
      <c r="EC110" s="1003"/>
      <c r="ED110" s="1003"/>
      <c r="EE110" s="1003"/>
      <c r="EF110" s="935"/>
      <c r="EG110" s="1245"/>
    </row>
    <row r="111" spans="1:147" x14ac:dyDescent="0.2">
      <c r="A111" s="134" t="s">
        <v>71</v>
      </c>
      <c r="B111" s="315"/>
      <c r="C111" s="315"/>
      <c r="D111" s="315"/>
      <c r="E111" s="315"/>
      <c r="F111" s="315"/>
      <c r="G111" s="315"/>
      <c r="H111" s="315"/>
      <c r="I111" s="315"/>
      <c r="J111" s="315"/>
      <c r="K111" s="315"/>
      <c r="L111" s="364"/>
      <c r="M111" s="363"/>
      <c r="N111" s="363"/>
      <c r="O111" s="363"/>
      <c r="P111" s="363"/>
      <c r="Q111" s="364"/>
      <c r="R111" s="363"/>
      <c r="S111" s="363"/>
      <c r="T111" s="363"/>
      <c r="U111" s="363"/>
      <c r="V111" s="364"/>
      <c r="W111" s="363"/>
      <c r="X111" s="363"/>
      <c r="Y111" s="363"/>
      <c r="Z111" s="363"/>
      <c r="AA111" s="364"/>
      <c r="AB111" s="363"/>
      <c r="AC111" s="363"/>
      <c r="AD111" s="363"/>
      <c r="AE111" s="364"/>
      <c r="AF111" s="153"/>
      <c r="AG111" s="153"/>
      <c r="AH111" s="153"/>
      <c r="AI111" s="153"/>
      <c r="AJ111" s="152"/>
      <c r="AK111" s="153"/>
      <c r="AL111" s="153"/>
      <c r="AM111" s="153"/>
      <c r="AN111" s="153"/>
      <c r="AO111" s="152"/>
      <c r="AP111" s="153"/>
      <c r="AQ111" s="153"/>
      <c r="AR111" s="153"/>
      <c r="AS111" s="153"/>
      <c r="AT111" s="152"/>
      <c r="AU111" s="153"/>
      <c r="AV111" s="153"/>
      <c r="AW111" s="153"/>
      <c r="AX111" s="153"/>
      <c r="AY111" s="152"/>
      <c r="AZ111" s="153"/>
      <c r="BA111" s="153"/>
      <c r="BB111" s="153"/>
      <c r="BC111" s="153"/>
      <c r="BD111" s="152"/>
      <c r="BE111" s="153"/>
      <c r="BF111" s="153"/>
      <c r="BG111" s="153"/>
      <c r="BH111" s="153"/>
      <c r="BI111" s="152"/>
      <c r="BJ111" s="153"/>
      <c r="BK111" s="153"/>
      <c r="BL111" s="153"/>
      <c r="BM111" s="153"/>
      <c r="BN111" s="152"/>
      <c r="BO111" s="153"/>
      <c r="BP111" s="153"/>
      <c r="BQ111" s="153"/>
      <c r="BR111" s="153"/>
      <c r="BS111" s="152"/>
      <c r="BT111" s="153"/>
      <c r="BU111" s="153"/>
      <c r="BV111" s="153"/>
      <c r="BW111" s="153"/>
      <c r="BX111" s="152"/>
      <c r="BY111" s="153"/>
      <c r="BZ111" s="153"/>
      <c r="CA111" s="153"/>
      <c r="CB111" s="153"/>
      <c r="CC111" s="152"/>
      <c r="CD111" s="153"/>
      <c r="CE111" s="153"/>
      <c r="CF111" s="153"/>
      <c r="CG111" s="153"/>
      <c r="CH111" s="152"/>
      <c r="CI111" s="153"/>
      <c r="CJ111" s="154"/>
      <c r="CK111" s="153"/>
      <c r="CL111" s="153"/>
      <c r="CM111" s="152">
        <v>9.8484848484848481E-2</v>
      </c>
      <c r="CN111" s="859"/>
      <c r="CO111" s="153"/>
      <c r="CP111" s="153"/>
      <c r="CQ111" s="154"/>
      <c r="CR111" s="152">
        <v>7.5275794938351723E-2</v>
      </c>
      <c r="CS111" s="153"/>
      <c r="CT111" s="153"/>
      <c r="CU111" s="153"/>
      <c r="CV111" s="153"/>
      <c r="CW111" s="152">
        <v>8.5714285714285715E-2</v>
      </c>
      <c r="CX111" s="153"/>
      <c r="CY111" s="153"/>
      <c r="CZ111" s="154"/>
      <c r="DA111" s="153"/>
      <c r="DB111" s="152">
        <v>6.9904341427520236E-2</v>
      </c>
      <c r="DC111" s="154">
        <v>0.12</v>
      </c>
      <c r="DD111" s="154">
        <v>0.12</v>
      </c>
      <c r="DE111" s="154">
        <v>0.12</v>
      </c>
      <c r="DF111" s="154">
        <v>0.12</v>
      </c>
      <c r="DG111" s="152">
        <v>0.11999999999999998</v>
      </c>
      <c r="DH111" s="154">
        <v>6.5000000000000002E-2</v>
      </c>
      <c r="DI111" s="154">
        <v>6.5000000000000002E-2</v>
      </c>
      <c r="DJ111" s="154">
        <v>6.5000000000000002E-2</v>
      </c>
      <c r="DK111" s="154">
        <v>6.5000000000000002E-2</v>
      </c>
      <c r="DL111" s="152">
        <v>6.5000000000000002E-2</v>
      </c>
      <c r="DM111" s="154">
        <f>DL111</f>
        <v>6.5000000000000002E-2</v>
      </c>
      <c r="DN111" s="154">
        <f>DM111</f>
        <v>6.5000000000000002E-2</v>
      </c>
      <c r="DO111" s="154">
        <f>DN111</f>
        <v>6.5000000000000002E-2</v>
      </c>
      <c r="DP111" s="154">
        <f>DO111</f>
        <v>6.5000000000000002E-2</v>
      </c>
      <c r="DQ111" s="152">
        <v>6.4999999999999988E-2</v>
      </c>
      <c r="DR111" s="154">
        <f>DQ111</f>
        <v>6.4999999999999988E-2</v>
      </c>
      <c r="DS111" s="154">
        <f>DR111</f>
        <v>6.4999999999999988E-2</v>
      </c>
      <c r="DT111" s="154">
        <f>DS111</f>
        <v>6.4999999999999988E-2</v>
      </c>
      <c r="DU111" s="154">
        <f>DT111</f>
        <v>6.4999999999999988E-2</v>
      </c>
      <c r="DV111" s="152">
        <v>6.4999999999999974E-2</v>
      </c>
      <c r="DW111" s="154">
        <f>DV111</f>
        <v>6.4999999999999974E-2</v>
      </c>
      <c r="DX111" s="154">
        <f>DW111</f>
        <v>6.4999999999999974E-2</v>
      </c>
      <c r="DY111" s="154">
        <f>DX111</f>
        <v>6.4999999999999974E-2</v>
      </c>
      <c r="DZ111" s="154">
        <f>DY111</f>
        <v>6.4999999999999974E-2</v>
      </c>
      <c r="EA111" s="152">
        <v>6.4999999999999974E-2</v>
      </c>
      <c r="EB111" s="1003"/>
      <c r="EC111" s="1003"/>
      <c r="ED111" s="1003"/>
      <c r="EE111" s="1003"/>
      <c r="EF111" s="1002"/>
      <c r="EG111" s="1243"/>
      <c r="EH111" s="632"/>
      <c r="EO111" s="632"/>
      <c r="EP111" s="632"/>
      <c r="EQ111" s="632"/>
    </row>
    <row r="112" spans="1:147" x14ac:dyDescent="0.2">
      <c r="A112" s="730" t="s">
        <v>402</v>
      </c>
      <c r="B112" s="731"/>
      <c r="C112" s="731"/>
      <c r="D112" s="731"/>
      <c r="E112" s="731"/>
      <c r="F112" s="731"/>
      <c r="G112" s="731"/>
      <c r="H112" s="731"/>
      <c r="I112" s="731"/>
      <c r="J112" s="731"/>
      <c r="K112" s="731"/>
      <c r="L112" s="728"/>
      <c r="M112" s="729"/>
      <c r="N112" s="729"/>
      <c r="O112" s="729"/>
      <c r="P112" s="729"/>
      <c r="Q112" s="728"/>
      <c r="R112" s="729"/>
      <c r="S112" s="729"/>
      <c r="T112" s="729"/>
      <c r="U112" s="729"/>
      <c r="V112" s="728"/>
      <c r="W112" s="729"/>
      <c r="X112" s="729"/>
      <c r="Y112" s="729"/>
      <c r="Z112" s="729"/>
      <c r="AA112" s="728"/>
      <c r="AB112" s="729"/>
      <c r="AC112" s="729"/>
      <c r="AD112" s="729"/>
      <c r="AE112" s="728"/>
      <c r="AF112" s="729"/>
      <c r="AG112" s="729"/>
      <c r="AH112" s="729"/>
      <c r="AI112" s="729"/>
      <c r="AJ112" s="728"/>
      <c r="AK112" s="729"/>
      <c r="AL112" s="729"/>
      <c r="AM112" s="729"/>
      <c r="AN112" s="729"/>
      <c r="AO112" s="728"/>
      <c r="AP112" s="729"/>
      <c r="AQ112" s="729"/>
      <c r="AR112" s="729"/>
      <c r="AS112" s="729"/>
      <c r="AT112" s="728"/>
      <c r="AU112" s="729"/>
      <c r="AV112" s="729"/>
      <c r="AW112" s="729"/>
      <c r="AX112" s="729"/>
      <c r="AY112" s="728"/>
      <c r="AZ112" s="729"/>
      <c r="BA112" s="729"/>
      <c r="BB112" s="729"/>
      <c r="BC112" s="729"/>
      <c r="BD112" s="728"/>
      <c r="BE112" s="729"/>
      <c r="BF112" s="729"/>
      <c r="BG112" s="729"/>
      <c r="BH112" s="729"/>
      <c r="BI112" s="728"/>
      <c r="BJ112" s="729"/>
      <c r="BK112" s="729"/>
      <c r="BL112" s="729"/>
      <c r="BM112" s="729"/>
      <c r="BN112" s="728"/>
      <c r="BO112" s="729"/>
      <c r="BP112" s="729"/>
      <c r="BQ112" s="729"/>
      <c r="BR112" s="729"/>
      <c r="BS112" s="728"/>
      <c r="BT112" s="729"/>
      <c r="BU112" s="729"/>
      <c r="BV112" s="729"/>
      <c r="BW112" s="729"/>
      <c r="BX112" s="728"/>
      <c r="BY112" s="729"/>
      <c r="BZ112" s="729"/>
      <c r="CA112" s="729"/>
      <c r="CB112" s="729"/>
      <c r="CC112" s="728"/>
      <c r="CD112" s="729"/>
      <c r="CE112" s="729"/>
      <c r="CF112" s="729"/>
      <c r="CG112" s="729"/>
      <c r="CH112" s="728"/>
      <c r="CI112" s="729"/>
      <c r="CJ112" s="729"/>
      <c r="CK112" s="729"/>
      <c r="CL112" s="729"/>
      <c r="CM112" s="728">
        <v>9.2556634304207117E-2</v>
      </c>
      <c r="CN112" s="924"/>
      <c r="CO112" s="729"/>
      <c r="CP112" s="729"/>
      <c r="CQ112" s="729"/>
      <c r="CR112" s="728">
        <v>7.1428571428571425E-2</v>
      </c>
      <c r="CS112" s="729"/>
      <c r="CT112" s="729"/>
      <c r="CU112" s="729"/>
      <c r="CV112" s="729"/>
      <c r="CW112" s="728">
        <v>7.8384798099762468E-2</v>
      </c>
      <c r="CX112" s="729"/>
      <c r="CY112" s="729"/>
      <c r="CZ112" s="729"/>
      <c r="DA112" s="729"/>
      <c r="DB112" s="728">
        <v>5.4472477064220183E-2</v>
      </c>
      <c r="DC112" s="729">
        <v>1.6577734516227714E-2</v>
      </c>
      <c r="DD112" s="729">
        <v>1.5708690330477355E-2</v>
      </c>
      <c r="DE112" s="729">
        <v>1.433468628249113E-2</v>
      </c>
      <c r="DF112" s="729">
        <v>1.7702810957728344E-2</v>
      </c>
      <c r="DG112" s="728">
        <v>6.331749110239418E-2</v>
      </c>
      <c r="DH112" s="729">
        <v>6.7064597555213223E-3</v>
      </c>
      <c r="DI112" s="729">
        <v>6.6700217620627453E-3</v>
      </c>
      <c r="DJ112" s="729">
        <v>6.4119207402823872E-3</v>
      </c>
      <c r="DK112" s="729">
        <v>7.9026013665311565E-3</v>
      </c>
      <c r="DL112" s="728">
        <v>2.7281979012398875E-2</v>
      </c>
      <c r="DM112" s="729">
        <v>5.5486627401280676E-3</v>
      </c>
      <c r="DN112" s="729">
        <v>5.9093067357467496E-3</v>
      </c>
      <c r="DO112" s="729">
        <v>6.1121913643296839E-3</v>
      </c>
      <c r="DP112" s="729">
        <v>8.1318208661924369E-3</v>
      </c>
      <c r="DQ112" s="728">
        <v>2.5355510713390428E-2</v>
      </c>
      <c r="DR112" s="729">
        <v>5.9298530299434901E-3</v>
      </c>
      <c r="DS112" s="729">
        <v>6.3145655935502483E-3</v>
      </c>
      <c r="DT112" s="729">
        <v>6.5276165669390582E-3</v>
      </c>
      <c r="DU112" s="729">
        <v>8.6683355835808478E-3</v>
      </c>
      <c r="DV112" s="728">
        <v>2.7081365890237102E-2</v>
      </c>
      <c r="DW112" s="729">
        <v>6.3116779151617753E-3</v>
      </c>
      <c r="DX112" s="729">
        <v>6.7205878293816806E-3</v>
      </c>
      <c r="DY112" s="729">
        <v>6.9439937463933636E-3</v>
      </c>
      <c r="DZ112" s="729">
        <v>9.206541808740934E-3</v>
      </c>
      <c r="EA112" s="728">
        <v>2.8811956264162494E-2</v>
      </c>
      <c r="EB112" s="935"/>
      <c r="EC112" s="935"/>
      <c r="ED112" s="935"/>
      <c r="EE112" s="935"/>
      <c r="EF112" s="1003"/>
      <c r="EG112" s="1243"/>
      <c r="EH112" s="732"/>
      <c r="EO112" s="732"/>
      <c r="EP112" s="732"/>
      <c r="EQ112" s="732"/>
    </row>
    <row r="113" spans="1:147" x14ac:dyDescent="0.2">
      <c r="A113" s="730" t="s">
        <v>278</v>
      </c>
      <c r="B113" s="731"/>
      <c r="C113" s="731"/>
      <c r="D113" s="731"/>
      <c r="E113" s="731"/>
      <c r="F113" s="731"/>
      <c r="G113" s="731"/>
      <c r="H113" s="731"/>
      <c r="I113" s="731"/>
      <c r="J113" s="731"/>
      <c r="K113" s="731"/>
      <c r="L113" s="728"/>
      <c r="M113" s="729"/>
      <c r="N113" s="729"/>
      <c r="O113" s="729"/>
      <c r="P113" s="729"/>
      <c r="Q113" s="728"/>
      <c r="R113" s="729"/>
      <c r="S113" s="729"/>
      <c r="T113" s="729"/>
      <c r="U113" s="729"/>
      <c r="V113" s="728"/>
      <c r="W113" s="729"/>
      <c r="X113" s="729"/>
      <c r="Y113" s="729"/>
      <c r="Z113" s="729"/>
      <c r="AA113" s="728"/>
      <c r="AB113" s="729"/>
      <c r="AC113" s="729"/>
      <c r="AD113" s="729"/>
      <c r="AE113" s="728"/>
      <c r="AF113" s="729"/>
      <c r="AG113" s="729"/>
      <c r="AH113" s="729"/>
      <c r="AI113" s="729"/>
      <c r="AJ113" s="728"/>
      <c r="AK113" s="729"/>
      <c r="AL113" s="729"/>
      <c r="AM113" s="729"/>
      <c r="AN113" s="729"/>
      <c r="AO113" s="728"/>
      <c r="AP113" s="729"/>
      <c r="AQ113" s="729"/>
      <c r="AR113" s="729"/>
      <c r="AS113" s="729"/>
      <c r="AT113" s="728"/>
      <c r="AU113" s="729"/>
      <c r="AV113" s="729"/>
      <c r="AW113" s="729"/>
      <c r="AX113" s="729"/>
      <c r="AY113" s="728"/>
      <c r="AZ113" s="729"/>
      <c r="BA113" s="729"/>
      <c r="BB113" s="729"/>
      <c r="BC113" s="729"/>
      <c r="BD113" s="728"/>
      <c r="BE113" s="729"/>
      <c r="BF113" s="729"/>
      <c r="BG113" s="729"/>
      <c r="BH113" s="729"/>
      <c r="BI113" s="728"/>
      <c r="BJ113" s="729"/>
      <c r="BK113" s="729"/>
      <c r="BL113" s="729"/>
      <c r="BM113" s="729"/>
      <c r="BN113" s="728"/>
      <c r="BO113" s="729"/>
      <c r="BP113" s="729"/>
      <c r="BQ113" s="729"/>
      <c r="BR113" s="729"/>
      <c r="BS113" s="728"/>
      <c r="BT113" s="729"/>
      <c r="BU113" s="729"/>
      <c r="BV113" s="729"/>
      <c r="BW113" s="729"/>
      <c r="BX113" s="728"/>
      <c r="BY113" s="729"/>
      <c r="BZ113" s="729"/>
      <c r="CA113" s="729"/>
      <c r="CB113" s="729"/>
      <c r="CC113" s="728"/>
      <c r="CD113" s="729"/>
      <c r="CE113" s="729"/>
      <c r="CF113" s="729"/>
      <c r="CG113" s="729"/>
      <c r="CH113" s="728"/>
      <c r="CI113" s="410"/>
      <c r="CJ113" s="410"/>
      <c r="CK113" s="410"/>
      <c r="CL113" s="410"/>
      <c r="CM113" s="841">
        <v>3.6666666666666665</v>
      </c>
      <c r="CN113" s="925"/>
      <c r="CO113" s="410"/>
      <c r="CP113" s="410"/>
      <c r="CQ113" s="410"/>
      <c r="CR113" s="841">
        <v>3.1351351351351351</v>
      </c>
      <c r="CS113" s="410"/>
      <c r="CT113" s="410"/>
      <c r="CU113" s="410"/>
      <c r="CV113" s="410"/>
      <c r="CW113" s="841">
        <v>3.7714285714285714</v>
      </c>
      <c r="CX113" s="410"/>
      <c r="CY113" s="410"/>
      <c r="CZ113" s="410"/>
      <c r="DA113" s="410"/>
      <c r="DB113" s="841">
        <v>5</v>
      </c>
      <c r="DC113" s="410">
        <v>14.538673170731705</v>
      </c>
      <c r="DD113" s="410">
        <v>9.2367099143206843</v>
      </c>
      <c r="DE113" s="410">
        <v>3.1876758620689651</v>
      </c>
      <c r="DF113" s="410">
        <v>3.1935870967741935</v>
      </c>
      <c r="DG113" s="841">
        <v>4.9662936499443093</v>
      </c>
      <c r="DH113" s="410">
        <v>6.0827589982578392</v>
      </c>
      <c r="DI113" s="410">
        <v>4.0553732313341486</v>
      </c>
      <c r="DJ113" s="410">
        <v>1.4739402801724137</v>
      </c>
      <c r="DK113" s="410">
        <v>0.73652244736070371</v>
      </c>
      <c r="DL113" s="841">
        <v>1.5410184508821667</v>
      </c>
      <c r="DM113" s="410">
        <v>5.199096987499999</v>
      </c>
      <c r="DN113" s="410">
        <v>3.7110446300489586</v>
      </c>
      <c r="DO113" s="410">
        <v>1.4508814251077586</v>
      </c>
      <c r="DP113" s="410">
        <v>0.78228116732771247</v>
      </c>
      <c r="DQ113" s="841">
        <v>1.4783031094716117</v>
      </c>
      <c r="DR113" s="410">
        <v>5.734167879955355</v>
      </c>
      <c r="DS113" s="410">
        <v>4.0918385046205605</v>
      </c>
      <c r="DT113" s="410">
        <v>1.5984501068292019</v>
      </c>
      <c r="DU113" s="410">
        <v>0.85989888989122021</v>
      </c>
      <c r="DV113" s="841">
        <v>1.6281645432191034</v>
      </c>
      <c r="DW113" s="410">
        <v>6.2927428814162898</v>
      </c>
      <c r="DX113" s="410">
        <v>4.489352670026963</v>
      </c>
      <c r="DY113" s="410">
        <v>1.7524904217460251</v>
      </c>
      <c r="DZ113" s="410">
        <v>0.94090857285332352</v>
      </c>
      <c r="EA113" s="841">
        <v>1.7845951092105496</v>
      </c>
      <c r="EB113" s="1002"/>
      <c r="EC113" s="1002"/>
      <c r="ED113" s="1002"/>
      <c r="EE113" s="1002"/>
      <c r="EF113" s="935"/>
      <c r="EG113" s="1243"/>
      <c r="EH113" s="732"/>
      <c r="EO113" s="732"/>
      <c r="EP113" s="732"/>
      <c r="EQ113" s="732"/>
    </row>
    <row r="114" spans="1:147" s="2153" customFormat="1" x14ac:dyDescent="0.2">
      <c r="A114" s="2158" t="s">
        <v>459</v>
      </c>
      <c r="B114" s="731"/>
      <c r="C114" s="731"/>
      <c r="D114" s="731"/>
      <c r="E114" s="731"/>
      <c r="F114" s="731"/>
      <c r="G114" s="731"/>
      <c r="H114" s="731"/>
      <c r="I114" s="731"/>
      <c r="J114" s="731"/>
      <c r="K114" s="731"/>
      <c r="L114" s="728"/>
      <c r="M114" s="729"/>
      <c r="N114" s="729"/>
      <c r="O114" s="729"/>
      <c r="P114" s="729"/>
      <c r="Q114" s="728"/>
      <c r="R114" s="729"/>
      <c r="S114" s="729"/>
      <c r="T114" s="729"/>
      <c r="U114" s="729"/>
      <c r="V114" s="728"/>
      <c r="W114" s="729"/>
      <c r="X114" s="729"/>
      <c r="Y114" s="729"/>
      <c r="Z114" s="729"/>
      <c r="AA114" s="728"/>
      <c r="AB114" s="729"/>
      <c r="AC114" s="729"/>
      <c r="AD114" s="729"/>
      <c r="AE114" s="728"/>
      <c r="AF114" s="729"/>
      <c r="AG114" s="729"/>
      <c r="AH114" s="729"/>
      <c r="AI114" s="729"/>
      <c r="AJ114" s="728"/>
      <c r="AK114" s="729"/>
      <c r="AL114" s="729"/>
      <c r="AM114" s="729"/>
      <c r="AN114" s="729"/>
      <c r="AO114" s="728"/>
      <c r="AP114" s="729"/>
      <c r="AQ114" s="729"/>
      <c r="AR114" s="729"/>
      <c r="AS114" s="729"/>
      <c r="AT114" s="728"/>
      <c r="AU114" s="729"/>
      <c r="AV114" s="729"/>
      <c r="AW114" s="729"/>
      <c r="AX114" s="729"/>
      <c r="AY114" s="728"/>
      <c r="AZ114" s="729"/>
      <c r="BA114" s="729"/>
      <c r="BB114" s="729"/>
      <c r="BC114" s="729"/>
      <c r="BD114" s="728"/>
      <c r="BE114" s="729"/>
      <c r="BF114" s="729"/>
      <c r="BG114" s="729"/>
      <c r="BH114" s="729"/>
      <c r="BI114" s="728"/>
      <c r="BJ114" s="729"/>
      <c r="BK114" s="729"/>
      <c r="BL114" s="729"/>
      <c r="BM114" s="729"/>
      <c r="BN114" s="728"/>
      <c r="BO114" s="729"/>
      <c r="BP114" s="729"/>
      <c r="BQ114" s="729"/>
      <c r="BR114" s="729"/>
      <c r="BS114" s="728"/>
      <c r="BT114" s="729"/>
      <c r="BU114" s="729"/>
      <c r="BV114" s="729"/>
      <c r="BW114" s="729"/>
      <c r="BX114" s="728"/>
      <c r="BY114" s="729"/>
      <c r="BZ114" s="729"/>
      <c r="CA114" s="729"/>
      <c r="CB114" s="729"/>
      <c r="CC114" s="728"/>
      <c r="CD114" s="729"/>
      <c r="CE114" s="729"/>
      <c r="CF114" s="729"/>
      <c r="CG114" s="729"/>
      <c r="CH114" s="728"/>
      <c r="CI114" s="410"/>
      <c r="CJ114" s="410"/>
      <c r="CK114" s="410"/>
      <c r="CL114" s="410"/>
      <c r="CM114" s="841">
        <v>9</v>
      </c>
      <c r="CN114" s="925"/>
      <c r="CO114" s="410"/>
      <c r="CP114" s="410"/>
      <c r="CQ114" s="410"/>
      <c r="CR114" s="841">
        <v>11</v>
      </c>
      <c r="CS114" s="410"/>
      <c r="CT114" s="410"/>
      <c r="CU114" s="410"/>
      <c r="CV114" s="410"/>
      <c r="CW114" s="841">
        <v>9</v>
      </c>
      <c r="CX114" s="2280"/>
      <c r="CY114" s="2280"/>
      <c r="CZ114" s="2280"/>
      <c r="DA114" s="1103"/>
      <c r="DB114" s="1138">
        <v>5</v>
      </c>
      <c r="DC114" s="2280">
        <v>2.5</v>
      </c>
      <c r="DD114" s="2280">
        <v>2.5</v>
      </c>
      <c r="DE114" s="2280">
        <v>2.5</v>
      </c>
      <c r="DF114" s="2280">
        <v>2.5</v>
      </c>
      <c r="DG114" s="1138">
        <f>SUM(DC114:DF114)</f>
        <v>10</v>
      </c>
      <c r="DH114" s="2280">
        <v>2.5</v>
      </c>
      <c r="DI114" s="2280">
        <v>2.5</v>
      </c>
      <c r="DJ114" s="2280">
        <v>2.5</v>
      </c>
      <c r="DK114" s="2280">
        <v>2.5</v>
      </c>
      <c r="DL114" s="1138">
        <f>SUM(DH114:DK114)</f>
        <v>10</v>
      </c>
      <c r="DM114" s="2280">
        <v>2.25</v>
      </c>
      <c r="DN114" s="2280">
        <v>2.25</v>
      </c>
      <c r="DO114" s="2280">
        <v>2.25</v>
      </c>
      <c r="DP114" s="2280">
        <v>2.25</v>
      </c>
      <c r="DQ114" s="1138">
        <f>SUM(DM114:DP114)</f>
        <v>9</v>
      </c>
      <c r="DR114" s="2280">
        <v>3</v>
      </c>
      <c r="DS114" s="2280">
        <v>3</v>
      </c>
      <c r="DT114" s="2280">
        <v>3</v>
      </c>
      <c r="DU114" s="2280">
        <v>3</v>
      </c>
      <c r="DV114" s="1138">
        <f>SUM(DR114:DU114)</f>
        <v>12</v>
      </c>
      <c r="DW114" s="2280">
        <v>3</v>
      </c>
      <c r="DX114" s="2280">
        <v>3</v>
      </c>
      <c r="DY114" s="2280">
        <v>3</v>
      </c>
      <c r="DZ114" s="2280">
        <v>3</v>
      </c>
      <c r="EA114" s="1138">
        <f>SUM(DW114:DZ114)</f>
        <v>12</v>
      </c>
      <c r="EB114" s="1002"/>
      <c r="EC114" s="1002"/>
      <c r="ED114" s="1002"/>
      <c r="EE114" s="1002"/>
      <c r="EF114" s="935"/>
      <c r="EH114" s="732"/>
      <c r="EI114"/>
      <c r="EJ114"/>
      <c r="EK114"/>
      <c r="EL114"/>
      <c r="EM114"/>
      <c r="EN114"/>
      <c r="EO114" s="732"/>
      <c r="EP114" s="732"/>
      <c r="EQ114" s="732"/>
    </row>
    <row r="115" spans="1:147" hidden="1" outlineLevel="1" x14ac:dyDescent="0.2">
      <c r="A115" s="14" t="s">
        <v>409</v>
      </c>
      <c r="B115" s="55"/>
      <c r="C115" s="55"/>
      <c r="D115" s="55"/>
      <c r="E115" s="55"/>
      <c r="F115" s="55"/>
      <c r="G115" s="55"/>
      <c r="H115" s="55"/>
      <c r="I115" s="55"/>
      <c r="J115" s="55"/>
      <c r="K115" s="55"/>
      <c r="L115" s="60"/>
      <c r="M115" s="62"/>
      <c r="N115" s="62"/>
      <c r="O115" s="62"/>
      <c r="P115" s="62"/>
      <c r="Q115" s="60"/>
      <c r="R115" s="62"/>
      <c r="S115" s="62"/>
      <c r="T115" s="62"/>
      <c r="U115" s="62"/>
      <c r="V115" s="60"/>
      <c r="W115" s="62"/>
      <c r="X115" s="62"/>
      <c r="Y115" s="62"/>
      <c r="Z115" s="62"/>
      <c r="AA115" s="60"/>
      <c r="AB115" s="62"/>
      <c r="AC115" s="62"/>
      <c r="AD115" s="62"/>
      <c r="AE115" s="60"/>
      <c r="AF115" s="62"/>
      <c r="AG115" s="62"/>
      <c r="AH115" s="62"/>
      <c r="AI115" s="62"/>
      <c r="AJ115" s="60"/>
      <c r="AK115" s="62"/>
      <c r="AL115" s="62"/>
      <c r="AM115" s="62"/>
      <c r="AN115" s="62"/>
      <c r="AO115" s="60">
        <v>365</v>
      </c>
      <c r="AP115" s="62"/>
      <c r="AQ115" s="62"/>
      <c r="AR115" s="62"/>
      <c r="AS115" s="62"/>
      <c r="AT115" s="60">
        <v>333</v>
      </c>
      <c r="AU115" s="62"/>
      <c r="AV115" s="62"/>
      <c r="AW115" s="62"/>
      <c r="AX115" s="62"/>
      <c r="AY115" s="60">
        <v>331</v>
      </c>
      <c r="AZ115" s="62">
        <v>25</v>
      </c>
      <c r="BA115" s="62">
        <f>71-AZ115</f>
        <v>46</v>
      </c>
      <c r="BB115" s="62">
        <f>150-SUM(AZ115:BA115)</f>
        <v>79</v>
      </c>
      <c r="BC115" s="62">
        <f>BD115-SUM(AZ115:BB115)</f>
        <v>157</v>
      </c>
      <c r="BD115" s="60">
        <v>307</v>
      </c>
      <c r="BE115" s="62">
        <v>49</v>
      </c>
      <c r="BF115" s="62">
        <f>144-BE115</f>
        <v>95</v>
      </c>
      <c r="BG115" s="62">
        <f>231-SUM(BE115:BF115)</f>
        <v>87</v>
      </c>
      <c r="BH115" s="62">
        <f>BI115-SUM(BE115:BG115)</f>
        <v>124</v>
      </c>
      <c r="BI115" s="60">
        <v>355</v>
      </c>
      <c r="BJ115" s="62">
        <v>65</v>
      </c>
      <c r="BK115" s="62">
        <f>117-BJ115</f>
        <v>52</v>
      </c>
      <c r="BL115" s="62">
        <f>174-SUM(BJ115:BK115)</f>
        <v>57</v>
      </c>
      <c r="BM115" s="62">
        <f>BN115-SUM(BJ115:BL115)</f>
        <v>101</v>
      </c>
      <c r="BN115" s="60">
        <v>275</v>
      </c>
      <c r="BO115" s="62">
        <v>61</v>
      </c>
      <c r="BP115" s="41">
        <f>102-BO115</f>
        <v>41</v>
      </c>
      <c r="BQ115" s="62">
        <f>154-SUM(BO115:BP115)</f>
        <v>52</v>
      </c>
      <c r="BR115" s="62">
        <f>BS115-SUM(BO115:BQ115)</f>
        <v>111</v>
      </c>
      <c r="BS115" s="60">
        <v>265</v>
      </c>
      <c r="BT115" s="62">
        <v>66</v>
      </c>
      <c r="BU115" s="62">
        <f>107-BT115</f>
        <v>41</v>
      </c>
      <c r="BV115" s="62">
        <f>166-SUM(BT115:BU115)</f>
        <v>59</v>
      </c>
      <c r="BW115" s="62">
        <f>BX115-SUM(BT115:BV115)</f>
        <v>113</v>
      </c>
      <c r="BX115" s="60">
        <v>279</v>
      </c>
      <c r="BY115" s="62">
        <v>34</v>
      </c>
      <c r="BZ115" s="62">
        <f>62-BY115</f>
        <v>28</v>
      </c>
      <c r="CA115" s="727">
        <f>101-SUM(BY115:BZ115)</f>
        <v>39</v>
      </c>
      <c r="CB115" s="62">
        <f>CC115-SUM(BY115:CA115)</f>
        <v>74</v>
      </c>
      <c r="CC115" s="60">
        <v>175</v>
      </c>
      <c r="CD115" s="727">
        <v>30</v>
      </c>
      <c r="CE115" s="727">
        <f>60-CD115</f>
        <v>30</v>
      </c>
      <c r="CF115" s="727">
        <f>96-SUM(CD115:CE115)</f>
        <v>36</v>
      </c>
      <c r="CG115" s="62">
        <f>CH115-SUM(CD115:CF115)</f>
        <v>65</v>
      </c>
      <c r="CH115" s="60">
        <v>161</v>
      </c>
      <c r="CI115" s="727"/>
      <c r="CJ115" s="727"/>
      <c r="CK115" s="727"/>
      <c r="CL115" s="727"/>
      <c r="CM115" s="60"/>
      <c r="CN115" s="923"/>
      <c r="CO115" s="727"/>
      <c r="CP115" s="727"/>
      <c r="CQ115" s="727"/>
      <c r="CR115" s="60"/>
      <c r="CS115" s="727"/>
      <c r="CT115" s="727"/>
      <c r="CU115" s="727"/>
      <c r="CV115" s="727"/>
      <c r="CW115" s="60"/>
      <c r="CX115" s="727"/>
      <c r="CY115" s="727"/>
      <c r="CZ115" s="727"/>
      <c r="DA115" s="727"/>
      <c r="DB115" s="60"/>
      <c r="DC115" s="727"/>
      <c r="DD115" s="727"/>
      <c r="DE115" s="727"/>
      <c r="DF115" s="727"/>
      <c r="DG115" s="60"/>
      <c r="DH115" s="727"/>
      <c r="DI115" s="727"/>
      <c r="DJ115" s="727"/>
      <c r="DK115" s="727"/>
      <c r="DL115" s="60"/>
      <c r="DM115" s="727"/>
      <c r="DN115" s="727"/>
      <c r="DO115" s="727"/>
      <c r="DP115" s="727"/>
      <c r="DQ115" s="60"/>
      <c r="DR115" s="727"/>
      <c r="DS115" s="727"/>
      <c r="DT115" s="727"/>
      <c r="DU115" s="727"/>
      <c r="DV115" s="60"/>
      <c r="DW115" s="727"/>
      <c r="DX115" s="727"/>
      <c r="DY115" s="727"/>
      <c r="DZ115" s="727"/>
      <c r="EA115" s="60"/>
      <c r="EB115" s="1003"/>
      <c r="EC115" s="1003"/>
      <c r="ED115" s="1003"/>
      <c r="EE115" s="1003"/>
      <c r="EF115" s="1002"/>
      <c r="EG115" s="1243"/>
    </row>
    <row r="116" spans="1:147" hidden="1" outlineLevel="1" x14ac:dyDescent="0.2">
      <c r="A116" s="134" t="s">
        <v>71</v>
      </c>
      <c r="B116" s="315"/>
      <c r="C116" s="315"/>
      <c r="D116" s="315"/>
      <c r="E116" s="315"/>
      <c r="F116" s="315"/>
      <c r="G116" s="315"/>
      <c r="H116" s="315"/>
      <c r="I116" s="315"/>
      <c r="J116" s="315"/>
      <c r="K116" s="315"/>
      <c r="L116" s="364"/>
      <c r="M116" s="363"/>
      <c r="N116" s="363"/>
      <c r="O116" s="363"/>
      <c r="P116" s="363"/>
      <c r="Q116" s="364"/>
      <c r="R116" s="363"/>
      <c r="S116" s="363"/>
      <c r="T116" s="363"/>
      <c r="U116" s="363"/>
      <c r="V116" s="364"/>
      <c r="W116" s="363"/>
      <c r="X116" s="363"/>
      <c r="Y116" s="363"/>
      <c r="Z116" s="363"/>
      <c r="AA116" s="364"/>
      <c r="AB116" s="363"/>
      <c r="AC116" s="363"/>
      <c r="AD116" s="363"/>
      <c r="AE116" s="364"/>
      <c r="AF116" s="153"/>
      <c r="AG116" s="153"/>
      <c r="AH116" s="153"/>
      <c r="AI116" s="153"/>
      <c r="AJ116" s="152"/>
      <c r="AK116" s="153"/>
      <c r="AL116" s="153"/>
      <c r="AM116" s="153"/>
      <c r="AN116" s="153"/>
      <c r="AO116" s="152"/>
      <c r="AP116" s="153"/>
      <c r="AQ116" s="153"/>
      <c r="AR116" s="153"/>
      <c r="AS116" s="153"/>
      <c r="AT116" s="152"/>
      <c r="AU116" s="153"/>
      <c r="AV116" s="153"/>
      <c r="AW116" s="153"/>
      <c r="AX116" s="153"/>
      <c r="AY116" s="152">
        <v>6.6841680129240716E-2</v>
      </c>
      <c r="AZ116" s="153">
        <v>2.3786869647954328E-2</v>
      </c>
      <c r="BA116" s="153">
        <v>4.3396226415094337E-2</v>
      </c>
      <c r="BB116" s="153">
        <v>7.4598677998111429E-2</v>
      </c>
      <c r="BC116" s="153">
        <v>0.11646884272997032</v>
      </c>
      <c r="BD116" s="152">
        <v>6.7950420540061979E-2</v>
      </c>
      <c r="BE116" s="153">
        <v>4.7388781431334626E-2</v>
      </c>
      <c r="BF116" s="153">
        <v>8.9707271010387155E-2</v>
      </c>
      <c r="BG116" s="153">
        <v>8.3653846153846148E-2</v>
      </c>
      <c r="BH116" s="153">
        <v>9.7102584181675805E-2</v>
      </c>
      <c r="BI116" s="152">
        <v>8.0498866213151929E-2</v>
      </c>
      <c r="BJ116" s="153">
        <v>7.3696145124716547E-2</v>
      </c>
      <c r="BK116" s="153">
        <v>5.6338028169014086E-2</v>
      </c>
      <c r="BL116" s="153">
        <v>6.4846416382252553E-2</v>
      </c>
      <c r="BM116" s="153">
        <v>9.5825426944971537E-2</v>
      </c>
      <c r="BN116" s="152">
        <v>7.3568753344034246E-2</v>
      </c>
      <c r="BO116" s="153">
        <v>7.9947575360419396E-2</v>
      </c>
      <c r="BP116" s="153">
        <v>5.0554870530209621E-2</v>
      </c>
      <c r="BQ116" s="153">
        <v>6.5739570164348921E-2</v>
      </c>
      <c r="BR116" s="153">
        <v>0.11212121212121212</v>
      </c>
      <c r="BS116" s="152">
        <v>7.898658718330849E-2</v>
      </c>
      <c r="BT116" s="153">
        <v>9.6916299559471369E-2</v>
      </c>
      <c r="BU116" s="153">
        <v>5.8321479374110953E-2</v>
      </c>
      <c r="BV116" s="153">
        <v>8.5383502170766998E-2</v>
      </c>
      <c r="BW116" s="153">
        <v>0.12216216216216216</v>
      </c>
      <c r="BX116" s="152">
        <v>9.2999999999999999E-2</v>
      </c>
      <c r="BY116" s="153">
        <v>5.4662379421221867E-2</v>
      </c>
      <c r="BZ116" s="153">
        <v>4.4444444444444446E-2</v>
      </c>
      <c r="CA116" s="153">
        <v>6.5217391304347824E-2</v>
      </c>
      <c r="CB116" s="153">
        <v>0.125</v>
      </c>
      <c r="CC116" s="152">
        <v>6.8627450980392163E-2</v>
      </c>
      <c r="CD116" s="153">
        <v>5.9405940594059403E-2</v>
      </c>
      <c r="CE116" s="153">
        <v>5.8823529411764705E-2</v>
      </c>
      <c r="CF116" s="153">
        <v>7.3921971252566734E-2</v>
      </c>
      <c r="CG116" s="153">
        <v>0.10586319218241043</v>
      </c>
      <c r="CH116" s="152">
        <v>7.6086956521739135E-2</v>
      </c>
      <c r="CI116" s="154"/>
      <c r="CJ116" s="154"/>
      <c r="CK116" s="153"/>
      <c r="CL116" s="153"/>
      <c r="CM116" s="152"/>
      <c r="CN116" s="859"/>
      <c r="CO116" s="153"/>
      <c r="CP116" s="153"/>
      <c r="CQ116" s="154"/>
      <c r="CR116" s="152"/>
      <c r="CS116" s="153"/>
      <c r="CT116" s="153"/>
      <c r="CU116" s="153"/>
      <c r="CV116" s="153"/>
      <c r="CW116" s="152"/>
      <c r="CX116" s="153"/>
      <c r="CY116" s="154"/>
      <c r="CZ116" s="154"/>
      <c r="DA116" s="153"/>
      <c r="DB116" s="152"/>
      <c r="DC116" s="154"/>
      <c r="DD116" s="154"/>
      <c r="DE116" s="154"/>
      <c r="DF116" s="154"/>
      <c r="DG116" s="152"/>
      <c r="DH116" s="154"/>
      <c r="DI116" s="154"/>
      <c r="DJ116" s="154"/>
      <c r="DK116" s="154"/>
      <c r="DL116" s="152"/>
      <c r="DM116" s="154"/>
      <c r="DN116" s="154"/>
      <c r="DO116" s="154"/>
      <c r="DP116" s="154"/>
      <c r="DQ116" s="152"/>
      <c r="DR116" s="154"/>
      <c r="DS116" s="154"/>
      <c r="DT116" s="154"/>
      <c r="DU116" s="154"/>
      <c r="DV116" s="152"/>
      <c r="DW116" s="154"/>
      <c r="DX116" s="154"/>
      <c r="DY116" s="154"/>
      <c r="DZ116" s="154"/>
      <c r="EA116" s="152"/>
      <c r="EB116" s="935"/>
      <c r="EC116" s="935"/>
      <c r="ED116" s="935"/>
      <c r="EE116" s="935"/>
      <c r="EF116" s="1003"/>
      <c r="EG116" s="1243"/>
      <c r="EH116" s="632"/>
      <c r="EO116" s="632"/>
      <c r="EP116" s="632"/>
      <c r="EQ116" s="632"/>
    </row>
    <row r="117" spans="1:147" hidden="1" outlineLevel="1" x14ac:dyDescent="0.2">
      <c r="A117" s="730" t="s">
        <v>402</v>
      </c>
      <c r="B117" s="731"/>
      <c r="C117" s="731"/>
      <c r="D117" s="731"/>
      <c r="E117" s="731"/>
      <c r="F117" s="731"/>
      <c r="G117" s="731"/>
      <c r="H117" s="731"/>
      <c r="I117" s="731"/>
      <c r="J117" s="731"/>
      <c r="K117" s="731"/>
      <c r="L117" s="728"/>
      <c r="M117" s="729"/>
      <c r="N117" s="729"/>
      <c r="O117" s="729"/>
      <c r="P117" s="729"/>
      <c r="Q117" s="728"/>
      <c r="R117" s="729"/>
      <c r="S117" s="729"/>
      <c r="T117" s="729"/>
      <c r="U117" s="729"/>
      <c r="V117" s="728"/>
      <c r="W117" s="729"/>
      <c r="X117" s="729"/>
      <c r="Y117" s="729"/>
      <c r="Z117" s="729"/>
      <c r="AA117" s="728"/>
      <c r="AB117" s="729"/>
      <c r="AC117" s="729"/>
      <c r="AD117" s="729"/>
      <c r="AE117" s="728"/>
      <c r="AF117" s="729"/>
      <c r="AG117" s="729"/>
      <c r="AH117" s="729"/>
      <c r="AI117" s="729"/>
      <c r="AJ117" s="728"/>
      <c r="AK117" s="729"/>
      <c r="AL117" s="729"/>
      <c r="AM117" s="729"/>
      <c r="AN117" s="729"/>
      <c r="AO117" s="728"/>
      <c r="AP117" s="729"/>
      <c r="AQ117" s="729"/>
      <c r="AR117" s="729"/>
      <c r="AS117" s="729"/>
      <c r="AT117" s="728"/>
      <c r="AU117" s="729"/>
      <c r="AV117" s="729"/>
      <c r="AW117" s="729"/>
      <c r="AX117" s="729"/>
      <c r="AY117" s="728">
        <v>7.8584995251661918E-2</v>
      </c>
      <c r="AZ117" s="729">
        <v>6.1184532550171318E-3</v>
      </c>
      <c r="BA117" s="729">
        <v>1.1394599950458261E-2</v>
      </c>
      <c r="BB117" s="729">
        <v>1.9899244332493703E-2</v>
      </c>
      <c r="BC117" s="729">
        <v>4.0297741273100617E-2</v>
      </c>
      <c r="BD117" s="728">
        <v>7.8798767967145786E-2</v>
      </c>
      <c r="BE117" s="729">
        <v>1.263537906137184E-2</v>
      </c>
      <c r="BF117" s="729">
        <v>2.5606469002695417E-2</v>
      </c>
      <c r="BG117" s="729">
        <v>2.4964131994261118E-2</v>
      </c>
      <c r="BH117" s="729">
        <v>3.7417018708509352E-2</v>
      </c>
      <c r="BI117" s="728">
        <v>0.10712130356065178</v>
      </c>
      <c r="BJ117" s="729">
        <v>2.0030816640986132E-2</v>
      </c>
      <c r="BK117" s="729">
        <v>1.6440088523553588E-2</v>
      </c>
      <c r="BL117" s="729">
        <v>1.8621365566808233E-2</v>
      </c>
      <c r="BM117" s="729">
        <v>3.6071428571428574E-2</v>
      </c>
      <c r="BN117" s="728">
        <v>9.8214285714285712E-2</v>
      </c>
      <c r="BO117" s="729">
        <v>2.2133526850507984E-2</v>
      </c>
      <c r="BP117" s="729">
        <v>1.4968966776195691E-2</v>
      </c>
      <c r="BQ117" s="729">
        <v>1.9145802650957292E-2</v>
      </c>
      <c r="BR117" s="729">
        <v>4.4685990338164248E-2</v>
      </c>
      <c r="BS117" s="728">
        <v>0.10668276972624799</v>
      </c>
      <c r="BT117" s="729">
        <v>2.665589660743134E-2</v>
      </c>
      <c r="BU117" s="729">
        <v>1.7062005826050771E-2</v>
      </c>
      <c r="BV117" s="729">
        <v>2.5053078556263271E-2</v>
      </c>
      <c r="BW117" s="729">
        <v>5.2828424497428708E-2</v>
      </c>
      <c r="BX117" s="728">
        <v>0.13043478260869565</v>
      </c>
      <c r="BY117" s="729">
        <v>1.6790123456790124E-2</v>
      </c>
      <c r="BZ117" s="729">
        <v>1.4049172102358254E-2</v>
      </c>
      <c r="CA117" s="729">
        <v>2.1323127392017496E-2</v>
      </c>
      <c r="CB117" s="729">
        <v>4.2700519330640507E-2</v>
      </c>
      <c r="CC117" s="728">
        <v>0.10098095787651472</v>
      </c>
      <c r="CD117" s="729">
        <v>1.812688821752266E-2</v>
      </c>
      <c r="CE117" s="729">
        <v>1.8393623543838136E-2</v>
      </c>
      <c r="CF117" s="729">
        <v>2.269861286254729E-2</v>
      </c>
      <c r="CG117" s="729">
        <v>4.0931989924433247E-2</v>
      </c>
      <c r="CH117" s="728">
        <v>0.10138539042821158</v>
      </c>
      <c r="CI117" s="729"/>
      <c r="CJ117" s="729"/>
      <c r="CK117" s="729"/>
      <c r="CL117" s="729"/>
      <c r="CM117" s="728"/>
      <c r="CN117" s="924"/>
      <c r="CO117" s="729"/>
      <c r="CP117" s="729"/>
      <c r="CQ117" s="729"/>
      <c r="CR117" s="728"/>
      <c r="CS117" s="729"/>
      <c r="CT117" s="729"/>
      <c r="CU117" s="729"/>
      <c r="CV117" s="729"/>
      <c r="CW117" s="728"/>
      <c r="CX117" s="729"/>
      <c r="CY117" s="729"/>
      <c r="CZ117" s="729"/>
      <c r="DA117" s="729"/>
      <c r="DB117" s="728"/>
      <c r="DC117" s="729"/>
      <c r="DD117" s="729"/>
      <c r="DE117" s="729"/>
      <c r="DF117" s="729"/>
      <c r="DG117" s="728"/>
      <c r="DH117" s="729"/>
      <c r="DI117" s="729"/>
      <c r="DJ117" s="729"/>
      <c r="DK117" s="729"/>
      <c r="DL117" s="728"/>
      <c r="DM117" s="729"/>
      <c r="DN117" s="729"/>
      <c r="DO117" s="729"/>
      <c r="DP117" s="729"/>
      <c r="DQ117" s="728"/>
      <c r="DR117" s="729"/>
      <c r="DS117" s="729"/>
      <c r="DT117" s="729"/>
      <c r="DU117" s="729"/>
      <c r="DV117" s="728"/>
      <c r="DW117" s="729"/>
      <c r="DX117" s="729"/>
      <c r="DY117" s="729"/>
      <c r="DZ117" s="729"/>
      <c r="EA117" s="728"/>
      <c r="EB117" s="1002"/>
      <c r="EC117" s="1002"/>
      <c r="ED117" s="1002"/>
      <c r="EE117" s="1002"/>
      <c r="EF117" s="935"/>
      <c r="EG117" s="1243"/>
      <c r="EH117" s="732"/>
      <c r="EO117" s="732"/>
      <c r="EP117" s="732"/>
      <c r="EQ117" s="732"/>
    </row>
    <row r="118" spans="1:147" hidden="1" outlineLevel="1" x14ac:dyDescent="0.2">
      <c r="A118" s="14" t="s">
        <v>443</v>
      </c>
      <c r="B118" s="55"/>
      <c r="C118" s="55"/>
      <c r="D118" s="55"/>
      <c r="E118" s="55"/>
      <c r="F118" s="55"/>
      <c r="G118" s="55"/>
      <c r="H118" s="55"/>
      <c r="I118" s="55"/>
      <c r="J118" s="55"/>
      <c r="K118" s="55"/>
      <c r="L118" s="60"/>
      <c r="M118" s="62"/>
      <c r="N118" s="62"/>
      <c r="O118" s="62"/>
      <c r="P118" s="62"/>
      <c r="Q118" s="60"/>
      <c r="R118" s="62"/>
      <c r="S118" s="62"/>
      <c r="T118" s="62"/>
      <c r="U118" s="62"/>
      <c r="V118" s="60"/>
      <c r="W118" s="62"/>
      <c r="X118" s="62"/>
      <c r="Y118" s="62"/>
      <c r="Z118" s="62"/>
      <c r="AA118" s="60"/>
      <c r="AB118" s="62"/>
      <c r="AC118" s="62"/>
      <c r="AD118" s="62"/>
      <c r="AE118" s="60"/>
      <c r="AF118" s="62"/>
      <c r="AG118" s="62"/>
      <c r="AH118" s="62"/>
      <c r="AI118" s="62"/>
      <c r="AJ118" s="60"/>
      <c r="AK118" s="62"/>
      <c r="AL118" s="62"/>
      <c r="AM118" s="62"/>
      <c r="AN118" s="62"/>
      <c r="AO118" s="60">
        <v>121</v>
      </c>
      <c r="AP118" s="62"/>
      <c r="AQ118" s="62"/>
      <c r="AR118" s="62"/>
      <c r="AS118" s="62"/>
      <c r="AT118" s="60">
        <v>96</v>
      </c>
      <c r="AU118" s="62"/>
      <c r="AV118" s="62"/>
      <c r="AW118" s="62"/>
      <c r="AX118" s="62"/>
      <c r="AY118" s="60">
        <v>118</v>
      </c>
      <c r="AZ118" s="62">
        <v>33</v>
      </c>
      <c r="BA118" s="62">
        <f>63-AZ118</f>
        <v>30</v>
      </c>
      <c r="BB118" s="62">
        <f>106-SUM(AZ118:BA118)</f>
        <v>43</v>
      </c>
      <c r="BC118" s="62">
        <f>BD118-SUM(AZ118:BB118)</f>
        <v>83</v>
      </c>
      <c r="BD118" s="60">
        <v>189</v>
      </c>
      <c r="BE118" s="62">
        <v>32</v>
      </c>
      <c r="BF118" s="62">
        <f>80-BE118</f>
        <v>48</v>
      </c>
      <c r="BG118" s="62">
        <f>143-SUM(BE118:BF118)</f>
        <v>63</v>
      </c>
      <c r="BH118" s="62">
        <f>BI118-SUM(BE118:BG118)</f>
        <v>117</v>
      </c>
      <c r="BI118" s="60">
        <v>260</v>
      </c>
      <c r="BJ118" s="62">
        <v>34</v>
      </c>
      <c r="BK118" s="62">
        <f>97-BJ118</f>
        <v>63</v>
      </c>
      <c r="BL118" s="62">
        <f>141-SUM(BJ118:BK118)</f>
        <v>44</v>
      </c>
      <c r="BM118" s="62">
        <f>BN118-SUM(BJ118:BL118)</f>
        <v>91</v>
      </c>
      <c r="BN118" s="60">
        <v>232</v>
      </c>
      <c r="BO118" s="62">
        <v>54</v>
      </c>
      <c r="BP118" s="41">
        <f>112-BO118</f>
        <v>58</v>
      </c>
      <c r="BQ118" s="62">
        <f>163-SUM(BO118:BP118)</f>
        <v>51</v>
      </c>
      <c r="BR118" s="62">
        <f>BS118-SUM(BO118:BQ118)</f>
        <v>96</v>
      </c>
      <c r="BS118" s="60">
        <v>259</v>
      </c>
      <c r="BT118" s="62">
        <v>44</v>
      </c>
      <c r="BU118" s="62">
        <f>90-BT118</f>
        <v>46</v>
      </c>
      <c r="BV118" s="62">
        <f>157-SUM(BT118:BU118)</f>
        <v>67</v>
      </c>
      <c r="BW118" s="62">
        <f>BX118-SUM(BT118:BV118)</f>
        <v>99</v>
      </c>
      <c r="BX118" s="60">
        <v>256</v>
      </c>
      <c r="BY118" s="62">
        <v>41</v>
      </c>
      <c r="BZ118" s="62">
        <f>95-BY118</f>
        <v>54</v>
      </c>
      <c r="CA118" s="727">
        <f>158-SUM(BY118:BZ118)</f>
        <v>63</v>
      </c>
      <c r="CB118" s="62">
        <f>CC118-SUM(BY118:CA118)</f>
        <v>93</v>
      </c>
      <c r="CC118" s="60">
        <v>251</v>
      </c>
      <c r="CD118" s="727">
        <v>57</v>
      </c>
      <c r="CE118" s="727">
        <f>117-CD118</f>
        <v>60</v>
      </c>
      <c r="CF118" s="727">
        <f>182-SUM(CD118:CE118)</f>
        <v>65</v>
      </c>
      <c r="CG118" s="62">
        <f>CH118-SUM(CD118:CF118)</f>
        <v>107</v>
      </c>
      <c r="CH118" s="60">
        <v>289</v>
      </c>
      <c r="CI118" s="727"/>
      <c r="CJ118" s="727"/>
      <c r="CK118" s="727"/>
      <c r="CL118" s="727"/>
      <c r="CM118" s="60"/>
      <c r="CN118" s="923"/>
      <c r="CO118" s="727"/>
      <c r="CP118" s="727"/>
      <c r="CQ118" s="727"/>
      <c r="CR118" s="60"/>
      <c r="CS118" s="727"/>
      <c r="CT118" s="727"/>
      <c r="CU118" s="727"/>
      <c r="CV118" s="727"/>
      <c r="CW118" s="60"/>
      <c r="CX118" s="727"/>
      <c r="CY118" s="727"/>
      <c r="CZ118" s="727"/>
      <c r="DA118" s="727"/>
      <c r="DB118" s="60"/>
      <c r="DC118" s="727"/>
      <c r="DD118" s="727"/>
      <c r="DE118" s="727"/>
      <c r="DF118" s="727"/>
      <c r="DG118" s="60"/>
      <c r="DH118" s="727"/>
      <c r="DI118" s="727"/>
      <c r="DJ118" s="727"/>
      <c r="DK118" s="727"/>
      <c r="DL118" s="60"/>
      <c r="DM118" s="727"/>
      <c r="DN118" s="727"/>
      <c r="DO118" s="727"/>
      <c r="DP118" s="727"/>
      <c r="DQ118" s="60"/>
      <c r="DR118" s="727"/>
      <c r="DS118" s="727"/>
      <c r="DT118" s="727"/>
      <c r="DU118" s="727"/>
      <c r="DV118" s="60"/>
      <c r="DW118" s="727"/>
      <c r="DX118" s="727"/>
      <c r="DY118" s="727"/>
      <c r="DZ118" s="727"/>
      <c r="EA118" s="60"/>
      <c r="EB118" s="1003"/>
      <c r="EC118" s="1003"/>
      <c r="ED118" s="1003"/>
      <c r="EE118" s="1003"/>
      <c r="EF118" s="1002"/>
      <c r="EG118" s="1243"/>
    </row>
    <row r="119" spans="1:147" hidden="1" outlineLevel="1" x14ac:dyDescent="0.2">
      <c r="A119" s="134" t="s">
        <v>396</v>
      </c>
      <c r="B119" s="315"/>
      <c r="C119" s="315"/>
      <c r="D119" s="315"/>
      <c r="E119" s="315"/>
      <c r="F119" s="315"/>
      <c r="G119" s="315"/>
      <c r="H119" s="315"/>
      <c r="I119" s="315"/>
      <c r="J119" s="315"/>
      <c r="K119" s="315"/>
      <c r="L119" s="364"/>
      <c r="M119" s="363"/>
      <c r="N119" s="363"/>
      <c r="O119" s="363"/>
      <c r="P119" s="363"/>
      <c r="Q119" s="364"/>
      <c r="R119" s="363"/>
      <c r="S119" s="363"/>
      <c r="T119" s="363"/>
      <c r="U119" s="363"/>
      <c r="V119" s="364"/>
      <c r="W119" s="363"/>
      <c r="X119" s="363"/>
      <c r="Y119" s="363"/>
      <c r="Z119" s="363"/>
      <c r="AA119" s="364"/>
      <c r="AB119" s="363"/>
      <c r="AC119" s="363"/>
      <c r="AD119" s="363"/>
      <c r="AE119" s="364"/>
      <c r="AF119" s="153"/>
      <c r="AG119" s="153"/>
      <c r="AH119" s="153"/>
      <c r="AI119" s="153"/>
      <c r="AJ119" s="152"/>
      <c r="AK119" s="153"/>
      <c r="AL119" s="153"/>
      <c r="AM119" s="153"/>
      <c r="AN119" s="153"/>
      <c r="AO119" s="152"/>
      <c r="AP119" s="153"/>
      <c r="AQ119" s="153"/>
      <c r="AR119" s="153"/>
      <c r="AS119" s="153"/>
      <c r="AT119" s="152"/>
      <c r="AU119" s="153"/>
      <c r="AV119" s="153"/>
      <c r="AW119" s="153"/>
      <c r="AX119" s="153"/>
      <c r="AY119" s="152">
        <v>6.4622124863088715E-2</v>
      </c>
      <c r="AZ119" s="153">
        <v>5.8928571428571427E-2</v>
      </c>
      <c r="BA119" s="153">
        <v>5.2264808362369339E-2</v>
      </c>
      <c r="BB119" s="153">
        <v>7.1310116086235484E-2</v>
      </c>
      <c r="BC119" s="153">
        <v>0.10779220779220779</v>
      </c>
      <c r="BD119" s="152">
        <v>7.5388911049062618E-2</v>
      </c>
      <c r="BE119" s="153">
        <v>5.3333333333333337E-2</v>
      </c>
      <c r="BF119" s="153">
        <v>7.3506891271056668E-2</v>
      </c>
      <c r="BG119" s="153">
        <v>9.5744680851063829E-2</v>
      </c>
      <c r="BH119" s="153">
        <v>0.15683646112600536</v>
      </c>
      <c r="BI119" s="152">
        <v>9.7854723372224311E-2</v>
      </c>
      <c r="BJ119" s="153">
        <v>7.0981210855949897E-2</v>
      </c>
      <c r="BK119" s="153">
        <v>0.12233009708737864</v>
      </c>
      <c r="BL119" s="153">
        <v>7.6788830715532289E-2</v>
      </c>
      <c r="BM119" s="153">
        <v>0.12037037037037036</v>
      </c>
      <c r="BN119" s="152">
        <v>9.9870856650882481E-2</v>
      </c>
      <c r="BO119" s="153">
        <v>0.10093457943925234</v>
      </c>
      <c r="BP119" s="153">
        <v>0.10861423220973783</v>
      </c>
      <c r="BQ119" s="153">
        <v>9.5684803001876179E-2</v>
      </c>
      <c r="BR119" s="153">
        <v>0.12885906040268458</v>
      </c>
      <c r="BS119" s="152">
        <v>0.11035364294844482</v>
      </c>
      <c r="BT119" s="153">
        <v>9.421841541755889E-2</v>
      </c>
      <c r="BU119" s="153">
        <v>8.3788706739526417E-2</v>
      </c>
      <c r="BV119" s="153">
        <v>0.11795774647887323</v>
      </c>
      <c r="BW119" s="153">
        <v>0.13077939233817701</v>
      </c>
      <c r="BX119" s="152">
        <v>0.10935497650576677</v>
      </c>
      <c r="BY119" s="153">
        <v>8.0550098231827114E-2</v>
      </c>
      <c r="BZ119" s="153">
        <v>9.3587521663778164E-2</v>
      </c>
      <c r="CA119" s="153">
        <v>0.11150442477876106</v>
      </c>
      <c r="CB119" s="153">
        <v>0.15</v>
      </c>
      <c r="CC119" s="152">
        <v>0.10449625312239801</v>
      </c>
      <c r="CD119" s="153">
        <v>0.12837837837837837</v>
      </c>
      <c r="CE119" s="153">
        <v>0.11857707509881422</v>
      </c>
      <c r="CF119" s="153">
        <v>0.12820512820512819</v>
      </c>
      <c r="CG119" s="153">
        <v>0.15242165242165243</v>
      </c>
      <c r="CH119" s="152">
        <v>0.13385826771653545</v>
      </c>
      <c r="CI119" s="154"/>
      <c r="CJ119" s="154"/>
      <c r="CK119" s="153"/>
      <c r="CL119" s="153"/>
      <c r="CM119" s="152"/>
      <c r="CN119" s="859"/>
      <c r="CO119" s="153"/>
      <c r="CP119" s="153"/>
      <c r="CQ119" s="154"/>
      <c r="CR119" s="152"/>
      <c r="CS119" s="153"/>
      <c r="CT119" s="153"/>
      <c r="CU119" s="153"/>
      <c r="CV119" s="153"/>
      <c r="CW119" s="152"/>
      <c r="CX119" s="153"/>
      <c r="CY119" s="154"/>
      <c r="CZ119" s="154"/>
      <c r="DA119" s="153"/>
      <c r="DB119" s="152"/>
      <c r="DC119" s="154"/>
      <c r="DD119" s="154"/>
      <c r="DE119" s="154"/>
      <c r="DF119" s="154"/>
      <c r="DG119" s="152"/>
      <c r="DH119" s="154"/>
      <c r="DI119" s="154"/>
      <c r="DJ119" s="154"/>
      <c r="DK119" s="154"/>
      <c r="DL119" s="152"/>
      <c r="DM119" s="154"/>
      <c r="DN119" s="154"/>
      <c r="DO119" s="154"/>
      <c r="DP119" s="154"/>
      <c r="DQ119" s="152"/>
      <c r="DR119" s="154"/>
      <c r="DS119" s="154"/>
      <c r="DT119" s="154"/>
      <c r="DU119" s="154"/>
      <c r="DV119" s="152"/>
      <c r="DW119" s="154"/>
      <c r="DX119" s="154"/>
      <c r="DY119" s="154"/>
      <c r="DZ119" s="154"/>
      <c r="EA119" s="152"/>
      <c r="EB119" s="935"/>
      <c r="EC119" s="935"/>
      <c r="ED119" s="935"/>
      <c r="EE119" s="935"/>
      <c r="EF119" s="1003"/>
      <c r="EG119" s="1243"/>
      <c r="EH119" s="632"/>
      <c r="EO119" s="632"/>
      <c r="EP119" s="632"/>
      <c r="EQ119" s="632"/>
    </row>
    <row r="120" spans="1:147" hidden="1" outlineLevel="1" x14ac:dyDescent="0.2">
      <c r="A120" s="730" t="s">
        <v>403</v>
      </c>
      <c r="B120" s="731"/>
      <c r="C120" s="731"/>
      <c r="D120" s="731"/>
      <c r="E120" s="731"/>
      <c r="F120" s="731"/>
      <c r="G120" s="731"/>
      <c r="H120" s="731"/>
      <c r="I120" s="731"/>
      <c r="J120" s="731"/>
      <c r="K120" s="731"/>
      <c r="L120" s="728"/>
      <c r="M120" s="729"/>
      <c r="N120" s="729"/>
      <c r="O120" s="729"/>
      <c r="P120" s="729"/>
      <c r="Q120" s="728"/>
      <c r="R120" s="729"/>
      <c r="S120" s="729"/>
      <c r="T120" s="729"/>
      <c r="U120" s="729"/>
      <c r="V120" s="728"/>
      <c r="W120" s="729"/>
      <c r="X120" s="729"/>
      <c r="Y120" s="729"/>
      <c r="Z120" s="729"/>
      <c r="AA120" s="728"/>
      <c r="AB120" s="729"/>
      <c r="AC120" s="729"/>
      <c r="AD120" s="729"/>
      <c r="AE120" s="728"/>
      <c r="AF120" s="729"/>
      <c r="AG120" s="729"/>
      <c r="AH120" s="729"/>
      <c r="AI120" s="729"/>
      <c r="AJ120" s="728"/>
      <c r="AK120" s="729"/>
      <c r="AL120" s="729"/>
      <c r="AM120" s="729"/>
      <c r="AN120" s="729"/>
      <c r="AO120" s="728"/>
      <c r="AP120" s="729"/>
      <c r="AQ120" s="729"/>
      <c r="AR120" s="729"/>
      <c r="AS120" s="729"/>
      <c r="AT120" s="728"/>
      <c r="AU120" s="729"/>
      <c r="AV120" s="729"/>
      <c r="AW120" s="729"/>
      <c r="AX120" s="729"/>
      <c r="AY120" s="728">
        <v>6.6969353007945515E-2</v>
      </c>
      <c r="AZ120" s="729">
        <v>1.8867924528301886E-2</v>
      </c>
      <c r="BA120" s="729">
        <v>1.7431725740848343E-2</v>
      </c>
      <c r="BB120" s="729">
        <v>2.5309005297233667E-2</v>
      </c>
      <c r="BC120" s="729">
        <v>5.0548112058465287E-2</v>
      </c>
      <c r="BD120" s="728">
        <v>0.11510353227771011</v>
      </c>
      <c r="BE120" s="729">
        <v>1.9631901840490799E-2</v>
      </c>
      <c r="BF120" s="729">
        <v>2.9538461538461538E-2</v>
      </c>
      <c r="BG120" s="729">
        <v>3.9154754505904291E-2</v>
      </c>
      <c r="BH120" s="729">
        <v>7.3631214600377595E-2</v>
      </c>
      <c r="BI120" s="728">
        <v>0.13118062563067609</v>
      </c>
      <c r="BJ120" s="729">
        <v>1.7223910840932118E-2</v>
      </c>
      <c r="BK120" s="729">
        <v>3.1754032258064516E-2</v>
      </c>
      <c r="BL120" s="729">
        <v>2.2121669180492711E-2</v>
      </c>
      <c r="BM120" s="729">
        <v>4.5499999999999999E-2</v>
      </c>
      <c r="BN120" s="728">
        <v>0.11600000000000001</v>
      </c>
      <c r="BO120" s="729">
        <v>2.8769312733084709E-2</v>
      </c>
      <c r="BP120" s="729">
        <v>3.0818278427205102E-2</v>
      </c>
      <c r="BQ120" s="729">
        <v>2.6673640167364017E-2</v>
      </c>
      <c r="BR120" s="729">
        <v>6.1577934573444515E-2</v>
      </c>
      <c r="BS120" s="728">
        <v>0.16613213598460552</v>
      </c>
      <c r="BT120" s="729">
        <v>2.8097062579821201E-2</v>
      </c>
      <c r="BU120" s="729">
        <v>2.962009014810045E-2</v>
      </c>
      <c r="BV120" s="729">
        <v>4.3281653746770024E-2</v>
      </c>
      <c r="BW120" s="729">
        <v>6.2146892655367235E-2</v>
      </c>
      <c r="BX120" s="728">
        <v>0.16070307595731326</v>
      </c>
      <c r="BY120" s="729">
        <v>2.7224435590969456E-2</v>
      </c>
      <c r="BZ120" s="729">
        <v>3.5976015989340443E-2</v>
      </c>
      <c r="CA120" s="729">
        <v>4.1804910418049103E-2</v>
      </c>
      <c r="CB120" s="729">
        <v>7.8947368421052627E-2</v>
      </c>
      <c r="CC120" s="728">
        <v>0.21307300509337862</v>
      </c>
      <c r="CD120" s="729">
        <v>4.8182586644125107E-2</v>
      </c>
      <c r="CE120" s="729">
        <v>4.6728971962616821E-2</v>
      </c>
      <c r="CF120" s="729">
        <v>5.0465838509316768E-2</v>
      </c>
      <c r="CG120" s="729">
        <v>8.069381598793364E-2</v>
      </c>
      <c r="CH120" s="728">
        <v>0.21794871794871795</v>
      </c>
      <c r="CI120" s="729"/>
      <c r="CJ120" s="729"/>
      <c r="CK120" s="729"/>
      <c r="CL120" s="729"/>
      <c r="CM120" s="728"/>
      <c r="CN120" s="924"/>
      <c r="CO120" s="729"/>
      <c r="CP120" s="729"/>
      <c r="CQ120" s="729"/>
      <c r="CR120" s="728"/>
      <c r="CS120" s="729"/>
      <c r="CT120" s="729"/>
      <c r="CU120" s="729"/>
      <c r="CV120" s="729"/>
      <c r="CW120" s="728"/>
      <c r="CX120" s="729"/>
      <c r="CY120" s="729"/>
      <c r="CZ120" s="729"/>
      <c r="DA120" s="729"/>
      <c r="DB120" s="728"/>
      <c r="DC120" s="729"/>
      <c r="DD120" s="729"/>
      <c r="DE120" s="729"/>
      <c r="DF120" s="729"/>
      <c r="DG120" s="728"/>
      <c r="DH120" s="729"/>
      <c r="DI120" s="729"/>
      <c r="DJ120" s="729"/>
      <c r="DK120" s="729"/>
      <c r="DL120" s="728"/>
      <c r="DM120" s="729"/>
      <c r="DN120" s="729"/>
      <c r="DO120" s="729"/>
      <c r="DP120" s="729"/>
      <c r="DQ120" s="728"/>
      <c r="DR120" s="729"/>
      <c r="DS120" s="729"/>
      <c r="DT120" s="729"/>
      <c r="DU120" s="729"/>
      <c r="DV120" s="728"/>
      <c r="DW120" s="729"/>
      <c r="DX120" s="729"/>
      <c r="DY120" s="729"/>
      <c r="DZ120" s="729"/>
      <c r="EA120" s="728"/>
      <c r="EB120" s="1002"/>
      <c r="EC120" s="1002"/>
      <c r="ED120" s="1002"/>
      <c r="EE120" s="1002"/>
      <c r="EF120" s="1003"/>
      <c r="EG120" s="1243"/>
      <c r="EH120" s="732"/>
      <c r="EO120" s="732"/>
      <c r="EP120" s="732"/>
      <c r="EQ120" s="732"/>
    </row>
    <row r="121" spans="1:147" hidden="1" outlineLevel="1" x14ac:dyDescent="0.2">
      <c r="A121" s="14" t="s">
        <v>0</v>
      </c>
      <c r="B121" s="55"/>
      <c r="C121" s="55"/>
      <c r="D121" s="55"/>
      <c r="E121" s="55"/>
      <c r="F121" s="55"/>
      <c r="G121" s="55"/>
      <c r="H121" s="55"/>
      <c r="I121" s="55"/>
      <c r="J121" s="55"/>
      <c r="K121" s="55"/>
      <c r="L121" s="60"/>
      <c r="M121" s="62"/>
      <c r="N121" s="62"/>
      <c r="O121" s="62"/>
      <c r="P121" s="62"/>
      <c r="Q121" s="60"/>
      <c r="R121" s="62"/>
      <c r="S121" s="62"/>
      <c r="T121" s="62"/>
      <c r="U121" s="62"/>
      <c r="V121" s="60"/>
      <c r="W121" s="62"/>
      <c r="X121" s="62"/>
      <c r="Y121" s="62"/>
      <c r="Z121" s="62"/>
      <c r="AA121" s="60"/>
      <c r="AB121" s="62"/>
      <c r="AC121" s="62"/>
      <c r="AD121" s="62"/>
      <c r="AE121" s="60"/>
      <c r="AF121" s="62"/>
      <c r="AG121" s="62"/>
      <c r="AH121" s="62"/>
      <c r="AI121" s="62"/>
      <c r="AJ121" s="60"/>
      <c r="AK121" s="62"/>
      <c r="AL121" s="62"/>
      <c r="AM121" s="62"/>
      <c r="AN121" s="62"/>
      <c r="AO121" s="60">
        <v>118</v>
      </c>
      <c r="AP121" s="62"/>
      <c r="AQ121" s="62"/>
      <c r="AR121" s="62"/>
      <c r="AS121" s="62"/>
      <c r="AT121" s="60">
        <v>159</v>
      </c>
      <c r="AU121" s="62"/>
      <c r="AV121" s="62"/>
      <c r="AW121" s="62"/>
      <c r="AX121" s="62"/>
      <c r="AY121" s="60">
        <v>165</v>
      </c>
      <c r="AZ121" s="62">
        <v>35</v>
      </c>
      <c r="BA121" s="62">
        <f>83-AZ121</f>
        <v>48</v>
      </c>
      <c r="BB121" s="62">
        <f>135-SUM(AZ121:BA121)</f>
        <v>52</v>
      </c>
      <c r="BC121" s="62">
        <f>BD121-SUM(AZ121:BB121)</f>
        <v>111</v>
      </c>
      <c r="BD121" s="60">
        <v>246</v>
      </c>
      <c r="BE121" s="62">
        <v>32</v>
      </c>
      <c r="BF121" s="62">
        <f>111-BE121</f>
        <v>79</v>
      </c>
      <c r="BG121" s="62">
        <f>197-SUM(BE121:BF121)</f>
        <v>86</v>
      </c>
      <c r="BH121" s="62">
        <f>BI121-SUM(BE121:BG121)</f>
        <v>123</v>
      </c>
      <c r="BI121" s="60">
        <v>320</v>
      </c>
      <c r="BJ121" s="62">
        <v>44</v>
      </c>
      <c r="BK121" s="62">
        <f>128-BJ121</f>
        <v>84</v>
      </c>
      <c r="BL121" s="62">
        <f>190-SUM(BJ121:BK121)</f>
        <v>62</v>
      </c>
      <c r="BM121" s="62">
        <f>BN121-SUM(BJ121:BL121)</f>
        <v>100</v>
      </c>
      <c r="BN121" s="60">
        <v>290</v>
      </c>
      <c r="BO121" s="62">
        <v>48</v>
      </c>
      <c r="BP121" s="41">
        <f>113-BO121</f>
        <v>65</v>
      </c>
      <c r="BQ121" s="62">
        <f>173-SUM(BO121:BP121)</f>
        <v>60</v>
      </c>
      <c r="BR121" s="62">
        <f>BS121-SUM(BO121:BQ121)</f>
        <v>99</v>
      </c>
      <c r="BS121" s="60">
        <v>272</v>
      </c>
      <c r="BT121" s="62">
        <v>63</v>
      </c>
      <c r="BU121" s="62">
        <f>133-BT121</f>
        <v>70</v>
      </c>
      <c r="BV121" s="62">
        <f>230-SUM(BT121:BU121)</f>
        <v>97</v>
      </c>
      <c r="BW121" s="62">
        <f>BX121-SUM(BT121:BV121)</f>
        <v>175</v>
      </c>
      <c r="BX121" s="60">
        <v>405</v>
      </c>
      <c r="BY121" s="62">
        <v>107</v>
      </c>
      <c r="BZ121" s="62">
        <f>244-BY121</f>
        <v>137</v>
      </c>
      <c r="CA121" s="727">
        <f>409-SUM(BY121:BZ121)</f>
        <v>165</v>
      </c>
      <c r="CB121" s="62">
        <f>CC121-SUM(BY121:CA121)</f>
        <v>246</v>
      </c>
      <c r="CC121" s="60">
        <v>655</v>
      </c>
      <c r="CD121" s="727">
        <v>144</v>
      </c>
      <c r="CE121" s="727">
        <f>285-CD121</f>
        <v>141</v>
      </c>
      <c r="CF121" s="727">
        <f>403-SUM(CD121:CE121)</f>
        <v>118</v>
      </c>
      <c r="CG121" s="62">
        <f>CH121-SUM(CD121:CF121)</f>
        <v>165</v>
      </c>
      <c r="CH121" s="60">
        <v>568</v>
      </c>
      <c r="CI121" s="727"/>
      <c r="CJ121" s="727"/>
      <c r="CK121" s="727"/>
      <c r="CL121" s="727"/>
      <c r="CM121" s="60">
        <f>SUM(CI121:CL121)</f>
        <v>0</v>
      </c>
      <c r="CN121" s="923"/>
      <c r="CO121" s="727"/>
      <c r="CP121" s="727"/>
      <c r="CQ121" s="727"/>
      <c r="CR121" s="60">
        <f>SUM(CN121:CQ121)</f>
        <v>0</v>
      </c>
      <c r="CS121" s="727"/>
      <c r="CT121" s="727"/>
      <c r="CU121" s="727"/>
      <c r="CV121" s="727"/>
      <c r="CW121" s="60">
        <f>SUM(CS121:CV121)</f>
        <v>0</v>
      </c>
      <c r="CX121" s="727"/>
      <c r="CY121" s="727"/>
      <c r="CZ121" s="727"/>
      <c r="DA121" s="727"/>
      <c r="DB121" s="60">
        <f>SUM(CX121:DA121)</f>
        <v>0</v>
      </c>
      <c r="DC121" s="727">
        <v>0</v>
      </c>
      <c r="DD121" s="727">
        <v>0</v>
      </c>
      <c r="DE121" s="727">
        <v>0</v>
      </c>
      <c r="DF121" s="727">
        <v>0</v>
      </c>
      <c r="DG121" s="60">
        <f>SUM(DC121:DF121)</f>
        <v>0</v>
      </c>
      <c r="DH121" s="727">
        <v>0</v>
      </c>
      <c r="DI121" s="727">
        <v>0</v>
      </c>
      <c r="DJ121" s="727">
        <v>0</v>
      </c>
      <c r="DK121" s="727">
        <v>0</v>
      </c>
      <c r="DL121" s="60">
        <f>SUM(DH121:DK121)</f>
        <v>0</v>
      </c>
      <c r="DM121" s="727"/>
      <c r="DN121" s="727"/>
      <c r="DO121" s="727"/>
      <c r="DP121" s="727"/>
      <c r="DQ121" s="60"/>
      <c r="DR121" s="727"/>
      <c r="DS121" s="727"/>
      <c r="DT121" s="727"/>
      <c r="DU121" s="727"/>
      <c r="DV121" s="60"/>
      <c r="DW121" s="727"/>
      <c r="DX121" s="727"/>
      <c r="DY121" s="727"/>
      <c r="DZ121" s="727"/>
      <c r="EA121" s="60"/>
      <c r="EB121" s="1003"/>
      <c r="EC121" s="1003"/>
      <c r="ED121" s="1003"/>
      <c r="EE121" s="1003"/>
      <c r="EF121" s="935"/>
      <c r="EG121" s="1243"/>
    </row>
    <row r="122" spans="1:147" hidden="1" outlineLevel="1" x14ac:dyDescent="0.2">
      <c r="A122" s="134" t="s">
        <v>397</v>
      </c>
      <c r="B122" s="315"/>
      <c r="C122" s="315"/>
      <c r="D122" s="315"/>
      <c r="E122" s="315"/>
      <c r="F122" s="315"/>
      <c r="G122" s="315"/>
      <c r="H122" s="315"/>
      <c r="I122" s="315"/>
      <c r="J122" s="315"/>
      <c r="K122" s="315"/>
      <c r="L122" s="364"/>
      <c r="M122" s="363"/>
      <c r="N122" s="363"/>
      <c r="O122" s="363"/>
      <c r="P122" s="363"/>
      <c r="Q122" s="364"/>
      <c r="R122" s="363"/>
      <c r="S122" s="363"/>
      <c r="T122" s="363"/>
      <c r="U122" s="363"/>
      <c r="V122" s="364"/>
      <c r="W122" s="363"/>
      <c r="X122" s="363"/>
      <c r="Y122" s="363"/>
      <c r="Z122" s="363"/>
      <c r="AA122" s="364"/>
      <c r="AB122" s="363"/>
      <c r="AC122" s="363"/>
      <c r="AD122" s="363"/>
      <c r="AE122" s="364"/>
      <c r="AF122" s="153"/>
      <c r="AG122" s="153"/>
      <c r="AH122" s="153"/>
      <c r="AI122" s="153"/>
      <c r="AJ122" s="152"/>
      <c r="AK122" s="153"/>
      <c r="AL122" s="153"/>
      <c r="AM122" s="153"/>
      <c r="AN122" s="153"/>
      <c r="AO122" s="152"/>
      <c r="AP122" s="153"/>
      <c r="AQ122" s="153"/>
      <c r="AR122" s="153"/>
      <c r="AS122" s="153"/>
      <c r="AT122" s="152"/>
      <c r="AU122" s="153"/>
      <c r="AV122" s="153"/>
      <c r="AW122" s="153"/>
      <c r="AX122" s="153"/>
      <c r="AY122" s="152">
        <v>0.10396975425330812</v>
      </c>
      <c r="AZ122" s="153">
        <v>0.10574018126888217</v>
      </c>
      <c r="BA122" s="153">
        <v>0.10933940774487472</v>
      </c>
      <c r="BB122" s="153">
        <v>8.9500860585197933E-2</v>
      </c>
      <c r="BC122" s="153">
        <v>0.15331491712707182</v>
      </c>
      <c r="BD122" s="152">
        <v>0.11855421686746988</v>
      </c>
      <c r="BE122" s="153">
        <v>6.9565217391304349E-2</v>
      </c>
      <c r="BF122" s="153">
        <v>0.12929623567921442</v>
      </c>
      <c r="BG122" s="153">
        <v>0.10969387755102041</v>
      </c>
      <c r="BH122" s="153">
        <v>0.13355048859934854</v>
      </c>
      <c r="BI122" s="152">
        <v>0.11527377521613832</v>
      </c>
      <c r="BJ122" s="153">
        <v>7.899461400359066E-2</v>
      </c>
      <c r="BK122" s="153">
        <v>0.11764705882352941</v>
      </c>
      <c r="BL122" s="153">
        <v>6.3265306122448975E-2</v>
      </c>
      <c r="BM122" s="153">
        <v>9.0826521344232511E-2</v>
      </c>
      <c r="BN122" s="152">
        <v>8.6515513126491653E-2</v>
      </c>
      <c r="BO122" s="153">
        <v>6.8767908309455589E-2</v>
      </c>
      <c r="BP122" s="153">
        <v>7.4285714285714288E-2</v>
      </c>
      <c r="BQ122" s="153">
        <v>5.1194539249146756E-2</v>
      </c>
      <c r="BR122" s="153">
        <v>7.410179640718563E-2</v>
      </c>
      <c r="BS122" s="152">
        <v>6.6650330801274194E-2</v>
      </c>
      <c r="BT122" s="153">
        <v>7.0548712206047026E-2</v>
      </c>
      <c r="BU122" s="153">
        <v>6.0137457044673541E-2</v>
      </c>
      <c r="BV122" s="153">
        <v>6.1509194673430564E-2</v>
      </c>
      <c r="BW122" s="153">
        <v>9.4441446303291959E-2</v>
      </c>
      <c r="BX122" s="152">
        <v>7.3810825587752871E-2</v>
      </c>
      <c r="BY122" s="153">
        <v>8.9241034195162633E-2</v>
      </c>
      <c r="BZ122" s="153">
        <v>8.9250814332247561E-2</v>
      </c>
      <c r="CA122" s="153">
        <v>8.4269662921348312E-2</v>
      </c>
      <c r="CB122" s="153">
        <v>0.1</v>
      </c>
      <c r="CC122" s="152">
        <v>9.6366043842871854E-2</v>
      </c>
      <c r="CD122" s="153">
        <v>0.12709620476610767</v>
      </c>
      <c r="CE122" s="153">
        <v>9.8670398880335894E-2</v>
      </c>
      <c r="CF122" s="153">
        <v>5.8970514742628682E-2</v>
      </c>
      <c r="CG122" s="153">
        <v>7.3759499329459091E-2</v>
      </c>
      <c r="CH122" s="152">
        <v>8.352941176470588E-2</v>
      </c>
      <c r="CI122" s="153"/>
      <c r="CJ122" s="154"/>
      <c r="CK122" s="153"/>
      <c r="CL122" s="153"/>
      <c r="CM122" s="152">
        <v>0</v>
      </c>
      <c r="CN122" s="859"/>
      <c r="CO122" s="153"/>
      <c r="CP122" s="153"/>
      <c r="CQ122" s="154"/>
      <c r="CR122" s="152">
        <v>0</v>
      </c>
      <c r="CS122" s="153"/>
      <c r="CT122" s="153"/>
      <c r="CU122" s="153"/>
      <c r="CV122" s="153"/>
      <c r="CW122" s="152">
        <v>0</v>
      </c>
      <c r="CX122" s="153"/>
      <c r="CY122" s="154"/>
      <c r="CZ122" s="154"/>
      <c r="DA122" s="153"/>
      <c r="DB122" s="152"/>
      <c r="DC122" s="154"/>
      <c r="DD122" s="154"/>
      <c r="DE122" s="154"/>
      <c r="DF122" s="154"/>
      <c r="DG122" s="152"/>
      <c r="DH122" s="154"/>
      <c r="DI122" s="154"/>
      <c r="DJ122" s="154"/>
      <c r="DK122" s="154"/>
      <c r="DL122" s="152"/>
      <c r="DM122" s="154"/>
      <c r="DN122" s="154"/>
      <c r="DO122" s="154"/>
      <c r="DP122" s="154"/>
      <c r="DQ122" s="152"/>
      <c r="DR122" s="154"/>
      <c r="DS122" s="154"/>
      <c r="DT122" s="154"/>
      <c r="DU122" s="154"/>
      <c r="DV122" s="152"/>
      <c r="DW122" s="154"/>
      <c r="DX122" s="154"/>
      <c r="DY122" s="154"/>
      <c r="DZ122" s="154"/>
      <c r="EA122" s="152"/>
      <c r="EB122" s="1003"/>
      <c r="EC122" s="1003"/>
      <c r="ED122" s="1003"/>
      <c r="EE122" s="1003"/>
      <c r="EF122" s="1002"/>
      <c r="EG122" s="1243"/>
      <c r="EH122" s="632"/>
      <c r="EO122" s="632"/>
      <c r="EP122" s="632"/>
      <c r="EQ122" s="632"/>
    </row>
    <row r="123" spans="1:147" hidden="1" outlineLevel="1" x14ac:dyDescent="0.2">
      <c r="A123" s="730" t="s">
        <v>404</v>
      </c>
      <c r="B123" s="731"/>
      <c r="C123" s="731"/>
      <c r="D123" s="731"/>
      <c r="E123" s="731"/>
      <c r="F123" s="731"/>
      <c r="G123" s="731"/>
      <c r="H123" s="731"/>
      <c r="I123" s="731"/>
      <c r="J123" s="731"/>
      <c r="K123" s="731"/>
      <c r="L123" s="728"/>
      <c r="M123" s="729"/>
      <c r="N123" s="729"/>
      <c r="O123" s="729"/>
      <c r="P123" s="729"/>
      <c r="Q123" s="728"/>
      <c r="R123" s="729"/>
      <c r="S123" s="729"/>
      <c r="T123" s="729"/>
      <c r="U123" s="729"/>
      <c r="V123" s="728"/>
      <c r="W123" s="729"/>
      <c r="X123" s="729"/>
      <c r="Y123" s="729"/>
      <c r="Z123" s="729"/>
      <c r="AA123" s="728"/>
      <c r="AB123" s="729"/>
      <c r="AC123" s="729"/>
      <c r="AD123" s="729"/>
      <c r="AE123" s="728"/>
      <c r="AF123" s="729"/>
      <c r="AG123" s="729"/>
      <c r="AH123" s="729"/>
      <c r="AI123" s="729"/>
      <c r="AJ123" s="728"/>
      <c r="AK123" s="729"/>
      <c r="AL123" s="729"/>
      <c r="AM123" s="729"/>
      <c r="AN123" s="729"/>
      <c r="AO123" s="728"/>
      <c r="AP123" s="729"/>
      <c r="AQ123" s="729"/>
      <c r="AR123" s="729"/>
      <c r="AS123" s="729"/>
      <c r="AT123" s="728"/>
      <c r="AU123" s="729"/>
      <c r="AV123" s="729"/>
      <c r="AW123" s="729"/>
      <c r="AX123" s="729"/>
      <c r="AY123" s="728">
        <v>9.3643586833144152E-2</v>
      </c>
      <c r="AZ123" s="729">
        <v>1.9209659714599342E-2</v>
      </c>
      <c r="BA123" s="729">
        <v>2.5491237387148168E-2</v>
      </c>
      <c r="BB123" s="729">
        <v>2.6984950700570835E-2</v>
      </c>
      <c r="BC123" s="729">
        <v>5.3186391950167708E-2</v>
      </c>
      <c r="BD123" s="728">
        <v>0.11787254432199329</v>
      </c>
      <c r="BE123" s="729">
        <v>1.3681060282171868E-2</v>
      </c>
      <c r="BF123" s="729">
        <v>3.2671629445822997E-2</v>
      </c>
      <c r="BG123" s="729">
        <v>3.4262948207171316E-2</v>
      </c>
      <c r="BH123" s="729">
        <v>4.6153846153846156E-2</v>
      </c>
      <c r="BI123" s="728">
        <v>0.14084507042253522</v>
      </c>
      <c r="BJ123" s="729">
        <v>1.8803418803418803E-2</v>
      </c>
      <c r="BK123" s="729">
        <v>3.1614602935641702E-2</v>
      </c>
      <c r="BL123" s="729">
        <v>2.2794117647058822E-2</v>
      </c>
      <c r="BM123" s="729">
        <v>3.4891835310537335E-2</v>
      </c>
      <c r="BN123" s="728">
        <v>0.10118632240055828</v>
      </c>
      <c r="BO123" s="729">
        <v>1.6309887869520898E-2</v>
      </c>
      <c r="BP123" s="729">
        <v>2.1848739495798318E-2</v>
      </c>
      <c r="BQ123" s="729">
        <v>1.9749835418038184E-2</v>
      </c>
      <c r="BR123" s="729">
        <v>3.0669144981412641E-2</v>
      </c>
      <c r="BS123" s="728">
        <v>8.4262701363073109E-2</v>
      </c>
      <c r="BT123" s="729">
        <v>1.9154758285193068E-2</v>
      </c>
      <c r="BU123" s="729">
        <v>2.0876826722338204E-2</v>
      </c>
      <c r="BV123" s="729">
        <v>2.8132250580046404E-2</v>
      </c>
      <c r="BW123" s="729">
        <v>4.7233468286099867E-2</v>
      </c>
      <c r="BX123" s="728">
        <v>0.10931174089068826</v>
      </c>
      <c r="BY123" s="729">
        <v>2.7857328820619632E-2</v>
      </c>
      <c r="BZ123" s="729">
        <v>3.298820130026487E-2</v>
      </c>
      <c r="CA123" s="729">
        <v>3.8533395609528259E-2</v>
      </c>
      <c r="CB123" s="729">
        <v>5.4101605454145593E-2</v>
      </c>
      <c r="CC123" s="728">
        <v>0.14405102265229822</v>
      </c>
      <c r="CD123" s="729">
        <v>3.0411826821541709E-2</v>
      </c>
      <c r="CE123" s="729">
        <v>2.9436325678496869E-2</v>
      </c>
      <c r="CF123" s="729">
        <v>2.4319868095630668E-2</v>
      </c>
      <c r="CG123" s="729">
        <v>3.2829287703939516E-2</v>
      </c>
      <c r="CH123" s="728">
        <v>0.11301233585356148</v>
      </c>
      <c r="CI123" s="729"/>
      <c r="CJ123" s="729"/>
      <c r="CK123" s="729"/>
      <c r="CL123" s="729"/>
      <c r="CM123" s="728">
        <v>0</v>
      </c>
      <c r="CN123" s="729"/>
      <c r="CO123" s="729"/>
      <c r="CP123" s="729"/>
      <c r="CQ123" s="729"/>
      <c r="CR123" s="728">
        <v>0</v>
      </c>
      <c r="CS123" s="729"/>
      <c r="CT123" s="729"/>
      <c r="CU123" s="729"/>
      <c r="CV123" s="729"/>
      <c r="CW123" s="728">
        <v>0</v>
      </c>
      <c r="CX123" s="729"/>
      <c r="CY123" s="729"/>
      <c r="CZ123" s="729"/>
      <c r="DA123" s="729"/>
      <c r="DB123" s="728"/>
      <c r="DC123" s="729"/>
      <c r="DD123" s="729"/>
      <c r="DE123" s="729"/>
      <c r="DF123" s="729"/>
      <c r="DG123" s="728"/>
      <c r="DH123" s="729"/>
      <c r="DI123" s="729"/>
      <c r="DJ123" s="729"/>
      <c r="DK123" s="729"/>
      <c r="DL123" s="728"/>
      <c r="DM123" s="729"/>
      <c r="DN123" s="729"/>
      <c r="DO123" s="729"/>
      <c r="DP123" s="729"/>
      <c r="DQ123" s="728"/>
      <c r="DR123" s="729"/>
      <c r="DS123" s="729"/>
      <c r="DT123" s="729"/>
      <c r="DU123" s="729"/>
      <c r="DV123" s="728"/>
      <c r="DW123" s="729"/>
      <c r="DX123" s="729"/>
      <c r="DY123" s="729"/>
      <c r="DZ123" s="729"/>
      <c r="EA123" s="728"/>
      <c r="EB123" s="935"/>
      <c r="EC123" s="935"/>
      <c r="ED123" s="935"/>
      <c r="EE123" s="935"/>
      <c r="EF123" s="1003"/>
      <c r="EG123" s="1243"/>
      <c r="EH123" s="732"/>
      <c r="EO123" s="732"/>
      <c r="EP123" s="732"/>
      <c r="EQ123" s="732"/>
    </row>
    <row r="124" spans="1:147" hidden="1" outlineLevel="1" x14ac:dyDescent="0.2">
      <c r="A124" s="730" t="s">
        <v>49</v>
      </c>
      <c r="B124" s="731"/>
      <c r="C124" s="731"/>
      <c r="D124" s="731"/>
      <c r="E124" s="731"/>
      <c r="F124" s="731"/>
      <c r="G124" s="731"/>
      <c r="H124" s="731"/>
      <c r="I124" s="731"/>
      <c r="J124" s="731"/>
      <c r="K124" s="731"/>
      <c r="L124" s="728"/>
      <c r="M124" s="729"/>
      <c r="N124" s="729"/>
      <c r="O124" s="729"/>
      <c r="P124" s="729"/>
      <c r="Q124" s="728"/>
      <c r="R124" s="729"/>
      <c r="S124" s="729"/>
      <c r="T124" s="729"/>
      <c r="U124" s="729"/>
      <c r="V124" s="728"/>
      <c r="W124" s="729"/>
      <c r="X124" s="729"/>
      <c r="Y124" s="729"/>
      <c r="Z124" s="729"/>
      <c r="AA124" s="728"/>
      <c r="AB124" s="729"/>
      <c r="AC124" s="729"/>
      <c r="AD124" s="729"/>
      <c r="AE124" s="728"/>
      <c r="AF124" s="729"/>
      <c r="AG124" s="729"/>
      <c r="AH124" s="729"/>
      <c r="AI124" s="729"/>
      <c r="AJ124" s="728"/>
      <c r="AK124" s="729"/>
      <c r="AL124" s="729"/>
      <c r="AM124" s="729"/>
      <c r="AN124" s="729"/>
      <c r="AO124" s="728"/>
      <c r="AP124" s="729"/>
      <c r="AQ124" s="729"/>
      <c r="AR124" s="729"/>
      <c r="AS124" s="729"/>
      <c r="AT124" s="728"/>
      <c r="AU124" s="729"/>
      <c r="AV124" s="729"/>
      <c r="AW124" s="729"/>
      <c r="AX124" s="729"/>
      <c r="AY124" s="728">
        <v>0.58718861209964412</v>
      </c>
      <c r="AZ124" s="729">
        <v>0.53846153846153844</v>
      </c>
      <c r="BA124" s="729">
        <v>0.68571428571428572</v>
      </c>
      <c r="BB124" s="729">
        <v>0.9285714285714286</v>
      </c>
      <c r="BC124" s="729">
        <v>0.64161849710982655</v>
      </c>
      <c r="BD124" s="728">
        <v>0.67582417582417587</v>
      </c>
      <c r="BE124" s="729">
        <v>0.41558441558441561</v>
      </c>
      <c r="BF124" s="729">
        <v>0.88764044943820219</v>
      </c>
      <c r="BG124" s="729">
        <v>0.82692307692307687</v>
      </c>
      <c r="BH124" s="729">
        <v>0.66847826086956519</v>
      </c>
      <c r="BI124" s="728">
        <v>0.70484581497797361</v>
      </c>
      <c r="BJ124" s="729">
        <v>0.59459459459459463</v>
      </c>
      <c r="BK124" s="729">
        <v>0.8936170212765957</v>
      </c>
      <c r="BL124" s="729">
        <v>0.80519480519480524</v>
      </c>
      <c r="BM124" s="729">
        <v>0.5494505494505495</v>
      </c>
      <c r="BN124" s="728">
        <v>0.59063136456211818</v>
      </c>
      <c r="BO124" s="729">
        <v>0.5714285714285714</v>
      </c>
      <c r="BP124" s="729">
        <v>1.2264150943396226</v>
      </c>
      <c r="BQ124" s="729">
        <v>0.76923076923076927</v>
      </c>
      <c r="BR124" s="729">
        <v>0.43612334801762115</v>
      </c>
      <c r="BS124" s="728">
        <v>0.61538461538461542</v>
      </c>
      <c r="BT124" s="729">
        <v>0.82894736842105265</v>
      </c>
      <c r="BU124" s="729">
        <v>0.77777777777777779</v>
      </c>
      <c r="BV124" s="729">
        <v>0.80165289256198347</v>
      </c>
      <c r="BW124" s="729">
        <v>0.59931506849315064</v>
      </c>
      <c r="BX124" s="728">
        <v>0.69948186528497414</v>
      </c>
      <c r="BY124" s="729">
        <v>0.6858974358974359</v>
      </c>
      <c r="BZ124" s="729">
        <v>0.40532544378698226</v>
      </c>
      <c r="CA124" s="729">
        <v>0.94827586206896552</v>
      </c>
      <c r="CB124" s="729">
        <v>0.78594249201277955</v>
      </c>
      <c r="CC124" s="728">
        <v>0.66768603465851173</v>
      </c>
      <c r="CD124" s="729">
        <v>0.68246445497630337</v>
      </c>
      <c r="CE124" s="729">
        <v>1.5842696629213484</v>
      </c>
      <c r="CF124" s="729">
        <v>1.0172413793103448</v>
      </c>
      <c r="CG124" s="729">
        <v>0.66265060240963858</v>
      </c>
      <c r="CH124" s="728">
        <v>0.85413533834586464</v>
      </c>
      <c r="CI124" s="729"/>
      <c r="CJ124" s="729"/>
      <c r="CK124" s="729"/>
      <c r="CL124" s="729"/>
      <c r="CM124" s="728">
        <v>0</v>
      </c>
      <c r="CN124" s="729"/>
      <c r="CO124" s="729"/>
      <c r="CP124" s="729"/>
      <c r="CQ124" s="729"/>
      <c r="CR124" s="728">
        <v>0</v>
      </c>
      <c r="CS124" s="729"/>
      <c r="CT124" s="729"/>
      <c r="CU124" s="729"/>
      <c r="CV124" s="729"/>
      <c r="CW124" s="728">
        <v>0</v>
      </c>
      <c r="CX124" s="729"/>
      <c r="CY124" s="729"/>
      <c r="CZ124" s="729"/>
      <c r="DA124" s="729"/>
      <c r="DB124" s="728"/>
      <c r="DC124" s="729"/>
      <c r="DD124" s="729"/>
      <c r="DE124" s="729"/>
      <c r="DF124" s="729"/>
      <c r="DG124" s="728"/>
      <c r="DH124" s="729"/>
      <c r="DI124" s="729"/>
      <c r="DJ124" s="729"/>
      <c r="DK124" s="729"/>
      <c r="DL124" s="728"/>
      <c r="DM124" s="729"/>
      <c r="DN124" s="729"/>
      <c r="DO124" s="729"/>
      <c r="DP124" s="729"/>
      <c r="DQ124" s="728"/>
      <c r="DR124" s="729"/>
      <c r="DS124" s="729"/>
      <c r="DT124" s="729"/>
      <c r="DU124" s="729"/>
      <c r="DV124" s="728"/>
      <c r="DW124" s="729"/>
      <c r="DX124" s="729"/>
      <c r="DY124" s="729"/>
      <c r="DZ124" s="729"/>
      <c r="EA124" s="728"/>
      <c r="EB124" s="1002"/>
      <c r="EC124" s="1002"/>
      <c r="ED124" s="1002"/>
      <c r="EE124" s="1002"/>
      <c r="EF124" s="1003"/>
      <c r="EG124" s="1243"/>
      <c r="EH124" s="732"/>
      <c r="EO124" s="732"/>
      <c r="EP124" s="732"/>
      <c r="EQ124" s="732"/>
    </row>
    <row r="125" spans="1:147" hidden="1" outlineLevel="1" x14ac:dyDescent="0.2">
      <c r="A125" s="14" t="s">
        <v>398</v>
      </c>
      <c r="B125" s="55"/>
      <c r="C125" s="55"/>
      <c r="D125" s="55"/>
      <c r="E125" s="55"/>
      <c r="F125" s="55"/>
      <c r="G125" s="55"/>
      <c r="H125" s="55"/>
      <c r="I125" s="55"/>
      <c r="J125" s="55"/>
      <c r="K125" s="55"/>
      <c r="L125" s="60"/>
      <c r="M125" s="62"/>
      <c r="N125" s="62"/>
      <c r="O125" s="62"/>
      <c r="P125" s="62"/>
      <c r="Q125" s="60"/>
      <c r="R125" s="62"/>
      <c r="S125" s="62"/>
      <c r="T125" s="62"/>
      <c r="U125" s="62"/>
      <c r="V125" s="60"/>
      <c r="W125" s="62"/>
      <c r="X125" s="62"/>
      <c r="Y125" s="62"/>
      <c r="Z125" s="62"/>
      <c r="AA125" s="60"/>
      <c r="AB125" s="62"/>
      <c r="AC125" s="62"/>
      <c r="AD125" s="62"/>
      <c r="AE125" s="60"/>
      <c r="AF125" s="62"/>
      <c r="AG125" s="62"/>
      <c r="AH125" s="62"/>
      <c r="AI125" s="62"/>
      <c r="AJ125" s="60"/>
      <c r="AK125" s="62"/>
      <c r="AL125" s="62"/>
      <c r="AM125" s="62"/>
      <c r="AN125" s="62"/>
      <c r="AO125" s="60"/>
      <c r="AP125" s="62"/>
      <c r="AQ125" s="62"/>
      <c r="AR125" s="62"/>
      <c r="AS125" s="62"/>
      <c r="AT125" s="60"/>
      <c r="AU125" s="62"/>
      <c r="AV125" s="62"/>
      <c r="AW125" s="62"/>
      <c r="AX125" s="62"/>
      <c r="AY125" s="60"/>
      <c r="AZ125" s="62"/>
      <c r="BA125" s="62"/>
      <c r="BB125" s="62"/>
      <c r="BC125" s="62"/>
      <c r="BD125" s="60"/>
      <c r="BE125" s="62"/>
      <c r="BF125" s="62"/>
      <c r="BG125" s="62"/>
      <c r="BH125" s="62"/>
      <c r="BI125" s="60"/>
      <c r="BJ125" s="62"/>
      <c r="BK125" s="62"/>
      <c r="BL125" s="62"/>
      <c r="BM125" s="62"/>
      <c r="BN125" s="60"/>
      <c r="BO125" s="62"/>
      <c r="BP125" s="41"/>
      <c r="BQ125" s="62"/>
      <c r="BR125" s="62"/>
      <c r="BS125" s="60"/>
      <c r="BT125" s="62"/>
      <c r="BU125" s="62"/>
      <c r="BV125" s="62"/>
      <c r="BW125" s="62"/>
      <c r="BX125" s="60"/>
      <c r="BY125" s="62">
        <v>2</v>
      </c>
      <c r="BZ125" s="62">
        <v>5</v>
      </c>
      <c r="CA125" s="62">
        <f>10-SUM(BY125:BZ125)</f>
        <v>3</v>
      </c>
      <c r="CB125" s="62">
        <f>CC125-SUM(BY125:CA125)</f>
        <v>8</v>
      </c>
      <c r="CC125" s="60">
        <v>18</v>
      </c>
      <c r="CD125" s="62">
        <v>6</v>
      </c>
      <c r="CE125" s="62">
        <f>10-CD125</f>
        <v>4</v>
      </c>
      <c r="CF125" s="62">
        <f>18-SUM(CD125:CE125)</f>
        <v>8</v>
      </c>
      <c r="CG125" s="62">
        <f>CH125-SUM(CD125:CF125)</f>
        <v>13</v>
      </c>
      <c r="CH125" s="60">
        <v>31</v>
      </c>
      <c r="CI125" s="62"/>
      <c r="CJ125" s="62"/>
      <c r="CK125" s="62"/>
      <c r="CL125" s="62"/>
      <c r="CM125" s="60">
        <f>SUM(CI125:CL125)</f>
        <v>0</v>
      </c>
      <c r="CN125" s="861"/>
      <c r="CO125" s="62"/>
      <c r="CP125" s="62"/>
      <c r="CQ125" s="62"/>
      <c r="CR125" s="60">
        <f>SUM(CN125:CQ125)</f>
        <v>0</v>
      </c>
      <c r="CS125" s="62"/>
      <c r="CT125" s="62"/>
      <c r="CU125" s="62"/>
      <c r="CV125" s="62"/>
      <c r="CW125" s="60">
        <f>SUM(CS125:CV125)</f>
        <v>0</v>
      </c>
      <c r="CX125" s="62"/>
      <c r="CY125" s="62"/>
      <c r="CZ125" s="62"/>
      <c r="DA125" s="62"/>
      <c r="DB125" s="60"/>
      <c r="DC125" s="62"/>
      <c r="DD125" s="62"/>
      <c r="DE125" s="62"/>
      <c r="DF125" s="62"/>
      <c r="DG125" s="60"/>
      <c r="DH125" s="62"/>
      <c r="DI125" s="62"/>
      <c r="DJ125" s="62"/>
      <c r="DK125" s="62"/>
      <c r="DL125" s="60"/>
      <c r="DM125" s="62"/>
      <c r="DN125" s="62"/>
      <c r="DO125" s="62"/>
      <c r="DP125" s="62"/>
      <c r="DQ125" s="60"/>
      <c r="DR125" s="62"/>
      <c r="DS125" s="62"/>
      <c r="DT125" s="62"/>
      <c r="DU125" s="62"/>
      <c r="DV125" s="60"/>
      <c r="DW125" s="62"/>
      <c r="DX125" s="62"/>
      <c r="DY125" s="62"/>
      <c r="DZ125" s="62"/>
      <c r="EA125" s="60"/>
      <c r="EB125" s="1003"/>
      <c r="EC125" s="1003"/>
      <c r="ED125" s="1003"/>
      <c r="EE125" s="1003"/>
      <c r="EF125" s="935"/>
      <c r="EG125" s="1243"/>
    </row>
    <row r="126" spans="1:147" hidden="1" outlineLevel="1" x14ac:dyDescent="0.2">
      <c r="A126" s="134" t="s">
        <v>399</v>
      </c>
      <c r="B126" s="315"/>
      <c r="C126" s="315"/>
      <c r="D126" s="315"/>
      <c r="E126" s="315"/>
      <c r="F126" s="315"/>
      <c r="G126" s="315"/>
      <c r="H126" s="315"/>
      <c r="I126" s="315"/>
      <c r="J126" s="315"/>
      <c r="K126" s="315"/>
      <c r="L126" s="364"/>
      <c r="M126" s="363"/>
      <c r="N126" s="363"/>
      <c r="O126" s="363"/>
      <c r="P126" s="363"/>
      <c r="Q126" s="364"/>
      <c r="R126" s="363"/>
      <c r="S126" s="363"/>
      <c r="T126" s="363"/>
      <c r="U126" s="363"/>
      <c r="V126" s="364"/>
      <c r="W126" s="363"/>
      <c r="X126" s="363"/>
      <c r="Y126" s="363"/>
      <c r="Z126" s="363"/>
      <c r="AA126" s="364"/>
      <c r="AB126" s="363"/>
      <c r="AC126" s="363"/>
      <c r="AD126" s="363"/>
      <c r="AE126" s="364"/>
      <c r="AF126" s="153"/>
      <c r="AG126" s="153"/>
      <c r="AH126" s="153"/>
      <c r="AI126" s="153"/>
      <c r="AJ126" s="152"/>
      <c r="AK126" s="153"/>
      <c r="AL126" s="153"/>
      <c r="AM126" s="153"/>
      <c r="AN126" s="153"/>
      <c r="AO126" s="152"/>
      <c r="AP126" s="153"/>
      <c r="AQ126" s="153"/>
      <c r="AR126" s="153"/>
      <c r="AS126" s="153"/>
      <c r="AT126" s="152"/>
      <c r="AU126" s="153"/>
      <c r="AV126" s="153"/>
      <c r="AW126" s="153"/>
      <c r="AX126" s="153"/>
      <c r="AY126" s="152"/>
      <c r="AZ126" s="153"/>
      <c r="BA126" s="153"/>
      <c r="BB126" s="153"/>
      <c r="BC126" s="153"/>
      <c r="BD126" s="152"/>
      <c r="BE126" s="153"/>
      <c r="BF126" s="153"/>
      <c r="BG126" s="153"/>
      <c r="BH126" s="153"/>
      <c r="BI126" s="152"/>
      <c r="BJ126" s="153"/>
      <c r="BK126" s="153"/>
      <c r="BL126" s="153"/>
      <c r="BM126" s="153"/>
      <c r="BN126" s="152"/>
      <c r="BO126" s="153"/>
      <c r="BP126" s="153"/>
      <c r="BQ126" s="153"/>
      <c r="BR126" s="153"/>
      <c r="BS126" s="152"/>
      <c r="BT126" s="153"/>
      <c r="BU126" s="153"/>
      <c r="BV126" s="153"/>
      <c r="BW126" s="153"/>
      <c r="BX126" s="152"/>
      <c r="BY126" s="153">
        <v>0.14285714285714285</v>
      </c>
      <c r="BZ126" s="153">
        <v>0.25</v>
      </c>
      <c r="CA126" s="153">
        <v>0.14285714285714285</v>
      </c>
      <c r="CB126" s="153">
        <v>0.27586206896551724</v>
      </c>
      <c r="CC126" s="152">
        <v>0.21428571428571427</v>
      </c>
      <c r="CD126" s="153">
        <v>0.35294117647058826</v>
      </c>
      <c r="CE126" s="153">
        <v>0.13793103448275862</v>
      </c>
      <c r="CF126" s="153">
        <v>0.30769230769230771</v>
      </c>
      <c r="CG126" s="153">
        <v>0.35135135135135137</v>
      </c>
      <c r="CH126" s="152">
        <v>0.28440366972477066</v>
      </c>
      <c r="CI126" s="153"/>
      <c r="CJ126" s="154"/>
      <c r="CK126" s="153"/>
      <c r="CL126" s="153"/>
      <c r="CM126" s="152">
        <v>0</v>
      </c>
      <c r="CN126" s="859"/>
      <c r="CO126" s="153"/>
      <c r="CP126" s="153"/>
      <c r="CQ126" s="154"/>
      <c r="CR126" s="152">
        <v>0</v>
      </c>
      <c r="CS126" s="153"/>
      <c r="CT126" s="153"/>
      <c r="CU126" s="153"/>
      <c r="CV126" s="153"/>
      <c r="CW126" s="152">
        <v>0</v>
      </c>
      <c r="CX126" s="153"/>
      <c r="CY126" s="154"/>
      <c r="CZ126" s="154"/>
      <c r="DA126" s="153"/>
      <c r="DB126" s="152"/>
      <c r="DC126" s="154"/>
      <c r="DD126" s="154"/>
      <c r="DE126" s="154"/>
      <c r="DF126" s="154"/>
      <c r="DG126" s="152"/>
      <c r="DH126" s="154"/>
      <c r="DI126" s="154"/>
      <c r="DJ126" s="154"/>
      <c r="DK126" s="154"/>
      <c r="DL126" s="152"/>
      <c r="DM126" s="154"/>
      <c r="DN126" s="154"/>
      <c r="DO126" s="154"/>
      <c r="DP126" s="154"/>
      <c r="DQ126" s="152"/>
      <c r="DR126" s="154"/>
      <c r="DS126" s="154"/>
      <c r="DT126" s="154"/>
      <c r="DU126" s="154"/>
      <c r="DV126" s="152"/>
      <c r="DW126" s="154"/>
      <c r="DX126" s="154"/>
      <c r="DY126" s="154"/>
      <c r="DZ126" s="154"/>
      <c r="EA126" s="152"/>
      <c r="EB126" s="1003"/>
      <c r="EC126" s="1003"/>
      <c r="ED126" s="1003"/>
      <c r="EE126" s="1003"/>
      <c r="EF126" s="952"/>
      <c r="EG126" s="1243"/>
      <c r="EH126" s="632"/>
      <c r="EO126" s="632"/>
      <c r="EP126" s="632"/>
      <c r="EQ126" s="632"/>
    </row>
    <row r="127" spans="1:147" hidden="1" outlineLevel="1" x14ac:dyDescent="0.2">
      <c r="A127" s="730" t="s">
        <v>405</v>
      </c>
      <c r="B127" s="731"/>
      <c r="C127" s="731"/>
      <c r="D127" s="731"/>
      <c r="E127" s="731"/>
      <c r="F127" s="731"/>
      <c r="G127" s="731"/>
      <c r="H127" s="731"/>
      <c r="I127" s="731"/>
      <c r="J127" s="731"/>
      <c r="K127" s="731"/>
      <c r="L127" s="728"/>
      <c r="M127" s="729"/>
      <c r="N127" s="729"/>
      <c r="O127" s="729"/>
      <c r="P127" s="729"/>
      <c r="Q127" s="728"/>
      <c r="R127" s="729"/>
      <c r="S127" s="729"/>
      <c r="T127" s="729"/>
      <c r="U127" s="729"/>
      <c r="V127" s="728"/>
      <c r="W127" s="729"/>
      <c r="X127" s="729"/>
      <c r="Y127" s="729"/>
      <c r="Z127" s="729"/>
      <c r="AA127" s="728"/>
      <c r="AB127" s="729"/>
      <c r="AC127" s="729"/>
      <c r="AD127" s="729"/>
      <c r="AE127" s="728"/>
      <c r="AF127" s="729"/>
      <c r="AG127" s="729"/>
      <c r="AH127" s="729"/>
      <c r="AI127" s="729"/>
      <c r="AJ127" s="728"/>
      <c r="AK127" s="729"/>
      <c r="AL127" s="729"/>
      <c r="AM127" s="729"/>
      <c r="AN127" s="729"/>
      <c r="AO127" s="728"/>
      <c r="AP127" s="729"/>
      <c r="AQ127" s="729"/>
      <c r="AR127" s="729"/>
      <c r="AS127" s="729"/>
      <c r="AT127" s="728"/>
      <c r="AU127" s="729"/>
      <c r="AV127" s="729"/>
      <c r="AW127" s="729"/>
      <c r="AX127" s="729"/>
      <c r="AY127" s="728"/>
      <c r="AZ127" s="729"/>
      <c r="BA127" s="729"/>
      <c r="BB127" s="729"/>
      <c r="BC127" s="729"/>
      <c r="BD127" s="728"/>
      <c r="BE127" s="729"/>
      <c r="BF127" s="729"/>
      <c r="BG127" s="729"/>
      <c r="BH127" s="729"/>
      <c r="BI127" s="728"/>
      <c r="BJ127" s="729"/>
      <c r="BK127" s="729"/>
      <c r="BL127" s="729"/>
      <c r="BM127" s="729"/>
      <c r="BN127" s="728"/>
      <c r="BO127" s="729"/>
      <c r="BP127" s="729"/>
      <c r="BQ127" s="729"/>
      <c r="BR127" s="729"/>
      <c r="BS127" s="728"/>
      <c r="BT127" s="729"/>
      <c r="BU127" s="729"/>
      <c r="BV127" s="729"/>
      <c r="BW127" s="729"/>
      <c r="BX127" s="728"/>
      <c r="BY127" s="729">
        <v>2.3809523809523808E-2</v>
      </c>
      <c r="BZ127" s="729">
        <v>5.8139534883720929E-2</v>
      </c>
      <c r="CA127" s="729">
        <v>3.2967032967032968E-2</v>
      </c>
      <c r="CB127" s="729">
        <v>6.6666666666666666E-2</v>
      </c>
      <c r="CC127" s="728">
        <v>0.15</v>
      </c>
      <c r="CD127" s="729">
        <v>4.9586776859504134E-2</v>
      </c>
      <c r="CE127" s="729">
        <v>3.2786885245901641E-2</v>
      </c>
      <c r="CF127" s="729">
        <v>5.7971014492753624E-2</v>
      </c>
      <c r="CG127" s="729">
        <v>6.8062827225130892E-2</v>
      </c>
      <c r="CH127" s="728">
        <v>0.16230366492146597</v>
      </c>
      <c r="CI127" s="729"/>
      <c r="CJ127" s="729"/>
      <c r="CK127" s="729"/>
      <c r="CL127" s="729"/>
      <c r="CM127" s="728">
        <v>0</v>
      </c>
      <c r="CN127" s="924"/>
      <c r="CO127" s="729"/>
      <c r="CP127" s="729"/>
      <c r="CQ127" s="729"/>
      <c r="CR127" s="728">
        <v>0</v>
      </c>
      <c r="CS127" s="729"/>
      <c r="CT127" s="729"/>
      <c r="CU127" s="729"/>
      <c r="CV127" s="729"/>
      <c r="CW127" s="728">
        <v>0</v>
      </c>
      <c r="CX127" s="729"/>
      <c r="CY127" s="729"/>
      <c r="CZ127" s="729"/>
      <c r="DA127" s="729"/>
      <c r="DB127" s="728"/>
      <c r="DC127" s="729"/>
      <c r="DD127" s="729"/>
      <c r="DE127" s="729"/>
      <c r="DF127" s="729"/>
      <c r="DG127" s="728"/>
      <c r="DH127" s="729"/>
      <c r="DI127" s="729"/>
      <c r="DJ127" s="729"/>
      <c r="DK127" s="729"/>
      <c r="DL127" s="728"/>
      <c r="DM127" s="729"/>
      <c r="DN127" s="729"/>
      <c r="DO127" s="729"/>
      <c r="DP127" s="729"/>
      <c r="DQ127" s="728"/>
      <c r="DR127" s="729"/>
      <c r="DS127" s="729"/>
      <c r="DT127" s="729"/>
      <c r="DU127" s="729"/>
      <c r="DV127" s="728"/>
      <c r="DW127" s="729"/>
      <c r="DX127" s="729"/>
      <c r="DY127" s="729"/>
      <c r="DZ127" s="729"/>
      <c r="EA127" s="728"/>
      <c r="EB127" s="935"/>
      <c r="EC127" s="935"/>
      <c r="ED127" s="935"/>
      <c r="EE127" s="935"/>
      <c r="EF127" s="1008"/>
      <c r="EG127" s="1243"/>
      <c r="EH127" s="732"/>
      <c r="EO127" s="732"/>
      <c r="EP127" s="732"/>
      <c r="EQ127" s="732"/>
    </row>
    <row r="128" spans="1:147" hidden="1" outlineLevel="1" x14ac:dyDescent="0.2">
      <c r="A128" s="730" t="s">
        <v>50</v>
      </c>
      <c r="B128" s="731"/>
      <c r="C128" s="731"/>
      <c r="D128" s="731"/>
      <c r="E128" s="731"/>
      <c r="F128" s="731"/>
      <c r="G128" s="731"/>
      <c r="H128" s="731"/>
      <c r="I128" s="731"/>
      <c r="J128" s="731"/>
      <c r="K128" s="731"/>
      <c r="L128" s="728"/>
      <c r="M128" s="729"/>
      <c r="N128" s="729"/>
      <c r="O128" s="729"/>
      <c r="P128" s="729"/>
      <c r="Q128" s="728"/>
      <c r="R128" s="729"/>
      <c r="S128" s="729"/>
      <c r="T128" s="729"/>
      <c r="U128" s="729"/>
      <c r="V128" s="728"/>
      <c r="W128" s="729"/>
      <c r="X128" s="729"/>
      <c r="Y128" s="729"/>
      <c r="Z128" s="729"/>
      <c r="AA128" s="728"/>
      <c r="AB128" s="729"/>
      <c r="AC128" s="729"/>
      <c r="AD128" s="729"/>
      <c r="AE128" s="728"/>
      <c r="AF128" s="729"/>
      <c r="AG128" s="729"/>
      <c r="AH128" s="729"/>
      <c r="AI128" s="729"/>
      <c r="AJ128" s="728"/>
      <c r="AK128" s="729"/>
      <c r="AL128" s="729"/>
      <c r="AM128" s="729"/>
      <c r="AN128" s="729"/>
      <c r="AO128" s="728"/>
      <c r="AP128" s="729"/>
      <c r="AQ128" s="729"/>
      <c r="AR128" s="729"/>
      <c r="AS128" s="729"/>
      <c r="AT128" s="728"/>
      <c r="AU128" s="729"/>
      <c r="AV128" s="729"/>
      <c r="AW128" s="729"/>
      <c r="AX128" s="729"/>
      <c r="AY128" s="728">
        <v>0</v>
      </c>
      <c r="AZ128" s="729">
        <v>0</v>
      </c>
      <c r="BA128" s="729">
        <v>0</v>
      </c>
      <c r="BB128" s="729">
        <v>0</v>
      </c>
      <c r="BC128" s="729">
        <v>0</v>
      </c>
      <c r="BD128" s="728">
        <v>0</v>
      </c>
      <c r="BE128" s="729">
        <v>0</v>
      </c>
      <c r="BF128" s="729">
        <v>0</v>
      </c>
      <c r="BG128" s="729">
        <v>0</v>
      </c>
      <c r="BH128" s="729">
        <v>0</v>
      </c>
      <c r="BI128" s="728">
        <v>0</v>
      </c>
      <c r="BJ128" s="729">
        <v>0</v>
      </c>
      <c r="BK128" s="729">
        <v>0</v>
      </c>
      <c r="BL128" s="729">
        <v>0</v>
      </c>
      <c r="BM128" s="729">
        <v>0</v>
      </c>
      <c r="BN128" s="728">
        <v>0</v>
      </c>
      <c r="BO128" s="729">
        <v>0</v>
      </c>
      <c r="BP128" s="729">
        <v>0</v>
      </c>
      <c r="BQ128" s="729">
        <v>0</v>
      </c>
      <c r="BR128" s="729">
        <v>0</v>
      </c>
      <c r="BS128" s="728">
        <v>0</v>
      </c>
      <c r="BT128" s="729">
        <v>0</v>
      </c>
      <c r="BU128" s="729">
        <v>0</v>
      </c>
      <c r="BV128" s="729">
        <v>0</v>
      </c>
      <c r="BW128" s="729">
        <v>0</v>
      </c>
      <c r="BX128" s="728">
        <v>0</v>
      </c>
      <c r="BY128" s="729">
        <v>1</v>
      </c>
      <c r="BZ128" s="729">
        <v>2.5</v>
      </c>
      <c r="CA128" s="729">
        <v>0.6</v>
      </c>
      <c r="CB128" s="729">
        <v>0.27586206896551724</v>
      </c>
      <c r="CC128" s="728">
        <v>0.47368421052631576</v>
      </c>
      <c r="CD128" s="729">
        <v>3</v>
      </c>
      <c r="CE128" s="729">
        <v>1.3333333333333333</v>
      </c>
      <c r="CF128" s="729">
        <v>0.5</v>
      </c>
      <c r="CG128" s="729">
        <v>0.24528301886792453</v>
      </c>
      <c r="CH128" s="728">
        <v>0.41891891891891891</v>
      </c>
      <c r="CI128" s="729"/>
      <c r="CJ128" s="729"/>
      <c r="CK128" s="729"/>
      <c r="CL128" s="729"/>
      <c r="CM128" s="728">
        <v>0</v>
      </c>
      <c r="CN128" s="924"/>
      <c r="CO128" s="729"/>
      <c r="CP128" s="729"/>
      <c r="CQ128" s="729"/>
      <c r="CR128" s="728"/>
      <c r="CS128" s="729"/>
      <c r="CT128" s="729"/>
      <c r="CU128" s="729"/>
      <c r="CV128" s="729"/>
      <c r="CW128" s="728">
        <v>0</v>
      </c>
      <c r="CX128" s="729"/>
      <c r="CY128" s="729"/>
      <c r="CZ128" s="729"/>
      <c r="DA128" s="729"/>
      <c r="DB128" s="728"/>
      <c r="DC128" s="729"/>
      <c r="DD128" s="729"/>
      <c r="DE128" s="729"/>
      <c r="DF128" s="729"/>
      <c r="DG128" s="728"/>
      <c r="DH128" s="729"/>
      <c r="DI128" s="729"/>
      <c r="DJ128" s="729"/>
      <c r="DK128" s="729"/>
      <c r="DL128" s="728"/>
      <c r="DM128" s="729"/>
      <c r="DN128" s="729"/>
      <c r="DO128" s="729"/>
      <c r="DP128" s="729"/>
      <c r="DQ128" s="728"/>
      <c r="DR128" s="729"/>
      <c r="DS128" s="729"/>
      <c r="DT128" s="729"/>
      <c r="DU128" s="729"/>
      <c r="DV128" s="728"/>
      <c r="DW128" s="729"/>
      <c r="DX128" s="729"/>
      <c r="DY128" s="729"/>
      <c r="DZ128" s="729"/>
      <c r="EA128" s="728"/>
      <c r="EB128" s="952"/>
      <c r="EC128" s="952"/>
      <c r="ED128" s="952"/>
      <c r="EE128" s="952"/>
      <c r="EF128" s="1008"/>
      <c r="EG128" s="1243"/>
      <c r="EH128" s="732"/>
      <c r="EO128" s="732"/>
      <c r="EP128" s="732"/>
      <c r="EQ128" s="732"/>
    </row>
    <row r="129" spans="1:147" collapsed="1" x14ac:dyDescent="0.2">
      <c r="A129" s="26" t="s">
        <v>526</v>
      </c>
      <c r="B129" s="55"/>
      <c r="C129" s="55"/>
      <c r="D129" s="55"/>
      <c r="E129" s="55"/>
      <c r="F129" s="55"/>
      <c r="G129" s="55"/>
      <c r="H129" s="55"/>
      <c r="I129" s="55"/>
      <c r="J129" s="55"/>
      <c r="K129" s="55"/>
      <c r="L129" s="66">
        <f t="shared" ref="L129:AQ129" si="207">-L40</f>
        <v>66</v>
      </c>
      <c r="M129" s="64">
        <f t="shared" si="207"/>
        <v>86</v>
      </c>
      <c r="N129" s="64">
        <f t="shared" si="207"/>
        <v>115</v>
      </c>
      <c r="O129" s="64">
        <f t="shared" si="207"/>
        <v>203</v>
      </c>
      <c r="P129" s="64">
        <f t="shared" si="207"/>
        <v>470</v>
      </c>
      <c r="Q129" s="66">
        <f t="shared" si="207"/>
        <v>68</v>
      </c>
      <c r="R129" s="64">
        <f t="shared" si="207"/>
        <v>118</v>
      </c>
      <c r="S129" s="64">
        <f t="shared" si="207"/>
        <v>127</v>
      </c>
      <c r="T129" s="64">
        <f t="shared" si="207"/>
        <v>259</v>
      </c>
      <c r="U129" s="64">
        <f t="shared" si="207"/>
        <v>572</v>
      </c>
      <c r="V129" s="66">
        <f t="shared" si="207"/>
        <v>94</v>
      </c>
      <c r="W129" s="64">
        <f t="shared" si="207"/>
        <v>109</v>
      </c>
      <c r="X129" s="64">
        <f t="shared" si="207"/>
        <v>157</v>
      </c>
      <c r="Y129" s="64">
        <f t="shared" si="207"/>
        <v>276</v>
      </c>
      <c r="Z129" s="64">
        <f t="shared" si="207"/>
        <v>636</v>
      </c>
      <c r="AA129" s="66">
        <f t="shared" si="207"/>
        <v>113</v>
      </c>
      <c r="AB129" s="64">
        <f t="shared" si="207"/>
        <v>160</v>
      </c>
      <c r="AC129" s="64">
        <f t="shared" si="207"/>
        <v>188</v>
      </c>
      <c r="AD129" s="64">
        <f t="shared" si="207"/>
        <v>299</v>
      </c>
      <c r="AE129" s="66">
        <f t="shared" si="207"/>
        <v>760</v>
      </c>
      <c r="AF129" s="64">
        <f t="shared" si="207"/>
        <v>112</v>
      </c>
      <c r="AG129" s="64">
        <f t="shared" si="207"/>
        <v>109</v>
      </c>
      <c r="AH129" s="64">
        <f t="shared" si="207"/>
        <v>137</v>
      </c>
      <c r="AI129" s="64">
        <f t="shared" si="207"/>
        <v>305</v>
      </c>
      <c r="AJ129" s="66">
        <f t="shared" si="207"/>
        <v>663</v>
      </c>
      <c r="AK129" s="64">
        <f t="shared" si="207"/>
        <v>103</v>
      </c>
      <c r="AL129" s="64">
        <f t="shared" si="207"/>
        <v>118</v>
      </c>
      <c r="AM129" s="64">
        <f t="shared" si="207"/>
        <v>162</v>
      </c>
      <c r="AN129" s="64">
        <f t="shared" si="207"/>
        <v>262</v>
      </c>
      <c r="AO129" s="66">
        <f t="shared" si="207"/>
        <v>645</v>
      </c>
      <c r="AP129" s="64">
        <f t="shared" si="207"/>
        <v>94</v>
      </c>
      <c r="AQ129" s="64">
        <f t="shared" si="207"/>
        <v>116</v>
      </c>
      <c r="AR129" s="64">
        <f t="shared" ref="AR129:CB129" si="208">-AR40</f>
        <v>152</v>
      </c>
      <c r="AS129" s="64">
        <f t="shared" si="208"/>
        <v>247</v>
      </c>
      <c r="AT129" s="66">
        <f t="shared" si="208"/>
        <v>609</v>
      </c>
      <c r="AU129" s="64">
        <f t="shared" si="208"/>
        <v>72</v>
      </c>
      <c r="AV129" s="64">
        <f t="shared" si="208"/>
        <v>114</v>
      </c>
      <c r="AW129" s="64">
        <f t="shared" si="208"/>
        <v>137</v>
      </c>
      <c r="AX129" s="64">
        <f t="shared" si="208"/>
        <v>291</v>
      </c>
      <c r="AY129" s="66">
        <f t="shared" si="208"/>
        <v>614</v>
      </c>
      <c r="AZ129" s="64">
        <f t="shared" si="208"/>
        <v>93</v>
      </c>
      <c r="BA129" s="64">
        <f t="shared" si="208"/>
        <v>124</v>
      </c>
      <c r="BB129" s="64">
        <f t="shared" si="208"/>
        <v>174</v>
      </c>
      <c r="BC129" s="64">
        <f t="shared" si="208"/>
        <v>351</v>
      </c>
      <c r="BD129" s="66">
        <f t="shared" si="208"/>
        <v>742</v>
      </c>
      <c r="BE129" s="64">
        <f t="shared" si="208"/>
        <v>113</v>
      </c>
      <c r="BF129" s="64">
        <f t="shared" si="208"/>
        <v>222</v>
      </c>
      <c r="BG129" s="64">
        <f t="shared" si="208"/>
        <v>236</v>
      </c>
      <c r="BH129" s="64">
        <f t="shared" si="208"/>
        <v>364</v>
      </c>
      <c r="BI129" s="66">
        <f t="shared" si="208"/>
        <v>935</v>
      </c>
      <c r="BJ129" s="64">
        <f t="shared" si="208"/>
        <v>143</v>
      </c>
      <c r="BK129" s="64">
        <f t="shared" si="208"/>
        <v>199</v>
      </c>
      <c r="BL129" s="64">
        <f t="shared" si="208"/>
        <v>163</v>
      </c>
      <c r="BM129" s="64">
        <f t="shared" si="208"/>
        <v>292</v>
      </c>
      <c r="BN129" s="300">
        <f t="shared" si="208"/>
        <v>797</v>
      </c>
      <c r="BO129" s="299">
        <f t="shared" si="208"/>
        <v>163</v>
      </c>
      <c r="BP129" s="299">
        <f t="shared" si="208"/>
        <v>164</v>
      </c>
      <c r="BQ129" s="299">
        <f t="shared" si="208"/>
        <v>163</v>
      </c>
      <c r="BR129" s="299">
        <f t="shared" si="208"/>
        <v>306</v>
      </c>
      <c r="BS129" s="300">
        <f t="shared" si="208"/>
        <v>796</v>
      </c>
      <c r="BT129" s="299">
        <f t="shared" si="208"/>
        <v>173</v>
      </c>
      <c r="BU129" s="299">
        <f t="shared" si="208"/>
        <v>157</v>
      </c>
      <c r="BV129" s="299">
        <f t="shared" si="208"/>
        <v>223</v>
      </c>
      <c r="BW129" s="299">
        <f t="shared" si="208"/>
        <v>387</v>
      </c>
      <c r="BX129" s="300">
        <f t="shared" si="208"/>
        <v>940</v>
      </c>
      <c r="BY129" s="299">
        <f t="shared" si="208"/>
        <v>184</v>
      </c>
      <c r="BZ129" s="299">
        <f t="shared" si="208"/>
        <v>222</v>
      </c>
      <c r="CA129" s="299">
        <f t="shared" si="208"/>
        <v>272</v>
      </c>
      <c r="CB129" s="299">
        <f t="shared" si="208"/>
        <v>421</v>
      </c>
      <c r="CC129" s="300">
        <f>SUM(BY129:CB129)</f>
        <v>1099</v>
      </c>
      <c r="CD129" s="299">
        <f>-CD40</f>
        <v>237</v>
      </c>
      <c r="CE129" s="299">
        <f>-CE40</f>
        <v>235</v>
      </c>
      <c r="CF129" s="299">
        <f>-CF40</f>
        <v>227</v>
      </c>
      <c r="CG129" s="299">
        <f>-CG40</f>
        <v>350</v>
      </c>
      <c r="CH129" s="300">
        <f>SUM(CD129:CG129)</f>
        <v>1049</v>
      </c>
      <c r="CI129" s="299"/>
      <c r="CJ129" s="299"/>
      <c r="CK129" s="299"/>
      <c r="CL129" s="299"/>
      <c r="CM129" s="66">
        <f>CM102+CM106+CM110+CM114</f>
        <v>508</v>
      </c>
      <c r="CN129" s="862"/>
      <c r="CO129" s="299"/>
      <c r="CP129" s="299"/>
      <c r="CQ129" s="299"/>
      <c r="CR129" s="66">
        <f>CR102+CR106+CR110+CR114</f>
        <v>461</v>
      </c>
      <c r="CS129" s="299"/>
      <c r="CT129" s="299"/>
      <c r="CU129" s="299"/>
      <c r="CV129" s="299"/>
      <c r="CW129" s="66">
        <f>CW102+CW106+CW110+CW114</f>
        <v>422</v>
      </c>
      <c r="CX129" s="299"/>
      <c r="CY129" s="299"/>
      <c r="CZ129" s="299"/>
      <c r="DA129" s="299"/>
      <c r="DB129" s="66">
        <f>DB102+DB106+DB110+DB114</f>
        <v>318</v>
      </c>
      <c r="DC129" s="299">
        <f>SUM(DC102,DC106,DC110,DC121,DC125,DC114)</f>
        <v>63.837593873612349</v>
      </c>
      <c r="DD129" s="299">
        <f t="shared" ref="DD129:DF129" si="209">SUM(DD102,DD106,DD110,DD121,DD125,DD114)</f>
        <v>59.258617426330453</v>
      </c>
      <c r="DE129" s="299">
        <f t="shared" si="209"/>
        <v>54.365697248746137</v>
      </c>
      <c r="DF129" s="299">
        <f t="shared" si="209"/>
        <v>65.785586499352902</v>
      </c>
      <c r="DG129" s="66">
        <f>SUM(DC129:DF129)</f>
        <v>243.24749504804186</v>
      </c>
      <c r="DH129" s="299">
        <f>SUM(DH102,DH106,DH110,DH121,DH125,DH114)</f>
        <v>26.759253210644687</v>
      </c>
      <c r="DI129" s="299">
        <f t="shared" ref="DI129:DK129" si="210">SUM(DI102,DI106,DI110,DI121,DI125,DI114)</f>
        <v>25.821129914408026</v>
      </c>
      <c r="DJ129" s="299">
        <f t="shared" si="210"/>
        <v>24.282909321848159</v>
      </c>
      <c r="DK129" s="299">
        <f t="shared" si="210"/>
        <v>28.57175356769077</v>
      </c>
      <c r="DL129" s="66">
        <f>SUM(DH129:DK129)</f>
        <v>105.43504601459165</v>
      </c>
      <c r="DM129" s="299">
        <f>SUM(DM102,DM106,DM110,DM121,DM125,DM114)</f>
        <v>20.759806816027691</v>
      </c>
      <c r="DN129" s="299">
        <f t="shared" ref="DN129:DP129" si="211">SUM(DN102,DN106,DN110,DN121,DN125,DN114)</f>
        <v>22.062336139361278</v>
      </c>
      <c r="DO129" s="299">
        <f t="shared" si="211"/>
        <v>22.848335694069309</v>
      </c>
      <c r="DP129" s="299">
        <f t="shared" si="211"/>
        <v>30.078738541951815</v>
      </c>
      <c r="DQ129" s="66">
        <f>SUM(DM129:DP129)</f>
        <v>95.749217191410082</v>
      </c>
      <c r="DR129" s="299">
        <f>SUM(DR102,DR106,DR110,DR121,DR125,DR114)</f>
        <v>21.031070580496252</v>
      </c>
      <c r="DS129" s="299">
        <f t="shared" ref="DS129:DU129" si="212">SUM(DS102,DS106,DS110,DS121,DS125,DS114)</f>
        <v>22.312349562177566</v>
      </c>
      <c r="DT129" s="299">
        <f t="shared" si="212"/>
        <v>23.565868229600081</v>
      </c>
      <c r="DU129" s="299">
        <f t="shared" si="212"/>
        <v>32.71250851866224</v>
      </c>
      <c r="DV129" s="66">
        <f>SUM(DR129:DU129)</f>
        <v>99.621796890936139</v>
      </c>
      <c r="DW129" s="299">
        <f>SUM(DW102,DW106,DW110,DW121,DW125,DW114)</f>
        <v>23.292155708397782</v>
      </c>
      <c r="DX129" s="299">
        <f t="shared" ref="DX129:DZ129" si="213">SUM(DX102,DX106,DX110,DX121,DX125,DX114)</f>
        <v>24.902175178453412</v>
      </c>
      <c r="DY129" s="299">
        <f t="shared" si="213"/>
        <v>25.586573037688606</v>
      </c>
      <c r="DZ129" s="299">
        <f t="shared" si="213"/>
        <v>33.89259010333943</v>
      </c>
      <c r="EA129" s="66">
        <f>SUM(DW129:DZ129)</f>
        <v>107.67349402787923</v>
      </c>
      <c r="EB129" s="1008"/>
      <c r="EC129" s="1008"/>
      <c r="ED129" s="1008"/>
      <c r="EE129" s="1008"/>
      <c r="EF129" s="1008"/>
      <c r="EG129" s="1243"/>
      <c r="EH129" s="420"/>
      <c r="EO129" s="420"/>
      <c r="EP129" s="420"/>
      <c r="EQ129" s="420"/>
    </row>
    <row r="130" spans="1:147" x14ac:dyDescent="0.2">
      <c r="A130" s="418" t="s">
        <v>650</v>
      </c>
      <c r="B130" s="158"/>
      <c r="C130" s="158"/>
      <c r="D130" s="158"/>
      <c r="E130" s="158"/>
      <c r="F130" s="158"/>
      <c r="G130" s="158"/>
      <c r="H130" s="158"/>
      <c r="I130" s="158"/>
      <c r="J130" s="158"/>
      <c r="K130" s="158"/>
      <c r="L130" s="157">
        <f>L129/'IS '!L20</f>
        <v>3.9711191335740074E-2</v>
      </c>
      <c r="M130" s="158">
        <f>M129/'IS '!M20</f>
        <v>4.9912942542077773E-2</v>
      </c>
      <c r="N130" s="158">
        <f>N129/'IS '!N20</f>
        <v>7.0164734594264797E-2</v>
      </c>
      <c r="O130" s="158">
        <f>O129/'IS '!O20</f>
        <v>9.7831325301204822E-2</v>
      </c>
      <c r="P130" s="158">
        <f>P129/'IS '!P20</f>
        <v>6.6206507958867442E-2</v>
      </c>
      <c r="Q130" s="157">
        <f>Q129/'IS '!Q20</f>
        <v>4.7719298245614036E-2</v>
      </c>
      <c r="R130" s="158">
        <f>R129/'IS '!R20</f>
        <v>7.9729729729729734E-2</v>
      </c>
      <c r="S130" s="158">
        <f>S129/'IS '!S20</f>
        <v>8.6394557823129256E-2</v>
      </c>
      <c r="T130" s="158">
        <f>T129/'IS '!T20</f>
        <v>0.13419689119170986</v>
      </c>
      <c r="U130" s="158">
        <f>U129/'IS '!U20</f>
        <v>9.0721649484536079E-2</v>
      </c>
      <c r="V130" s="157">
        <f>V129/'IS '!V20</f>
        <v>7.0889894419306182E-2</v>
      </c>
      <c r="W130" s="158">
        <f>W129/'IS '!W20</f>
        <v>7.6977401129943501E-2</v>
      </c>
      <c r="X130" s="158">
        <f>X129/'IS '!X20</f>
        <v>0.10835058661145618</v>
      </c>
      <c r="Y130" s="158">
        <f>Y129/'IS '!Y20</f>
        <v>0.14175654853620956</v>
      </c>
      <c r="Z130" s="158">
        <f>Z129/'IS '!Z20</f>
        <v>0.10361681329423265</v>
      </c>
      <c r="AA130" s="157">
        <f>AA129/'IS '!AA20</f>
        <v>7.9242636746143055E-2</v>
      </c>
      <c r="AB130" s="158">
        <f>AB129/'IS '!AB20</f>
        <v>0.10184595798854233</v>
      </c>
      <c r="AC130" s="158">
        <f>AC129/'IS '!AC20</f>
        <v>0.11026392961876832</v>
      </c>
      <c r="AD130" s="158">
        <f>AD129/'IS '!AD20</f>
        <v>0.13659205116491549</v>
      </c>
      <c r="AE130" s="157">
        <f>AE129/'IS '!AE20</f>
        <v>0.11028878246988826</v>
      </c>
      <c r="AF130" s="158">
        <f>AF129/'IS '!AF20</f>
        <v>7.0131496556042575E-2</v>
      </c>
      <c r="AG130" s="158">
        <f>AG129/'IS '!AG20</f>
        <v>6.32617527568195E-2</v>
      </c>
      <c r="AH130" s="158">
        <f>AH129/'IS '!AH20</f>
        <v>7.7620396600566577E-2</v>
      </c>
      <c r="AI130" s="158">
        <f>AI129/'IS '!AI20</f>
        <v>0.12945670628183362</v>
      </c>
      <c r="AJ130" s="157">
        <f>AJ129/'IS '!AJ20</f>
        <v>8.9100927294718454E-2</v>
      </c>
      <c r="AK130" s="158">
        <f>AK129/'IS '!AK20</f>
        <v>5.8958214081282198E-2</v>
      </c>
      <c r="AL130" s="158">
        <f>AL129/'IS '!AL20</f>
        <v>6.3921993499458291E-2</v>
      </c>
      <c r="AM130" s="158">
        <f>AM129/'IS '!AM20</f>
        <v>8.3720930232558138E-2</v>
      </c>
      <c r="AN130" s="158">
        <f>AN129/'IS '!AN20</f>
        <v>0.10633116883116883</v>
      </c>
      <c r="AO130" s="157">
        <f>AO129/'IS '!AO20</f>
        <v>8.0705705705705705E-2</v>
      </c>
      <c r="AP130" s="158">
        <f>AP129/'IS '!AP20</f>
        <v>5.1933701657458566E-2</v>
      </c>
      <c r="AQ130" s="158">
        <f>AQ129/'IS '!AQ20</f>
        <v>6.0988433228180865E-2</v>
      </c>
      <c r="AR130" s="158">
        <f>AR129/'IS '!AR20</f>
        <v>7.6962025316455698E-2</v>
      </c>
      <c r="AS130" s="158">
        <f>AS129/'IS '!AS20</f>
        <v>9.732072498029945E-2</v>
      </c>
      <c r="AT130" s="157">
        <f>AT129/'IS '!AT20</f>
        <v>7.4042553191489363E-2</v>
      </c>
      <c r="AU130" s="158">
        <f>AU129/'IS '!AU20</f>
        <v>3.9582188015393073E-2</v>
      </c>
      <c r="AV130" s="158">
        <f>AV129/'IS '!AV20</f>
        <v>5.9623430962343099E-2</v>
      </c>
      <c r="AW130" s="158">
        <f>AW129/'IS '!AW20</f>
        <v>6.8878833584715943E-2</v>
      </c>
      <c r="AX130" s="158">
        <f>AX129/'IS '!AX20</f>
        <v>0.11001890359168243</v>
      </c>
      <c r="AY130" s="157">
        <f>AY129/'IS '!AY20</f>
        <v>7.3401075911536162E-2</v>
      </c>
      <c r="AZ130" s="158">
        <f>AZ129/'IS '!AZ20</f>
        <v>4.7888774459320285E-2</v>
      </c>
      <c r="BA130" s="158">
        <f>BA129/'IS '!BA20</f>
        <v>5.9816690786300052E-2</v>
      </c>
      <c r="BB130" s="158">
        <f>BB129/'IS '!BB20</f>
        <v>7.7574676772180121E-2</v>
      </c>
      <c r="BC130" s="158">
        <f>BC129/'IS '!BC20</f>
        <v>0.1235045742434905</v>
      </c>
      <c r="BD130" s="157">
        <f>BD129/'IS '!BD20</f>
        <v>8.1538461538461532E-2</v>
      </c>
      <c r="BE130" s="158">
        <f>BE129/'IS '!BE20</f>
        <v>5.3963705826170008E-2</v>
      </c>
      <c r="BF130" s="158">
        <f>BF129/'IS '!BF20</f>
        <v>9.5566078346965136E-2</v>
      </c>
      <c r="BG130" s="158">
        <f>BG129/'IS '!BG20</f>
        <v>9.5084609186140215E-2</v>
      </c>
      <c r="BH130" s="158">
        <f>BH129/'IS '!BH20</f>
        <v>0.12364130434782608</v>
      </c>
      <c r="BI130" s="157">
        <f>BI129/'IS '!BI20</f>
        <v>9.499136442141623E-2</v>
      </c>
      <c r="BJ130" s="158">
        <f>BJ129/'IS '!BJ20</f>
        <v>7.4556830031282592E-2</v>
      </c>
      <c r="BK130" s="158">
        <f>BK129/'IS '!BK20</f>
        <v>9.2472118959107813E-2</v>
      </c>
      <c r="BL130" s="158">
        <f>BL129/'IS '!BL20</f>
        <v>6.7023026315789477E-2</v>
      </c>
      <c r="BM130" s="158">
        <f>BM129/'IS '!BM20</f>
        <v>0.10030917210580556</v>
      </c>
      <c r="BN130" s="157">
        <f>BN129/'IS '!BN20</f>
        <v>8.4670137044512914E-2</v>
      </c>
      <c r="BO130" s="158">
        <f>BO129/'IS '!BO20</f>
        <v>8.1663326653306612E-2</v>
      </c>
      <c r="BP130" s="158">
        <f>BP129/'IS '!BP20</f>
        <v>7.3873873873873869E-2</v>
      </c>
      <c r="BQ130" s="158">
        <f>BQ129/'IS '!BQ20</f>
        <v>6.5304487179487183E-2</v>
      </c>
      <c r="BR130" s="158">
        <f>BR129/'IS '!BR20</f>
        <v>9.9641810485183974E-2</v>
      </c>
      <c r="BS130" s="157">
        <f>BS129/'IS '!BS20</f>
        <v>8.1365634263518352E-2</v>
      </c>
      <c r="BT130" s="158">
        <f>BT129/'IS '!BT20</f>
        <v>8.4349098000975134E-2</v>
      </c>
      <c r="BU130" s="158">
        <f>BU129/'IS '!BU20</f>
        <v>6.4582476347182227E-2</v>
      </c>
      <c r="BV130" s="158">
        <f>BV129/'IS '!BV20</f>
        <v>7.8135949544498942E-2</v>
      </c>
      <c r="BW130" s="158">
        <f>BW129/'IS '!BW20</f>
        <v>0.10879955018273826</v>
      </c>
      <c r="BX130" s="157">
        <f>BX129/'IS '!BX20</f>
        <v>8.6293950243275491E-2</v>
      </c>
      <c r="BY130" s="158">
        <f>BY129/'IS '!BY20</f>
        <v>7.8498293515358364E-2</v>
      </c>
      <c r="BZ130" s="158">
        <f>BZ129/'IS '!BZ20</f>
        <v>8.0376538740043441E-2</v>
      </c>
      <c r="CA130" s="158">
        <f>CA129/'IS '!CA20</f>
        <v>8.6569064290260983E-2</v>
      </c>
      <c r="CB130" s="158">
        <f>CB129/'IS '!CB20</f>
        <v>0.11743375174337517</v>
      </c>
      <c r="CC130" s="157">
        <f>CC129/'IS '!CC20</f>
        <v>9.2875855657905862E-2</v>
      </c>
      <c r="CD130" s="158">
        <f>CD129/'IS '!CD20</f>
        <v>0.24534161490683229</v>
      </c>
      <c r="CE130" s="158">
        <f>CE129/'IS '!CE20</f>
        <v>0.22488038277511962</v>
      </c>
      <c r="CF130" s="158">
        <f>CF129/'IS '!CF20</f>
        <v>0.22254901960784312</v>
      </c>
      <c r="CG130" s="158">
        <f>CG129/'IS '!CG20</f>
        <v>0.25868440502586842</v>
      </c>
      <c r="CH130" s="157">
        <f>CH129/'IS '!CH20</f>
        <v>0.23927919708029197</v>
      </c>
      <c r="CI130" s="158"/>
      <c r="CJ130" s="158"/>
      <c r="CK130" s="158"/>
      <c r="CL130" s="158"/>
      <c r="CM130" s="157">
        <f>CM129/'IS '!CM22</f>
        <v>7.7121603157734933E-2</v>
      </c>
      <c r="CN130" s="926"/>
      <c r="CO130" s="158"/>
      <c r="CP130" s="158"/>
      <c r="CQ130" s="158"/>
      <c r="CR130" s="157">
        <f>CR129/'IS '!CR22</f>
        <v>7.1792528624740143E-2</v>
      </c>
      <c r="CS130" s="158"/>
      <c r="CT130" s="158"/>
      <c r="CU130" s="158"/>
      <c r="CV130" s="158"/>
      <c r="CW130" s="157">
        <f>CW129/'IS '!CW22</f>
        <v>6.6383514236274976E-2</v>
      </c>
      <c r="CX130" s="158"/>
      <c r="CY130" s="158"/>
      <c r="CZ130" s="158"/>
      <c r="DA130" s="158"/>
      <c r="DB130" s="157">
        <f>DB129/'IS '!DB22</f>
        <v>5.4100034025178635E-2</v>
      </c>
      <c r="DC130" s="158">
        <f>DC129/'IS '!DC22</f>
        <v>5.8761413830692361E-2</v>
      </c>
      <c r="DD130" s="158">
        <f>DD129/'IS '!DD22</f>
        <v>5.5478079119985188E-2</v>
      </c>
      <c r="DE130" s="158">
        <f>DE129/'IS '!DE22</f>
        <v>5.1448991681993808E-2</v>
      </c>
      <c r="DF130" s="158">
        <f>DF129/'IS '!DF22</f>
        <v>5.110895791527395E-2</v>
      </c>
      <c r="DG130" s="157">
        <f>DG129/'IS '!DG22</f>
        <v>5.4074396707579186E-2</v>
      </c>
      <c r="DH130" s="158">
        <f>DH129/'IS '!DH22</f>
        <v>2.6915114648993453E-2</v>
      </c>
      <c r="DI130" s="158">
        <f>DI129/'IS '!DI22</f>
        <v>2.5886405224942018E-2</v>
      </c>
      <c r="DJ130" s="158">
        <f>DJ129/'IS '!DJ22</f>
        <v>2.4171985346066537E-2</v>
      </c>
      <c r="DK130" s="158">
        <f>DK129/'IS '!DK22</f>
        <v>2.3431158683384946E-2</v>
      </c>
      <c r="DL130" s="157">
        <f>DL129/'IS '!DL22</f>
        <v>2.5010282729630823E-2</v>
      </c>
      <c r="DM130" s="158">
        <f>DM129/'IS '!DM22</f>
        <v>2.1872073019173745E-2</v>
      </c>
      <c r="DN130" s="158">
        <f>DN129/'IS '!DN22</f>
        <v>2.234916979667247E-2</v>
      </c>
      <c r="DO130" s="158">
        <f>DO129/'IS '!DO22</f>
        <v>2.2154678987750583E-2</v>
      </c>
      <c r="DP130" s="158">
        <f>DP129/'IS '!DP22</f>
        <v>2.3137435139640079E-2</v>
      </c>
      <c r="DQ130" s="157">
        <f>DQ129/'IS '!DQ22</f>
        <v>2.2436181256301431E-2</v>
      </c>
      <c r="DR130" s="158">
        <f>DR129/'IS '!DR22</f>
        <v>2.0420174129518156E-2</v>
      </c>
      <c r="DS130" s="158">
        <f>DS129/'IS '!DS22</f>
        <v>2.082762499024951E-2</v>
      </c>
      <c r="DT130" s="158">
        <f>DT129/'IS '!DT22</f>
        <v>2.1074710318987635E-2</v>
      </c>
      <c r="DU130" s="158">
        <f>DU129/'IS '!DU22</f>
        <v>2.3198471601408192E-2</v>
      </c>
      <c r="DV130" s="157">
        <f>DV129/'IS '!DV22</f>
        <v>2.1518801514382908E-2</v>
      </c>
      <c r="DW130" s="158">
        <f>DW129/'IS '!DW22</f>
        <v>2.0849338396632985E-2</v>
      </c>
      <c r="DX130" s="158">
        <f>DX129/'IS '!DX22</f>
        <v>2.1351124879428557E-2</v>
      </c>
      <c r="DY130" s="158">
        <f>DY129/'IS '!DY22</f>
        <v>2.0960969768866518E-2</v>
      </c>
      <c r="DZ130" s="158">
        <f>DZ129/'IS '!DZ22</f>
        <v>2.1930615439213447E-2</v>
      </c>
      <c r="EA130" s="157">
        <f>EA129/'IS '!EA22</f>
        <v>2.1323150380394843E-2</v>
      </c>
      <c r="EB130" s="1008"/>
      <c r="EC130" s="1008"/>
      <c r="ED130" s="1008"/>
      <c r="EE130" s="1008"/>
      <c r="EF130" s="1008"/>
      <c r="EG130" s="1243"/>
      <c r="EH130" s="726"/>
      <c r="EO130" s="726"/>
      <c r="EP130" s="726"/>
      <c r="EQ130" s="726"/>
    </row>
    <row r="131" spans="1:147" x14ac:dyDescent="0.2">
      <c r="A131" s="11" t="s">
        <v>651</v>
      </c>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7"/>
      <c r="AQ131" s="117"/>
      <c r="AR131" s="117"/>
      <c r="AS131" s="11"/>
      <c r="AT131" s="41"/>
      <c r="AU131" s="11"/>
      <c r="AV131" s="11"/>
      <c r="AW131" s="11"/>
      <c r="AX131" s="11"/>
      <c r="AY131" s="41"/>
      <c r="AZ131" s="11"/>
      <c r="BA131" s="11"/>
      <c r="BB131" s="11"/>
      <c r="BC131" s="11"/>
      <c r="BD131" s="11"/>
      <c r="BE131" s="11"/>
      <c r="BF131" s="11"/>
      <c r="BG131" s="11"/>
      <c r="BH131" s="11"/>
      <c r="BI131" s="11"/>
      <c r="BJ131" s="11"/>
      <c r="BK131" s="11"/>
      <c r="BL131" s="11"/>
      <c r="BM131" s="11"/>
      <c r="BN131" s="11"/>
      <c r="BO131" s="11"/>
      <c r="BP131" s="11"/>
      <c r="BQ131" s="11"/>
      <c r="BR131" s="11"/>
      <c r="BS131" s="11"/>
      <c r="BT131" s="11">
        <v>8.4349098000975134E-2</v>
      </c>
      <c r="BU131" s="11">
        <v>6.4582476347182227E-2</v>
      </c>
      <c r="BV131" s="11">
        <v>7.8135949544498942E-2</v>
      </c>
      <c r="BW131" s="11">
        <v>0.10879955018273826</v>
      </c>
      <c r="BX131" s="11">
        <v>8.6293950243275491E-2</v>
      </c>
      <c r="BY131" s="11">
        <v>7.8498293515358364E-2</v>
      </c>
      <c r="BZ131" s="11">
        <v>8.0376538740043441E-2</v>
      </c>
      <c r="CA131" s="42">
        <v>8.6569064290260983E-2</v>
      </c>
      <c r="CB131" s="42">
        <v>0.11743375174337517</v>
      </c>
      <c r="CC131" s="42">
        <v>9.2875855657905862E-2</v>
      </c>
      <c r="CD131" s="42">
        <v>0.11291090995712244</v>
      </c>
      <c r="CE131" s="42">
        <v>9.4987873888439781E-2</v>
      </c>
      <c r="CF131" s="42">
        <v>7.5140681893412775E-2</v>
      </c>
      <c r="CG131" s="42">
        <v>9.7493036211699163E-2</v>
      </c>
      <c r="CH131" s="42">
        <v>9.3794706723891272E-2</v>
      </c>
      <c r="CI131" s="42">
        <v>0</v>
      </c>
      <c r="CJ131" s="42">
        <v>0</v>
      </c>
      <c r="CK131" s="42">
        <v>0</v>
      </c>
      <c r="CL131" s="42">
        <v>0</v>
      </c>
      <c r="CM131" s="42">
        <v>0</v>
      </c>
      <c r="CN131" s="919">
        <v>-9.1785222579164765E-5</v>
      </c>
      <c r="CO131" s="42">
        <v>-1.1658518239939827E-4</v>
      </c>
      <c r="CP131" s="42">
        <v>-8.4231805929919142E-5</v>
      </c>
      <c r="CQ131" s="42">
        <v>-3.083258460616951E-3</v>
      </c>
      <c r="CR131" s="42">
        <v>-9.9192462987886948E-4</v>
      </c>
      <c r="CS131" s="42">
        <v>0.22948139797068773</v>
      </c>
      <c r="CT131" s="42">
        <v>0.23742971887550202</v>
      </c>
      <c r="CU131" s="42">
        <v>0.27611278952668683</v>
      </c>
      <c r="CV131" s="42">
        <v>0.29158554094904998</v>
      </c>
      <c r="CW131" s="42">
        <v>0.26198961845331992</v>
      </c>
      <c r="CX131" s="42">
        <v>9.0398062785700242E-2</v>
      </c>
      <c r="CY131" s="42">
        <v>9.2701977375079556E-2</v>
      </c>
      <c r="CZ131" s="42">
        <v>9.361054986252075E-2</v>
      </c>
      <c r="DA131" s="42">
        <v>9.5826175069824285E-2</v>
      </c>
      <c r="DB131" s="42">
        <v>9.3133693365451117E-2</v>
      </c>
      <c r="DC131" s="42">
        <v>9.7219404504484366E-2</v>
      </c>
      <c r="DD131" s="42">
        <v>0.10069424573333149</v>
      </c>
      <c r="DE131" s="42">
        <v>0.10193534733732779</v>
      </c>
      <c r="DF131" s="42">
        <v>0.10416513831803459</v>
      </c>
      <c r="DG131" s="42">
        <v>0.10112029398339856</v>
      </c>
      <c r="DH131" s="42">
        <v>1.2106001292826244E-2</v>
      </c>
      <c r="DI131" s="42">
        <v>1.0914611523825835E-2</v>
      </c>
      <c r="DJ131" s="42">
        <v>8.4878771849664306E-3</v>
      </c>
      <c r="DK131" s="42">
        <v>9.6829832045349801E-3</v>
      </c>
      <c r="DL131" s="42">
        <v>1.0108820442440637E-2</v>
      </c>
      <c r="DM131" s="42">
        <v>9.4054769522592153E-3</v>
      </c>
      <c r="DN131" s="42">
        <v>9.2211910643490592E-3</v>
      </c>
      <c r="DO131" s="42">
        <v>7.7474868073893408E-3</v>
      </c>
      <c r="DP131" s="42">
        <v>9.7253059229689721E-3</v>
      </c>
      <c r="DQ131" s="42">
        <v>9.0016863718178491E-3</v>
      </c>
      <c r="DR131" s="42">
        <v>9.4054769522592153E-3</v>
      </c>
      <c r="DS131" s="42">
        <v>9.2211910643490592E-3</v>
      </c>
      <c r="DT131" s="42">
        <v>7.7474868073893408E-3</v>
      </c>
      <c r="DU131" s="42">
        <v>9.7253059229689721E-3</v>
      </c>
      <c r="DV131" s="42">
        <v>9.0016863718178491E-3</v>
      </c>
      <c r="DW131" s="42">
        <v>9.4054769522592153E-3</v>
      </c>
      <c r="DX131" s="42">
        <v>9.2211910643490592E-3</v>
      </c>
      <c r="DY131" s="42">
        <v>7.7474868073893408E-3</v>
      </c>
      <c r="DZ131" s="42">
        <v>9.7253059229689721E-3</v>
      </c>
      <c r="EA131" s="42">
        <v>9.0016863718178491E-3</v>
      </c>
      <c r="EB131" s="1008"/>
      <c r="EC131" s="1008"/>
      <c r="ED131" s="1008"/>
      <c r="EE131" s="1008"/>
      <c r="EF131" s="1008"/>
      <c r="EG131" s="1243"/>
      <c r="EO131" s="726"/>
    </row>
    <row r="132" spans="1:147" x14ac:dyDescent="0.2">
      <c r="A132" s="11" t="s">
        <v>400</v>
      </c>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41">
        <f>AP37+AN37+AM37+AL37</f>
        <v>1197</v>
      </c>
      <c r="AQ132" s="41">
        <f>AQ37+AP37+AN37+AM37</f>
        <v>1337</v>
      </c>
      <c r="AR132" s="41">
        <f>AR37+AQ37+AP37+AN37</f>
        <v>1381</v>
      </c>
      <c r="AS132" s="41">
        <f>AS37+AR37+AQ37+AP37</f>
        <v>1238</v>
      </c>
      <c r="AT132" s="11">
        <f>AS132</f>
        <v>1238</v>
      </c>
      <c r="AU132" s="41">
        <f>AU37+AS37+AR37+AQ37</f>
        <v>1270</v>
      </c>
      <c r="AV132" s="41">
        <f>AV37+AU37+AS37+AR37</f>
        <v>1178</v>
      </c>
      <c r="AW132" s="41">
        <f>AW37+AV37+AU37+AS37</f>
        <v>1186</v>
      </c>
      <c r="AX132" s="41">
        <f>AX37+AW37+AV37+AU37</f>
        <v>1284</v>
      </c>
      <c r="AY132" s="11">
        <f>AX132</f>
        <v>1284</v>
      </c>
      <c r="AZ132" s="41">
        <f>AZ37+AX37+AW37+AV37</f>
        <v>1338</v>
      </c>
      <c r="BA132" s="41">
        <f>BA37+AZ37+AX37+AW37</f>
        <v>1332</v>
      </c>
      <c r="BB132" s="41">
        <f>BB37+BA37+AZ37+AX37</f>
        <v>1464</v>
      </c>
      <c r="BC132" s="41">
        <f>BC37+BB37+BA37+AZ37</f>
        <v>1565</v>
      </c>
      <c r="BD132" s="11">
        <f>BC132</f>
        <v>1565</v>
      </c>
      <c r="BE132" s="41">
        <f>BE37+BC37+BB37+BA37</f>
        <v>1572</v>
      </c>
      <c r="BF132" s="41">
        <f>BF37+BE37+BC37+BB37</f>
        <v>1585</v>
      </c>
      <c r="BG132" s="41">
        <f>BG37+BF37+BE37+BC37</f>
        <v>1536</v>
      </c>
      <c r="BH132" s="41">
        <f>BH37+BG37+BF37+BE37</f>
        <v>1469</v>
      </c>
      <c r="BI132" s="11">
        <f>BH132</f>
        <v>1469</v>
      </c>
      <c r="BJ132" s="41">
        <f>BJ37+BH37+BG37+BF37</f>
        <v>1418</v>
      </c>
      <c r="BK132" s="41">
        <f>BK37+BJ37+BH37+BG37</f>
        <v>1351</v>
      </c>
      <c r="BL132" s="41">
        <f>BL37+BK37+BJ37+BH37</f>
        <v>1464</v>
      </c>
      <c r="BM132" s="41">
        <f>BM37+BL37+BK37+BJ37</f>
        <v>1404</v>
      </c>
      <c r="BN132" s="11">
        <f>BM132</f>
        <v>1404</v>
      </c>
      <c r="BO132" s="41">
        <f>BO37+BM37+BL37+BK37</f>
        <v>1499</v>
      </c>
      <c r="BP132" s="41">
        <f>BP37+BO37+BM37+BL37</f>
        <v>1742</v>
      </c>
      <c r="BQ132" s="41">
        <f>BQ37+BP37+BO37+BM37</f>
        <v>1766</v>
      </c>
      <c r="BR132" s="41">
        <f>BR37+BQ37+BP37+BO37</f>
        <v>1968</v>
      </c>
      <c r="BS132" s="11">
        <f>BR132</f>
        <v>1968</v>
      </c>
      <c r="BT132" s="41">
        <f>BT37+BR37+BQ37+BP37</f>
        <v>2084</v>
      </c>
      <c r="BU132" s="41">
        <f>BU37+BT37+BR37+BQ37</f>
        <v>2058</v>
      </c>
      <c r="BV132" s="41">
        <f>BV37+BU37+BT37+BR37</f>
        <v>2174</v>
      </c>
      <c r="BW132" s="41">
        <f>BW37+BV37+BU37+BT37</f>
        <v>2170</v>
      </c>
      <c r="BX132" s="11">
        <f>BW132</f>
        <v>2170</v>
      </c>
      <c r="BY132" s="41">
        <f>BY37+BW37+BV37+BU37</f>
        <v>2146</v>
      </c>
      <c r="BZ132" s="41">
        <f>BZ37+BY37+BW37+BV37</f>
        <v>2171</v>
      </c>
      <c r="CA132" s="41">
        <f>CA37+BZ37+BY37+BW37</f>
        <v>2285</v>
      </c>
      <c r="CB132" s="41">
        <f>CB37+CA37+BZ37+BY37</f>
        <v>2294</v>
      </c>
      <c r="CC132" s="11">
        <f>CB132</f>
        <v>2294</v>
      </c>
      <c r="CD132" s="41">
        <f>CD37+CB37+CA37+BZ37</f>
        <v>2211</v>
      </c>
      <c r="CE132" s="41">
        <f>CE37+CD37+CB37+CA37</f>
        <v>2099</v>
      </c>
      <c r="CF132" s="41">
        <f>CF37+CE37+CD37+CB37</f>
        <v>2029</v>
      </c>
      <c r="CG132" s="41">
        <f>CG37+CF37+CE37+CD37</f>
        <v>2139</v>
      </c>
      <c r="CH132" s="11">
        <f>CG132</f>
        <v>2139</v>
      </c>
      <c r="CI132" s="41"/>
      <c r="CJ132" s="41"/>
      <c r="CK132" s="41"/>
      <c r="CL132" s="41"/>
      <c r="CM132" s="11">
        <f>CL132</f>
        <v>0</v>
      </c>
      <c r="CN132" s="927">
        <f>CN37+CL37+CK37+CJ37</f>
        <v>1538.9170013386881</v>
      </c>
      <c r="CO132" s="41">
        <f>CO37+CN37+CL37+CK37</f>
        <v>1105.5247657295849</v>
      </c>
      <c r="CP132" s="41">
        <f>CP37+CO37+CN37+CL37</f>
        <v>654.6840696117805</v>
      </c>
      <c r="CQ132" s="41">
        <f>CQ37+CP37+CO37+CN37</f>
        <v>322</v>
      </c>
      <c r="CR132" s="11">
        <f>CQ132</f>
        <v>322</v>
      </c>
      <c r="CS132" s="41">
        <f>CS37+CQ37+CP37+CO37</f>
        <v>510.43029928368856</v>
      </c>
      <c r="CT132" s="41">
        <f>CT37+CS37+CQ37+CP37</f>
        <v>596.47523427041506</v>
      </c>
      <c r="CU132" s="41">
        <f>CU37+CT37+CS37+CQ37</f>
        <v>663.48512998295109</v>
      </c>
      <c r="CV132" s="41">
        <f>CV37+CU37+CT37+CS37</f>
        <v>1204</v>
      </c>
      <c r="CW132" s="11">
        <f>CV132</f>
        <v>1204</v>
      </c>
      <c r="CX132" s="41">
        <f>CX37+CV37+CU37+CT37</f>
        <v>1243.6526993776233</v>
      </c>
      <c r="CY132" s="41">
        <f>CY37+CX37+CV37+CU37</f>
        <v>1228</v>
      </c>
      <c r="CZ132" s="41">
        <f>CZ37+CY37+CX37+CV37</f>
        <v>1362.8308004052685</v>
      </c>
      <c r="DA132" s="41">
        <f>DA37+CZ37+CY37+CX37</f>
        <v>1030</v>
      </c>
      <c r="DB132" s="11">
        <f>DA132</f>
        <v>1030</v>
      </c>
      <c r="DC132" s="41">
        <f>DC37+DA37+CZ37+CY37</f>
        <v>1166.6984534910473</v>
      </c>
      <c r="DD132" s="41">
        <f>DD37+DC37+DA37+CZ37</f>
        <v>1305.8135307146808</v>
      </c>
      <c r="DE132" s="41">
        <f>DE37+DD37+DC37+DA37</f>
        <v>1330.0445631340913</v>
      </c>
      <c r="DF132" s="41">
        <f>DF37+DE37+DD37+DC37</f>
        <v>1567.8801861569018</v>
      </c>
      <c r="DG132" s="11">
        <f>DF132</f>
        <v>1567.8801861569018</v>
      </c>
      <c r="DH132" s="41">
        <f>DH37+DF37+DE37+DD37</f>
        <v>1188.9360522000477</v>
      </c>
      <c r="DI132" s="41">
        <f>DI37+DH37+DF37+DE37</f>
        <v>1210.0920018066874</v>
      </c>
      <c r="DJ132" s="41">
        <f>DJ37+DI37+DH37+DF37</f>
        <v>1243.2697518429545</v>
      </c>
      <c r="DK132" s="41">
        <f>DK37+DJ37+DI37+DH37</f>
        <v>1422.6996192475169</v>
      </c>
      <c r="DL132" s="11">
        <f>DK132</f>
        <v>1422.6996192475169</v>
      </c>
      <c r="DM132" s="41">
        <f>DM37+DK37+DJ37+DI37</f>
        <v>1366.1594138619173</v>
      </c>
      <c r="DN132" s="41">
        <f>DN37+DM37+DK37+DJ37</f>
        <v>1403.5033028687985</v>
      </c>
      <c r="DO132" s="41">
        <f>DO37+DN37+DM37+DK37</f>
        <v>1436.6546260059772</v>
      </c>
      <c r="DP132" s="41">
        <f>DP37+DO37+DN37+DM37</f>
        <v>1536.9088954523008</v>
      </c>
      <c r="DQ132" s="11">
        <f>DP132</f>
        <v>1536.9088954523008</v>
      </c>
      <c r="DR132" s="41">
        <f>DR37+DP37+DO37+DN37</f>
        <v>1542.0713497972315</v>
      </c>
      <c r="DS132" s="41">
        <f>DS37+DR37+DP37+DO37</f>
        <v>1579.1614345691212</v>
      </c>
      <c r="DT132" s="41">
        <f>DT37+DS37+DR37+DP37</f>
        <v>1615.359236771217</v>
      </c>
      <c r="DU132" s="41">
        <f>DU37+DT37+DS37+DR37</f>
        <v>1721.3656024949767</v>
      </c>
      <c r="DV132" s="11">
        <f>DU132</f>
        <v>1721.3656024949767</v>
      </c>
      <c r="DW132" s="41">
        <f>DW37+DU37+DT37+DS37</f>
        <v>1700.4846322094588</v>
      </c>
      <c r="DX132" s="41">
        <f>DX37+DW37+DU37+DT37</f>
        <v>1743.7589200021489</v>
      </c>
      <c r="DY132" s="41">
        <f>DY37+DX37+DW37+DU37</f>
        <v>1786.436429254039</v>
      </c>
      <c r="DZ132" s="41">
        <f>DZ37+DY37+DX37+DW37</f>
        <v>1920.8598841641806</v>
      </c>
      <c r="EA132" s="11">
        <f>DZ132</f>
        <v>1920.8598841641806</v>
      </c>
      <c r="EB132" s="1008"/>
      <c r="EC132" s="1008"/>
      <c r="ED132" s="1008"/>
      <c r="EE132" s="1008"/>
      <c r="EF132" s="1008"/>
      <c r="EG132" s="1243"/>
      <c r="EO132" s="726"/>
    </row>
    <row r="133" spans="1:147" x14ac:dyDescent="0.2">
      <c r="A133" s="11" t="s">
        <v>401</v>
      </c>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41">
        <f>-(AP40+AN40+AM40+AL40)</f>
        <v>636</v>
      </c>
      <c r="AQ133" s="41">
        <f>-(AQ40+AP40+AN40+AM40)</f>
        <v>634</v>
      </c>
      <c r="AR133" s="41">
        <f>-(AR40+AQ40+AP40+AN40)</f>
        <v>624</v>
      </c>
      <c r="AS133" s="41">
        <f>-(AS40+AR40+AQ40+AP40)</f>
        <v>609</v>
      </c>
      <c r="AT133" s="11">
        <f>AS133</f>
        <v>609</v>
      </c>
      <c r="AU133" s="41">
        <f>-(AU40+AS40+AR40+AQ40)</f>
        <v>587</v>
      </c>
      <c r="AV133" s="41">
        <f>-(AV40+AU40+AS40+AR40)</f>
        <v>585</v>
      </c>
      <c r="AW133" s="41">
        <f>-(AW40+AV40+AU40+AS40)</f>
        <v>570</v>
      </c>
      <c r="AX133" s="41">
        <f>-(AX40+AW40+AV40+AU40)</f>
        <v>614</v>
      </c>
      <c r="AY133" s="11">
        <f>AX133</f>
        <v>614</v>
      </c>
      <c r="AZ133" s="41">
        <f>-(AZ40+AX40+AW40+AV40)</f>
        <v>635</v>
      </c>
      <c r="BA133" s="41">
        <f>-(BA40+AZ40+AX40+AW40)</f>
        <v>645</v>
      </c>
      <c r="BB133" s="41">
        <f>-(BB40+BA40+AZ40+AX40)</f>
        <v>682</v>
      </c>
      <c r="BC133" s="41">
        <f>-(BC40+BB40+BA40+AZ40)</f>
        <v>742</v>
      </c>
      <c r="BD133" s="11">
        <f>BC133</f>
        <v>742</v>
      </c>
      <c r="BE133" s="41">
        <f>-(BE40+BC40+BB40+BA40)</f>
        <v>762</v>
      </c>
      <c r="BF133" s="41">
        <f>-(BF40+BE40+BC40+BB40)</f>
        <v>860</v>
      </c>
      <c r="BG133" s="41">
        <f>-(BG40+BF40+BE40+BC40)</f>
        <v>922</v>
      </c>
      <c r="BH133" s="41">
        <f>-(BH40+BG40+BF40+BE40)</f>
        <v>935</v>
      </c>
      <c r="BI133" s="11">
        <f>BH133</f>
        <v>935</v>
      </c>
      <c r="BJ133" s="41">
        <f>-(BJ40+BH40+BG40+BF40)</f>
        <v>965</v>
      </c>
      <c r="BK133" s="41">
        <f>-(BK40+BJ40+BH40+BG40)</f>
        <v>942</v>
      </c>
      <c r="BL133" s="41">
        <f>-(BL40+BK40+BJ40+BH40)</f>
        <v>869</v>
      </c>
      <c r="BM133" s="41">
        <f>-(BM40+BL40+BK40+BJ40)</f>
        <v>797</v>
      </c>
      <c r="BN133" s="11">
        <f>BM133</f>
        <v>797</v>
      </c>
      <c r="BO133" s="41">
        <f>-(BO40+BM40+BL40+BK40)</f>
        <v>817</v>
      </c>
      <c r="BP133" s="41">
        <f>-(BP40+BO40+BM40+BL40)</f>
        <v>782</v>
      </c>
      <c r="BQ133" s="41">
        <f>-(BQ40+BP40+BO40+BM40)</f>
        <v>782</v>
      </c>
      <c r="BR133" s="41">
        <f>-(BR40+BQ40+BP40+BO40)</f>
        <v>796</v>
      </c>
      <c r="BS133" s="11">
        <f>BR133</f>
        <v>796</v>
      </c>
      <c r="BT133" s="41">
        <f>-(BT40+BR40+BQ40+BP40)</f>
        <v>806</v>
      </c>
      <c r="BU133" s="41">
        <f>-(BU40+BT40+BR40+BQ40)</f>
        <v>799</v>
      </c>
      <c r="BV133" s="41">
        <f>-(BV40+BU40+BT40+BR40)</f>
        <v>859</v>
      </c>
      <c r="BW133" s="41">
        <f>-(BW40+BV40+BU40+BT40)</f>
        <v>940</v>
      </c>
      <c r="BX133" s="11">
        <f>BW133</f>
        <v>940</v>
      </c>
      <c r="BY133" s="41">
        <f>-(BY40+BW40+BV40+BU40)</f>
        <v>951</v>
      </c>
      <c r="BZ133" s="41">
        <f>-(BZ40+BY40+BW40+BV40)</f>
        <v>1016</v>
      </c>
      <c r="CA133" s="41">
        <f>-(CA40+BZ40+BY40+BW40)</f>
        <v>1065</v>
      </c>
      <c r="CB133" s="41">
        <f>-(CB40+CA40+BZ40+BY40)</f>
        <v>1099</v>
      </c>
      <c r="CC133" s="11">
        <f>CB133</f>
        <v>1099</v>
      </c>
      <c r="CD133" s="41">
        <f>-(CD40+CB40+CA40+BZ40)</f>
        <v>1152</v>
      </c>
      <c r="CE133" s="41">
        <f>-(CE40+CD40+CB40+CA40)</f>
        <v>1165</v>
      </c>
      <c r="CF133" s="41">
        <f>-(CF40+CE40+CD40+CB40)</f>
        <v>1120</v>
      </c>
      <c r="CG133" s="41">
        <f>-(CG40+CF40+CE40+CD40)</f>
        <v>1049</v>
      </c>
      <c r="CH133" s="11">
        <f>CG133</f>
        <v>1049</v>
      </c>
      <c r="CI133" s="41"/>
      <c r="CJ133" s="41"/>
      <c r="CK133" s="41"/>
      <c r="CL133" s="41"/>
      <c r="CM133" s="11">
        <f>CL133</f>
        <v>0</v>
      </c>
      <c r="CN133" s="927">
        <f>-(CN40+CL40+CK40+CJ40)</f>
        <v>861</v>
      </c>
      <c r="CO133" s="41">
        <f>-(CO40+CN40+CL40+CK40)</f>
        <v>625</v>
      </c>
      <c r="CP133" s="41">
        <f>-(CP40+CO40+CN40+CL40)</f>
        <v>378</v>
      </c>
      <c r="CQ133" s="41">
        <f>-(CQ40+CP40+CO40+CN40)</f>
        <v>0</v>
      </c>
      <c r="CR133" s="11">
        <f>CQ133</f>
        <v>0</v>
      </c>
      <c r="CS133" s="41">
        <f>-(CS40+CQ40+CP40+CO40)</f>
        <v>74</v>
      </c>
      <c r="CT133" s="41">
        <f>-(CT40+CS40+CQ40+CP40)</f>
        <v>171</v>
      </c>
      <c r="CU133" s="41">
        <f>-(CU40+CT40+CS40+CQ40)</f>
        <v>189.2</v>
      </c>
      <c r="CV133" s="41">
        <f>-(CV40+CU40+CT40+CS40)</f>
        <v>422</v>
      </c>
      <c r="CW133" s="11">
        <f>CV133</f>
        <v>422</v>
      </c>
      <c r="CX133" s="41">
        <f>-(CX40+CV40+CU40+CT40)</f>
        <v>424</v>
      </c>
      <c r="CY133" s="41">
        <f>-(CY40+CX40+CV40+CU40)</f>
        <v>401</v>
      </c>
      <c r="CZ133" s="41">
        <f>-(CZ40+CY40+CX40+CV40)</f>
        <v>460.8</v>
      </c>
      <c r="DA133" s="41">
        <f>-(DA40+CZ40+CY40+CX40)</f>
        <v>318</v>
      </c>
      <c r="DB133" s="11">
        <f>DA133</f>
        <v>318</v>
      </c>
      <c r="DC133" s="41">
        <f>-(DC40+DA40+CZ40+CY40)</f>
        <v>305.83759387361238</v>
      </c>
      <c r="DD133" s="41">
        <f>-(DD40+DC40+DA40+CZ40)</f>
        <v>291.09621129994281</v>
      </c>
      <c r="DE133" s="41">
        <f>-(DE40+DD40+DC40+DA40)</f>
        <v>267.46190854868894</v>
      </c>
      <c r="DF133" s="41">
        <f>-(DF40+DE40+DD40+DC40)</f>
        <v>243.24749504804186</v>
      </c>
      <c r="DG133" s="11">
        <f>DF133</f>
        <v>243.24749504804186</v>
      </c>
      <c r="DH133" s="41">
        <f>-(DH40+DF40+DE40+DD40)</f>
        <v>206.16915438507419</v>
      </c>
      <c r="DI133" s="41">
        <f>-(DI40+DH40+DF40+DE40)</f>
        <v>172.73166687315174</v>
      </c>
      <c r="DJ133" s="41">
        <f>-(DJ40+DI40+DH40+DF40)</f>
        <v>142.64887894625377</v>
      </c>
      <c r="DK133" s="41">
        <f>-(DK40+DJ40+DI40+DH40)</f>
        <v>105.43504601459165</v>
      </c>
      <c r="DL133" s="11">
        <f>DK133</f>
        <v>105.43504601459165</v>
      </c>
      <c r="DM133" s="41">
        <f>-(DM40+DK40+DJ40+DI40)</f>
        <v>99.435599619974653</v>
      </c>
      <c r="DN133" s="41">
        <f>-(DN40+DM40+DK40+DJ40)</f>
        <v>95.676805844927912</v>
      </c>
      <c r="DO133" s="41">
        <f>-(DO40+DN40+DM40+DK40)</f>
        <v>94.242232217149052</v>
      </c>
      <c r="DP133" s="41">
        <f>-(DP40+DO40+DN40+DM40)</f>
        <v>95.749217191410096</v>
      </c>
      <c r="DQ133" s="11">
        <f>DP133</f>
        <v>95.749217191410096</v>
      </c>
      <c r="DR133" s="41">
        <f>-(DR40+DP40+DO40+DN40)</f>
        <v>96.020480955878654</v>
      </c>
      <c r="DS133" s="41">
        <f>-(DS40+DR40+DP40+DO40)</f>
        <v>96.270494378694934</v>
      </c>
      <c r="DT133" s="41">
        <f>-(DT40+DS40+DR40+DP40)</f>
        <v>96.988026914225713</v>
      </c>
      <c r="DU133" s="41">
        <f>-(DU40+DT40+DS40+DR40)</f>
        <v>99.621796890936139</v>
      </c>
      <c r="DV133" s="11">
        <f>DU133</f>
        <v>99.621796890936139</v>
      </c>
      <c r="DW133" s="41">
        <f>-(DW40+DU40+DT40+DS40)</f>
        <v>101.88288201883768</v>
      </c>
      <c r="DX133" s="41">
        <f>-(DX40+DW40+DU40+DT40)</f>
        <v>104.47270763511352</v>
      </c>
      <c r="DY133" s="41">
        <f>-(DY40+DX40+DW40+DU40)</f>
        <v>106.49341244320203</v>
      </c>
      <c r="DZ133" s="41">
        <f>-(DZ40+DY40+DX40+DW40)</f>
        <v>107.67349402787923</v>
      </c>
      <c r="EA133" s="11">
        <f>DZ133</f>
        <v>107.67349402787923</v>
      </c>
      <c r="EB133" s="1008"/>
      <c r="EC133" s="1008"/>
      <c r="ED133" s="1008"/>
      <c r="EE133" s="1008"/>
      <c r="EF133" s="1008"/>
      <c r="EG133" s="1243"/>
      <c r="EO133" s="726"/>
    </row>
    <row r="134" spans="1:147" x14ac:dyDescent="0.2">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7"/>
      <c r="AQ134" s="117"/>
      <c r="AR134" s="117"/>
      <c r="AS134" s="11"/>
      <c r="AT134" s="11"/>
      <c r="AU134" s="11"/>
      <c r="AV134" s="11"/>
      <c r="AW134" s="11"/>
      <c r="AX134" s="11"/>
      <c r="AY134" s="49"/>
      <c r="AZ134" s="29"/>
      <c r="BA134" s="11"/>
      <c r="BB134" s="11"/>
      <c r="BC134" s="11"/>
      <c r="BD134" s="11"/>
      <c r="BE134" s="29"/>
      <c r="BF134" s="11"/>
      <c r="BG134" s="11"/>
      <c r="BH134" s="11"/>
      <c r="BI134" s="11"/>
      <c r="BJ134" s="29"/>
      <c r="BK134" s="11"/>
      <c r="BL134" s="11"/>
      <c r="BM134" s="11"/>
      <c r="BN134" s="11"/>
      <c r="BO134" s="29"/>
      <c r="BP134" s="11"/>
      <c r="BQ134" s="11"/>
      <c r="BR134" s="11"/>
      <c r="BS134" s="11"/>
      <c r="BT134" s="29"/>
      <c r="BU134" s="11"/>
      <c r="BV134" s="11"/>
      <c r="BW134" s="11"/>
      <c r="BX134" s="11"/>
      <c r="BY134" s="29"/>
      <c r="BZ134" s="11"/>
      <c r="CA134" s="11"/>
      <c r="CB134" s="11"/>
      <c r="CC134" s="11"/>
      <c r="CD134" s="29"/>
      <c r="CE134" s="11"/>
      <c r="CF134" s="11"/>
      <c r="CG134" s="11"/>
      <c r="CH134" s="11"/>
      <c r="CI134" s="29"/>
      <c r="CJ134" s="11"/>
      <c r="CK134" s="11"/>
      <c r="CL134" s="11"/>
      <c r="CM134" s="11"/>
      <c r="CN134" s="852"/>
      <c r="CO134" s="11"/>
      <c r="CP134" s="11"/>
      <c r="CQ134" s="11"/>
      <c r="CR134" s="11"/>
      <c r="CS134" s="29"/>
      <c r="CT134" s="11"/>
      <c r="CU134" s="11"/>
      <c r="CV134" s="11"/>
      <c r="CW134" s="11"/>
      <c r="CX134" s="29"/>
      <c r="CY134" s="11"/>
      <c r="CZ134" s="11"/>
      <c r="DA134" s="11"/>
      <c r="DB134" s="11"/>
      <c r="DC134" s="29"/>
      <c r="DD134" s="11"/>
      <c r="DE134" s="11"/>
      <c r="DF134" s="11"/>
      <c r="DG134" s="11"/>
      <c r="DH134" s="29"/>
      <c r="DI134" s="11"/>
      <c r="DJ134" s="11"/>
      <c r="DK134" s="11"/>
      <c r="DL134" s="11"/>
      <c r="DM134" s="29"/>
      <c r="DN134" s="11"/>
      <c r="DO134" s="11"/>
      <c r="DP134" s="11"/>
      <c r="DQ134" s="11"/>
      <c r="DR134" s="29"/>
      <c r="DS134" s="11"/>
      <c r="DT134" s="11"/>
      <c r="DU134" s="11"/>
      <c r="DV134" s="11"/>
      <c r="DW134" s="29"/>
      <c r="DX134" s="11"/>
      <c r="DY134" s="11"/>
      <c r="DZ134" s="11"/>
      <c r="EA134" s="11"/>
      <c r="EB134" s="1008"/>
      <c r="EC134" s="1008"/>
      <c r="ED134" s="1008"/>
      <c r="EE134" s="1008"/>
      <c r="EF134" s="1008"/>
      <c r="EG134" s="1243"/>
    </row>
    <row r="135" spans="1:147" x14ac:dyDescent="0.2">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7"/>
      <c r="AQ135" s="117"/>
      <c r="AR135" s="117"/>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850"/>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008"/>
      <c r="EC135" s="1008"/>
      <c r="ED135" s="1008"/>
      <c r="EE135" s="1008"/>
      <c r="EF135" s="1008"/>
      <c r="EG135" s="1243"/>
    </row>
    <row r="136" spans="1:147" x14ac:dyDescent="0.2">
      <c r="A136" s="11" t="s">
        <v>485</v>
      </c>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41">
        <f t="shared" ref="Z136:BE136" si="214">SUM(Z15:Z22,Z24,Z25,Z26,Z27,Z28)</f>
        <v>-1</v>
      </c>
      <c r="AA136" s="41">
        <f t="shared" si="214"/>
        <v>17</v>
      </c>
      <c r="AB136" s="41">
        <f t="shared" si="214"/>
        <v>41</v>
      </c>
      <c r="AC136" s="41">
        <f t="shared" si="214"/>
        <v>1</v>
      </c>
      <c r="AD136" s="41">
        <f t="shared" si="214"/>
        <v>-29</v>
      </c>
      <c r="AE136" s="41">
        <f t="shared" si="214"/>
        <v>30</v>
      </c>
      <c r="AF136" s="41">
        <f t="shared" si="214"/>
        <v>34</v>
      </c>
      <c r="AG136" s="41">
        <f t="shared" si="214"/>
        <v>79</v>
      </c>
      <c r="AH136" s="41">
        <f t="shared" si="214"/>
        <v>-43</v>
      </c>
      <c r="AI136" s="41">
        <f t="shared" si="214"/>
        <v>-77</v>
      </c>
      <c r="AJ136" s="41">
        <f t="shared" si="214"/>
        <v>-7</v>
      </c>
      <c r="AK136" s="41">
        <f t="shared" si="214"/>
        <v>8</v>
      </c>
      <c r="AL136" s="41">
        <f t="shared" si="214"/>
        <v>38</v>
      </c>
      <c r="AM136" s="41">
        <f t="shared" si="214"/>
        <v>-32</v>
      </c>
      <c r="AN136" s="41">
        <f t="shared" si="214"/>
        <v>-11</v>
      </c>
      <c r="AO136" s="41">
        <f t="shared" si="214"/>
        <v>3</v>
      </c>
      <c r="AP136" s="41">
        <f t="shared" si="214"/>
        <v>34</v>
      </c>
      <c r="AQ136" s="41">
        <f t="shared" si="214"/>
        <v>-19</v>
      </c>
      <c r="AR136" s="41">
        <f t="shared" si="214"/>
        <v>16</v>
      </c>
      <c r="AS136" s="41">
        <f t="shared" si="214"/>
        <v>-44</v>
      </c>
      <c r="AT136" s="41">
        <f t="shared" si="214"/>
        <v>-13</v>
      </c>
      <c r="AU136" s="41">
        <f t="shared" si="214"/>
        <v>38</v>
      </c>
      <c r="AV136" s="41">
        <f t="shared" si="214"/>
        <v>50</v>
      </c>
      <c r="AW136" s="41">
        <f t="shared" si="214"/>
        <v>14</v>
      </c>
      <c r="AX136" s="41">
        <f t="shared" si="214"/>
        <v>-25</v>
      </c>
      <c r="AY136" s="41">
        <f t="shared" si="214"/>
        <v>77</v>
      </c>
      <c r="AZ136" s="41">
        <f t="shared" si="214"/>
        <v>50</v>
      </c>
      <c r="BA136" s="41">
        <f t="shared" si="214"/>
        <v>-27</v>
      </c>
      <c r="BB136" s="41">
        <f t="shared" si="214"/>
        <v>33</v>
      </c>
      <c r="BC136" s="41">
        <f t="shared" si="214"/>
        <v>6</v>
      </c>
      <c r="BD136" s="41">
        <f t="shared" si="214"/>
        <v>62</v>
      </c>
      <c r="BE136" s="11">
        <f t="shared" si="214"/>
        <v>-20</v>
      </c>
      <c r="BF136" s="11">
        <f t="shared" ref="BF136:BW136" si="215">SUM(BF15:BF22,BF24,BF25,BF26,BF27,BF28)</f>
        <v>16</v>
      </c>
      <c r="BG136" s="11">
        <f t="shared" si="215"/>
        <v>34</v>
      </c>
      <c r="BH136" s="11">
        <f t="shared" si="215"/>
        <v>-92</v>
      </c>
      <c r="BI136" s="11">
        <f t="shared" si="215"/>
        <v>-62</v>
      </c>
      <c r="BJ136" s="11">
        <f t="shared" si="215"/>
        <v>32</v>
      </c>
      <c r="BK136" s="11">
        <f t="shared" si="215"/>
        <v>-132</v>
      </c>
      <c r="BL136" s="11">
        <f t="shared" si="215"/>
        <v>2</v>
      </c>
      <c r="BM136" s="11">
        <f t="shared" si="215"/>
        <v>-99</v>
      </c>
      <c r="BN136" s="11">
        <f t="shared" si="215"/>
        <v>-197</v>
      </c>
      <c r="BO136" s="11">
        <f t="shared" si="215"/>
        <v>85</v>
      </c>
      <c r="BP136" s="11">
        <f t="shared" si="215"/>
        <v>-58</v>
      </c>
      <c r="BQ136" s="11">
        <f t="shared" si="215"/>
        <v>125</v>
      </c>
      <c r="BR136" s="11">
        <f t="shared" si="215"/>
        <v>13</v>
      </c>
      <c r="BS136" s="11">
        <f t="shared" si="215"/>
        <v>165</v>
      </c>
      <c r="BT136" s="11">
        <f t="shared" si="215"/>
        <v>87</v>
      </c>
      <c r="BU136" s="11">
        <f t="shared" si="215"/>
        <v>19</v>
      </c>
      <c r="BV136" s="11">
        <f t="shared" si="215"/>
        <v>107</v>
      </c>
      <c r="BW136" s="11">
        <f t="shared" si="215"/>
        <v>17</v>
      </c>
      <c r="BX136" s="41">
        <f t="shared" ref="BX136:DG136" si="216">SUM(BX28)</f>
        <v>101</v>
      </c>
      <c r="BY136" s="41">
        <f t="shared" si="216"/>
        <v>39</v>
      </c>
      <c r="BZ136" s="41">
        <f t="shared" si="216"/>
        <v>30</v>
      </c>
      <c r="CA136" s="41">
        <f t="shared" si="216"/>
        <v>-3</v>
      </c>
      <c r="CB136" s="41">
        <f t="shared" si="216"/>
        <v>39</v>
      </c>
      <c r="CC136" s="41">
        <f t="shared" si="216"/>
        <v>105</v>
      </c>
      <c r="CD136" s="41">
        <f t="shared" si="216"/>
        <v>0</v>
      </c>
      <c r="CE136" s="41">
        <f t="shared" si="216"/>
        <v>29</v>
      </c>
      <c r="CF136" s="41">
        <f t="shared" si="216"/>
        <v>48</v>
      </c>
      <c r="CG136" s="41">
        <f t="shared" si="216"/>
        <v>-43</v>
      </c>
      <c r="CH136" s="41">
        <f t="shared" si="216"/>
        <v>34</v>
      </c>
      <c r="CI136" s="41">
        <f t="shared" si="216"/>
        <v>-31</v>
      </c>
      <c r="CJ136" s="41">
        <f t="shared" si="216"/>
        <v>-9</v>
      </c>
      <c r="CK136" s="41">
        <f t="shared" si="216"/>
        <v>83</v>
      </c>
      <c r="CL136" s="41">
        <f t="shared" si="216"/>
        <v>41</v>
      </c>
      <c r="CM136" s="41">
        <f t="shared" si="216"/>
        <v>84</v>
      </c>
      <c r="CN136" s="41">
        <f t="shared" si="216"/>
        <v>0</v>
      </c>
      <c r="CO136" s="41">
        <f t="shared" si="216"/>
        <v>0</v>
      </c>
      <c r="CP136" s="41">
        <f t="shared" si="216"/>
        <v>0</v>
      </c>
      <c r="CQ136" s="41">
        <f t="shared" si="216"/>
        <v>0</v>
      </c>
      <c r="CR136" s="41">
        <f t="shared" si="216"/>
        <v>75</v>
      </c>
      <c r="CS136" s="41">
        <f t="shared" si="216"/>
        <v>-38</v>
      </c>
      <c r="CT136" s="41">
        <f t="shared" si="216"/>
        <v>-78</v>
      </c>
      <c r="CU136" s="41">
        <f t="shared" si="216"/>
        <v>-14</v>
      </c>
      <c r="CV136" s="41">
        <f t="shared" si="216"/>
        <v>177</v>
      </c>
      <c r="CW136" s="41">
        <f t="shared" si="216"/>
        <v>47</v>
      </c>
      <c r="CX136" s="41">
        <f t="shared" si="216"/>
        <v>39</v>
      </c>
      <c r="CY136" s="41">
        <f t="shared" si="216"/>
        <v>71</v>
      </c>
      <c r="CZ136" s="41">
        <f t="shared" si="216"/>
        <v>10</v>
      </c>
      <c r="DA136" s="41">
        <f t="shared" si="216"/>
        <v>10</v>
      </c>
      <c r="DB136" s="41">
        <f t="shared" si="216"/>
        <v>130</v>
      </c>
      <c r="DC136" s="41">
        <f t="shared" si="216"/>
        <v>12.074999999999999</v>
      </c>
      <c r="DD136" s="41">
        <f t="shared" si="216"/>
        <v>12.074999999999999</v>
      </c>
      <c r="DE136" s="41">
        <f t="shared" si="216"/>
        <v>12.074999999999999</v>
      </c>
      <c r="DF136" s="41">
        <f t="shared" si="216"/>
        <v>12.074999999999999</v>
      </c>
      <c r="DG136" s="41">
        <f t="shared" si="216"/>
        <v>48.3</v>
      </c>
      <c r="DH136" s="11">
        <f t="shared" ref="DH136:DQ136" si="217">SUM(DH15:DH22,DH24,DH25,DH26,DH27,DH28)</f>
        <v>13.25</v>
      </c>
      <c r="DI136" s="11">
        <f t="shared" si="217"/>
        <v>13.25</v>
      </c>
      <c r="DJ136" s="11">
        <f t="shared" si="217"/>
        <v>12.25</v>
      </c>
      <c r="DK136" s="11">
        <f t="shared" si="217"/>
        <v>13.25</v>
      </c>
      <c r="DL136" s="11">
        <f t="shared" si="217"/>
        <v>52</v>
      </c>
      <c r="DM136" s="11">
        <f t="shared" si="217"/>
        <v>13.25</v>
      </c>
      <c r="DN136" s="11">
        <f t="shared" si="217"/>
        <v>13.25</v>
      </c>
      <c r="DO136" s="11">
        <f t="shared" si="217"/>
        <v>12.25</v>
      </c>
      <c r="DP136" s="11">
        <f t="shared" si="217"/>
        <v>13.25</v>
      </c>
      <c r="DQ136" s="11">
        <f t="shared" si="217"/>
        <v>52</v>
      </c>
      <c r="DR136" s="11">
        <f t="shared" ref="DR136:EA136" si="218">SUM(DR15:DR22,DR24,DR25,DR26,DR27,DR28)</f>
        <v>13.25</v>
      </c>
      <c r="DS136" s="11">
        <f t="shared" si="218"/>
        <v>13.25</v>
      </c>
      <c r="DT136" s="11">
        <f t="shared" si="218"/>
        <v>12.25</v>
      </c>
      <c r="DU136" s="11">
        <f t="shared" si="218"/>
        <v>13.25</v>
      </c>
      <c r="DV136" s="11">
        <f t="shared" si="218"/>
        <v>52</v>
      </c>
      <c r="DW136" s="11">
        <f t="shared" si="218"/>
        <v>13.25</v>
      </c>
      <c r="DX136" s="11">
        <f t="shared" si="218"/>
        <v>13.25</v>
      </c>
      <c r="DY136" s="11">
        <f t="shared" si="218"/>
        <v>12.25</v>
      </c>
      <c r="DZ136" s="11">
        <f t="shared" si="218"/>
        <v>13.25</v>
      </c>
      <c r="EA136" s="11">
        <f t="shared" si="218"/>
        <v>52</v>
      </c>
      <c r="EB136" s="1008"/>
      <c r="EC136" s="1008"/>
      <c r="ED136" s="1008"/>
      <c r="EE136" s="1008"/>
      <c r="EF136" s="1008"/>
      <c r="EG136" s="1243"/>
    </row>
    <row r="137" spans="1:147" x14ac:dyDescent="0.2">
      <c r="A137" s="11" t="s">
        <v>486</v>
      </c>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41">
        <f t="shared" ref="Z137:BE137" si="219">SUM(Z41,Z42,Z43,Z45)</f>
        <v>60</v>
      </c>
      <c r="AA137" s="11">
        <f t="shared" si="219"/>
        <v>29</v>
      </c>
      <c r="AB137" s="11">
        <f t="shared" si="219"/>
        <v>-268</v>
      </c>
      <c r="AC137" s="11">
        <f t="shared" si="219"/>
        <v>51</v>
      </c>
      <c r="AD137" s="11">
        <f t="shared" si="219"/>
        <v>39</v>
      </c>
      <c r="AE137" s="11">
        <f t="shared" si="219"/>
        <v>-149</v>
      </c>
      <c r="AF137" s="11">
        <f t="shared" si="219"/>
        <v>13</v>
      </c>
      <c r="AG137" s="11">
        <f t="shared" si="219"/>
        <v>-4</v>
      </c>
      <c r="AH137" s="11">
        <f t="shared" si="219"/>
        <v>1</v>
      </c>
      <c r="AI137" s="11">
        <f t="shared" si="219"/>
        <v>87</v>
      </c>
      <c r="AJ137" s="11">
        <f t="shared" si="219"/>
        <v>97</v>
      </c>
      <c r="AK137" s="11">
        <f t="shared" si="219"/>
        <v>7</v>
      </c>
      <c r="AL137" s="11">
        <f t="shared" si="219"/>
        <v>20</v>
      </c>
      <c r="AM137" s="11">
        <f t="shared" si="219"/>
        <v>-19</v>
      </c>
      <c r="AN137" s="11">
        <f t="shared" si="219"/>
        <v>146</v>
      </c>
      <c r="AO137" s="11">
        <f t="shared" si="219"/>
        <v>154</v>
      </c>
      <c r="AP137" s="117">
        <f t="shared" si="219"/>
        <v>7</v>
      </c>
      <c r="AQ137" s="117">
        <f t="shared" si="219"/>
        <v>56</v>
      </c>
      <c r="AR137" s="117">
        <f t="shared" si="219"/>
        <v>41</v>
      </c>
      <c r="AS137" s="11">
        <f t="shared" si="219"/>
        <v>120</v>
      </c>
      <c r="AT137" s="11">
        <f t="shared" si="219"/>
        <v>224</v>
      </c>
      <c r="AU137" s="11">
        <f t="shared" si="219"/>
        <v>30</v>
      </c>
      <c r="AV137" s="11">
        <f t="shared" si="219"/>
        <v>44</v>
      </c>
      <c r="AW137" s="11">
        <f t="shared" si="219"/>
        <v>44</v>
      </c>
      <c r="AX137" s="11">
        <f t="shared" si="219"/>
        <v>11</v>
      </c>
      <c r="AY137" s="11">
        <f t="shared" si="219"/>
        <v>129</v>
      </c>
      <c r="AZ137" s="11">
        <f t="shared" si="219"/>
        <v>46</v>
      </c>
      <c r="BA137" s="11">
        <f t="shared" si="219"/>
        <v>44</v>
      </c>
      <c r="BB137" s="11">
        <f t="shared" si="219"/>
        <v>35</v>
      </c>
      <c r="BC137" s="11">
        <f t="shared" si="219"/>
        <v>44</v>
      </c>
      <c r="BD137" s="11">
        <f t="shared" si="219"/>
        <v>169</v>
      </c>
      <c r="BE137" s="11">
        <f t="shared" si="219"/>
        <v>26</v>
      </c>
      <c r="BF137" s="11">
        <f t="shared" ref="BF137:CH137" si="220">SUM(BF41,BF42,BF43,BF45)</f>
        <v>71</v>
      </c>
      <c r="BG137" s="11">
        <f t="shared" si="220"/>
        <v>94</v>
      </c>
      <c r="BH137" s="11">
        <f t="shared" si="220"/>
        <v>112</v>
      </c>
      <c r="BI137" s="11">
        <f t="shared" si="220"/>
        <v>303</v>
      </c>
      <c r="BJ137" s="11">
        <f t="shared" si="220"/>
        <v>17</v>
      </c>
      <c r="BK137" s="41">
        <f t="shared" si="220"/>
        <v>-24</v>
      </c>
      <c r="BL137" s="11">
        <f t="shared" si="220"/>
        <v>15</v>
      </c>
      <c r="BM137" s="11">
        <f t="shared" si="220"/>
        <v>81</v>
      </c>
      <c r="BN137" s="11">
        <f t="shared" si="220"/>
        <v>89</v>
      </c>
      <c r="BO137" s="11">
        <f t="shared" si="220"/>
        <v>51</v>
      </c>
      <c r="BP137" s="11">
        <f t="shared" si="220"/>
        <v>43</v>
      </c>
      <c r="BQ137" s="11">
        <f t="shared" si="220"/>
        <v>-29</v>
      </c>
      <c r="BR137" s="11">
        <f t="shared" si="220"/>
        <v>171</v>
      </c>
      <c r="BS137" s="11">
        <f t="shared" si="220"/>
        <v>236</v>
      </c>
      <c r="BT137" s="11">
        <f t="shared" si="220"/>
        <v>13</v>
      </c>
      <c r="BU137" s="11">
        <f t="shared" si="220"/>
        <v>44</v>
      </c>
      <c r="BV137" s="11">
        <f t="shared" si="220"/>
        <v>76</v>
      </c>
      <c r="BW137" s="11">
        <f t="shared" si="220"/>
        <v>62</v>
      </c>
      <c r="BX137" s="11">
        <f t="shared" si="220"/>
        <v>195</v>
      </c>
      <c r="BY137" s="11">
        <f t="shared" si="220"/>
        <v>-434</v>
      </c>
      <c r="BZ137" s="11">
        <f t="shared" si="220"/>
        <v>24</v>
      </c>
      <c r="CA137" s="11">
        <f t="shared" si="220"/>
        <v>55</v>
      </c>
      <c r="CB137" s="11">
        <f t="shared" si="220"/>
        <v>176</v>
      </c>
      <c r="CC137" s="11">
        <f t="shared" si="220"/>
        <v>-179</v>
      </c>
      <c r="CD137" s="11">
        <f t="shared" si="220"/>
        <v>81</v>
      </c>
      <c r="CE137" s="11">
        <f t="shared" si="220"/>
        <v>-15</v>
      </c>
      <c r="CF137" s="11">
        <f t="shared" si="220"/>
        <v>54</v>
      </c>
      <c r="CG137" s="11">
        <f t="shared" si="220"/>
        <v>41</v>
      </c>
      <c r="CH137" s="41">
        <f t="shared" si="220"/>
        <v>161</v>
      </c>
      <c r="CI137" s="11"/>
      <c r="CJ137" s="11"/>
      <c r="CK137" s="11"/>
      <c r="CL137" s="11"/>
      <c r="CM137" s="11">
        <f t="shared" ref="CM137:DQ137" si="221">SUM(CM41,CM42,CM43,CM45)</f>
        <v>86</v>
      </c>
      <c r="CN137" s="850">
        <f t="shared" si="221"/>
        <v>0</v>
      </c>
      <c r="CO137" s="11">
        <f t="shared" si="221"/>
        <v>0</v>
      </c>
      <c r="CP137" s="11">
        <f t="shared" si="221"/>
        <v>0</v>
      </c>
      <c r="CQ137" s="11">
        <f t="shared" si="221"/>
        <v>0</v>
      </c>
      <c r="CR137" s="41">
        <f t="shared" si="221"/>
        <v>210</v>
      </c>
      <c r="CS137" s="11">
        <f t="shared" si="221"/>
        <v>2.5</v>
      </c>
      <c r="CT137" s="11">
        <f t="shared" si="221"/>
        <v>82.5</v>
      </c>
      <c r="CU137" s="1250">
        <f t="shared" si="221"/>
        <v>67</v>
      </c>
      <c r="CV137" s="11">
        <f t="shared" si="221"/>
        <v>194</v>
      </c>
      <c r="CW137" s="11">
        <f t="shared" si="221"/>
        <v>346</v>
      </c>
      <c r="CX137" s="11">
        <f t="shared" si="221"/>
        <v>185</v>
      </c>
      <c r="CY137" s="11">
        <f t="shared" si="221"/>
        <v>136</v>
      </c>
      <c r="CZ137" s="11">
        <f t="shared" si="221"/>
        <v>395</v>
      </c>
      <c r="DA137" s="11">
        <f t="shared" si="221"/>
        <v>1057</v>
      </c>
      <c r="DB137" s="11">
        <f t="shared" si="221"/>
        <v>1773</v>
      </c>
      <c r="DC137" s="11">
        <f t="shared" si="221"/>
        <v>200</v>
      </c>
      <c r="DD137" s="11">
        <f t="shared" si="221"/>
        <v>200</v>
      </c>
      <c r="DE137" s="11">
        <f t="shared" si="221"/>
        <v>110</v>
      </c>
      <c r="DF137" s="11">
        <f t="shared" si="221"/>
        <v>60</v>
      </c>
      <c r="DG137" s="11">
        <f t="shared" si="221"/>
        <v>570</v>
      </c>
      <c r="DH137" s="11">
        <f t="shared" si="221"/>
        <v>85</v>
      </c>
      <c r="DI137" s="11">
        <f t="shared" si="221"/>
        <v>85</v>
      </c>
      <c r="DJ137" s="11">
        <f t="shared" si="221"/>
        <v>85</v>
      </c>
      <c r="DK137" s="11">
        <f t="shared" si="221"/>
        <v>85</v>
      </c>
      <c r="DL137" s="11">
        <f t="shared" si="221"/>
        <v>340</v>
      </c>
      <c r="DM137" s="11">
        <f t="shared" si="221"/>
        <v>0</v>
      </c>
      <c r="DN137" s="11">
        <f t="shared" si="221"/>
        <v>0</v>
      </c>
      <c r="DO137" s="11">
        <f t="shared" si="221"/>
        <v>0</v>
      </c>
      <c r="DP137" s="11">
        <f t="shared" si="221"/>
        <v>0</v>
      </c>
      <c r="DQ137" s="11">
        <f t="shared" si="221"/>
        <v>0</v>
      </c>
      <c r="DR137" s="11">
        <f t="shared" ref="DR137:EA137" si="222">SUM(DR41,DR42,DR43,DR45)</f>
        <v>0</v>
      </c>
      <c r="DS137" s="11">
        <f t="shared" si="222"/>
        <v>0</v>
      </c>
      <c r="DT137" s="11">
        <f t="shared" si="222"/>
        <v>0</v>
      </c>
      <c r="DU137" s="11">
        <f t="shared" si="222"/>
        <v>0</v>
      </c>
      <c r="DV137" s="11">
        <f t="shared" si="222"/>
        <v>0</v>
      </c>
      <c r="DW137" s="11">
        <f t="shared" si="222"/>
        <v>0</v>
      </c>
      <c r="DX137" s="11">
        <f t="shared" si="222"/>
        <v>0</v>
      </c>
      <c r="DY137" s="11">
        <f t="shared" si="222"/>
        <v>0</v>
      </c>
      <c r="DZ137" s="11">
        <f t="shared" si="222"/>
        <v>0</v>
      </c>
      <c r="EA137" s="11">
        <f t="shared" si="222"/>
        <v>0</v>
      </c>
      <c r="EB137" s="1008"/>
      <c r="EC137" s="1008"/>
      <c r="ED137" s="1008"/>
      <c r="EE137" s="1008"/>
      <c r="EF137" s="1008"/>
      <c r="EG137" s="1243"/>
    </row>
    <row r="138" spans="1:147" x14ac:dyDescent="0.2">
      <c r="A138" s="11" t="s">
        <v>487</v>
      </c>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41">
        <f t="shared" ref="Z138:BE138" si="223">SUM(Z44,Z47)</f>
        <v>73</v>
      </c>
      <c r="AA138" s="11">
        <f t="shared" si="223"/>
        <v>-5</v>
      </c>
      <c r="AB138" s="11">
        <f t="shared" si="223"/>
        <v>-12</v>
      </c>
      <c r="AC138" s="11">
        <f t="shared" si="223"/>
        <v>16</v>
      </c>
      <c r="AD138" s="11">
        <f t="shared" si="223"/>
        <v>25</v>
      </c>
      <c r="AE138" s="11">
        <f t="shared" si="223"/>
        <v>24</v>
      </c>
      <c r="AF138" s="11">
        <f t="shared" si="223"/>
        <v>-20</v>
      </c>
      <c r="AG138" s="11">
        <f t="shared" si="223"/>
        <v>24</v>
      </c>
      <c r="AH138" s="11">
        <f t="shared" si="223"/>
        <v>8</v>
      </c>
      <c r="AI138" s="11">
        <f t="shared" si="223"/>
        <v>35</v>
      </c>
      <c r="AJ138" s="11">
        <f t="shared" si="223"/>
        <v>47</v>
      </c>
      <c r="AK138" s="11">
        <f t="shared" si="223"/>
        <v>-7</v>
      </c>
      <c r="AL138" s="11">
        <f t="shared" si="223"/>
        <v>3</v>
      </c>
      <c r="AM138" s="11">
        <f t="shared" si="223"/>
        <v>-12</v>
      </c>
      <c r="AN138" s="11">
        <f t="shared" si="223"/>
        <v>21</v>
      </c>
      <c r="AO138" s="11">
        <f t="shared" si="223"/>
        <v>5</v>
      </c>
      <c r="AP138" s="117">
        <f t="shared" si="223"/>
        <v>-18</v>
      </c>
      <c r="AQ138" s="117">
        <f t="shared" si="223"/>
        <v>25</v>
      </c>
      <c r="AR138" s="117">
        <f t="shared" si="223"/>
        <v>2</v>
      </c>
      <c r="AS138" s="11">
        <f t="shared" si="223"/>
        <v>31</v>
      </c>
      <c r="AT138" s="11">
        <f t="shared" si="223"/>
        <v>40</v>
      </c>
      <c r="AU138" s="11">
        <f t="shared" si="223"/>
        <v>-19</v>
      </c>
      <c r="AV138" s="11">
        <f t="shared" si="223"/>
        <v>-28</v>
      </c>
      <c r="AW138" s="11">
        <f t="shared" si="223"/>
        <v>-48</v>
      </c>
      <c r="AX138" s="11">
        <f t="shared" si="223"/>
        <v>104</v>
      </c>
      <c r="AY138" s="11">
        <f t="shared" si="223"/>
        <v>9</v>
      </c>
      <c r="AZ138" s="11">
        <f t="shared" si="223"/>
        <v>5</v>
      </c>
      <c r="BA138" s="11">
        <f t="shared" si="223"/>
        <v>6</v>
      </c>
      <c r="BB138" s="11">
        <f t="shared" si="223"/>
        <v>-1</v>
      </c>
      <c r="BC138" s="11">
        <f t="shared" si="223"/>
        <v>131</v>
      </c>
      <c r="BD138" s="11">
        <f t="shared" si="223"/>
        <v>141</v>
      </c>
      <c r="BE138" s="11">
        <f t="shared" si="223"/>
        <v>3</v>
      </c>
      <c r="BF138" s="11">
        <f t="shared" ref="BF138:CH138" si="224">SUM(BF44,BF47)</f>
        <v>-7</v>
      </c>
      <c r="BG138" s="11">
        <f t="shared" si="224"/>
        <v>-4</v>
      </c>
      <c r="BH138" s="11">
        <f t="shared" si="224"/>
        <v>-1</v>
      </c>
      <c r="BI138" s="11">
        <f t="shared" si="224"/>
        <v>-9</v>
      </c>
      <c r="BJ138" s="11">
        <f t="shared" si="224"/>
        <v>-2</v>
      </c>
      <c r="BK138" s="11">
        <f t="shared" si="224"/>
        <v>-5</v>
      </c>
      <c r="BL138" s="11">
        <f t="shared" si="224"/>
        <v>-1</v>
      </c>
      <c r="BM138" s="11">
        <f t="shared" si="224"/>
        <v>-11</v>
      </c>
      <c r="BN138" s="11">
        <f t="shared" si="224"/>
        <v>-19</v>
      </c>
      <c r="BO138" s="11">
        <f t="shared" si="224"/>
        <v>-4</v>
      </c>
      <c r="BP138" s="11">
        <f t="shared" si="224"/>
        <v>-2</v>
      </c>
      <c r="BQ138" s="11">
        <f t="shared" si="224"/>
        <v>-4</v>
      </c>
      <c r="BR138" s="11">
        <f t="shared" si="224"/>
        <v>-9</v>
      </c>
      <c r="BS138" s="11">
        <f t="shared" si="224"/>
        <v>-19</v>
      </c>
      <c r="BT138" s="11">
        <f t="shared" si="224"/>
        <v>4</v>
      </c>
      <c r="BU138" s="11">
        <f t="shared" si="224"/>
        <v>-10</v>
      </c>
      <c r="BV138" s="11">
        <f t="shared" si="224"/>
        <v>-14</v>
      </c>
      <c r="BW138" s="11">
        <f t="shared" si="224"/>
        <v>59</v>
      </c>
      <c r="BX138" s="11">
        <f t="shared" si="224"/>
        <v>39</v>
      </c>
      <c r="BY138" s="11">
        <f t="shared" si="224"/>
        <v>-84</v>
      </c>
      <c r="BZ138" s="11">
        <f t="shared" si="224"/>
        <v>4</v>
      </c>
      <c r="CA138" s="11">
        <f t="shared" si="224"/>
        <v>66</v>
      </c>
      <c r="CB138" s="11">
        <f t="shared" si="224"/>
        <v>-13</v>
      </c>
      <c r="CC138" s="11">
        <f t="shared" si="224"/>
        <v>-27</v>
      </c>
      <c r="CD138" s="11">
        <f t="shared" si="224"/>
        <v>3</v>
      </c>
      <c r="CE138" s="11">
        <f t="shared" si="224"/>
        <v>-7</v>
      </c>
      <c r="CF138" s="11">
        <f t="shared" si="224"/>
        <v>-4</v>
      </c>
      <c r="CG138" s="11">
        <f t="shared" si="224"/>
        <v>10</v>
      </c>
      <c r="CH138" s="41">
        <f t="shared" si="224"/>
        <v>2</v>
      </c>
      <c r="CI138" s="11"/>
      <c r="CJ138" s="11"/>
      <c r="CK138" s="11"/>
      <c r="CL138" s="11"/>
      <c r="CM138" s="11">
        <f t="shared" ref="CM138:DQ138" si="225">SUM(CM44,CM47)</f>
        <v>11</v>
      </c>
      <c r="CN138" s="850">
        <f t="shared" si="225"/>
        <v>0</v>
      </c>
      <c r="CO138" s="11">
        <f t="shared" si="225"/>
        <v>0</v>
      </c>
      <c r="CP138" s="11">
        <f t="shared" si="225"/>
        <v>0</v>
      </c>
      <c r="CQ138" s="11">
        <f t="shared" si="225"/>
        <v>0</v>
      </c>
      <c r="CR138" s="41">
        <f t="shared" si="225"/>
        <v>62</v>
      </c>
      <c r="CS138" s="11">
        <f t="shared" si="225"/>
        <v>-50</v>
      </c>
      <c r="CT138" s="11">
        <f t="shared" si="225"/>
        <v>7</v>
      </c>
      <c r="CU138" s="1250">
        <f t="shared" si="225"/>
        <v>78.5</v>
      </c>
      <c r="CV138" s="11">
        <f t="shared" si="225"/>
        <v>16.5</v>
      </c>
      <c r="CW138" s="11">
        <f t="shared" si="225"/>
        <v>52</v>
      </c>
      <c r="CX138" s="11">
        <f t="shared" si="225"/>
        <v>-5</v>
      </c>
      <c r="CY138" s="11">
        <f t="shared" si="225"/>
        <v>7</v>
      </c>
      <c r="CZ138" s="11">
        <f t="shared" si="225"/>
        <v>-1</v>
      </c>
      <c r="DA138" s="11">
        <f t="shared" si="225"/>
        <v>16</v>
      </c>
      <c r="DB138" s="11">
        <f t="shared" si="225"/>
        <v>17</v>
      </c>
      <c r="DC138" s="11">
        <f t="shared" si="225"/>
        <v>16</v>
      </c>
      <c r="DD138" s="11">
        <f t="shared" si="225"/>
        <v>16</v>
      </c>
      <c r="DE138" s="11">
        <f t="shared" si="225"/>
        <v>16</v>
      </c>
      <c r="DF138" s="11">
        <f t="shared" si="225"/>
        <v>16</v>
      </c>
      <c r="DG138" s="11">
        <f t="shared" si="225"/>
        <v>64</v>
      </c>
      <c r="DH138" s="11">
        <f t="shared" si="225"/>
        <v>16</v>
      </c>
      <c r="DI138" s="11">
        <f t="shared" si="225"/>
        <v>16</v>
      </c>
      <c r="DJ138" s="11">
        <f t="shared" si="225"/>
        <v>16</v>
      </c>
      <c r="DK138" s="11">
        <f t="shared" si="225"/>
        <v>16</v>
      </c>
      <c r="DL138" s="11">
        <f t="shared" si="225"/>
        <v>64</v>
      </c>
      <c r="DM138" s="11">
        <f t="shared" si="225"/>
        <v>16</v>
      </c>
      <c r="DN138" s="11">
        <f t="shared" si="225"/>
        <v>16</v>
      </c>
      <c r="DO138" s="11">
        <f t="shared" si="225"/>
        <v>16</v>
      </c>
      <c r="DP138" s="11">
        <f t="shared" si="225"/>
        <v>16</v>
      </c>
      <c r="DQ138" s="11">
        <f t="shared" si="225"/>
        <v>64</v>
      </c>
      <c r="DR138" s="11">
        <f t="shared" ref="DR138:EA138" si="226">SUM(DR44,DR47)</f>
        <v>16</v>
      </c>
      <c r="DS138" s="11">
        <f t="shared" si="226"/>
        <v>16</v>
      </c>
      <c r="DT138" s="11">
        <f t="shared" si="226"/>
        <v>16</v>
      </c>
      <c r="DU138" s="11">
        <f t="shared" si="226"/>
        <v>16</v>
      </c>
      <c r="DV138" s="11">
        <f t="shared" si="226"/>
        <v>64</v>
      </c>
      <c r="DW138" s="11">
        <f t="shared" si="226"/>
        <v>16</v>
      </c>
      <c r="DX138" s="11">
        <f t="shared" si="226"/>
        <v>16</v>
      </c>
      <c r="DY138" s="11">
        <f t="shared" si="226"/>
        <v>16</v>
      </c>
      <c r="DZ138" s="11">
        <f t="shared" si="226"/>
        <v>16</v>
      </c>
      <c r="EA138" s="11">
        <f t="shared" si="226"/>
        <v>64</v>
      </c>
      <c r="EB138" s="1008"/>
      <c r="EC138" s="1008"/>
      <c r="ED138" s="1008"/>
      <c r="EE138" s="1008"/>
      <c r="EF138" s="1008"/>
      <c r="EG138" s="1243"/>
    </row>
    <row r="139" spans="1:147" x14ac:dyDescent="0.2">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7"/>
      <c r="AQ139" s="117"/>
      <c r="AR139" s="117"/>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850"/>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008"/>
      <c r="EC139" s="1008"/>
      <c r="ED139" s="1008"/>
      <c r="EE139" s="1008"/>
      <c r="EF139" s="1008"/>
      <c r="EG139" s="1243"/>
    </row>
    <row r="140" spans="1:147" x14ac:dyDescent="0.2">
      <c r="A140" s="11" t="s">
        <v>488</v>
      </c>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41">
        <f>SUM(Z53,Z56,Z57)</f>
        <v>585</v>
      </c>
      <c r="AA140" s="41"/>
      <c r="AB140" s="41"/>
      <c r="AC140" s="41"/>
      <c r="AD140" s="41"/>
      <c r="AE140" s="41">
        <f t="shared" ref="AE140:BJ140" si="227">SUM(AE53,AE56,AE57)</f>
        <v>-113</v>
      </c>
      <c r="AF140" s="41">
        <f t="shared" si="227"/>
        <v>-2</v>
      </c>
      <c r="AG140" s="41">
        <f t="shared" si="227"/>
        <v>-4</v>
      </c>
      <c r="AH140" s="41">
        <f t="shared" si="227"/>
        <v>-9</v>
      </c>
      <c r="AI140" s="41">
        <f t="shared" si="227"/>
        <v>-2</v>
      </c>
      <c r="AJ140" s="41">
        <f t="shared" si="227"/>
        <v>-17</v>
      </c>
      <c r="AK140" s="41">
        <f t="shared" si="227"/>
        <v>-3</v>
      </c>
      <c r="AL140" s="41">
        <f t="shared" si="227"/>
        <v>-4</v>
      </c>
      <c r="AM140" s="41">
        <f t="shared" si="227"/>
        <v>-2</v>
      </c>
      <c r="AN140" s="41">
        <f t="shared" si="227"/>
        <v>-362</v>
      </c>
      <c r="AO140" s="41">
        <f t="shared" si="227"/>
        <v>-371</v>
      </c>
      <c r="AP140" s="41">
        <f t="shared" si="227"/>
        <v>-3</v>
      </c>
      <c r="AQ140" s="41">
        <f t="shared" si="227"/>
        <v>-6</v>
      </c>
      <c r="AR140" s="41">
        <f t="shared" si="227"/>
        <v>-2</v>
      </c>
      <c r="AS140" s="41">
        <f t="shared" si="227"/>
        <v>-3</v>
      </c>
      <c r="AT140" s="41">
        <f t="shared" si="227"/>
        <v>-14</v>
      </c>
      <c r="AU140" s="41">
        <f t="shared" si="227"/>
        <v>-4</v>
      </c>
      <c r="AV140" s="41">
        <f t="shared" si="227"/>
        <v>101</v>
      </c>
      <c r="AW140" s="41">
        <f t="shared" si="227"/>
        <v>-4</v>
      </c>
      <c r="AX140" s="41">
        <f t="shared" si="227"/>
        <v>-4</v>
      </c>
      <c r="AY140" s="41">
        <f t="shared" si="227"/>
        <v>89</v>
      </c>
      <c r="AZ140" s="41">
        <f t="shared" si="227"/>
        <v>-2</v>
      </c>
      <c r="BA140" s="41">
        <f t="shared" si="227"/>
        <v>-5</v>
      </c>
      <c r="BB140" s="41">
        <f t="shared" si="227"/>
        <v>-4</v>
      </c>
      <c r="BC140" s="41">
        <f t="shared" si="227"/>
        <v>1182</v>
      </c>
      <c r="BD140" s="41">
        <f t="shared" si="227"/>
        <v>1171</v>
      </c>
      <c r="BE140" s="41">
        <f t="shared" si="227"/>
        <v>-4</v>
      </c>
      <c r="BF140" s="41">
        <f t="shared" si="227"/>
        <v>-253</v>
      </c>
      <c r="BG140" s="41">
        <f t="shared" si="227"/>
        <v>372</v>
      </c>
      <c r="BH140" s="41">
        <f t="shared" si="227"/>
        <v>-8</v>
      </c>
      <c r="BI140" s="41">
        <f t="shared" si="227"/>
        <v>107</v>
      </c>
      <c r="BJ140" s="41">
        <f t="shared" si="227"/>
        <v>-2</v>
      </c>
      <c r="BK140" s="41">
        <f t="shared" ref="BK140:CH140" si="228">SUM(BK53,BK56,BK57)</f>
        <v>-142</v>
      </c>
      <c r="BL140" s="41">
        <f t="shared" si="228"/>
        <v>121</v>
      </c>
      <c r="BM140" s="41">
        <f t="shared" si="228"/>
        <v>-6</v>
      </c>
      <c r="BN140" s="41">
        <f t="shared" si="228"/>
        <v>-29</v>
      </c>
      <c r="BO140" s="41">
        <f t="shared" si="228"/>
        <v>-3</v>
      </c>
      <c r="BP140" s="41">
        <f t="shared" si="228"/>
        <v>-5</v>
      </c>
      <c r="BQ140" s="41">
        <f t="shared" si="228"/>
        <v>338</v>
      </c>
      <c r="BR140" s="41">
        <f t="shared" si="228"/>
        <v>-9</v>
      </c>
      <c r="BS140" s="41">
        <f t="shared" si="228"/>
        <v>321</v>
      </c>
      <c r="BT140" s="41">
        <f t="shared" si="228"/>
        <v>-4</v>
      </c>
      <c r="BU140" s="41">
        <f t="shared" si="228"/>
        <v>-304</v>
      </c>
      <c r="BV140" s="41">
        <f t="shared" si="228"/>
        <v>-5</v>
      </c>
      <c r="BW140" s="41">
        <f t="shared" si="228"/>
        <v>51</v>
      </c>
      <c r="BX140" s="41">
        <f t="shared" si="228"/>
        <v>-262</v>
      </c>
      <c r="BY140" s="41">
        <f t="shared" si="228"/>
        <v>-3</v>
      </c>
      <c r="BZ140" s="41">
        <f t="shared" si="228"/>
        <v>-12</v>
      </c>
      <c r="CA140" s="41">
        <f t="shared" si="228"/>
        <v>-265</v>
      </c>
      <c r="CB140" s="41">
        <f t="shared" si="228"/>
        <v>-2</v>
      </c>
      <c r="CC140" s="41">
        <f t="shared" si="228"/>
        <v>-282</v>
      </c>
      <c r="CD140" s="41">
        <f t="shared" si="228"/>
        <v>-1</v>
      </c>
      <c r="CE140" s="41">
        <f t="shared" si="228"/>
        <v>-3</v>
      </c>
      <c r="CF140" s="41">
        <f t="shared" si="228"/>
        <v>-1</v>
      </c>
      <c r="CG140" s="41">
        <f t="shared" si="228"/>
        <v>-62</v>
      </c>
      <c r="CH140" s="41">
        <f t="shared" si="228"/>
        <v>-67</v>
      </c>
      <c r="CI140" s="41"/>
      <c r="CJ140" s="41"/>
      <c r="CK140" s="41"/>
      <c r="CL140" s="41"/>
      <c r="CM140" s="41">
        <f t="shared" ref="CM140:DQ140" si="229">SUM(CM53,CM56,CM57)</f>
        <v>-66</v>
      </c>
      <c r="CN140" s="927">
        <f t="shared" si="229"/>
        <v>0</v>
      </c>
      <c r="CO140" s="41">
        <f t="shared" si="229"/>
        <v>0</v>
      </c>
      <c r="CP140" s="41">
        <f t="shared" si="229"/>
        <v>0</v>
      </c>
      <c r="CQ140" s="41">
        <f t="shared" si="229"/>
        <v>0</v>
      </c>
      <c r="CR140" s="41">
        <f t="shared" si="229"/>
        <v>-263</v>
      </c>
      <c r="CS140" s="41">
        <f t="shared" si="229"/>
        <v>-2</v>
      </c>
      <c r="CT140" s="41">
        <f t="shared" si="229"/>
        <v>1998</v>
      </c>
      <c r="CU140" s="1250">
        <f t="shared" si="229"/>
        <v>4600</v>
      </c>
      <c r="CV140" s="41">
        <f t="shared" si="229"/>
        <v>-20</v>
      </c>
      <c r="CW140" s="41">
        <f t="shared" si="229"/>
        <v>6576</v>
      </c>
      <c r="CX140" s="41">
        <f t="shared" si="229"/>
        <v>-8</v>
      </c>
      <c r="CY140" s="41">
        <f t="shared" si="229"/>
        <v>736</v>
      </c>
      <c r="CZ140" s="41">
        <f t="shared" si="229"/>
        <v>-12</v>
      </c>
      <c r="DA140" s="41">
        <f t="shared" si="229"/>
        <v>-13</v>
      </c>
      <c r="DB140" s="41">
        <f t="shared" si="229"/>
        <v>703</v>
      </c>
      <c r="DC140" s="41">
        <f t="shared" si="229"/>
        <v>0</v>
      </c>
      <c r="DD140" s="41">
        <f t="shared" si="229"/>
        <v>0</v>
      </c>
      <c r="DE140" s="41">
        <f t="shared" si="229"/>
        <v>0</v>
      </c>
      <c r="DF140" s="41">
        <f t="shared" si="229"/>
        <v>0</v>
      </c>
      <c r="DG140" s="41">
        <f t="shared" si="229"/>
        <v>0</v>
      </c>
      <c r="DH140" s="41">
        <f t="shared" si="229"/>
        <v>0</v>
      </c>
      <c r="DI140" s="41">
        <f t="shared" si="229"/>
        <v>0</v>
      </c>
      <c r="DJ140" s="41">
        <f t="shared" si="229"/>
        <v>0</v>
      </c>
      <c r="DK140" s="41">
        <f t="shared" si="229"/>
        <v>0</v>
      </c>
      <c r="DL140" s="41">
        <f t="shared" si="229"/>
        <v>0</v>
      </c>
      <c r="DM140" s="41">
        <f t="shared" si="229"/>
        <v>0</v>
      </c>
      <c r="DN140" s="41">
        <f t="shared" si="229"/>
        <v>0</v>
      </c>
      <c r="DO140" s="41">
        <f t="shared" si="229"/>
        <v>0</v>
      </c>
      <c r="DP140" s="41">
        <f t="shared" si="229"/>
        <v>0</v>
      </c>
      <c r="DQ140" s="41">
        <f t="shared" si="229"/>
        <v>-800</v>
      </c>
      <c r="DR140" s="41">
        <f t="shared" ref="DR140:EA140" si="230">SUM(DR53,DR56,DR57)</f>
        <v>0</v>
      </c>
      <c r="DS140" s="41">
        <f t="shared" si="230"/>
        <v>0</v>
      </c>
      <c r="DT140" s="41">
        <f t="shared" si="230"/>
        <v>0</v>
      </c>
      <c r="DU140" s="41">
        <f t="shared" si="230"/>
        <v>0</v>
      </c>
      <c r="DV140" s="41">
        <f t="shared" si="230"/>
        <v>0</v>
      </c>
      <c r="DW140" s="41">
        <f t="shared" si="230"/>
        <v>0</v>
      </c>
      <c r="DX140" s="41">
        <f t="shared" si="230"/>
        <v>0</v>
      </c>
      <c r="DY140" s="41">
        <f t="shared" si="230"/>
        <v>0</v>
      </c>
      <c r="DZ140" s="41">
        <f t="shared" si="230"/>
        <v>0</v>
      </c>
      <c r="EA140" s="41">
        <f t="shared" si="230"/>
        <v>0</v>
      </c>
      <c r="EB140" s="1008"/>
      <c r="EC140" s="1008"/>
      <c r="ED140" s="1008"/>
      <c r="EE140" s="1008"/>
      <c r="EF140" s="1008"/>
      <c r="EG140" s="1243"/>
    </row>
    <row r="141" spans="1:147" x14ac:dyDescent="0.2">
      <c r="A141" s="11" t="s">
        <v>489</v>
      </c>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7"/>
      <c r="AQ141" s="117"/>
      <c r="AR141" s="117"/>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850"/>
      <c r="CO141" s="11"/>
      <c r="CP141" s="11"/>
      <c r="CQ141" s="11"/>
      <c r="CR141" s="11"/>
      <c r="CS141" s="11"/>
      <c r="CT141" s="11"/>
      <c r="CU141" s="11"/>
      <c r="CV141" s="46"/>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008"/>
      <c r="EC141" s="1008"/>
      <c r="ED141" s="1008"/>
      <c r="EE141" s="1008"/>
      <c r="EF141" s="1008"/>
      <c r="EG141" s="1243"/>
    </row>
    <row r="142" spans="1:147" x14ac:dyDescent="0.2">
      <c r="A142" s="11" t="s">
        <v>490</v>
      </c>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7"/>
      <c r="AQ142" s="117"/>
      <c r="AR142" s="117"/>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850"/>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008"/>
      <c r="EC142" s="1008"/>
      <c r="ED142" s="1008"/>
      <c r="EE142" s="1008"/>
      <c r="EF142" s="1008"/>
      <c r="EG142" s="1243"/>
    </row>
    <row r="143" spans="1:147" x14ac:dyDescent="0.2">
      <c r="A143" s="11" t="s">
        <v>491</v>
      </c>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7"/>
      <c r="AQ143" s="117"/>
      <c r="AR143" s="117"/>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850"/>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008"/>
      <c r="EC143" s="1008"/>
      <c r="ED143" s="1008"/>
      <c r="EE143" s="1008"/>
      <c r="EF143" s="1008"/>
      <c r="EG143" s="1243"/>
    </row>
    <row r="144" spans="1:147" x14ac:dyDescent="0.2">
      <c r="A144" s="11" t="s">
        <v>492</v>
      </c>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7"/>
      <c r="AQ144" s="117"/>
      <c r="AR144" s="117"/>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850"/>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008"/>
      <c r="EC144" s="1008"/>
      <c r="ED144" s="1008"/>
      <c r="EE144" s="1008"/>
      <c r="EF144" s="1008"/>
      <c r="EG144" s="1243"/>
    </row>
    <row r="145" spans="1:147" x14ac:dyDescent="0.2">
      <c r="A145" s="11" t="s">
        <v>493</v>
      </c>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f t="shared" ref="Z145:BE145" si="231">SUM(Z63,Z62,Z60)</f>
        <v>48</v>
      </c>
      <c r="AA145" s="11">
        <f t="shared" si="231"/>
        <v>44</v>
      </c>
      <c r="AB145" s="11">
        <f t="shared" si="231"/>
        <v>53</v>
      </c>
      <c r="AC145" s="11">
        <f t="shared" si="231"/>
        <v>-2</v>
      </c>
      <c r="AD145" s="11">
        <f t="shared" si="231"/>
        <v>15</v>
      </c>
      <c r="AE145" s="11">
        <f t="shared" si="231"/>
        <v>110</v>
      </c>
      <c r="AF145" s="11">
        <f t="shared" si="231"/>
        <v>10</v>
      </c>
      <c r="AG145" s="11">
        <f t="shared" si="231"/>
        <v>24</v>
      </c>
      <c r="AH145" s="11">
        <f t="shared" si="231"/>
        <v>36</v>
      </c>
      <c r="AI145" s="11">
        <f t="shared" si="231"/>
        <v>40</v>
      </c>
      <c r="AJ145" s="11">
        <f t="shared" si="231"/>
        <v>110</v>
      </c>
      <c r="AK145" s="11">
        <f t="shared" si="231"/>
        <v>63</v>
      </c>
      <c r="AL145" s="11">
        <f t="shared" si="231"/>
        <v>39</v>
      </c>
      <c r="AM145" s="11">
        <f t="shared" si="231"/>
        <v>25</v>
      </c>
      <c r="AN145" s="11">
        <f t="shared" si="231"/>
        <v>73</v>
      </c>
      <c r="AO145" s="11">
        <f t="shared" si="231"/>
        <v>200</v>
      </c>
      <c r="AP145" s="117">
        <f t="shared" si="231"/>
        <v>46</v>
      </c>
      <c r="AQ145" s="117">
        <f t="shared" si="231"/>
        <v>43</v>
      </c>
      <c r="AR145" s="117">
        <f t="shared" si="231"/>
        <v>24</v>
      </c>
      <c r="AS145" s="11">
        <f t="shared" si="231"/>
        <v>122</v>
      </c>
      <c r="AT145" s="41">
        <f t="shared" si="231"/>
        <v>235</v>
      </c>
      <c r="AU145" s="11">
        <f t="shared" si="231"/>
        <v>64</v>
      </c>
      <c r="AV145" s="11">
        <f t="shared" si="231"/>
        <v>57</v>
      </c>
      <c r="AW145" s="11">
        <f t="shared" si="231"/>
        <v>10</v>
      </c>
      <c r="AX145" s="11">
        <f t="shared" si="231"/>
        <v>71</v>
      </c>
      <c r="AY145" s="11">
        <f t="shared" si="231"/>
        <v>202</v>
      </c>
      <c r="AZ145" s="11">
        <f t="shared" si="231"/>
        <v>39</v>
      </c>
      <c r="BA145" s="11">
        <f t="shared" si="231"/>
        <v>54</v>
      </c>
      <c r="BB145" s="11">
        <f t="shared" si="231"/>
        <v>25</v>
      </c>
      <c r="BC145" s="11">
        <f t="shared" si="231"/>
        <v>58</v>
      </c>
      <c r="BD145" s="11">
        <f t="shared" si="231"/>
        <v>176</v>
      </c>
      <c r="BE145" s="41">
        <f t="shared" si="231"/>
        <v>21</v>
      </c>
      <c r="BF145" s="11">
        <f t="shared" ref="BF145:CH145" si="232">SUM(BF63,BF62,BF60)</f>
        <v>50</v>
      </c>
      <c r="BG145" s="11">
        <f t="shared" si="232"/>
        <v>7</v>
      </c>
      <c r="BH145" s="11">
        <f t="shared" si="232"/>
        <v>38</v>
      </c>
      <c r="BI145" s="11">
        <f t="shared" si="232"/>
        <v>116</v>
      </c>
      <c r="BJ145" s="11">
        <f t="shared" si="232"/>
        <v>29</v>
      </c>
      <c r="BK145" s="11">
        <f t="shared" si="232"/>
        <v>96</v>
      </c>
      <c r="BL145" s="11">
        <f t="shared" si="232"/>
        <v>6</v>
      </c>
      <c r="BM145" s="11">
        <f t="shared" si="232"/>
        <v>21</v>
      </c>
      <c r="BN145" s="11">
        <f t="shared" si="232"/>
        <v>152</v>
      </c>
      <c r="BO145" s="11">
        <f t="shared" si="232"/>
        <v>24</v>
      </c>
      <c r="BP145" s="11">
        <f t="shared" si="232"/>
        <v>24</v>
      </c>
      <c r="BQ145" s="11">
        <f t="shared" si="232"/>
        <v>32</v>
      </c>
      <c r="BR145" s="41">
        <f t="shared" si="232"/>
        <v>53</v>
      </c>
      <c r="BS145" s="11">
        <f t="shared" si="232"/>
        <v>133</v>
      </c>
      <c r="BT145" s="11">
        <f t="shared" si="232"/>
        <v>13</v>
      </c>
      <c r="BU145" s="11">
        <f t="shared" si="232"/>
        <v>8</v>
      </c>
      <c r="BV145" s="11">
        <f t="shared" si="232"/>
        <v>9</v>
      </c>
      <c r="BW145" s="41">
        <f t="shared" si="232"/>
        <v>52</v>
      </c>
      <c r="BX145" s="11">
        <f t="shared" si="232"/>
        <v>82</v>
      </c>
      <c r="BY145" s="11">
        <f t="shared" si="232"/>
        <v>24</v>
      </c>
      <c r="BZ145" s="11">
        <f t="shared" si="232"/>
        <v>3</v>
      </c>
      <c r="CA145" s="11">
        <f t="shared" si="232"/>
        <v>0</v>
      </c>
      <c r="CB145" s="41">
        <f t="shared" si="232"/>
        <v>48</v>
      </c>
      <c r="CC145" s="11">
        <f t="shared" si="232"/>
        <v>75</v>
      </c>
      <c r="CD145" s="11">
        <f t="shared" si="232"/>
        <v>-18</v>
      </c>
      <c r="CE145" s="11">
        <f t="shared" si="232"/>
        <v>10</v>
      </c>
      <c r="CF145" s="11">
        <f t="shared" si="232"/>
        <v>-3</v>
      </c>
      <c r="CG145" s="41">
        <f t="shared" si="232"/>
        <v>12</v>
      </c>
      <c r="CH145" s="41">
        <f t="shared" si="232"/>
        <v>1</v>
      </c>
      <c r="CI145" s="11"/>
      <c r="CJ145" s="11"/>
      <c r="CK145" s="11"/>
      <c r="CL145" s="41"/>
      <c r="CM145" s="11">
        <f t="shared" ref="CM145:DQ145" si="233">SUM(CM63,CM62,CM60)</f>
        <v>25</v>
      </c>
      <c r="CN145" s="850">
        <f t="shared" si="233"/>
        <v>0</v>
      </c>
      <c r="CO145" s="11">
        <f t="shared" si="233"/>
        <v>0</v>
      </c>
      <c r="CP145" s="11">
        <f t="shared" si="233"/>
        <v>0</v>
      </c>
      <c r="CQ145" s="41">
        <f t="shared" si="233"/>
        <v>0</v>
      </c>
      <c r="CR145" s="41">
        <f t="shared" si="233"/>
        <v>323</v>
      </c>
      <c r="CS145" s="11">
        <f t="shared" si="233"/>
        <v>0</v>
      </c>
      <c r="CT145" s="11">
        <f t="shared" si="233"/>
        <v>-33</v>
      </c>
      <c r="CU145" s="1250">
        <f t="shared" si="233"/>
        <v>-87</v>
      </c>
      <c r="CV145" s="41">
        <f t="shared" si="233"/>
        <v>228</v>
      </c>
      <c r="CW145" s="11">
        <f t="shared" si="233"/>
        <v>108</v>
      </c>
      <c r="CX145" s="11">
        <f t="shared" si="233"/>
        <v>-54</v>
      </c>
      <c r="CY145" s="11">
        <f t="shared" si="233"/>
        <v>-17</v>
      </c>
      <c r="CZ145" s="11">
        <f t="shared" si="233"/>
        <v>-46</v>
      </c>
      <c r="DA145" s="41">
        <f t="shared" si="233"/>
        <v>-5</v>
      </c>
      <c r="DB145" s="11">
        <f t="shared" si="233"/>
        <v>-122</v>
      </c>
      <c r="DC145" s="11">
        <f t="shared" si="233"/>
        <v>-5</v>
      </c>
      <c r="DD145" s="11">
        <f t="shared" si="233"/>
        <v>-5</v>
      </c>
      <c r="DE145" s="11">
        <f t="shared" si="233"/>
        <v>-5</v>
      </c>
      <c r="DF145" s="41">
        <f t="shared" si="233"/>
        <v>-5</v>
      </c>
      <c r="DG145" s="11">
        <f t="shared" si="233"/>
        <v>-20</v>
      </c>
      <c r="DH145" s="11">
        <f t="shared" si="233"/>
        <v>0</v>
      </c>
      <c r="DI145" s="11">
        <f t="shared" si="233"/>
        <v>0</v>
      </c>
      <c r="DJ145" s="11">
        <f t="shared" si="233"/>
        <v>0</v>
      </c>
      <c r="DK145" s="41">
        <f t="shared" si="233"/>
        <v>0</v>
      </c>
      <c r="DL145" s="11">
        <f t="shared" si="233"/>
        <v>0</v>
      </c>
      <c r="DM145" s="11">
        <f t="shared" si="233"/>
        <v>0</v>
      </c>
      <c r="DN145" s="11">
        <f t="shared" si="233"/>
        <v>0</v>
      </c>
      <c r="DO145" s="11">
        <f t="shared" si="233"/>
        <v>0</v>
      </c>
      <c r="DP145" s="41">
        <f t="shared" si="233"/>
        <v>0</v>
      </c>
      <c r="DQ145" s="11">
        <f t="shared" si="233"/>
        <v>0</v>
      </c>
      <c r="DR145" s="11">
        <f t="shared" ref="DR145:EA145" si="234">SUM(DR63,DR62,DR60)</f>
        <v>0</v>
      </c>
      <c r="DS145" s="11">
        <f t="shared" si="234"/>
        <v>0</v>
      </c>
      <c r="DT145" s="11">
        <f t="shared" si="234"/>
        <v>0</v>
      </c>
      <c r="DU145" s="41">
        <f t="shared" si="234"/>
        <v>0</v>
      </c>
      <c r="DV145" s="11">
        <f t="shared" si="234"/>
        <v>0</v>
      </c>
      <c r="DW145" s="11">
        <f t="shared" si="234"/>
        <v>0</v>
      </c>
      <c r="DX145" s="11">
        <f t="shared" si="234"/>
        <v>0</v>
      </c>
      <c r="DY145" s="11">
        <f t="shared" si="234"/>
        <v>0</v>
      </c>
      <c r="DZ145" s="41">
        <f t="shared" si="234"/>
        <v>0</v>
      </c>
      <c r="EA145" s="11">
        <f t="shared" si="234"/>
        <v>0</v>
      </c>
      <c r="EB145" s="1008"/>
      <c r="EC145" s="1008"/>
      <c r="ED145" s="1008"/>
      <c r="EE145" s="1008"/>
      <c r="EF145" s="1008"/>
      <c r="EG145" s="1243"/>
    </row>
    <row r="146" spans="1:147" x14ac:dyDescent="0.2">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7"/>
      <c r="AQ146" s="117"/>
      <c r="AR146" s="117"/>
      <c r="AS146" s="11"/>
      <c r="AT146" s="11"/>
      <c r="AU146" s="11"/>
      <c r="AV146" s="11"/>
      <c r="AW146" s="11"/>
      <c r="AX146" s="11"/>
      <c r="AY146" s="11"/>
      <c r="AZ146" s="11"/>
      <c r="BA146" s="11"/>
      <c r="BB146" s="11"/>
      <c r="BC146" s="11"/>
      <c r="BD146" s="11"/>
      <c r="BE146" s="11"/>
      <c r="BF146" s="11"/>
      <c r="BG146" s="11"/>
      <c r="BH146" s="11"/>
      <c r="BI146" s="11"/>
      <c r="BJ146" s="11">
        <v>52</v>
      </c>
      <c r="BK146" s="11"/>
      <c r="BL146" s="11"/>
      <c r="BM146" s="11"/>
      <c r="BN146" s="11">
        <f>SUM(BJ146:BM146)</f>
        <v>52</v>
      </c>
      <c r="BO146" s="11"/>
      <c r="BP146" s="11"/>
      <c r="BQ146" s="11"/>
      <c r="BR146" s="11"/>
      <c r="BS146" s="11">
        <v>0</v>
      </c>
      <c r="BT146" s="11"/>
      <c r="BU146" s="11"/>
      <c r="BV146" s="11"/>
      <c r="BW146" s="11"/>
      <c r="BX146" s="11"/>
      <c r="BY146" s="11"/>
      <c r="BZ146" s="11"/>
      <c r="CA146" s="11"/>
      <c r="CB146" s="11"/>
      <c r="CC146" s="11"/>
      <c r="CD146" s="11"/>
      <c r="CE146" s="11"/>
      <c r="CF146" s="11"/>
      <c r="CG146" s="11"/>
      <c r="CH146" s="11"/>
      <c r="CI146" s="11"/>
      <c r="CJ146" s="11"/>
      <c r="CK146" s="11"/>
      <c r="CL146" s="11"/>
      <c r="CM146" s="11"/>
      <c r="CN146" s="850"/>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008"/>
      <c r="EC146" s="1008"/>
      <c r="ED146" s="937"/>
      <c r="EE146" s="1008"/>
      <c r="EF146" s="1008"/>
      <c r="EG146" s="1243"/>
    </row>
    <row r="147" spans="1:147" x14ac:dyDescent="0.2">
      <c r="A147" s="11" t="s">
        <v>481</v>
      </c>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7"/>
      <c r="AQ147" s="117"/>
      <c r="AR147" s="117"/>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52">
        <f>-BT61/'IS '!BT58</f>
        <v>0.38688524590163936</v>
      </c>
      <c r="BU147" s="52">
        <f>-BU61/'IS '!BU58</f>
        <v>0.36249999999999999</v>
      </c>
      <c r="BV147" s="52">
        <f>-BV61/'IS '!BV58</f>
        <v>0.3569230769230769</v>
      </c>
      <c r="BW147" s="52">
        <f>-BW61/'IS '!BW58</f>
        <v>0.36694677871148457</v>
      </c>
      <c r="BX147" s="52">
        <f>-BX61/'IS '!BX58</f>
        <v>0.36801836266258608</v>
      </c>
      <c r="BY147" s="52">
        <f>-BY61/'IS '!BY58</f>
        <v>0.38192419825072887</v>
      </c>
      <c r="BZ147" s="52">
        <f>-BZ61/'IS '!BZ58</f>
        <v>0.41324921135646686</v>
      </c>
      <c r="CA147" s="52">
        <f>-CA61/'IS '!CA58</f>
        <v>0.28051391862955033</v>
      </c>
      <c r="CB147" s="52">
        <f>-CB61/'IS '!CB58</f>
        <v>0.44281524926686217</v>
      </c>
      <c r="CC147" s="52">
        <f>-CC61/'IS '!CC58</f>
        <v>0.37057220708446864</v>
      </c>
      <c r="CD147" s="52">
        <f>-CD61/'IS '!CD58</f>
        <v>0.62614281689851969</v>
      </c>
      <c r="CE147" s="52">
        <f>-CE61/'IS '!CE58</f>
        <v>0.65342495193351602</v>
      </c>
      <c r="CF147" s="52">
        <f>-CF61/'IS '!CF58</f>
        <v>0.6402097156305816</v>
      </c>
      <c r="CG147" s="52">
        <f>-CG61/'IS '!CG58</f>
        <v>0.6392837751481325</v>
      </c>
      <c r="CH147" s="52">
        <f>-CH61/'IS '!CH58</f>
        <v>0.63929313929313925</v>
      </c>
      <c r="CI147" s="52">
        <f>-CI61/'IS '!CI58</f>
        <v>0.69579006282814615</v>
      </c>
      <c r="CJ147" s="52">
        <f>-CJ61/'IS '!CJ58</f>
        <v>0.74423883235958677</v>
      </c>
      <c r="CK147" s="52">
        <f>-CK61/'IS '!CK58</f>
        <v>0.54576609479699245</v>
      </c>
      <c r="CL147" s="52">
        <f>-CL61/'IS '!CL58</f>
        <v>0.71853424152850143</v>
      </c>
      <c r="CM147" s="52">
        <f>-CM61/'IS '!CM58</f>
        <v>0.66733167082294265</v>
      </c>
      <c r="CN147" s="52">
        <f>-CN61/'IS '!CN58</f>
        <v>0</v>
      </c>
      <c r="CO147" s="52">
        <f>-CO61/'IS '!CO58</f>
        <v>0</v>
      </c>
      <c r="CP147" s="52">
        <f>-CP61/'IS '!CP58</f>
        <v>0</v>
      </c>
      <c r="CQ147" s="52">
        <f>-CQ61/'IS '!CQ58</f>
        <v>0</v>
      </c>
      <c r="CR147" s="52">
        <f>-CR61/'IS '!CR58</f>
        <v>0.72034707545698773</v>
      </c>
      <c r="CS147" s="52">
        <f>-CS61/'IS '!CS58</f>
        <v>0.58862660944206013</v>
      </c>
      <c r="CT147" s="52">
        <f>-CT61/'IS '!CT58</f>
        <v>0.57916666666666672</v>
      </c>
      <c r="CU147" s="52">
        <f>-CU61/'IS '!CU58</f>
        <v>0.58265765765765765</v>
      </c>
      <c r="CV147" s="52">
        <f>-CV61/'IS '!CV58</f>
        <v>1.1514309764309765</v>
      </c>
      <c r="CW147" s="52">
        <f>-CW61/'IS '!CW58</f>
        <v>0.75456389452332662</v>
      </c>
      <c r="CX147" s="52">
        <f>-CX61/'IS '!CX58</f>
        <v>0.4472573839662447</v>
      </c>
      <c r="CY147" s="52">
        <f>-CY61/'IS '!CY58</f>
        <v>0.43209876543209874</v>
      </c>
      <c r="CZ147" s="52">
        <f>-CZ61/'IS '!CZ58</f>
        <v>0.42975206611570249</v>
      </c>
      <c r="DA147" s="52">
        <f>-DA61/'IS '!DA58</f>
        <v>0.30606060606060603</v>
      </c>
      <c r="DB147" s="52">
        <f>-DB61/'IS '!DB58</f>
        <v>0.39543726235741444</v>
      </c>
      <c r="DC147" s="52">
        <f>-DC61/'IS '!DC58</f>
        <v>0.52700989561710032</v>
      </c>
      <c r="DD147" s="52">
        <f>-DD61/'IS '!DD58</f>
        <v>0.48239531375683314</v>
      </c>
      <c r="DE147" s="52">
        <f>-DE61/'IS '!DE58</f>
        <v>0.42652023260718613</v>
      </c>
      <c r="DF147" s="52">
        <f>-DF61/'IS '!DF58</f>
        <v>0.35914819158640704</v>
      </c>
      <c r="DG147" s="52">
        <f>-DG61/'IS '!DG58</f>
        <v>0.44084070425371513</v>
      </c>
      <c r="DH147" s="52">
        <f>-DH61/'IS '!DH58</f>
        <v>0.49893671997765743</v>
      </c>
      <c r="DI147" s="52">
        <f>-DI61/'IS '!DI58</f>
        <v>0.46316265069591034</v>
      </c>
      <c r="DJ147" s="52">
        <f>-DJ61/'IS '!DJ58</f>
        <v>0.4102634508082304</v>
      </c>
      <c r="DK147" s="52">
        <f>-DK61/'IS '!DK58</f>
        <v>0.34381705921015948</v>
      </c>
      <c r="DL147" s="52">
        <f>-DL61/'IS '!DL58</f>
        <v>0.42134717369336083</v>
      </c>
      <c r="DM147" s="52">
        <f>-DM61/'IS '!DM58</f>
        <v>0.50534339860627497</v>
      </c>
      <c r="DN147" s="52">
        <f>-DN61/'IS '!DN58</f>
        <v>0.46653124785596012</v>
      </c>
      <c r="DO147" s="52">
        <f>-DO61/'IS '!DO58</f>
        <v>0.41031550494929969</v>
      </c>
      <c r="DP147" s="52">
        <f>-DP61/'IS '!DP58</f>
        <v>0.34145503931596966</v>
      </c>
      <c r="DQ147" s="52">
        <f>-DQ61/'IS '!DQ58</f>
        <v>0.42185344933828556</v>
      </c>
      <c r="DR147" s="52">
        <f>-DR61/'IS '!DR58</f>
        <v>0.4953782024083459</v>
      </c>
      <c r="DS147" s="52">
        <f>-DS61/'IS '!DS58</f>
        <v>0.45929484822600319</v>
      </c>
      <c r="DT147" s="52">
        <f>-DT61/'IS '!DT58</f>
        <v>0.4041254991318684</v>
      </c>
      <c r="DU147" s="52">
        <f>-DU61/'IS '!DU58</f>
        <v>0.3365195795439655</v>
      </c>
      <c r="DV147" s="52">
        <f>-DV61/'IS '!DV58</f>
        <v>0.41508914539822672</v>
      </c>
      <c r="DW147" s="52">
        <f>-DW61/'IS '!DW58</f>
        <v>0.49032633320810648</v>
      </c>
      <c r="DX147" s="52">
        <f>-DX61/'IS '!DX58</f>
        <v>0.45549620353864279</v>
      </c>
      <c r="DY147" s="52">
        <f>-DY61/'IS '!DY58</f>
        <v>0.40014929813473959</v>
      </c>
      <c r="DZ147" s="52">
        <f>-DZ61/'IS '!DZ58</f>
        <v>0.33319116261283854</v>
      </c>
      <c r="EA147" s="52">
        <f>-EA61/'IS '!EA58</f>
        <v>0.41108677125571591</v>
      </c>
      <c r="EB147" s="1008"/>
      <c r="EC147" s="1008"/>
      <c r="ED147" s="1008"/>
      <c r="EE147" s="1008"/>
      <c r="EF147" s="935"/>
      <c r="EG147" s="1243"/>
    </row>
    <row r="148" spans="1:147" x14ac:dyDescent="0.2">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7"/>
      <c r="AQ148" s="117"/>
      <c r="AR148" s="117"/>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850"/>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008"/>
      <c r="EC148" s="1008"/>
      <c r="ED148" s="1008"/>
      <c r="EE148" s="1008"/>
      <c r="EF148" s="1008"/>
      <c r="EG148" s="1243"/>
    </row>
    <row r="149" spans="1:147" x14ac:dyDescent="0.2">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7"/>
      <c r="AQ149" s="117"/>
      <c r="AR149" s="117"/>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850"/>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935"/>
      <c r="EC149" s="935"/>
      <c r="ED149" s="935"/>
      <c r="EE149" s="935"/>
      <c r="EF149" s="1008"/>
      <c r="EG149" s="1243"/>
    </row>
    <row r="150" spans="1:147" x14ac:dyDescent="0.2">
      <c r="A150" s="1086" t="s">
        <v>648</v>
      </c>
      <c r="B150" s="1087"/>
      <c r="C150" s="1087"/>
      <c r="D150" s="1087"/>
      <c r="E150" s="1087"/>
      <c r="F150" s="1087"/>
      <c r="G150" s="1087"/>
      <c r="H150" s="1087"/>
      <c r="I150" s="1087"/>
      <c r="J150" s="1087"/>
      <c r="K150" s="1087"/>
      <c r="L150" s="1087"/>
      <c r="M150" s="1087"/>
      <c r="N150" s="1087"/>
      <c r="O150" s="1087"/>
      <c r="P150" s="1087"/>
      <c r="Q150" s="1087"/>
      <c r="R150" s="1087"/>
      <c r="S150" s="1087"/>
      <c r="T150" s="1087"/>
      <c r="U150" s="1087"/>
      <c r="V150" s="1087"/>
      <c r="W150" s="1087"/>
      <c r="X150" s="1087"/>
      <c r="Y150" s="1087"/>
      <c r="Z150" s="1087"/>
      <c r="AA150" s="1087"/>
      <c r="AB150" s="1087"/>
      <c r="AC150" s="1087"/>
      <c r="AD150" s="1087"/>
      <c r="AE150" s="1087"/>
      <c r="AF150" s="1087"/>
      <c r="AG150" s="1087"/>
      <c r="AH150" s="1087"/>
      <c r="AI150" s="1087"/>
      <c r="AJ150" s="1087"/>
      <c r="AK150" s="1087"/>
      <c r="AL150" s="1087"/>
      <c r="AM150" s="1087"/>
      <c r="AN150" s="1087"/>
      <c r="AO150" s="1087"/>
      <c r="AP150" s="1088"/>
      <c r="AQ150" s="1088"/>
      <c r="AR150" s="1088"/>
      <c r="AS150" s="1087"/>
      <c r="AT150" s="1087"/>
      <c r="AU150" s="1087"/>
      <c r="AV150" s="1087"/>
      <c r="AW150" s="1087"/>
      <c r="AX150" s="1087"/>
      <c r="AY150" s="1087"/>
      <c r="AZ150" s="1087"/>
      <c r="BA150" s="1087"/>
      <c r="BB150" s="1087"/>
      <c r="BC150" s="1087"/>
      <c r="BD150" s="1087"/>
      <c r="BE150" s="1087"/>
      <c r="BF150" s="1087"/>
      <c r="BG150" s="1087"/>
      <c r="BH150" s="1087"/>
      <c r="BI150" s="1087"/>
      <c r="BJ150" s="1087"/>
      <c r="BK150" s="1087"/>
      <c r="BL150" s="1087"/>
      <c r="BM150" s="1087"/>
      <c r="BN150" s="1087"/>
      <c r="BO150" s="1087"/>
      <c r="BP150" s="1087"/>
      <c r="BQ150" s="1087"/>
      <c r="BR150" s="1087"/>
      <c r="BS150" s="1087"/>
      <c r="BT150" s="1087"/>
      <c r="BU150" s="1087"/>
      <c r="BV150" s="1087"/>
      <c r="BW150" s="1087"/>
      <c r="BX150" s="1087"/>
      <c r="BY150" s="1087"/>
      <c r="BZ150" s="1087"/>
      <c r="CA150" s="1087"/>
      <c r="CB150" s="1087"/>
      <c r="CC150" s="1087"/>
      <c r="CD150" s="1087"/>
      <c r="CE150" s="1087"/>
      <c r="CF150" s="1087"/>
      <c r="CG150" s="1087"/>
      <c r="CH150" s="1097"/>
      <c r="CI150" s="1087"/>
      <c r="CJ150" s="1087"/>
      <c r="CK150" s="1087"/>
      <c r="CL150" s="1087"/>
      <c r="CM150" s="1097"/>
      <c r="CN150" s="1089"/>
      <c r="CO150" s="1087"/>
      <c r="CP150" s="1087"/>
      <c r="CQ150" s="1087"/>
      <c r="CR150" s="1097"/>
      <c r="CS150" s="1087"/>
      <c r="CT150" s="1087"/>
      <c r="CU150" s="1087"/>
      <c r="CV150" s="1087"/>
      <c r="CW150" s="1097"/>
      <c r="CX150" s="1087"/>
      <c r="CY150" s="1087"/>
      <c r="CZ150" s="1087"/>
      <c r="DA150" s="1087"/>
      <c r="DB150" s="1097"/>
      <c r="DC150" s="1087"/>
      <c r="DD150" s="1087"/>
      <c r="DE150" s="1087"/>
      <c r="DF150" s="1087"/>
      <c r="DG150" s="1097"/>
      <c r="DH150" s="1087"/>
      <c r="DI150" s="1087"/>
      <c r="DJ150" s="1087"/>
      <c r="DK150" s="1087"/>
      <c r="DL150" s="1097"/>
      <c r="DM150" s="1087"/>
      <c r="DN150" s="1087"/>
      <c r="DO150" s="1087"/>
      <c r="DP150" s="1087"/>
      <c r="DQ150" s="1097"/>
      <c r="DR150" s="1087"/>
      <c r="DS150" s="1087"/>
      <c r="DT150" s="1087"/>
      <c r="DU150" s="1087"/>
      <c r="DV150" s="1097"/>
      <c r="DW150" s="1087"/>
      <c r="DX150" s="1087"/>
      <c r="DY150" s="1087"/>
      <c r="DZ150" s="1087"/>
      <c r="EA150" s="1097"/>
      <c r="EB150" s="1008"/>
      <c r="EC150" s="1008"/>
      <c r="ED150" s="1008"/>
      <c r="EE150" s="1008"/>
      <c r="EF150" s="1008"/>
      <c r="EG150" s="1243"/>
      <c r="EH150" s="1163"/>
      <c r="EP150" s="1163"/>
      <c r="EQ150" s="1163"/>
    </row>
    <row r="151" spans="1:147" x14ac:dyDescent="0.2">
      <c r="A151" s="1090" t="s">
        <v>645</v>
      </c>
      <c r="B151" s="1010"/>
      <c r="C151" s="1010"/>
      <c r="D151" s="1010"/>
      <c r="E151" s="1010"/>
      <c r="F151" s="1010"/>
      <c r="G151" s="1010"/>
      <c r="H151" s="1010"/>
      <c r="I151" s="1010"/>
      <c r="J151" s="1010"/>
      <c r="K151" s="1010"/>
      <c r="L151" s="1010"/>
      <c r="M151" s="1010"/>
      <c r="N151" s="1010"/>
      <c r="O151" s="1010"/>
      <c r="P151" s="1010"/>
      <c r="Q151" s="1010"/>
      <c r="R151" s="1010"/>
      <c r="S151" s="1010"/>
      <c r="T151" s="1010"/>
      <c r="U151" s="1010"/>
      <c r="V151" s="1010"/>
      <c r="W151" s="1010"/>
      <c r="X151" s="1010"/>
      <c r="Y151" s="1010"/>
      <c r="Z151" s="1010"/>
      <c r="AA151" s="1010"/>
      <c r="AB151" s="1010"/>
      <c r="AC151" s="1010"/>
      <c r="AD151" s="1010"/>
      <c r="AE151" s="1010"/>
      <c r="AF151" s="1010"/>
      <c r="AG151" s="1010"/>
      <c r="AH151" s="1010"/>
      <c r="AI151" s="1010"/>
      <c r="AJ151" s="1010"/>
      <c r="AK151" s="1010"/>
      <c r="AL151" s="1010"/>
      <c r="AM151" s="1010"/>
      <c r="AN151" s="1010"/>
      <c r="AO151" s="1010"/>
      <c r="AP151" s="982"/>
      <c r="AQ151" s="982"/>
      <c r="AR151" s="982"/>
      <c r="AS151" s="1010"/>
      <c r="AT151" s="1010"/>
      <c r="AU151" s="1010"/>
      <c r="AV151" s="1010"/>
      <c r="AW151" s="1010"/>
      <c r="AX151" s="1010"/>
      <c r="AY151" s="1010"/>
      <c r="AZ151" s="1010"/>
      <c r="BA151" s="1010"/>
      <c r="BB151" s="1010"/>
      <c r="BC151" s="1010"/>
      <c r="BD151" s="1010"/>
      <c r="BE151" s="1010"/>
      <c r="BF151" s="1010"/>
      <c r="BG151" s="1010"/>
      <c r="BH151" s="1010"/>
      <c r="BI151" s="1010"/>
      <c r="BJ151" s="1010"/>
      <c r="BK151" s="1010"/>
      <c r="BL151" s="1010"/>
      <c r="BM151" s="1010"/>
      <c r="BN151" s="1010"/>
      <c r="BO151" s="1010"/>
      <c r="BP151" s="1010"/>
      <c r="BQ151" s="1010"/>
      <c r="BR151" s="1010"/>
      <c r="BS151" s="1010"/>
      <c r="BT151" s="1010"/>
      <c r="BU151" s="1010"/>
      <c r="BV151" s="1010"/>
      <c r="BW151" s="1010"/>
      <c r="BX151" s="1010"/>
      <c r="BY151" s="1010"/>
      <c r="BZ151" s="1010"/>
      <c r="CA151" s="1010"/>
      <c r="CB151" s="1010"/>
      <c r="CC151" s="1010"/>
      <c r="CD151" s="1010"/>
      <c r="CE151" s="1010"/>
      <c r="CF151" s="1010"/>
      <c r="CG151" s="1010"/>
      <c r="CH151" s="1011"/>
      <c r="CI151" s="1015"/>
      <c r="CJ151" s="1015"/>
      <c r="CK151" s="1015"/>
      <c r="CL151" s="1015"/>
      <c r="CM151" s="1016"/>
      <c r="CN151" s="1015"/>
      <c r="CO151" s="1015"/>
      <c r="CP151" s="1015"/>
      <c r="CQ151" s="1015"/>
      <c r="CR151" s="1016">
        <f>CR41</f>
        <v>219</v>
      </c>
      <c r="CS151" s="1015">
        <f>CS41</f>
        <v>2.5</v>
      </c>
      <c r="CT151" s="1015">
        <f>CT41</f>
        <v>82.5</v>
      </c>
      <c r="CU151" s="1015">
        <f>CU153*CU154</f>
        <v>93</v>
      </c>
      <c r="CV151" s="1015">
        <f>CV153*CV154</f>
        <v>236</v>
      </c>
      <c r="CW151" s="1016">
        <f>SUM(CS151:CV151)</f>
        <v>414</v>
      </c>
      <c r="CX151" s="1015">
        <f t="shared" ref="CX151:DQ151" si="235">CX153*CX154</f>
        <v>121</v>
      </c>
      <c r="CY151" s="1015">
        <f t="shared" ref="CY151" si="236">CY153*CY154</f>
        <v>244</v>
      </c>
      <c r="CZ151" s="1042">
        <f t="shared" si="235"/>
        <v>209</v>
      </c>
      <c r="DA151" s="1015">
        <f t="shared" si="235"/>
        <v>896</v>
      </c>
      <c r="DB151" s="1016">
        <f t="shared" si="235"/>
        <v>1470</v>
      </c>
      <c r="DC151" s="1042">
        <f t="shared" si="235"/>
        <v>200</v>
      </c>
      <c r="DD151" s="1042">
        <f t="shared" si="235"/>
        <v>200</v>
      </c>
      <c r="DE151" s="1042">
        <f t="shared" si="235"/>
        <v>110</v>
      </c>
      <c r="DF151" s="1042">
        <f t="shared" si="235"/>
        <v>60</v>
      </c>
      <c r="DG151" s="1098">
        <f t="shared" si="235"/>
        <v>570</v>
      </c>
      <c r="DH151" s="1042">
        <f t="shared" si="235"/>
        <v>85</v>
      </c>
      <c r="DI151" s="1042">
        <f t="shared" si="235"/>
        <v>85</v>
      </c>
      <c r="DJ151" s="1042">
        <f t="shared" si="235"/>
        <v>85</v>
      </c>
      <c r="DK151" s="1042">
        <f t="shared" si="235"/>
        <v>85</v>
      </c>
      <c r="DL151" s="1098">
        <f t="shared" si="235"/>
        <v>220</v>
      </c>
      <c r="DM151" s="1042">
        <f t="shared" si="235"/>
        <v>0</v>
      </c>
      <c r="DN151" s="1042">
        <f t="shared" si="235"/>
        <v>0</v>
      </c>
      <c r="DO151" s="1042">
        <f t="shared" si="235"/>
        <v>0</v>
      </c>
      <c r="DP151" s="1042">
        <f t="shared" si="235"/>
        <v>0</v>
      </c>
      <c r="DQ151" s="1098">
        <f t="shared" si="235"/>
        <v>0</v>
      </c>
      <c r="DR151" s="1042">
        <f t="shared" ref="DR151:EA151" si="237">DR153*DR154</f>
        <v>0</v>
      </c>
      <c r="DS151" s="1042">
        <f t="shared" si="237"/>
        <v>0</v>
      </c>
      <c r="DT151" s="1042">
        <f t="shared" si="237"/>
        <v>0</v>
      </c>
      <c r="DU151" s="1042">
        <f t="shared" si="237"/>
        <v>0</v>
      </c>
      <c r="DV151" s="1098">
        <f t="shared" si="237"/>
        <v>0</v>
      </c>
      <c r="DW151" s="1042">
        <f t="shared" si="237"/>
        <v>0</v>
      </c>
      <c r="DX151" s="1042">
        <f t="shared" si="237"/>
        <v>0</v>
      </c>
      <c r="DY151" s="1042">
        <f t="shared" si="237"/>
        <v>0</v>
      </c>
      <c r="DZ151" s="1042">
        <f t="shared" si="237"/>
        <v>0</v>
      </c>
      <c r="EA151" s="1098">
        <f t="shared" si="237"/>
        <v>0</v>
      </c>
      <c r="EB151" s="1008"/>
      <c r="EC151" s="1008"/>
      <c r="ED151" s="1008"/>
      <c r="EE151" s="1008"/>
      <c r="EF151" s="1008"/>
      <c r="EG151" s="1243"/>
      <c r="EH151" s="1163"/>
      <c r="EP151" s="1163"/>
      <c r="EQ151" s="1163"/>
    </row>
    <row r="152" spans="1:147" x14ac:dyDescent="0.2">
      <c r="A152" s="1090" t="s">
        <v>647</v>
      </c>
      <c r="B152" s="1010"/>
      <c r="C152" s="1010"/>
      <c r="D152" s="1010"/>
      <c r="E152" s="1010"/>
      <c r="F152" s="1010"/>
      <c r="G152" s="1010"/>
      <c r="H152" s="1010"/>
      <c r="I152" s="1010"/>
      <c r="J152" s="1010"/>
      <c r="K152" s="1010"/>
      <c r="L152" s="1010"/>
      <c r="M152" s="1010"/>
      <c r="N152" s="1010"/>
      <c r="O152" s="1010"/>
      <c r="P152" s="1010"/>
      <c r="Q152" s="1010"/>
      <c r="R152" s="1010"/>
      <c r="S152" s="1010"/>
      <c r="T152" s="1010"/>
      <c r="U152" s="1010"/>
      <c r="V152" s="1010"/>
      <c r="W152" s="1010"/>
      <c r="X152" s="1010"/>
      <c r="Y152" s="1010"/>
      <c r="Z152" s="1010"/>
      <c r="AA152" s="1010"/>
      <c r="AB152" s="1010"/>
      <c r="AC152" s="1010"/>
      <c r="AD152" s="1010"/>
      <c r="AE152" s="1010"/>
      <c r="AF152" s="1010"/>
      <c r="AG152" s="1010"/>
      <c r="AH152" s="1010"/>
      <c r="AI152" s="1010"/>
      <c r="AJ152" s="1010"/>
      <c r="AK152" s="1010"/>
      <c r="AL152" s="1010"/>
      <c r="AM152" s="1010"/>
      <c r="AN152" s="1010"/>
      <c r="AO152" s="1010"/>
      <c r="AP152" s="982"/>
      <c r="AQ152" s="982"/>
      <c r="AR152" s="982"/>
      <c r="AS152" s="1010"/>
      <c r="AT152" s="1010"/>
      <c r="AU152" s="1010"/>
      <c r="AV152" s="1010"/>
      <c r="AW152" s="1010"/>
      <c r="AX152" s="1010"/>
      <c r="AY152" s="1010"/>
      <c r="AZ152" s="1010"/>
      <c r="BA152" s="1010"/>
      <c r="BB152" s="1010"/>
      <c r="BC152" s="1010"/>
      <c r="BD152" s="1010"/>
      <c r="BE152" s="1010"/>
      <c r="BF152" s="1010"/>
      <c r="BG152" s="1010"/>
      <c r="BH152" s="1010"/>
      <c r="BI152" s="1010"/>
      <c r="BJ152" s="1010"/>
      <c r="BK152" s="1010"/>
      <c r="BL152" s="1010"/>
      <c r="BM152" s="1010"/>
      <c r="BN152" s="1010"/>
      <c r="BO152" s="1010"/>
      <c r="BP152" s="1010"/>
      <c r="BQ152" s="1010"/>
      <c r="BR152" s="1010"/>
      <c r="BS152" s="1010"/>
      <c r="BT152" s="1010"/>
      <c r="BU152" s="1010"/>
      <c r="BV152" s="1010"/>
      <c r="BW152" s="1010"/>
      <c r="BX152" s="1010"/>
      <c r="BY152" s="1010"/>
      <c r="BZ152" s="1010"/>
      <c r="CA152" s="1010"/>
      <c r="CB152" s="1010"/>
      <c r="CC152" s="1010"/>
      <c r="CD152" s="1010"/>
      <c r="CE152" s="1010"/>
      <c r="CF152" s="1010"/>
      <c r="CG152" s="1010"/>
      <c r="CH152" s="1011"/>
      <c r="CI152" s="1015"/>
      <c r="CJ152" s="1015"/>
      <c r="CK152" s="1015"/>
      <c r="CL152" s="1015"/>
      <c r="CM152" s="1016"/>
      <c r="CN152" s="1015"/>
      <c r="CO152" s="1015"/>
      <c r="CP152" s="1015"/>
      <c r="CQ152" s="1015"/>
      <c r="CR152" s="1016">
        <f>CR151+CR16</f>
        <v>242</v>
      </c>
      <c r="CS152" s="1015">
        <f>CS151+CS16</f>
        <v>-2.5</v>
      </c>
      <c r="CT152" s="1015">
        <f>CT151+CT16</f>
        <v>31.5</v>
      </c>
      <c r="CU152" s="1015"/>
      <c r="CV152" s="1015"/>
      <c r="CW152" s="1016"/>
      <c r="CX152" s="1015"/>
      <c r="CY152" s="1015"/>
      <c r="CZ152" s="1042"/>
      <c r="DA152" s="1015"/>
      <c r="DB152" s="1016"/>
      <c r="DC152" s="1042"/>
      <c r="DD152" s="1042"/>
      <c r="DE152" s="1042"/>
      <c r="DF152" s="1042"/>
      <c r="DG152" s="1098"/>
      <c r="DH152" s="1042"/>
      <c r="DI152" s="1042"/>
      <c r="DJ152" s="1042"/>
      <c r="DK152" s="1042"/>
      <c r="DL152" s="1098"/>
      <c r="DM152" s="1042"/>
      <c r="DN152" s="1042"/>
      <c r="DO152" s="1042"/>
      <c r="DP152" s="1042"/>
      <c r="DQ152" s="1098"/>
      <c r="DR152" s="1042"/>
      <c r="DS152" s="1042"/>
      <c r="DT152" s="1042"/>
      <c r="DU152" s="1042"/>
      <c r="DV152" s="1098"/>
      <c r="DW152" s="1042"/>
      <c r="DX152" s="1042"/>
      <c r="DY152" s="1042"/>
      <c r="DZ152" s="1042"/>
      <c r="EA152" s="1098"/>
      <c r="EB152" s="1008"/>
      <c r="EC152" s="1008"/>
      <c r="ED152" s="1008"/>
      <c r="EE152" s="1008"/>
      <c r="EF152" s="1008"/>
      <c r="EG152" s="1243"/>
      <c r="EH152" s="1163"/>
      <c r="EP152" s="1163"/>
      <c r="EQ152" s="1163"/>
    </row>
    <row r="153" spans="1:147" x14ac:dyDescent="0.2">
      <c r="A153" s="1090" t="s">
        <v>646</v>
      </c>
      <c r="B153" s="1010"/>
      <c r="C153" s="1010"/>
      <c r="D153" s="1010"/>
      <c r="E153" s="1010"/>
      <c r="F153" s="1010"/>
      <c r="G153" s="1010"/>
      <c r="H153" s="1010"/>
      <c r="I153" s="1010"/>
      <c r="J153" s="1010"/>
      <c r="K153" s="1010"/>
      <c r="L153" s="1010"/>
      <c r="M153" s="1010"/>
      <c r="N153" s="1010"/>
      <c r="O153" s="1010"/>
      <c r="P153" s="1010"/>
      <c r="Q153" s="1010"/>
      <c r="R153" s="1010"/>
      <c r="S153" s="1010"/>
      <c r="T153" s="1010"/>
      <c r="U153" s="1010"/>
      <c r="V153" s="1010"/>
      <c r="W153" s="1010"/>
      <c r="X153" s="1010"/>
      <c r="Y153" s="1010"/>
      <c r="Z153" s="1010"/>
      <c r="AA153" s="1010"/>
      <c r="AB153" s="1010"/>
      <c r="AC153" s="1010"/>
      <c r="AD153" s="1010"/>
      <c r="AE153" s="1010"/>
      <c r="AF153" s="1010"/>
      <c r="AG153" s="1010"/>
      <c r="AH153" s="1010"/>
      <c r="AI153" s="1010"/>
      <c r="AJ153" s="1010"/>
      <c r="AK153" s="1010"/>
      <c r="AL153" s="1010"/>
      <c r="AM153" s="1010"/>
      <c r="AN153" s="1010"/>
      <c r="AO153" s="1010"/>
      <c r="AP153" s="982"/>
      <c r="AQ153" s="982"/>
      <c r="AR153" s="982"/>
      <c r="AS153" s="1010"/>
      <c r="AT153" s="1010"/>
      <c r="AU153" s="1010"/>
      <c r="AV153" s="1010"/>
      <c r="AW153" s="1010"/>
      <c r="AX153" s="1010"/>
      <c r="AY153" s="1010"/>
      <c r="AZ153" s="1010"/>
      <c r="BA153" s="1010"/>
      <c r="BB153" s="1010"/>
      <c r="BC153" s="1010"/>
      <c r="BD153" s="1010"/>
      <c r="BE153" s="1010"/>
      <c r="BF153" s="1010"/>
      <c r="BG153" s="1010"/>
      <c r="BH153" s="1010"/>
      <c r="BI153" s="1010"/>
      <c r="BJ153" s="1010"/>
      <c r="BK153" s="1010"/>
      <c r="BL153" s="1010"/>
      <c r="BM153" s="1010"/>
      <c r="BN153" s="1010"/>
      <c r="BO153" s="1010"/>
      <c r="BP153" s="1010"/>
      <c r="BQ153" s="1010"/>
      <c r="BR153" s="1010"/>
      <c r="BS153" s="1010"/>
      <c r="BT153" s="1010"/>
      <c r="BU153" s="1010"/>
      <c r="BV153" s="1010"/>
      <c r="BW153" s="1010"/>
      <c r="BX153" s="1010"/>
      <c r="BY153" s="1010"/>
      <c r="BZ153" s="1010"/>
      <c r="CA153" s="1010"/>
      <c r="CB153" s="1010"/>
      <c r="CC153" s="1010"/>
      <c r="CD153" s="1010"/>
      <c r="CE153" s="1010"/>
      <c r="CF153" s="1010"/>
      <c r="CG153" s="1010"/>
      <c r="CH153" s="1011"/>
      <c r="CI153" s="1010"/>
      <c r="CJ153" s="1010"/>
      <c r="CK153" s="1010"/>
      <c r="CL153" s="1010"/>
      <c r="CM153" s="1011"/>
      <c r="CN153" s="1010"/>
      <c r="CO153" s="1010"/>
      <c r="CP153" s="1010"/>
      <c r="CQ153" s="1010"/>
      <c r="CR153" s="1011">
        <v>0</v>
      </c>
      <c r="CS153" s="1010">
        <v>16</v>
      </c>
      <c r="CT153" s="1010">
        <v>82</v>
      </c>
      <c r="CU153" s="1010">
        <v>93</v>
      </c>
      <c r="CV153" s="1010">
        <v>236</v>
      </c>
      <c r="CW153" s="1011">
        <v>427</v>
      </c>
      <c r="CX153" s="1010">
        <v>121</v>
      </c>
      <c r="CY153" s="1010">
        <v>244</v>
      </c>
      <c r="CZ153" s="1091">
        <v>209</v>
      </c>
      <c r="DA153" s="1010">
        <v>896</v>
      </c>
      <c r="DB153" s="1011">
        <v>1470</v>
      </c>
      <c r="DC153" s="1091">
        <v>200</v>
      </c>
      <c r="DD153" s="1091">
        <v>200</v>
      </c>
      <c r="DE153" s="1091">
        <v>110</v>
      </c>
      <c r="DF153" s="1091">
        <v>60</v>
      </c>
      <c r="DG153" s="1099">
        <v>570</v>
      </c>
      <c r="DH153" s="1091">
        <v>85</v>
      </c>
      <c r="DI153" s="1091">
        <v>85</v>
      </c>
      <c r="DJ153" s="1091">
        <v>85</v>
      </c>
      <c r="DK153" s="1091">
        <v>85</v>
      </c>
      <c r="DL153" s="1099">
        <v>220</v>
      </c>
      <c r="DM153" s="1091">
        <v>0</v>
      </c>
      <c r="DN153" s="1091">
        <v>0</v>
      </c>
      <c r="DO153" s="1091">
        <v>0</v>
      </c>
      <c r="DP153" s="1091">
        <v>0</v>
      </c>
      <c r="DQ153" s="1099">
        <v>0</v>
      </c>
      <c r="DR153" s="1091">
        <v>0</v>
      </c>
      <c r="DS153" s="1091">
        <v>0</v>
      </c>
      <c r="DT153" s="1091">
        <v>0</v>
      </c>
      <c r="DU153" s="1091">
        <v>0</v>
      </c>
      <c r="DV153" s="1099">
        <v>0</v>
      </c>
      <c r="DW153" s="1091">
        <v>0</v>
      </c>
      <c r="DX153" s="1091">
        <v>0</v>
      </c>
      <c r="DY153" s="1091">
        <v>0</v>
      </c>
      <c r="DZ153" s="1091">
        <v>0</v>
      </c>
      <c r="EA153" s="1099">
        <v>0</v>
      </c>
      <c r="EB153" s="1008"/>
      <c r="EC153" s="1008"/>
      <c r="ED153" s="1008"/>
      <c r="EE153" s="1008"/>
      <c r="EF153" s="1008"/>
      <c r="EG153" s="1243"/>
      <c r="EH153" s="1163"/>
      <c r="EO153" s="1163"/>
      <c r="EP153" s="1163"/>
      <c r="EQ153" s="1163"/>
    </row>
    <row r="154" spans="1:147" x14ac:dyDescent="0.2">
      <c r="A154" s="1092" t="s">
        <v>649</v>
      </c>
      <c r="B154" s="1093"/>
      <c r="C154" s="1093"/>
      <c r="D154" s="1093"/>
      <c r="E154" s="1093"/>
      <c r="F154" s="1093"/>
      <c r="G154" s="1093"/>
      <c r="H154" s="1093"/>
      <c r="I154" s="1093"/>
      <c r="J154" s="1093"/>
      <c r="K154" s="1093"/>
      <c r="L154" s="1093"/>
      <c r="M154" s="1093"/>
      <c r="N154" s="1093"/>
      <c r="O154" s="1093"/>
      <c r="P154" s="1093"/>
      <c r="Q154" s="1093"/>
      <c r="R154" s="1093"/>
      <c r="S154" s="1093"/>
      <c r="T154" s="1093"/>
      <c r="U154" s="1093"/>
      <c r="V154" s="1093"/>
      <c r="W154" s="1093"/>
      <c r="X154" s="1093"/>
      <c r="Y154" s="1093"/>
      <c r="Z154" s="1093"/>
      <c r="AA154" s="1093"/>
      <c r="AB154" s="1093"/>
      <c r="AC154" s="1093"/>
      <c r="AD154" s="1093"/>
      <c r="AE154" s="1093"/>
      <c r="AF154" s="1093"/>
      <c r="AG154" s="1093"/>
      <c r="AH154" s="1093"/>
      <c r="AI154" s="1093"/>
      <c r="AJ154" s="1093"/>
      <c r="AK154" s="1093"/>
      <c r="AL154" s="1093"/>
      <c r="AM154" s="1093"/>
      <c r="AN154" s="1093"/>
      <c r="AO154" s="1093"/>
      <c r="AP154" s="1094"/>
      <c r="AQ154" s="1094"/>
      <c r="AR154" s="1094"/>
      <c r="AS154" s="1093"/>
      <c r="AT154" s="1093"/>
      <c r="AU154" s="1093"/>
      <c r="AV154" s="1093"/>
      <c r="AW154" s="1093"/>
      <c r="AX154" s="1093"/>
      <c r="AY154" s="1093"/>
      <c r="AZ154" s="1093"/>
      <c r="BA154" s="1093"/>
      <c r="BB154" s="1093"/>
      <c r="BC154" s="1093"/>
      <c r="BD154" s="1093"/>
      <c r="BE154" s="1093"/>
      <c r="BF154" s="1093"/>
      <c r="BG154" s="1093"/>
      <c r="BH154" s="1093"/>
      <c r="BI154" s="1093"/>
      <c r="BJ154" s="1093"/>
      <c r="BK154" s="1093"/>
      <c r="BL154" s="1093"/>
      <c r="BM154" s="1093"/>
      <c r="BN154" s="1093"/>
      <c r="BO154" s="1093"/>
      <c r="BP154" s="1093"/>
      <c r="BQ154" s="1093"/>
      <c r="BR154" s="1093"/>
      <c r="BS154" s="1093"/>
      <c r="BT154" s="1093"/>
      <c r="BU154" s="1093"/>
      <c r="BV154" s="1093"/>
      <c r="BW154" s="1093"/>
      <c r="BX154" s="1093"/>
      <c r="BY154" s="1093"/>
      <c r="BZ154" s="1093"/>
      <c r="CA154" s="1093"/>
      <c r="CB154" s="1093"/>
      <c r="CC154" s="1093"/>
      <c r="CD154" s="1093"/>
      <c r="CE154" s="1093"/>
      <c r="CF154" s="1093"/>
      <c r="CG154" s="1093"/>
      <c r="CH154" s="1102"/>
      <c r="CI154" s="1095"/>
      <c r="CJ154" s="1095"/>
      <c r="CK154" s="1095"/>
      <c r="CL154" s="1095"/>
      <c r="CM154" s="1101"/>
      <c r="CN154" s="1095"/>
      <c r="CO154" s="1095"/>
      <c r="CP154" s="1095"/>
      <c r="CQ154" s="1095"/>
      <c r="CR154" s="1101"/>
      <c r="CS154" s="1095">
        <f>CS151/CS153</f>
        <v>0.15625</v>
      </c>
      <c r="CT154" s="1095">
        <f>CT151/CT153</f>
        <v>1.0060975609756098</v>
      </c>
      <c r="CU154" s="1095">
        <v>1</v>
      </c>
      <c r="CV154" s="1095">
        <f t="shared" ref="CV154:DQ154" si="238">CU154</f>
        <v>1</v>
      </c>
      <c r="CW154" s="1101">
        <f t="shared" si="238"/>
        <v>1</v>
      </c>
      <c r="CX154" s="1095">
        <f t="shared" si="238"/>
        <v>1</v>
      </c>
      <c r="CY154" s="1095">
        <f t="shared" si="238"/>
        <v>1</v>
      </c>
      <c r="CZ154" s="1096">
        <f t="shared" si="238"/>
        <v>1</v>
      </c>
      <c r="DA154" s="1095">
        <f t="shared" si="238"/>
        <v>1</v>
      </c>
      <c r="DB154" s="1101">
        <f t="shared" si="238"/>
        <v>1</v>
      </c>
      <c r="DC154" s="1096">
        <f>DB154</f>
        <v>1</v>
      </c>
      <c r="DD154" s="1096">
        <f t="shared" si="238"/>
        <v>1</v>
      </c>
      <c r="DE154" s="1096">
        <f t="shared" si="238"/>
        <v>1</v>
      </c>
      <c r="DF154" s="1096">
        <f t="shared" si="238"/>
        <v>1</v>
      </c>
      <c r="DG154" s="1100">
        <f t="shared" si="238"/>
        <v>1</v>
      </c>
      <c r="DH154" s="1096">
        <f t="shared" si="238"/>
        <v>1</v>
      </c>
      <c r="DI154" s="1096">
        <f t="shared" si="238"/>
        <v>1</v>
      </c>
      <c r="DJ154" s="1096">
        <f t="shared" si="238"/>
        <v>1</v>
      </c>
      <c r="DK154" s="1096">
        <f t="shared" si="238"/>
        <v>1</v>
      </c>
      <c r="DL154" s="1100">
        <f t="shared" si="238"/>
        <v>1</v>
      </c>
      <c r="DM154" s="1096">
        <f t="shared" si="238"/>
        <v>1</v>
      </c>
      <c r="DN154" s="1096">
        <f t="shared" si="238"/>
        <v>1</v>
      </c>
      <c r="DO154" s="1096">
        <f t="shared" si="238"/>
        <v>1</v>
      </c>
      <c r="DP154" s="1096">
        <f t="shared" si="238"/>
        <v>1</v>
      </c>
      <c r="DQ154" s="1100">
        <f t="shared" si="238"/>
        <v>1</v>
      </c>
      <c r="DR154" s="1096">
        <f t="shared" ref="DR154" si="239">DQ154</f>
        <v>1</v>
      </c>
      <c r="DS154" s="1096">
        <f t="shared" ref="DS154" si="240">DR154</f>
        <v>1</v>
      </c>
      <c r="DT154" s="1096">
        <f t="shared" ref="DT154" si="241">DS154</f>
        <v>1</v>
      </c>
      <c r="DU154" s="1096">
        <f t="shared" ref="DU154" si="242">DT154</f>
        <v>1</v>
      </c>
      <c r="DV154" s="1100">
        <f t="shared" ref="DV154" si="243">DU154</f>
        <v>1</v>
      </c>
      <c r="DW154" s="1096">
        <f t="shared" ref="DW154" si="244">DV154</f>
        <v>1</v>
      </c>
      <c r="DX154" s="1096">
        <f t="shared" ref="DX154" si="245">DW154</f>
        <v>1</v>
      </c>
      <c r="DY154" s="1096">
        <f t="shared" ref="DY154" si="246">DX154</f>
        <v>1</v>
      </c>
      <c r="DZ154" s="1096">
        <f t="shared" ref="DZ154" si="247">DY154</f>
        <v>1</v>
      </c>
      <c r="EA154" s="1100">
        <f t="shared" ref="EA154" si="248">DZ154</f>
        <v>1</v>
      </c>
      <c r="EB154" s="1008"/>
      <c r="EC154" s="1008"/>
      <c r="ED154" s="1008"/>
      <c r="EE154" s="1008"/>
      <c r="EF154" s="1008"/>
      <c r="EG154" s="1243"/>
      <c r="EH154" s="855"/>
      <c r="EO154" s="1163"/>
      <c r="EP154" s="855"/>
      <c r="EQ154" s="855"/>
    </row>
    <row r="155" spans="1:147" x14ac:dyDescent="0.2">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7"/>
      <c r="AQ155" s="117"/>
      <c r="AR155" s="117"/>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850"/>
      <c r="CO155" s="11"/>
      <c r="CP155" s="11"/>
      <c r="CQ155" s="11"/>
      <c r="CR155" s="11"/>
      <c r="CS155" s="11"/>
      <c r="CT155" s="11"/>
      <c r="CU155" s="11"/>
      <c r="CV155" s="11"/>
      <c r="CW155" s="11"/>
      <c r="CX155" s="11"/>
      <c r="CY155" s="11"/>
      <c r="CZ155" s="11"/>
      <c r="DA155" s="11"/>
      <c r="DB155" s="11"/>
      <c r="DC155" s="11"/>
      <c r="DD155" s="11"/>
      <c r="DE155" s="11"/>
      <c r="DF155" s="11"/>
      <c r="DG155" s="11"/>
      <c r="DH155" s="11"/>
      <c r="DI155" s="11"/>
      <c r="DJ155" s="11"/>
      <c r="DK155" s="11"/>
      <c r="DL155" s="11"/>
      <c r="DM155" s="11"/>
      <c r="DN155" s="11"/>
      <c r="DO155" s="11"/>
      <c r="DP155" s="11"/>
      <c r="DQ155" s="11"/>
      <c r="DR155" s="11"/>
      <c r="DS155" s="11"/>
      <c r="DT155" s="11"/>
      <c r="DU155" s="11"/>
      <c r="DV155" s="11"/>
      <c r="DW155" s="11"/>
      <c r="DX155" s="11"/>
      <c r="DY155" s="11"/>
      <c r="DZ155" s="11"/>
      <c r="EA155" s="11"/>
      <c r="EB155" s="1008"/>
      <c r="EC155" s="1008"/>
      <c r="ED155" s="1008"/>
      <c r="EE155" s="1008"/>
      <c r="EF155" s="1008"/>
      <c r="EO155" s="1163"/>
    </row>
    <row r="156" spans="1:147" x14ac:dyDescent="0.2">
      <c r="A156" s="3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7"/>
      <c r="AQ156" s="117"/>
      <c r="AR156" s="117"/>
      <c r="AS156" s="11"/>
      <c r="AT156" s="11"/>
      <c r="AU156" s="11"/>
      <c r="AV156" s="11"/>
      <c r="AW156" s="11"/>
      <c r="AX156" s="11"/>
      <c r="AY156" s="11"/>
      <c r="AZ156" s="11"/>
      <c r="BA156" s="11"/>
      <c r="BB156" s="11"/>
      <c r="BC156" s="11"/>
      <c r="BD156" s="11">
        <v>177</v>
      </c>
      <c r="BE156" s="11"/>
      <c r="BF156" s="11"/>
      <c r="BG156" s="11"/>
      <c r="BH156" s="11"/>
      <c r="BI156" s="11">
        <v>248</v>
      </c>
      <c r="BJ156" s="11"/>
      <c r="BK156" s="11"/>
      <c r="BL156" s="11"/>
      <c r="BM156" s="11"/>
      <c r="BN156" s="11">
        <v>209</v>
      </c>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850"/>
      <c r="CO156" s="11"/>
      <c r="CP156" s="11"/>
      <c r="CQ156" s="11"/>
      <c r="CR156" s="11"/>
      <c r="CS156" s="11"/>
      <c r="CT156" s="11"/>
      <c r="CU156" s="11"/>
      <c r="CV156" s="11"/>
      <c r="CW156" s="11"/>
      <c r="CX156" s="11"/>
      <c r="CY156" s="11"/>
      <c r="CZ156" s="11"/>
      <c r="DA156" s="11"/>
      <c r="DB156" s="11"/>
      <c r="DC156" s="11"/>
      <c r="DD156" s="11"/>
      <c r="DE156" s="11"/>
      <c r="DF156" s="11"/>
      <c r="DG156" s="11"/>
      <c r="DH156" s="11"/>
      <c r="DI156" s="11"/>
      <c r="DJ156" s="11"/>
      <c r="DK156" s="11"/>
      <c r="DL156" s="11"/>
      <c r="DM156" s="11"/>
      <c r="DN156" s="11"/>
      <c r="DO156" s="11"/>
      <c r="DP156" s="11"/>
      <c r="DQ156" s="11"/>
      <c r="DR156" s="11"/>
      <c r="DS156" s="11"/>
      <c r="DT156" s="11"/>
      <c r="DU156" s="11"/>
      <c r="DV156" s="11"/>
      <c r="DW156" s="11"/>
      <c r="DX156" s="11"/>
      <c r="DY156" s="11"/>
      <c r="DZ156" s="11"/>
      <c r="EA156" s="11"/>
      <c r="EB156" s="1008"/>
      <c r="EC156" s="1008"/>
      <c r="ED156" s="1008"/>
      <c r="EE156" s="1008"/>
      <c r="EF156" s="1008"/>
      <c r="EO156" s="1163"/>
    </row>
    <row r="157" spans="1:147" x14ac:dyDescent="0.2">
      <c r="A157" s="3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7"/>
      <c r="AQ157" s="117"/>
      <c r="AR157" s="117"/>
      <c r="AS157" s="11"/>
      <c r="AT157" s="11"/>
      <c r="AU157" s="11"/>
      <c r="AV157" s="11"/>
      <c r="AW157" s="11"/>
      <c r="AX157" s="11"/>
      <c r="AY157" s="11"/>
      <c r="AZ157" s="11"/>
      <c r="BA157" s="11"/>
      <c r="BB157" s="11"/>
      <c r="BC157" s="11"/>
      <c r="BD157" s="11">
        <v>264</v>
      </c>
      <c r="BE157" s="11"/>
      <c r="BF157" s="11"/>
      <c r="BG157" s="11"/>
      <c r="BH157" s="11"/>
      <c r="BI157" s="11">
        <v>260</v>
      </c>
      <c r="BJ157" s="11"/>
      <c r="BK157" s="11"/>
      <c r="BL157" s="11"/>
      <c r="BM157" s="11"/>
      <c r="BN157" s="11">
        <v>308</v>
      </c>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850"/>
      <c r="CO157" s="11"/>
      <c r="CP157" s="11"/>
      <c r="CQ157" s="11"/>
      <c r="CR157" s="11"/>
      <c r="CS157" s="11"/>
      <c r="CT157" s="11"/>
      <c r="CU157" s="11"/>
      <c r="CV157" s="11"/>
      <c r="CW157" s="11"/>
      <c r="CX157" s="11"/>
      <c r="CY157" s="11"/>
      <c r="CZ157" s="11"/>
      <c r="DA157" s="11"/>
      <c r="DB157" s="11"/>
      <c r="DC157" s="11"/>
      <c r="DD157" s="11"/>
      <c r="DE157" s="11"/>
      <c r="DF157" s="11"/>
      <c r="DG157" s="11"/>
      <c r="DH157" s="11"/>
      <c r="DI157" s="11"/>
      <c r="DJ157" s="11"/>
      <c r="DK157" s="11"/>
      <c r="DL157" s="11"/>
      <c r="DM157" s="11"/>
      <c r="DN157" s="11"/>
      <c r="DO157" s="11"/>
      <c r="DP157" s="11"/>
      <c r="DQ157" s="11"/>
      <c r="DR157" s="11"/>
      <c r="DS157" s="11"/>
      <c r="DT157" s="11"/>
      <c r="DU157" s="11"/>
      <c r="DV157" s="11"/>
      <c r="DW157" s="11"/>
      <c r="DX157" s="11"/>
      <c r="DY157" s="11"/>
      <c r="DZ157" s="11"/>
      <c r="EA157" s="11"/>
      <c r="EB157" s="1008"/>
      <c r="EC157" s="1008"/>
      <c r="ED157" s="1008"/>
      <c r="EE157" s="1008"/>
      <c r="EF157" s="1008"/>
      <c r="EO157" s="855"/>
    </row>
    <row r="158" spans="1:147" x14ac:dyDescent="0.2">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7"/>
      <c r="AQ158" s="117"/>
      <c r="AR158" s="117"/>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850"/>
      <c r="CO158" s="11"/>
      <c r="CP158" s="11"/>
      <c r="CQ158" s="11"/>
      <c r="CR158" s="11"/>
      <c r="CS158" s="11"/>
      <c r="CT158" s="11"/>
      <c r="CU158" s="11"/>
      <c r="CV158" s="11"/>
      <c r="CW158" s="11"/>
      <c r="CX158" s="11"/>
      <c r="CY158" s="11"/>
      <c r="CZ158" s="11"/>
      <c r="DA158" s="11"/>
      <c r="DB158" s="11"/>
      <c r="DC158" s="11"/>
      <c r="DD158" s="11"/>
      <c r="DE158" s="11"/>
      <c r="DF158" s="11"/>
      <c r="DG158" s="11"/>
      <c r="DH158" s="11"/>
      <c r="DI158" s="11"/>
      <c r="DJ158" s="11"/>
      <c r="DK158" s="11"/>
      <c r="DL158" s="11"/>
      <c r="DM158" s="11"/>
      <c r="DN158" s="11"/>
      <c r="DO158" s="11"/>
      <c r="DP158" s="11"/>
      <c r="DQ158" s="11"/>
      <c r="DR158" s="11"/>
      <c r="DS158" s="11"/>
      <c r="DT158" s="11"/>
      <c r="DU158" s="11"/>
      <c r="DV158" s="11"/>
      <c r="DW158" s="11"/>
      <c r="DX158" s="11"/>
      <c r="DY158" s="11"/>
      <c r="DZ158" s="11"/>
      <c r="EA158" s="11"/>
      <c r="EB158" s="1008"/>
      <c r="EC158" s="1008"/>
      <c r="ED158" s="1008"/>
      <c r="EE158" s="1008"/>
      <c r="EF158" s="1008"/>
    </row>
    <row r="159" spans="1:147" x14ac:dyDescent="0.2">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7"/>
      <c r="AQ159" s="117"/>
      <c r="AR159" s="117"/>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850"/>
      <c r="CO159" s="11"/>
      <c r="CP159" s="11"/>
      <c r="CQ159" s="11"/>
      <c r="CR159" s="11"/>
      <c r="CS159" s="11"/>
      <c r="CT159" s="11"/>
      <c r="CU159" s="11"/>
      <c r="CV159" s="11"/>
      <c r="CW159" s="11"/>
      <c r="CX159" s="11"/>
      <c r="CY159" s="11"/>
      <c r="CZ159" s="11"/>
      <c r="DA159" s="11"/>
      <c r="DB159" s="11"/>
      <c r="DC159" s="11"/>
      <c r="DD159" s="11"/>
      <c r="DE159" s="11"/>
      <c r="DF159" s="11"/>
      <c r="DG159" s="11"/>
      <c r="DH159" s="11"/>
      <c r="DI159" s="11"/>
      <c r="DJ159" s="11"/>
      <c r="DK159" s="11"/>
      <c r="DL159" s="11"/>
      <c r="DM159" s="11"/>
      <c r="DN159" s="11"/>
      <c r="DO159" s="11"/>
      <c r="DP159" s="11"/>
      <c r="DQ159" s="11"/>
      <c r="DR159" s="11"/>
      <c r="DS159" s="11"/>
      <c r="DT159" s="11"/>
      <c r="DU159" s="11"/>
      <c r="DV159" s="11"/>
      <c r="DW159" s="11"/>
      <c r="DX159" s="11"/>
      <c r="DY159" s="11"/>
      <c r="DZ159" s="11"/>
      <c r="EA159" s="11"/>
      <c r="EB159" s="1008"/>
      <c r="EC159" s="1008"/>
      <c r="ED159" s="1008"/>
      <c r="EE159" s="1008"/>
      <c r="EF159" s="1237"/>
    </row>
    <row r="160" spans="1:147" x14ac:dyDescent="0.2">
      <c r="A160" s="3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7"/>
      <c r="AQ160" s="117"/>
      <c r="AR160" s="117"/>
      <c r="AS160" s="11"/>
      <c r="AT160" s="11"/>
      <c r="AU160" s="11"/>
      <c r="AV160" s="11"/>
      <c r="AW160" s="11"/>
      <c r="AX160" s="11"/>
      <c r="AY160" s="11"/>
      <c r="AZ160" s="11"/>
      <c r="BA160" s="11"/>
      <c r="BB160" s="11"/>
      <c r="BC160" s="11"/>
      <c r="BD160" s="11">
        <v>59</v>
      </c>
      <c r="BE160" s="11"/>
      <c r="BF160" s="11"/>
      <c r="BG160" s="11"/>
      <c r="BH160" s="11"/>
      <c r="BI160" s="11">
        <v>24</v>
      </c>
      <c r="BJ160" s="11"/>
      <c r="BK160" s="11"/>
      <c r="BL160" s="11"/>
      <c r="BM160" s="11"/>
      <c r="BN160" s="11">
        <v>7</v>
      </c>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850"/>
      <c r="CO160" s="11"/>
      <c r="CP160" s="11"/>
      <c r="CQ160" s="11"/>
      <c r="CR160" s="11"/>
      <c r="CS160" s="11"/>
      <c r="CT160" s="11"/>
      <c r="CU160" s="11"/>
      <c r="CV160" s="11"/>
      <c r="CW160" s="11"/>
      <c r="CX160" s="11"/>
      <c r="CY160" s="11"/>
      <c r="CZ160" s="11"/>
      <c r="DA160" s="11"/>
      <c r="DB160" s="11"/>
      <c r="DC160" s="11"/>
      <c r="DD160" s="11"/>
      <c r="DE160" s="11"/>
      <c r="DF160" s="11"/>
      <c r="DG160" s="11"/>
      <c r="DH160" s="11"/>
      <c r="DI160" s="11"/>
      <c r="DJ160" s="11"/>
      <c r="DK160" s="11"/>
      <c r="DL160" s="11"/>
      <c r="DM160" s="11"/>
      <c r="DN160" s="11"/>
      <c r="DO160" s="11"/>
      <c r="DP160" s="11"/>
      <c r="DQ160" s="11"/>
      <c r="DR160" s="11"/>
      <c r="DS160" s="11"/>
      <c r="DT160" s="11"/>
      <c r="DU160" s="11"/>
      <c r="DV160" s="11"/>
      <c r="DW160" s="11"/>
      <c r="DX160" s="11"/>
      <c r="DY160" s="11"/>
      <c r="DZ160" s="11"/>
      <c r="EA160" s="11"/>
      <c r="EB160" s="1237"/>
      <c r="EC160" s="1237"/>
      <c r="ED160" s="1237"/>
      <c r="EE160" s="1237"/>
      <c r="EF160" s="1237"/>
    </row>
    <row r="161" spans="1:136" x14ac:dyDescent="0.2">
      <c r="A161" s="3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7"/>
      <c r="AQ161" s="117"/>
      <c r="AR161" s="117"/>
      <c r="AS161" s="11"/>
      <c r="AT161" s="11"/>
      <c r="AU161" s="11"/>
      <c r="AV161" s="11"/>
      <c r="AW161" s="11"/>
      <c r="AX161" s="11"/>
      <c r="AY161" s="11"/>
      <c r="AZ161" s="11"/>
      <c r="BA161" s="11"/>
      <c r="BB161" s="11"/>
      <c r="BC161" s="11"/>
      <c r="BD161" s="11">
        <v>33</v>
      </c>
      <c r="BE161" s="11"/>
      <c r="BF161" s="11"/>
      <c r="BG161" s="11"/>
      <c r="BH161" s="11"/>
      <c r="BI161" s="11">
        <v>26</v>
      </c>
      <c r="BJ161" s="11"/>
      <c r="BK161" s="11"/>
      <c r="BL161" s="11"/>
      <c r="BM161" s="11"/>
      <c r="BN161" s="11">
        <v>8</v>
      </c>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850"/>
      <c r="CO161" s="11"/>
      <c r="CP161" s="11"/>
      <c r="CQ161" s="11"/>
      <c r="CR161" s="11"/>
      <c r="CS161" s="11"/>
      <c r="CT161" s="11"/>
      <c r="CU161" s="11"/>
      <c r="CV161" s="11"/>
      <c r="CW161" s="11"/>
      <c r="CX161" s="11"/>
      <c r="CY161" s="11"/>
      <c r="CZ161" s="11"/>
      <c r="DA161" s="11"/>
      <c r="DB161" s="11"/>
      <c r="DC161" s="11"/>
      <c r="DD161" s="11"/>
      <c r="DE161" s="11"/>
      <c r="DF161" s="11"/>
      <c r="DG161" s="11"/>
      <c r="DH161" s="11"/>
      <c r="DI161" s="11"/>
      <c r="DJ161" s="11"/>
      <c r="DK161" s="11"/>
      <c r="DL161" s="11"/>
      <c r="DM161" s="11"/>
      <c r="DN161" s="11"/>
      <c r="DO161" s="11"/>
      <c r="DP161" s="11"/>
      <c r="DQ161" s="11"/>
      <c r="DR161" s="11"/>
      <c r="DS161" s="11"/>
      <c r="DT161" s="11"/>
      <c r="DU161" s="11"/>
      <c r="DV161" s="11"/>
      <c r="DW161" s="11"/>
      <c r="DX161" s="11"/>
      <c r="DY161" s="11"/>
      <c r="DZ161" s="11"/>
      <c r="EA161" s="11"/>
      <c r="EB161" s="1237"/>
      <c r="EC161" s="1237"/>
      <c r="ED161" s="1237"/>
      <c r="EE161" s="1237"/>
      <c r="EF161" s="1237"/>
    </row>
    <row r="162" spans="1:136" x14ac:dyDescent="0.2">
      <c r="CB162" s="555"/>
      <c r="CC162" s="555"/>
      <c r="CK162" s="844"/>
      <c r="CL162" s="844"/>
      <c r="CM162" s="844"/>
      <c r="CN162" s="853"/>
      <c r="CO162" s="844"/>
      <c r="CP162" s="844"/>
      <c r="DC162" s="1234"/>
      <c r="DD162" s="1234"/>
      <c r="DE162" s="1234"/>
      <c r="DF162" s="1234"/>
      <c r="DG162" s="1234"/>
      <c r="EB162" s="1237"/>
      <c r="EC162" s="1237"/>
      <c r="ED162" s="1237"/>
      <c r="EE162" s="1237"/>
      <c r="EF162" s="1237"/>
    </row>
    <row r="163" spans="1:136" x14ac:dyDescent="0.2">
      <c r="CB163" s="555"/>
      <c r="CC163" s="555"/>
      <c r="CK163" s="844"/>
      <c r="CL163" s="844"/>
      <c r="CM163" s="844"/>
      <c r="CN163" s="853"/>
      <c r="CO163" s="844"/>
      <c r="CP163" s="844"/>
      <c r="DC163" s="1234"/>
      <c r="DD163" s="1234"/>
      <c r="DE163" s="1234"/>
      <c r="DF163" s="1234"/>
      <c r="DG163" s="1234"/>
      <c r="EB163" s="1237"/>
      <c r="EC163" s="1237"/>
      <c r="ED163" s="1237"/>
      <c r="EE163" s="1237"/>
      <c r="EF163" s="1237"/>
    </row>
    <row r="164" spans="1:136" x14ac:dyDescent="0.2">
      <c r="CB164" s="555"/>
      <c r="CC164" s="555"/>
      <c r="CK164" s="844"/>
      <c r="CL164" s="844"/>
      <c r="CM164" s="844"/>
      <c r="CN164" s="853"/>
      <c r="CO164" s="844"/>
      <c r="CP164" s="844"/>
      <c r="DC164" s="1234"/>
      <c r="DD164" s="1234"/>
      <c r="DE164" s="1234"/>
      <c r="DF164" s="1234"/>
      <c r="DG164" s="1234"/>
      <c r="EB164" s="1237"/>
      <c r="EC164" s="1237"/>
      <c r="ED164" s="1237"/>
      <c r="EE164" s="1237"/>
      <c r="EF164" s="1237"/>
    </row>
    <row r="165" spans="1:136" x14ac:dyDescent="0.2">
      <c r="CB165" s="555"/>
      <c r="CC165" s="555"/>
      <c r="CK165" s="844"/>
      <c r="CL165" s="844"/>
      <c r="CM165" s="844"/>
      <c r="CN165" s="853"/>
      <c r="CO165" s="844"/>
      <c r="CP165" s="844"/>
      <c r="DC165" s="1234"/>
      <c r="DD165" s="1234"/>
      <c r="DE165" s="1234"/>
      <c r="DF165" s="1234"/>
      <c r="DG165" s="1234"/>
      <c r="EB165" s="1237"/>
      <c r="EC165" s="1237"/>
      <c r="ED165" s="1237"/>
      <c r="EE165" s="1237"/>
      <c r="EF165" s="1237"/>
    </row>
  </sheetData>
  <pageMargins left="0" right="0" top="0" bottom="0" header="0" footer="0"/>
  <pageSetup paperSize="5" scale="29"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3"/>
  <sheetViews>
    <sheetView workbookViewId="0">
      <selection activeCell="B42" sqref="B42"/>
    </sheetView>
  </sheetViews>
  <sheetFormatPr defaultRowHeight="12.75" x14ac:dyDescent="0.2"/>
  <cols>
    <col min="1" max="1" width="29.5703125" style="1" bestFit="1" customWidth="1"/>
    <col min="2" max="2" width="19.85546875" style="2461"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x14ac:dyDescent="0.2">
      <c r="A1" s="1" t="s">
        <v>1035</v>
      </c>
      <c r="B1" s="2460">
        <v>6.1</v>
      </c>
    </row>
    <row r="2" spans="1:2" x14ac:dyDescent="0.2">
      <c r="A2" s="1" t="s">
        <v>1036</v>
      </c>
      <c r="B2" s="2464">
        <v>43206.436701388891</v>
      </c>
    </row>
    <row r="3" spans="1:2" x14ac:dyDescent="0.2">
      <c r="A3" s="1" t="s">
        <v>1037</v>
      </c>
      <c r="B3" s="2461" t="s">
        <v>733</v>
      </c>
    </row>
    <row r="4" spans="1:2" x14ac:dyDescent="0.2">
      <c r="A4" s="1" t="s">
        <v>1038</v>
      </c>
      <c r="B4" s="2461" t="s">
        <v>122</v>
      </c>
    </row>
    <row r="5" spans="1:2" x14ac:dyDescent="0.2">
      <c r="A5" s="1" t="s">
        <v>1039</v>
      </c>
      <c r="B5" s="2461" t="s">
        <v>1040</v>
      </c>
    </row>
    <row r="6" spans="1:2" x14ac:dyDescent="0.2">
      <c r="A6" s="1" t="s">
        <v>1041</v>
      </c>
    </row>
    <row r="7" spans="1:2" x14ac:dyDescent="0.2">
      <c r="A7" s="1" t="s">
        <v>1042</v>
      </c>
      <c r="B7" s="2461" t="s">
        <v>197</v>
      </c>
    </row>
    <row r="8" spans="1:2" x14ac:dyDescent="0.2">
      <c r="A8" s="1" t="s">
        <v>1043</v>
      </c>
      <c r="B8" s="2461" t="s">
        <v>1044</v>
      </c>
    </row>
    <row r="9" spans="1:2" x14ac:dyDescent="0.2">
      <c r="A9" s="1" t="s">
        <v>1045</v>
      </c>
      <c r="B9" s="2461" t="s">
        <v>1082</v>
      </c>
    </row>
    <row r="10" spans="1:2" x14ac:dyDescent="0.2">
      <c r="A10" s="1" t="s">
        <v>1046</v>
      </c>
    </row>
    <row r="11" spans="1:2" x14ac:dyDescent="0.2">
      <c r="A11" s="1" t="s">
        <v>1047</v>
      </c>
    </row>
    <row r="12" spans="1:2" x14ac:dyDescent="0.2">
      <c r="A12" s="1" t="s">
        <v>1048</v>
      </c>
    </row>
    <row r="13" spans="1:2" x14ac:dyDescent="0.2">
      <c r="A13" s="1" t="s">
        <v>1049</v>
      </c>
    </row>
    <row r="14" spans="1:2" x14ac:dyDescent="0.2">
      <c r="A14" s="1" t="s">
        <v>1050</v>
      </c>
    </row>
    <row r="15" spans="1:2" x14ac:dyDescent="0.2">
      <c r="A15" s="1" t="s">
        <v>1051</v>
      </c>
    </row>
    <row r="16" spans="1:2" x14ac:dyDescent="0.2">
      <c r="A16" s="1" t="s">
        <v>1052</v>
      </c>
    </row>
    <row r="17" spans="1:4" x14ac:dyDescent="0.2">
      <c r="A17" s="1" t="s">
        <v>1053</v>
      </c>
      <c r="B17" s="2461" t="s">
        <v>1083</v>
      </c>
    </row>
    <row r="18" spans="1:4" x14ac:dyDescent="0.2">
      <c r="A18" s="1" t="s">
        <v>1054</v>
      </c>
      <c r="B18" s="2461" t="s">
        <v>732</v>
      </c>
    </row>
    <row r="19" spans="1:4" x14ac:dyDescent="0.2">
      <c r="A19" s="1" t="s">
        <v>1055</v>
      </c>
      <c r="B19" s="2461" t="s">
        <v>542</v>
      </c>
    </row>
    <row r="20" spans="1:4" x14ac:dyDescent="0.2">
      <c r="A20" s="1" t="s">
        <v>1056</v>
      </c>
      <c r="B20" s="2462">
        <v>988498101</v>
      </c>
    </row>
    <row r="21" spans="1:4" x14ac:dyDescent="0.2">
      <c r="A21" s="1" t="s">
        <v>1057</v>
      </c>
      <c r="B21" s="2461" t="s">
        <v>542</v>
      </c>
    </row>
    <row r="22" spans="1:4" x14ac:dyDescent="0.2">
      <c r="A22" s="1" t="s">
        <v>1058</v>
      </c>
      <c r="B22" s="2462">
        <v>2098876</v>
      </c>
    </row>
    <row r="23" spans="1:4" x14ac:dyDescent="0.2">
      <c r="A23" s="1" t="s">
        <v>164</v>
      </c>
      <c r="B23" s="2460">
        <v>86.43</v>
      </c>
    </row>
    <row r="24" spans="1:4" x14ac:dyDescent="0.2">
      <c r="A24" s="1" t="s">
        <v>363</v>
      </c>
      <c r="B24" s="2461" t="s">
        <v>541</v>
      </c>
      <c r="D24" s="1" t="s">
        <v>264</v>
      </c>
    </row>
    <row r="25" spans="1:4" x14ac:dyDescent="0.2">
      <c r="A25" s="1" t="s">
        <v>1059</v>
      </c>
      <c r="B25" s="2461" t="s">
        <v>1086</v>
      </c>
    </row>
    <row r="26" spans="1:4" x14ac:dyDescent="0.2">
      <c r="A26" s="1" t="s">
        <v>1060</v>
      </c>
      <c r="B26" s="2461">
        <v>0</v>
      </c>
    </row>
    <row r="27" spans="1:4" x14ac:dyDescent="0.2">
      <c r="A27" s="1" t="s">
        <v>1061</v>
      </c>
      <c r="B27" s="2461" t="s">
        <v>1062</v>
      </c>
    </row>
    <row r="28" spans="1:4" x14ac:dyDescent="0.2">
      <c r="A28" s="1" t="s">
        <v>1063</v>
      </c>
      <c r="B28" s="2461" t="s">
        <v>1064</v>
      </c>
    </row>
    <row r="29" spans="1:4" x14ac:dyDescent="0.2">
      <c r="A29" s="1" t="s">
        <v>1065</v>
      </c>
    </row>
    <row r="30" spans="1:4" x14ac:dyDescent="0.2">
      <c r="A30" s="1" t="s">
        <v>1066</v>
      </c>
    </row>
    <row r="31" spans="1:4" x14ac:dyDescent="0.2">
      <c r="A31" s="1" t="s">
        <v>1067</v>
      </c>
    </row>
    <row r="32" spans="1:4" x14ac:dyDescent="0.2">
      <c r="A32" s="1" t="s">
        <v>1068</v>
      </c>
      <c r="B32" s="2460"/>
    </row>
    <row r="33" spans="1:2" x14ac:dyDescent="0.2">
      <c r="A33" s="1" t="s">
        <v>1069</v>
      </c>
      <c r="B33" s="2460"/>
    </row>
    <row r="34" spans="1:2" x14ac:dyDescent="0.2">
      <c r="A34" s="1" t="s">
        <v>1070</v>
      </c>
      <c r="B34" s="2460"/>
    </row>
    <row r="35" spans="1:2" x14ac:dyDescent="0.2">
      <c r="A35" s="1" t="s">
        <v>1071</v>
      </c>
      <c r="B35" s="2461">
        <v>1000000</v>
      </c>
    </row>
    <row r="36" spans="1:2" x14ac:dyDescent="0.2">
      <c r="A36" s="1" t="s">
        <v>1072</v>
      </c>
      <c r="B36" s="2461" t="s">
        <v>1084</v>
      </c>
    </row>
    <row r="37" spans="1:2" x14ac:dyDescent="0.2">
      <c r="A37" s="1" t="s">
        <v>1073</v>
      </c>
      <c r="B37" s="2461" t="s">
        <v>1074</v>
      </c>
    </row>
    <row r="38" spans="1:2" x14ac:dyDescent="0.2">
      <c r="A38" s="1" t="s">
        <v>1075</v>
      </c>
      <c r="B38" s="2461" t="s">
        <v>1076</v>
      </c>
    </row>
    <row r="39" spans="1:2" x14ac:dyDescent="0.2">
      <c r="A39" s="1" t="s">
        <v>1077</v>
      </c>
      <c r="B39" s="2461" t="s">
        <v>1085</v>
      </c>
    </row>
    <row r="40" spans="1:2" x14ac:dyDescent="0.2">
      <c r="A40" s="1" t="s">
        <v>1078</v>
      </c>
      <c r="B40" s="2461">
        <v>1500000169</v>
      </c>
    </row>
    <row r="41" spans="1:2" x14ac:dyDescent="0.2">
      <c r="A41" s="1" t="s">
        <v>1079</v>
      </c>
      <c r="B41" s="2461">
        <v>1</v>
      </c>
    </row>
    <row r="42" spans="1:2" x14ac:dyDescent="0.2">
      <c r="A42" s="2463" t="s">
        <v>1080</v>
      </c>
    </row>
    <row r="43" spans="1:2" x14ac:dyDescent="0.2">
      <c r="A43" s="1" t="s">
        <v>1081</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x14ac:dyDescent="0.2"/>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x14ac:dyDescent="0.2">
      <c r="A1" s="2465" t="s">
        <v>1087</v>
      </c>
    </row>
    <row r="2" spans="1:1" x14ac:dyDescent="0.2">
      <c r="A2" s="2465" t="s">
        <v>1092</v>
      </c>
    </row>
    <row r="3" spans="1:1" x14ac:dyDescent="0.2">
      <c r="A3" s="2465" t="s">
        <v>1093</v>
      </c>
    </row>
    <row r="4" spans="1:1" x14ac:dyDescent="0.2">
      <c r="A4" s="2465" t="s">
        <v>1094</v>
      </c>
    </row>
    <row r="5" spans="1:1" x14ac:dyDescent="0.2">
      <c r="A5" s="2465" t="s">
        <v>1095</v>
      </c>
    </row>
    <row r="6" spans="1:1" x14ac:dyDescent="0.2">
      <c r="A6" s="2465" t="s">
        <v>1088</v>
      </c>
    </row>
    <row r="7" spans="1:1" x14ac:dyDescent="0.2">
      <c r="A7" s="2465" t="s">
        <v>1096</v>
      </c>
    </row>
    <row r="8" spans="1:1" x14ac:dyDescent="0.2">
      <c r="A8" s="2465" t="s">
        <v>1097</v>
      </c>
    </row>
    <row r="9" spans="1:1" x14ac:dyDescent="0.2">
      <c r="A9" s="2465" t="s">
        <v>1098</v>
      </c>
    </row>
    <row r="10" spans="1:1" x14ac:dyDescent="0.2">
      <c r="A10" s="2465" t="s">
        <v>1089</v>
      </c>
    </row>
    <row r="11" spans="1:1" x14ac:dyDescent="0.2">
      <c r="A11" s="2465" t="s">
        <v>1099</v>
      </c>
    </row>
    <row r="12" spans="1:1" x14ac:dyDescent="0.2">
      <c r="A12" s="2465" t="s">
        <v>1090</v>
      </c>
    </row>
    <row r="13" spans="1:1" x14ac:dyDescent="0.2">
      <c r="A13" s="2465" t="s">
        <v>1091</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N2"/>
  <sheetViews>
    <sheetView workbookViewId="0"/>
  </sheetViews>
  <sheetFormatPr defaultRowHeight="12.75" x14ac:dyDescent="0.2"/>
  <sheetData>
    <row r="1" spans="1:14" x14ac:dyDescent="0.2">
      <c r="A1" t="s">
        <v>328</v>
      </c>
    </row>
    <row r="2" spans="1:14" x14ac:dyDescent="0.2">
      <c r="A2" s="484" t="s">
        <v>326</v>
      </c>
      <c r="B2" s="484" t="s">
        <v>248</v>
      </c>
      <c r="C2" s="484" t="s">
        <v>324</v>
      </c>
      <c r="D2" s="484" t="s">
        <v>173</v>
      </c>
      <c r="E2" s="484" t="s">
        <v>61</v>
      </c>
      <c r="F2" s="484" t="s">
        <v>212</v>
      </c>
      <c r="G2" s="484" t="s">
        <v>63</v>
      </c>
      <c r="H2" s="484" t="s">
        <v>731</v>
      </c>
      <c r="I2" s="484" t="s">
        <v>62</v>
      </c>
      <c r="J2" s="484" t="s">
        <v>541</v>
      </c>
      <c r="K2" s="484" t="s">
        <v>325</v>
      </c>
      <c r="L2" s="484" t="s">
        <v>248</v>
      </c>
      <c r="M2" s="484" t="s">
        <v>327</v>
      </c>
      <c r="N2" s="484" t="s">
        <v>248</v>
      </c>
    </row>
  </sheetData>
  <phoneticPr fontId="9"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
  <sheetViews>
    <sheetView workbookViewId="0"/>
  </sheetViews>
  <sheetFormatPr defaultRowHeight="12.75" x14ac:dyDescent="0.2"/>
  <sheetData/>
  <phoneticPr fontId="9"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50f22184-a827-470d-ac86-e4bc1918f987</GUID>
    <SOURCE_ALTADDRESS>$C$6:$H$77</SOURCE_ALTADDRESS>
    <SOURCETYPE>Table</SOURCETYPE>
    <SOURCE_OBJECTNAME>Linking_Range_25</SOURCE_OBJECTNAME>
    <OBJECTTYPE>Native</OBJECTTYPE>
    <SOURCE_SHEETCODE>Sheet6</SOURCE_SHEETCODE>
    <SOURCE_SHEETNAME>Act vs Est</SOURCE_SHEETNAME>
    <SOURCEAPPLICATION>EXCEL_SOURCE</SOURCEAPPLICATION>
    <UPDATEDAT>4/21/2015 8:39:37 PM</UPDATEDAT>
    <SOURCE_ISOUTOFDATE>False</SOURCE_ISOUTOFDATE>
    <SOURCE_WORKBOOKNAME>YUM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/MSResearch/Content/ExternalAssets/2015-04/Images/fQPzzXtutkynuiQdZ_eLng--.png</TARGET_BINARYFULLNAME>
    <TARGET_STORYFULLNAME>/MSResearch/Content/ExternalAssets/2015-04/Sections/20150421_083535_Linking_Range_25.xml</TARGET_STORYFULLNAME>
    <TARGET_UUID>7dc91d22-e887-11e4-b44c-544b7b2f2e67</TARGET_UUID>
    <LINKSTATUS>Unknown</LINKSTATUS>
  </Link>
  <Link>
    <GUID>25e0bb81-fe2e-435e-9d0d-de586d2ef36c</GUID>
    <SOURCETYPE>Chart</SOURCETYPE>
    <SOURCE_OBJECTNAME>MWA_Risk_Reward</SOURCE_OBJECTNAME>
    <SOURCE_SHEETCODE>MWRSSData</SOURCE_SHEETCODE>
    <SOURCE_SHEETNAME>MWA RR</SOURCE_SHEETNAME>
    <OBJECTTYPE>Native</OBJECTTYPE>
    <SOURCEAPPLICATION>EXCEL_SOURCE</SOURCEAPPLICATION>
    <UPDATEDAT>5/17/2015 4:34:51 PM</UPDATEDAT>
    <SOURCE_ISOUTOFDATE>False</SOURCE_ISOUTOFDATE>
    <SOURCE_WORKBOOKNAME>YUM - MS.xls</SOURCE_WORKBOOKNAME>
    <SOURCE_WORKBOOKPATH>\\msad\root\NA\NY\LIB\ER\RESTAURANTS\Restaurant\MODELS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/MSResearch/Content/ExternalAssets/2015-02/Images/rwy5k5-fEEWMbCLhN4Mk5A--.png</TARGET_BINARYFULLNAME>
    <TARGET_STORYFULLNAME>/MSResearch/Content/ExternalAssets/2015-02/Sections/20150205_033012_MWA_Risk_Reward.xml</TARGET_STORYFULLNAME>
    <TARGET_UUID>c910f004-ad75-11e4-946e-d93333148876</TARGET_UUID>
    <HIDEGRIDLINES>False</HIDEGRIDLINES>
    <EXTRACTSOURCEMODE>CopyToClipboard</EXTRACTSOURCEMODE>
    <LINKSTATUS>Unknown</LINKSTATUS>
  </Link>
  <Link>
    <GUID>204589ff-4a00-4005-9a4b-88463e18ca8e</GUID>
    <SOURCE_ALTADDRESS>$A$8:$CW$109</SOURCE_ALTADDRESS>
    <SOURCETYPE>Table</SOURCETYPE>
    <SOURCE_OBJECTNAME>Linking_Range_30</SOURCE_OBJECTNAME>
    <OBJECTTYPE>Native</OBJECTTYPE>
    <SOURCE_SHEETCODE>Sheet3</SOURCE_SHEETCODE>
    <SOURCE_SHEETNAME>IS</SOURCE_SHEETNAME>
    <SOURCEAPPLICATION>EXCEL_SOURCE</SOURCEAPPLICATION>
    <UPDATEDAT>5/17/2015 4:39:02 PM</UPDATEDAT>
    <SOURCE_ISOUTOFDATE>False</SOURCE_ISOUTOFDATE>
    <SOURCE_WORKBOOKNAME>YUM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/MSResearch/Content/ExternalAssets/2015-02/Images/rQB8no3VSpoASRF_bHsA--.png</TARGET_BINARYFULLNAME>
    <TARGET_STORYFULLNAME>/MSResearch/Content/ExternalAssets/2015-02/Sections/20150205_033329_Linking_Range_3.xml</TARGET_STORYFULLNAME>
    <TARGET_UUID>3ea9ddf8-ad76-11e4-946e-d93333148876</TARGET_UUID>
    <LINKSTATUS>Unknown</LINKSTATUS>
  </Link>
  <Link>
    <GUID>9993a1ab-a5b8-48d4-9f8b-acc86b4c15aa</GUID>
    <SOURCE_ALTADDRESS>$A$8:$CY$48</SOURCE_ALTADDRESS>
    <SOURCETYPE>Table</SOURCETYPE>
    <SOURCE_OBJECTNAME>Linking_Range_36</SOURCE_OBJECTNAME>
    <OBJECTTYPE>Native</OBJECTTYPE>
    <SOURCE_SHEETCODE>Sheet4</SOURCE_SHEETCODE>
    <SOURCE_SHEETNAME>BS</SOURCE_SHEETNAME>
    <SOURCEAPPLICATION>EXCEL_SOURCE</SOURCEAPPLICATION>
    <UPDATEDAT>5/17/2015 4:39:27 PM</UPDATEDAT>
    <SOURCE_ISOUTOFDATE>False</SOURCE_ISOUTOFDATE>
    <SOURCE_WORKBOOKNAME>YUM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/MSResearch/Content/ExternalAssets/2015-02/Images/fGUwYM7uSEy6msFSEgAmIg--.png</TARGET_BINARYFULLNAME>
    <TARGET_STORYFULLNAME>/MSResearch/Content/ExternalAssets/2015-02/Sections/20150205_033452_Linking_Range_36.xml</TARGET_STORYFULLNAME>
    <TARGET_UUID>6ffdc45a-ad76-11e4-946e-d93333148876</TARGET_UUID>
    <LINKSTATUS>Unknown</LINKSTATUS>
  </Link>
  <Link>
    <GUID>bd75d64b-063e-47de-9619-96d3a22d78da</GUID>
    <SOURCE_ALTADDRESS>$A$8:$CW$81</SOURCE_ALTADDRESS>
    <SOURCETYPE>Table</SOURCETYPE>
    <SOURCE_OBJECTNAME>Linking_Range_41</SOURCE_OBJECTNAME>
    <OBJECTTYPE>Native</OBJECTTYPE>
    <SOURCE_SHEETCODE>Sheet5</SOURCE_SHEETCODE>
    <SOURCE_SHEETNAME>Cash Flow</SOURCE_SHEETNAME>
    <SOURCEAPPLICATION>EXCEL_SOURCE</SOURCEAPPLICATION>
    <UPDATEDAT>5/17/2015 4:39:50 PM</UPDATEDAT>
    <SOURCE_ISOUTOFDATE>False</SOURCE_ISOUTOFDATE>
    <SOURCE_WORKBOOKNAME>YUM - MS.xls</SOURCE_WORKBOOKNAME>
    <SOURCE_WORKBOOKPATH>\\msad\root\NA\NY\LIB\ER\RESTAURANTS\Restaurant\MODELS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/MSResearch/Content/ExternalAssets/2015-02/Images/vVp3Nab_LEOkXrhXUzOJQ--.png</TARGET_BINARYFULLNAME>
    <TARGET_STORYFULLNAME>/MSResearch/Content/ExternalAssets/2015-02/Sections/20150205_033602_Linking_Range_41.xml</TARGET_STORYFULLNAME>
    <TARGET_UUID>999ce55c-ad76-11e4-946e-d93333148876</TARGET_UUID>
    <LINKSTATUS>Unknown</LINKSTATU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9BDB52C5-5096-42CA-8520-793203F147E6}">
  <ds:schemaRefs>
    <ds:schemaRef ds:uri="thomsonreuters.linking.metadata"/>
  </ds:schemaRefs>
</ds:datastoreItem>
</file>

<file path=customXml/itemProps2.xml><?xml version="1.0" encoding="utf-8"?>
<ds:datastoreItem xmlns:ds="http://schemas.openxmlformats.org/officeDocument/2006/customXml" ds:itemID="{4E9364AB-1C7F-4730-AB0C-C4D90904EA53}">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125</vt:i4>
      </vt:variant>
    </vt:vector>
  </HeadingPairs>
  <TitlesOfParts>
    <vt:vector size="132" baseType="lpstr">
      <vt:lpstr>ImportantDisclosures</vt:lpstr>
      <vt:lpstr>Intro</vt:lpstr>
      <vt:lpstr>IS </vt:lpstr>
      <vt:lpstr>BS</vt:lpstr>
      <vt:lpstr>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Linking_15</vt:lpstr>
      <vt:lpstr>Linking_16</vt:lpstr>
      <vt:lpstr>Linking_17</vt:lpstr>
      <vt:lpstr>Linking_18</vt:lpstr>
      <vt:lpstr>Linking_19</vt:lpstr>
      <vt:lpstr>Linking_2</vt:lpstr>
      <vt:lpstr>Linking_20</vt:lpstr>
      <vt:lpstr>Linking_21</vt:lpstr>
      <vt:lpstr>Linking_22</vt:lpstr>
      <vt:lpstr>Linking_23</vt:lpstr>
      <vt:lpstr>Linking_24</vt:lpstr>
      <vt:lpstr>Linking_3</vt:lpstr>
      <vt:lpstr>Linking_4</vt:lpstr>
      <vt:lpstr>Linking_5</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Linking_Range_27</vt:lpstr>
      <vt:lpstr>Linking_Range_28</vt:lpstr>
      <vt:lpstr>Linking_Range_29</vt:lpstr>
      <vt:lpstr>Linking_Range_3</vt:lpstr>
      <vt:lpstr>Linking_Range_30</vt:lpstr>
      <vt:lpstr>Linking_Range_31</vt:lpstr>
      <vt:lpstr>Linking_Range_32</vt:lpstr>
      <vt:lpstr>Linking_Range_33</vt:lpstr>
      <vt:lpstr>Linking_Range_34</vt:lpstr>
      <vt:lpstr>Linking_Range_35</vt:lpstr>
      <vt:lpstr>Linking_Range_36</vt:lpstr>
      <vt:lpstr>Linking_Range_37</vt:lpstr>
      <vt:lpstr>Linking_Range_38</vt:lpstr>
      <vt:lpstr>Linking_Range_39</vt:lpstr>
      <vt:lpstr>Linking_Range_4</vt:lpstr>
      <vt:lpstr>Linking_Range_41</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BS!Print_Area</vt:lpstr>
      <vt:lpstr>Intro!Print_Area</vt:lpstr>
      <vt:lpstr>'IS '!Print_Area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CIBC World Markets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2004-03-19T15:44:07Z</dcterms:created>
  <dc:creator>farmerje</dc:creator>
  <cp:lastModifiedBy>Carril, Christopher E (Research)</cp:lastModifiedBy>
  <cp:lastPrinted>2018-04-13T20:17:20Z</cp:lastPrinted>
  <dcterms:modified xsi:type="dcterms:W3CDTF">2018-04-16T14:28:53Z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FDSMenuDocLevelBtnStates" pid="2">
    <vt:lpwstr>&lt;btnStates&gt;&lt;btn tag="1001" state="UP"/&gt;&lt;/btnStates&gt;_x000d_
</vt:lpwstr>
  </property>
  <property fmtid="{D5CDD505-2E9C-101B-9397-08002B2CF9AE}" name="LinkingAutoNameNumberLinking_Range_" pid="3">
    <vt:lpwstr>41</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761889</vt:lpwstr>
  </property>
  <property fmtid="{D5CDD505-2E9C-101B-9397-08002B2CF9AE}" name="ERModPubCompanyName" pid="7">
    <vt:lpwstr>Yum! Brands, Inc.</vt:lpwstr>
  </property>
  <property fmtid="{D5CDD505-2E9C-101B-9397-08002B2CF9AE}" name="MSDH34TAG" pid="8">
    <vt:lpwstr>.TEZUF76X5TAHATHESADREYAK-00-INB160+*94600-06=81130d7e/-4182/-11e8/-9695/-5e5c95fbb3b1,MD=20180416103432/-0400,ZZ=000Z-299c.</vt:lpwstr>
  </property>
</Properties>
</file>